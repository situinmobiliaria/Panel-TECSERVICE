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–&quot;"/>
  </numFmts>
  <fonts count="9">
    <font>
      <name val="Calibri"/>
      <family val="2"/>
      <color theme="1"/>
      <sz val="11"/>
      <scheme val="minor"/>
    </font>
    <font>
      <b val="1"/>
      <color rgb="00002D73"/>
      <sz val="13"/>
    </font>
    <font>
      <i val="1"/>
      <color rgb="00666666"/>
      <sz val="9"/>
    </font>
    <font>
      <b val="1"/>
      <color rgb="00FFFFFF"/>
      <sz val="10"/>
    </font>
    <font>
      <b val="1"/>
      <color rgb="00000000"/>
      <sz val="10"/>
    </font>
    <font>
      <color rgb="00666666"/>
      <sz val="10"/>
    </font>
    <font>
      <color rgb="00000000"/>
      <sz val="10"/>
    </font>
    <font>
      <b val="1"/>
      <color rgb="00002D73"/>
      <sz val="9"/>
    </font>
    <font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002D73"/>
      </patternFill>
    </fill>
    <fill>
      <patternFill patternType="solid">
        <fgColor rgb="00B86E00"/>
      </patternFill>
    </fill>
    <fill>
      <patternFill patternType="solid">
        <fgColor rgb="00FFF4E0"/>
      </patternFill>
    </fill>
    <fill>
      <patternFill patternType="solid">
        <fgColor rgb="00F4F6FB"/>
      </patternFill>
    </fill>
    <fill>
      <patternFill patternType="solid">
        <fgColor rgb="000E2D55"/>
      </patternFill>
    </fill>
  </fills>
  <borders count="2">
    <border>
      <left/>
      <right/>
      <top/>
      <bottom/>
      <diagonal/>
    </border>
    <border>
      <left style="thin">
        <color rgb="00D4D5E8"/>
      </left>
      <right style="thin">
        <color rgb="00D4D5E8"/>
      </right>
      <top style="thin">
        <color rgb="00D4D5E8"/>
      </top>
      <bottom style="thin">
        <color rgb="00D4D5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3" fillId="6" borderId="1" pivotButton="0" quotePrefix="0" xfId="0"/>
    <xf numFmtId="3" fontId="3" fillId="6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3" customWidth="1" min="3" max="3"/>
    <col width="13" customWidth="1" min="4" max="4"/>
    <col width="14" customWidth="1" min="5" max="5"/>
    <col width="17" customWidth="1" min="6" max="6"/>
    <col width="17" customWidth="1" min="7" max="7"/>
    <col width="17" customWidth="1" min="8" max="8"/>
    <col width="30" customWidth="1" min="9" max="9"/>
    <col width="28" customWidth="1" min="10" max="10"/>
  </cols>
  <sheetData>
    <row r="1">
      <c r="A1" s="1" t="inlineStr">
        <is>
          <t>Clientes seleccionados · Base instalada, facturación y potencial ST</t>
        </is>
      </c>
    </row>
    <row r="2">
      <c r="A2" s="2" t="inlineStr">
        <is>
          <t>Facturación a la fecha: enero a septiembre de cada año (facturas de Servicio Técnico, REAS y Trazabilidad). Datos del panel al 2026-09-15.</t>
        </is>
      </c>
    </row>
    <row r="4" ht="34" customHeight="1">
      <c r="A4" s="3" t="inlineStr">
        <is>
          <t>Cliente</t>
        </is>
      </c>
      <c r="B4" s="3" t="inlineStr">
        <is>
          <t>Nombre en Base Instalada</t>
        </is>
      </c>
      <c r="C4" s="3" t="inlineStr">
        <is>
          <t>Región</t>
        </is>
      </c>
      <c r="D4" s="3" t="inlineStr">
        <is>
          <t>Base Instalada Total</t>
        </is>
      </c>
      <c r="E4" s="3" t="inlineStr">
        <is>
          <t>Base Instalada Factible de ST</t>
        </is>
      </c>
      <c r="F4" s="3" t="inlineStr">
        <is>
          <t>Facturación 2026 a la fecha ($)</t>
        </is>
      </c>
      <c r="G4" s="3" t="inlineStr">
        <is>
          <t>Facturación 2025 a la fecha ($)</t>
        </is>
      </c>
      <c r="H4" s="3" t="inlineStr">
        <is>
          <t>Potencial ST anual BI ($)</t>
        </is>
      </c>
      <c r="I4" s="3" t="inlineStr">
        <is>
          <t>Contrato ST</t>
        </is>
      </c>
      <c r="J4" s="4" t="inlineStr">
        <is>
          <t>Estado</t>
        </is>
      </c>
    </row>
    <row r="5">
      <c r="A5" s="5" t="inlineStr">
        <is>
          <t>Clínica Sanatorio Alemán</t>
        </is>
      </c>
      <c r="B5" s="6" t="inlineStr">
        <is>
          <t>CLINICA SANATORIO ALEMAN S.A</t>
        </is>
      </c>
      <c r="C5" s="7" t="inlineStr">
        <is>
          <t>Bío Bío</t>
        </is>
      </c>
      <c r="D5" s="8" t="n">
        <v>16</v>
      </c>
      <c r="E5" s="8" t="n">
        <v>15</v>
      </c>
      <c r="F5" s="9" t="n">
        <v>1338767</v>
      </c>
      <c r="G5" s="9" t="n">
        <v>11898689</v>
      </c>
      <c r="H5" s="9" t="n">
        <v>26642795</v>
      </c>
      <c r="I5" s="10" t="inlineStr">
        <is>
          <t>Sin contrato</t>
        </is>
      </c>
      <c r="J5" s="11" t="inlineStr"/>
    </row>
    <row r="6">
      <c r="A6" s="12" t="inlineStr">
        <is>
          <t>Hospital Guillermo Grant Benavente</t>
        </is>
      </c>
      <c r="B6" s="13" t="inlineStr">
        <is>
          <t>HOSPITAL GUILLERMO GRANT BENAVENTE</t>
        </is>
      </c>
      <c r="C6" s="14" t="inlineStr">
        <is>
          <t>Bío Bío</t>
        </is>
      </c>
      <c r="D6" s="15" t="n">
        <v>20</v>
      </c>
      <c r="E6" s="15" t="n">
        <v>15</v>
      </c>
      <c r="F6" s="16" t="n">
        <v>9083025</v>
      </c>
      <c r="G6" s="16" t="n">
        <v>14213737</v>
      </c>
      <c r="H6" s="16" t="n">
        <v>24925315</v>
      </c>
      <c r="I6" s="17" t="inlineStr">
        <is>
          <t>Esterilización hasta 19/02/2028</t>
        </is>
      </c>
      <c r="J6" s="11" t="inlineStr"/>
    </row>
    <row r="7">
      <c r="A7" s="5" t="inlineStr">
        <is>
          <t>Hospital Penco Lirquén</t>
        </is>
      </c>
      <c r="B7" s="6" t="inlineStr">
        <is>
          <t>HOSPITAL PENCO -LIRQUEN</t>
        </is>
      </c>
      <c r="C7" s="7" t="inlineStr">
        <is>
          <t>Bío Bío</t>
        </is>
      </c>
      <c r="D7" s="8" t="n">
        <v>28</v>
      </c>
      <c r="E7" s="8" t="n">
        <v>8</v>
      </c>
      <c r="F7" s="9" t="n">
        <v>10253258</v>
      </c>
      <c r="G7" s="9" t="n">
        <v>10809369</v>
      </c>
      <c r="H7" s="9" t="n">
        <v>16345912</v>
      </c>
      <c r="I7" s="10" t="inlineStr">
        <is>
          <t>Esterilización hasta 14/12/2028</t>
        </is>
      </c>
      <c r="J7" s="11" t="inlineStr"/>
    </row>
    <row r="8">
      <c r="A8" s="12" t="inlineStr">
        <is>
          <t>Hospital Pitrufquén</t>
        </is>
      </c>
      <c r="B8" s="13" t="inlineStr">
        <is>
          <t>HOSPITAL  PITRUFQUEN</t>
        </is>
      </c>
      <c r="C8" s="14" t="inlineStr">
        <is>
          <t>Araucanía</t>
        </is>
      </c>
      <c r="D8" s="15" t="n">
        <v>13</v>
      </c>
      <c r="E8" s="15" t="n">
        <v>5</v>
      </c>
      <c r="F8" s="16" t="n">
        <v>24282977</v>
      </c>
      <c r="G8" s="16" t="n">
        <v>0</v>
      </c>
      <c r="H8" s="16" t="n">
        <v>10216195</v>
      </c>
      <c r="I8" s="17" t="inlineStr">
        <is>
          <t>Esterilización hasta 24/11/2026</t>
        </is>
      </c>
      <c r="J8" s="11" t="inlineStr"/>
    </row>
    <row r="9">
      <c r="A9" s="5" t="inlineStr">
        <is>
          <t>Hospital Víctor Ríos Ruiz</t>
        </is>
      </c>
      <c r="B9" s="6" t="inlineStr">
        <is>
          <t>HOSPITAL DE LOS ANGELES DR. VICTOR RIOS RUIZ + HOSPITAL VICTOR RIOS RUIZ</t>
        </is>
      </c>
      <c r="C9" s="7" t="inlineStr">
        <is>
          <t>Bío Bío</t>
        </is>
      </c>
      <c r="D9" s="8" t="n">
        <v>106</v>
      </c>
      <c r="E9" s="8" t="n">
        <v>45</v>
      </c>
      <c r="F9" s="9" t="n">
        <v>8499051</v>
      </c>
      <c r="G9" s="9" t="n">
        <v>0</v>
      </c>
      <c r="H9" s="9" t="n">
        <v>37869087</v>
      </c>
      <c r="I9" s="10" t="inlineStr">
        <is>
          <t>Dental hasta 15/08/2026 (vencido)</t>
        </is>
      </c>
      <c r="J9" s="11" t="inlineStr"/>
    </row>
    <row r="10">
      <c r="A10" s="12" t="inlineStr">
        <is>
          <t>Clínica Bío Bío</t>
        </is>
      </c>
      <c r="B10" s="13" t="inlineStr">
        <is>
          <t>CLINICA BIO BIO SPA</t>
        </is>
      </c>
      <c r="C10" s="14" t="inlineStr">
        <is>
          <t>Bío Bío</t>
        </is>
      </c>
      <c r="D10" s="15" t="n">
        <v>7</v>
      </c>
      <c r="E10" s="15" t="n">
        <v>7</v>
      </c>
      <c r="F10" s="16" t="n">
        <v>5959997</v>
      </c>
      <c r="G10" s="16" t="n">
        <v>0</v>
      </c>
      <c r="H10" s="16" t="n">
        <v>8579403</v>
      </c>
      <c r="I10" s="17" t="inlineStr">
        <is>
          <t>Sin contrato</t>
        </is>
      </c>
      <c r="J10" s="11" t="inlineStr"/>
    </row>
    <row r="11">
      <c r="A11" s="5" t="inlineStr">
        <is>
          <t>Hospital de Talcahuano (Las Higueras)</t>
        </is>
      </c>
      <c r="B11" s="6" t="inlineStr">
        <is>
          <t>HOSPITAL LAS HIGUERAS</t>
        </is>
      </c>
      <c r="C11" s="7" t="inlineStr">
        <is>
          <t>Bío Bío</t>
        </is>
      </c>
      <c r="D11" s="8" t="n">
        <v>12</v>
      </c>
      <c r="E11" s="8" t="n">
        <v>3</v>
      </c>
      <c r="F11" s="9" t="n">
        <v>0</v>
      </c>
      <c r="G11" s="9" t="n">
        <v>0</v>
      </c>
      <c r="H11" s="9" t="n">
        <v>4699149</v>
      </c>
      <c r="I11" s="10" t="inlineStr">
        <is>
          <t>Sin contrato</t>
        </is>
      </c>
      <c r="J11" s="11" t="inlineStr"/>
    </row>
    <row r="12">
      <c r="A12" s="18" t="inlineStr">
        <is>
          <t>TOTAL</t>
        </is>
      </c>
      <c r="B12" s="18" t="n"/>
      <c r="C12" s="18" t="n"/>
      <c r="D12" s="19">
        <f>SUM(D5:D11)</f>
        <v/>
      </c>
      <c r="E12" s="19">
        <f>SUM(E5:E11)</f>
        <v/>
      </c>
      <c r="F12" s="19">
        <f>SUM(F5:F11)</f>
        <v/>
      </c>
      <c r="G12" s="19">
        <f>SUM(G5:G11)</f>
        <v/>
      </c>
      <c r="H12" s="19">
        <f>SUM(H5:H11)</f>
        <v/>
      </c>
      <c r="I12" s="18" t="n"/>
      <c r="J12" s="18" t="n"/>
    </row>
    <row r="14">
      <c r="A14" s="20" t="inlineStr">
        <is>
          <t>Notas</t>
        </is>
      </c>
    </row>
    <row r="15">
      <c r="A15" s="21" t="inlineStr">
        <is>
          <t>• Base Instalada Factible de ST: equipos con Potencial ST = Sí en la hoja BASE INSTALADA.</t>
        </is>
      </c>
    </row>
    <row r="16">
      <c r="A16" s="21" t="inlineStr">
        <is>
          <t>• Potencial ST anual BI: equipos factibles de ST × tarifa anual de mantención (Esterilización 50 UF, Endoscopía 22 UF, Dental 15 UF). Considera sólo la base instalada, sin pipeline de equipos ni garantías.</t>
        </is>
      </c>
    </row>
    <row r="17">
      <c r="A17" s="21" t="inlineStr">
        <is>
          <t>• El potencial se muestra aunque el cliente tenga contrato. En el panel, un cliente con contrato vigente aparece con potencial 0 porque se considera ya capturado.</t>
        </is>
      </c>
    </row>
    <row r="18">
      <c r="A18" s="21" t="inlineStr">
        <is>
          <t>• Hospital Víctor Ríos Ruiz suma sus dos registros de la base instalada: «Hospital de Los Ángeles Dr. Víctor Ríos Ruiz» (98 equipos) y «Hospital Víctor Ríos Ruiz» (8).</t>
        </is>
      </c>
    </row>
    <row r="19">
      <c r="A19" s="21" t="inlineStr">
        <is>
          <t>• Hospital de Talcahuano (Las Higueras) no registra facturación en 2025 ni 2026 con ese nombre.</t>
        </is>
      </c>
    </row>
    <row r="20">
      <c r="A20" s="21" t="inlineStr">
        <is>
          <t>• Clínica Sanatorio Alemán: «Inmobiliaria Sanatorio Alemán SpA» facturó $830.733 en 2025 como razón social aparte y no está incluida.</t>
        </is>
      </c>
    </row>
  </sheetData>
  <mergeCells count="9">
    <mergeCell ref="A1:J1"/>
    <mergeCell ref="A14:J14"/>
    <mergeCell ref="A17:J17"/>
    <mergeCell ref="A2:J2"/>
    <mergeCell ref="A18:J18"/>
    <mergeCell ref="A15:J15"/>
    <mergeCell ref="A20:J20"/>
    <mergeCell ref="A16:J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2026-09-15T15:18:35Z</dcterms:created>
  <dcterms:modified xsi:type="dcterms:W3CDTF">2026-09-15T15:18:35Z</dcterms:modified>
</cp:coreProperties>
</file>