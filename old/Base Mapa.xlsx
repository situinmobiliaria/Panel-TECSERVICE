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valenzuela\Desktop\Programación\cvg\"/>
    </mc:Choice>
  </mc:AlternateContent>
  <xr:revisionPtr revIDLastSave="0" documentId="8_{EB267E8B-4310-42AD-8ADF-3C59DD852FD2}" xr6:coauthVersionLast="47" xr6:coauthVersionMax="47" xr10:uidLastSave="{00000000-0000-0000-0000-000000000000}"/>
  <bookViews>
    <workbookView xWindow="-120" yWindow="-120" windowWidth="29040" windowHeight="15720" xr2:uid="{995D2181-F326-424B-924B-5A7BD68ECD04}"/>
  </bookViews>
  <sheets>
    <sheet name="Resumen Clientes" sheetId="1" r:id="rId1"/>
  </sheets>
  <externalReferences>
    <externalReference r:id="rId2"/>
  </externalReferences>
  <definedNames>
    <definedName name="_xlnm._FilterDatabase" localSheetId="0" hidden="1">'Resumen Clientes'!$A$1:$AD$326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"06/14/2025 15:04:26"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25" i="1" l="1"/>
  <c r="AM325" i="1" s="1"/>
  <c r="AC325" i="1"/>
  <c r="AB325" i="1"/>
  <c r="AA325" i="1"/>
  <c r="AL325" i="1" s="1"/>
  <c r="Z325" i="1"/>
  <c r="AH325" i="1" s="1"/>
  <c r="X325" i="1"/>
  <c r="W325" i="1"/>
  <c r="V325" i="1"/>
  <c r="U325" i="1"/>
  <c r="T325" i="1"/>
  <c r="S325" i="1"/>
  <c r="R325" i="1"/>
  <c r="Q325" i="1"/>
  <c r="P325" i="1"/>
  <c r="O325" i="1"/>
  <c r="M325" i="1"/>
  <c r="N325" i="1" s="1"/>
  <c r="K325" i="1"/>
  <c r="L325" i="1" s="1"/>
  <c r="G325" i="1"/>
  <c r="H325" i="1" s="1"/>
  <c r="F325" i="1"/>
  <c r="E325" i="1"/>
  <c r="J325" i="1" s="1"/>
  <c r="D325" i="1"/>
  <c r="I325" i="1" s="1"/>
  <c r="C325" i="1"/>
  <c r="AJ325" i="1" s="1"/>
  <c r="B325" i="1"/>
  <c r="AD324" i="1"/>
  <c r="AM324" i="1" s="1"/>
  <c r="AC324" i="1"/>
  <c r="AB324" i="1"/>
  <c r="AL324" i="1" s="1"/>
  <c r="AA324" i="1"/>
  <c r="AE324" i="1" s="1"/>
  <c r="Z324" i="1"/>
  <c r="AH324" i="1" s="1"/>
  <c r="X324" i="1"/>
  <c r="W324" i="1"/>
  <c r="V324" i="1"/>
  <c r="U324" i="1"/>
  <c r="T324" i="1"/>
  <c r="S324" i="1"/>
  <c r="R324" i="1"/>
  <c r="Q324" i="1"/>
  <c r="P324" i="1"/>
  <c r="O324" i="1"/>
  <c r="M324" i="1"/>
  <c r="N324" i="1" s="1"/>
  <c r="G324" i="1"/>
  <c r="H324" i="1" s="1"/>
  <c r="F324" i="1"/>
  <c r="K324" i="1" s="1"/>
  <c r="L324" i="1" s="1"/>
  <c r="E324" i="1"/>
  <c r="J324" i="1" s="1"/>
  <c r="D324" i="1"/>
  <c r="I324" i="1" s="1"/>
  <c r="C324" i="1"/>
  <c r="AJ324" i="1" s="1"/>
  <c r="B324" i="1"/>
  <c r="AD323" i="1"/>
  <c r="AM323" i="1" s="1"/>
  <c r="AN323" i="1" s="1"/>
  <c r="AC323" i="1"/>
  <c r="AB323" i="1"/>
  <c r="AL323" i="1" s="1"/>
  <c r="AA323" i="1"/>
  <c r="AE323" i="1" s="1"/>
  <c r="Z323" i="1"/>
  <c r="AH323" i="1" s="1"/>
  <c r="X323" i="1"/>
  <c r="W323" i="1"/>
  <c r="V323" i="1"/>
  <c r="U323" i="1"/>
  <c r="T323" i="1"/>
  <c r="S323" i="1"/>
  <c r="R323" i="1"/>
  <c r="Q323" i="1"/>
  <c r="P323" i="1"/>
  <c r="O323" i="1"/>
  <c r="M323" i="1"/>
  <c r="N323" i="1" s="1"/>
  <c r="G323" i="1"/>
  <c r="H323" i="1" s="1"/>
  <c r="F323" i="1"/>
  <c r="K323" i="1" s="1"/>
  <c r="L323" i="1" s="1"/>
  <c r="E323" i="1"/>
  <c r="J323" i="1" s="1"/>
  <c r="D323" i="1"/>
  <c r="I323" i="1" s="1"/>
  <c r="C323" i="1"/>
  <c r="AJ323" i="1" s="1"/>
  <c r="B323" i="1"/>
  <c r="AD322" i="1"/>
  <c r="AM322" i="1" s="1"/>
  <c r="AC322" i="1"/>
  <c r="AB322" i="1"/>
  <c r="AL322" i="1" s="1"/>
  <c r="AA322" i="1"/>
  <c r="AE322" i="1" s="1"/>
  <c r="Z322" i="1"/>
  <c r="AH322" i="1" s="1"/>
  <c r="X322" i="1"/>
  <c r="W322" i="1"/>
  <c r="V322" i="1"/>
  <c r="U322" i="1"/>
  <c r="T322" i="1"/>
  <c r="S322" i="1"/>
  <c r="R322" i="1"/>
  <c r="Q322" i="1"/>
  <c r="P322" i="1"/>
  <c r="O322" i="1"/>
  <c r="M322" i="1"/>
  <c r="N322" i="1" s="1"/>
  <c r="G322" i="1"/>
  <c r="H322" i="1" s="1"/>
  <c r="F322" i="1"/>
  <c r="K322" i="1" s="1"/>
  <c r="L322" i="1" s="1"/>
  <c r="E322" i="1"/>
  <c r="J322" i="1" s="1"/>
  <c r="D322" i="1"/>
  <c r="C322" i="1"/>
  <c r="AJ322" i="1" s="1"/>
  <c r="B322" i="1"/>
  <c r="AD321" i="1"/>
  <c r="AM321" i="1" s="1"/>
  <c r="AC321" i="1"/>
  <c r="AB321" i="1"/>
  <c r="AA321" i="1"/>
  <c r="AL321" i="1" s="1"/>
  <c r="Z321" i="1"/>
  <c r="AH321" i="1" s="1"/>
  <c r="X321" i="1"/>
  <c r="W321" i="1"/>
  <c r="V321" i="1"/>
  <c r="U321" i="1"/>
  <c r="T321" i="1"/>
  <c r="S321" i="1"/>
  <c r="R321" i="1"/>
  <c r="Q321" i="1"/>
  <c r="P321" i="1"/>
  <c r="O321" i="1"/>
  <c r="M321" i="1"/>
  <c r="N321" i="1" s="1"/>
  <c r="K321" i="1"/>
  <c r="L321" i="1" s="1"/>
  <c r="G321" i="1"/>
  <c r="H321" i="1" s="1"/>
  <c r="F321" i="1"/>
  <c r="I321" i="1" s="1"/>
  <c r="E321" i="1"/>
  <c r="J321" i="1" s="1"/>
  <c r="D321" i="1"/>
  <c r="C321" i="1"/>
  <c r="AJ321" i="1" s="1"/>
  <c r="B321" i="1"/>
  <c r="AD320" i="1"/>
  <c r="AM320" i="1" s="1"/>
  <c r="AN320" i="1" s="1"/>
  <c r="AC320" i="1"/>
  <c r="AB320" i="1"/>
  <c r="AA320" i="1"/>
  <c r="AL320" i="1" s="1"/>
  <c r="Z320" i="1"/>
  <c r="AH320" i="1" s="1"/>
  <c r="X320" i="1"/>
  <c r="W320" i="1"/>
  <c r="V320" i="1"/>
  <c r="U320" i="1"/>
  <c r="T320" i="1"/>
  <c r="S320" i="1"/>
  <c r="R320" i="1"/>
  <c r="Q320" i="1"/>
  <c r="P320" i="1"/>
  <c r="O320" i="1"/>
  <c r="M320" i="1"/>
  <c r="N320" i="1" s="1"/>
  <c r="K320" i="1"/>
  <c r="L320" i="1" s="1"/>
  <c r="I320" i="1"/>
  <c r="G320" i="1"/>
  <c r="H320" i="1" s="1"/>
  <c r="F320" i="1"/>
  <c r="E320" i="1"/>
  <c r="J320" i="1" s="1"/>
  <c r="D320" i="1"/>
  <c r="C320" i="1"/>
  <c r="AJ320" i="1" s="1"/>
  <c r="B320" i="1"/>
  <c r="AD319" i="1"/>
  <c r="AM319" i="1" s="1"/>
  <c r="AC319" i="1"/>
  <c r="AB319" i="1"/>
  <c r="AL319" i="1" s="1"/>
  <c r="AA319" i="1"/>
  <c r="AE319" i="1" s="1"/>
  <c r="Z319" i="1"/>
  <c r="AH319" i="1" s="1"/>
  <c r="X319" i="1"/>
  <c r="W319" i="1"/>
  <c r="V319" i="1"/>
  <c r="U319" i="1"/>
  <c r="T319" i="1"/>
  <c r="S319" i="1"/>
  <c r="R319" i="1"/>
  <c r="Q319" i="1"/>
  <c r="P319" i="1"/>
  <c r="O319" i="1"/>
  <c r="M319" i="1"/>
  <c r="N319" i="1" s="1"/>
  <c r="K319" i="1"/>
  <c r="L319" i="1" s="1"/>
  <c r="I319" i="1"/>
  <c r="G319" i="1"/>
  <c r="H319" i="1" s="1"/>
  <c r="F319" i="1"/>
  <c r="E319" i="1"/>
  <c r="J319" i="1" s="1"/>
  <c r="D319" i="1"/>
  <c r="C319" i="1"/>
  <c r="AJ319" i="1" s="1"/>
  <c r="B319" i="1"/>
  <c r="AD318" i="1"/>
  <c r="AM318" i="1" s="1"/>
  <c r="AN318" i="1" s="1"/>
  <c r="AC318" i="1"/>
  <c r="AB318" i="1"/>
  <c r="AL318" i="1" s="1"/>
  <c r="AA318" i="1"/>
  <c r="AE318" i="1" s="1"/>
  <c r="Z318" i="1"/>
  <c r="AH318" i="1" s="1"/>
  <c r="X318" i="1"/>
  <c r="W318" i="1"/>
  <c r="V318" i="1"/>
  <c r="U318" i="1"/>
  <c r="T318" i="1"/>
  <c r="S318" i="1"/>
  <c r="R318" i="1"/>
  <c r="Q318" i="1"/>
  <c r="P318" i="1"/>
  <c r="O318" i="1"/>
  <c r="M318" i="1"/>
  <c r="N318" i="1" s="1"/>
  <c r="K318" i="1"/>
  <c r="L318" i="1" s="1"/>
  <c r="I318" i="1"/>
  <c r="G318" i="1"/>
  <c r="H318" i="1" s="1"/>
  <c r="F318" i="1"/>
  <c r="E318" i="1"/>
  <c r="J318" i="1" s="1"/>
  <c r="D318" i="1"/>
  <c r="C318" i="1"/>
  <c r="AJ318" i="1" s="1"/>
  <c r="B318" i="1"/>
  <c r="AD317" i="1"/>
  <c r="AM317" i="1" s="1"/>
  <c r="AC317" i="1"/>
  <c r="AB317" i="1"/>
  <c r="AL317" i="1" s="1"/>
  <c r="AA317" i="1"/>
  <c r="AE317" i="1" s="1"/>
  <c r="Z317" i="1"/>
  <c r="AH317" i="1" s="1"/>
  <c r="X317" i="1"/>
  <c r="W317" i="1"/>
  <c r="V317" i="1"/>
  <c r="U317" i="1"/>
  <c r="T317" i="1"/>
  <c r="S317" i="1"/>
  <c r="R317" i="1"/>
  <c r="Q317" i="1"/>
  <c r="P317" i="1"/>
  <c r="O317" i="1"/>
  <c r="M317" i="1"/>
  <c r="N317" i="1" s="1"/>
  <c r="K317" i="1"/>
  <c r="L317" i="1" s="1"/>
  <c r="I317" i="1"/>
  <c r="G317" i="1"/>
  <c r="H317" i="1" s="1"/>
  <c r="F317" i="1"/>
  <c r="E317" i="1"/>
  <c r="J317" i="1" s="1"/>
  <c r="D317" i="1"/>
  <c r="C317" i="1"/>
  <c r="AJ317" i="1" s="1"/>
  <c r="B317" i="1"/>
  <c r="AD316" i="1"/>
  <c r="AM316" i="1" s="1"/>
  <c r="AN316" i="1" s="1"/>
  <c r="AC316" i="1"/>
  <c r="AB316" i="1"/>
  <c r="AL316" i="1" s="1"/>
  <c r="AA316" i="1"/>
  <c r="Z316" i="1"/>
  <c r="AH316" i="1" s="1"/>
  <c r="X316" i="1"/>
  <c r="W316" i="1"/>
  <c r="V316" i="1"/>
  <c r="U316" i="1"/>
  <c r="T316" i="1"/>
  <c r="S316" i="1"/>
  <c r="R316" i="1"/>
  <c r="Q316" i="1"/>
  <c r="P316" i="1"/>
  <c r="O316" i="1"/>
  <c r="M316" i="1"/>
  <c r="N316" i="1" s="1"/>
  <c r="K316" i="1"/>
  <c r="L316" i="1" s="1"/>
  <c r="I316" i="1"/>
  <c r="G316" i="1"/>
  <c r="H316" i="1" s="1"/>
  <c r="F316" i="1"/>
  <c r="E316" i="1"/>
  <c r="J316" i="1" s="1"/>
  <c r="D316" i="1"/>
  <c r="C316" i="1"/>
  <c r="AJ316" i="1" s="1"/>
  <c r="B316" i="1"/>
  <c r="AH315" i="1"/>
  <c r="AD315" i="1"/>
  <c r="AM315" i="1" s="1"/>
  <c r="AN315" i="1" s="1"/>
  <c r="AC315" i="1"/>
  <c r="AB315" i="1"/>
  <c r="AL315" i="1" s="1"/>
  <c r="AA315" i="1"/>
  <c r="AE315" i="1" s="1"/>
  <c r="Z315" i="1"/>
  <c r="X315" i="1"/>
  <c r="W315" i="1"/>
  <c r="V315" i="1"/>
  <c r="U315" i="1"/>
  <c r="T315" i="1"/>
  <c r="S315" i="1"/>
  <c r="R315" i="1"/>
  <c r="Q315" i="1"/>
  <c r="P315" i="1"/>
  <c r="O315" i="1"/>
  <c r="M315" i="1"/>
  <c r="N315" i="1" s="1"/>
  <c r="K315" i="1"/>
  <c r="L315" i="1" s="1"/>
  <c r="I315" i="1"/>
  <c r="G315" i="1"/>
  <c r="H315" i="1" s="1"/>
  <c r="F315" i="1"/>
  <c r="E315" i="1"/>
  <c r="J315" i="1" s="1"/>
  <c r="D315" i="1"/>
  <c r="C315" i="1"/>
  <c r="AJ315" i="1" s="1"/>
  <c r="B315" i="1"/>
  <c r="AL314" i="1"/>
  <c r="AD314" i="1"/>
  <c r="AM314" i="1" s="1"/>
  <c r="AN314" i="1" s="1"/>
  <c r="AC314" i="1"/>
  <c r="AB314" i="1"/>
  <c r="AA314" i="1"/>
  <c r="AE314" i="1" s="1"/>
  <c r="Z314" i="1"/>
  <c r="AH314" i="1" s="1"/>
  <c r="X314" i="1"/>
  <c r="W314" i="1"/>
  <c r="V314" i="1"/>
  <c r="U314" i="1"/>
  <c r="T314" i="1"/>
  <c r="S314" i="1"/>
  <c r="R314" i="1"/>
  <c r="Q314" i="1"/>
  <c r="P314" i="1"/>
  <c r="O314" i="1"/>
  <c r="M314" i="1"/>
  <c r="N314" i="1" s="1"/>
  <c r="K314" i="1"/>
  <c r="L314" i="1" s="1"/>
  <c r="I314" i="1"/>
  <c r="G314" i="1"/>
  <c r="H314" i="1" s="1"/>
  <c r="F314" i="1"/>
  <c r="E314" i="1"/>
  <c r="J314" i="1" s="1"/>
  <c r="D314" i="1"/>
  <c r="C314" i="1"/>
  <c r="AJ314" i="1" s="1"/>
  <c r="B314" i="1"/>
  <c r="AD313" i="1"/>
  <c r="AM313" i="1" s="1"/>
  <c r="AC313" i="1"/>
  <c r="AB313" i="1"/>
  <c r="AL313" i="1" s="1"/>
  <c r="AA313" i="1"/>
  <c r="AE313" i="1" s="1"/>
  <c r="Z313" i="1"/>
  <c r="AH313" i="1" s="1"/>
  <c r="X313" i="1"/>
  <c r="W313" i="1"/>
  <c r="V313" i="1"/>
  <c r="U313" i="1"/>
  <c r="T313" i="1"/>
  <c r="S313" i="1"/>
  <c r="R313" i="1"/>
  <c r="Q313" i="1"/>
  <c r="P313" i="1"/>
  <c r="O313" i="1"/>
  <c r="M313" i="1"/>
  <c r="N313" i="1" s="1"/>
  <c r="K313" i="1"/>
  <c r="L313" i="1" s="1"/>
  <c r="I313" i="1"/>
  <c r="G313" i="1"/>
  <c r="H313" i="1" s="1"/>
  <c r="F313" i="1"/>
  <c r="E313" i="1"/>
  <c r="J313" i="1" s="1"/>
  <c r="D313" i="1"/>
  <c r="C313" i="1"/>
  <c r="AJ313" i="1" s="1"/>
  <c r="B313" i="1"/>
  <c r="AD312" i="1"/>
  <c r="AM312" i="1" s="1"/>
  <c r="AC312" i="1"/>
  <c r="AB312" i="1"/>
  <c r="AL312" i="1" s="1"/>
  <c r="AA312" i="1"/>
  <c r="AE312" i="1" s="1"/>
  <c r="Z312" i="1"/>
  <c r="AH312" i="1" s="1"/>
  <c r="X312" i="1"/>
  <c r="W312" i="1"/>
  <c r="V312" i="1"/>
  <c r="U312" i="1"/>
  <c r="T312" i="1"/>
  <c r="S312" i="1"/>
  <c r="R312" i="1"/>
  <c r="Q312" i="1"/>
  <c r="P312" i="1"/>
  <c r="O312" i="1"/>
  <c r="M312" i="1"/>
  <c r="N312" i="1" s="1"/>
  <c r="K312" i="1"/>
  <c r="L312" i="1" s="1"/>
  <c r="I312" i="1"/>
  <c r="G312" i="1"/>
  <c r="H312" i="1" s="1"/>
  <c r="F312" i="1"/>
  <c r="E312" i="1"/>
  <c r="J312" i="1" s="1"/>
  <c r="D312" i="1"/>
  <c r="C312" i="1"/>
  <c r="AJ312" i="1" s="1"/>
  <c r="B312" i="1"/>
  <c r="AD311" i="1"/>
  <c r="AM311" i="1" s="1"/>
  <c r="AC311" i="1"/>
  <c r="AB311" i="1"/>
  <c r="AL311" i="1" s="1"/>
  <c r="AA311" i="1"/>
  <c r="AE311" i="1" s="1"/>
  <c r="Z311" i="1"/>
  <c r="AH311" i="1" s="1"/>
  <c r="X311" i="1"/>
  <c r="W311" i="1"/>
  <c r="V311" i="1"/>
  <c r="U311" i="1"/>
  <c r="T311" i="1"/>
  <c r="S311" i="1"/>
  <c r="R311" i="1"/>
  <c r="Q311" i="1"/>
  <c r="P311" i="1"/>
  <c r="O311" i="1"/>
  <c r="M311" i="1"/>
  <c r="N311" i="1" s="1"/>
  <c r="K311" i="1"/>
  <c r="L311" i="1" s="1"/>
  <c r="I311" i="1"/>
  <c r="G311" i="1"/>
  <c r="H311" i="1" s="1"/>
  <c r="F311" i="1"/>
  <c r="E311" i="1"/>
  <c r="J311" i="1" s="1"/>
  <c r="D311" i="1"/>
  <c r="C311" i="1"/>
  <c r="AJ311" i="1" s="1"/>
  <c r="B311" i="1"/>
  <c r="AD310" i="1"/>
  <c r="AM310" i="1" s="1"/>
  <c r="AC310" i="1"/>
  <c r="AB310" i="1"/>
  <c r="AL310" i="1" s="1"/>
  <c r="AA310" i="1"/>
  <c r="Z310" i="1"/>
  <c r="AH310" i="1" s="1"/>
  <c r="X310" i="1"/>
  <c r="W310" i="1"/>
  <c r="V310" i="1"/>
  <c r="U310" i="1"/>
  <c r="T310" i="1"/>
  <c r="S310" i="1"/>
  <c r="R310" i="1"/>
  <c r="Q310" i="1"/>
  <c r="P310" i="1"/>
  <c r="O310" i="1"/>
  <c r="M310" i="1"/>
  <c r="N310" i="1" s="1"/>
  <c r="K310" i="1"/>
  <c r="L310" i="1" s="1"/>
  <c r="I310" i="1"/>
  <c r="G310" i="1"/>
  <c r="H310" i="1" s="1"/>
  <c r="F310" i="1"/>
  <c r="E310" i="1"/>
  <c r="J310" i="1" s="1"/>
  <c r="D310" i="1"/>
  <c r="C310" i="1"/>
  <c r="AJ310" i="1" s="1"/>
  <c r="B310" i="1"/>
  <c r="AD309" i="1"/>
  <c r="AM309" i="1" s="1"/>
  <c r="AC309" i="1"/>
  <c r="AB309" i="1"/>
  <c r="AL309" i="1" s="1"/>
  <c r="AA309" i="1"/>
  <c r="AE309" i="1" s="1"/>
  <c r="Z309" i="1"/>
  <c r="AH309" i="1" s="1"/>
  <c r="X309" i="1"/>
  <c r="W309" i="1"/>
  <c r="V309" i="1"/>
  <c r="U309" i="1"/>
  <c r="T309" i="1"/>
  <c r="S309" i="1"/>
  <c r="R309" i="1"/>
  <c r="Q309" i="1"/>
  <c r="P309" i="1"/>
  <c r="O309" i="1"/>
  <c r="M309" i="1"/>
  <c r="N309" i="1" s="1"/>
  <c r="K309" i="1"/>
  <c r="L309" i="1" s="1"/>
  <c r="I309" i="1"/>
  <c r="G309" i="1"/>
  <c r="H309" i="1" s="1"/>
  <c r="F309" i="1"/>
  <c r="E309" i="1"/>
  <c r="J309" i="1" s="1"/>
  <c r="D309" i="1"/>
  <c r="C309" i="1"/>
  <c r="AJ309" i="1" s="1"/>
  <c r="B309" i="1"/>
  <c r="AD308" i="1"/>
  <c r="AM308" i="1" s="1"/>
  <c r="AC308" i="1"/>
  <c r="AB308" i="1"/>
  <c r="AL308" i="1" s="1"/>
  <c r="AA308" i="1"/>
  <c r="Z308" i="1"/>
  <c r="AH308" i="1" s="1"/>
  <c r="X308" i="1"/>
  <c r="W308" i="1"/>
  <c r="V308" i="1"/>
  <c r="U308" i="1"/>
  <c r="T308" i="1"/>
  <c r="S308" i="1"/>
  <c r="R308" i="1"/>
  <c r="Q308" i="1"/>
  <c r="P308" i="1"/>
  <c r="O308" i="1"/>
  <c r="M308" i="1"/>
  <c r="N308" i="1" s="1"/>
  <c r="K308" i="1"/>
  <c r="L308" i="1" s="1"/>
  <c r="I308" i="1"/>
  <c r="G308" i="1"/>
  <c r="H308" i="1" s="1"/>
  <c r="F308" i="1"/>
  <c r="E308" i="1"/>
  <c r="J308" i="1" s="1"/>
  <c r="D308" i="1"/>
  <c r="C308" i="1"/>
  <c r="AJ308" i="1" s="1"/>
  <c r="B308" i="1"/>
  <c r="AH307" i="1"/>
  <c r="AD307" i="1"/>
  <c r="AM307" i="1" s="1"/>
  <c r="AC307" i="1"/>
  <c r="AB307" i="1"/>
  <c r="AL307" i="1" s="1"/>
  <c r="AA307" i="1"/>
  <c r="AE307" i="1" s="1"/>
  <c r="Z307" i="1"/>
  <c r="X307" i="1"/>
  <c r="W307" i="1"/>
  <c r="V307" i="1"/>
  <c r="U307" i="1"/>
  <c r="T307" i="1"/>
  <c r="S307" i="1"/>
  <c r="R307" i="1"/>
  <c r="Q307" i="1"/>
  <c r="P307" i="1"/>
  <c r="O307" i="1"/>
  <c r="M307" i="1"/>
  <c r="N307" i="1" s="1"/>
  <c r="K307" i="1"/>
  <c r="L307" i="1" s="1"/>
  <c r="I307" i="1"/>
  <c r="G307" i="1"/>
  <c r="H307" i="1" s="1"/>
  <c r="F307" i="1"/>
  <c r="E307" i="1"/>
  <c r="J307" i="1" s="1"/>
  <c r="D307" i="1"/>
  <c r="C307" i="1"/>
  <c r="AJ307" i="1" s="1"/>
  <c r="B307" i="1"/>
  <c r="AL306" i="1"/>
  <c r="AD306" i="1"/>
  <c r="AM306" i="1" s="1"/>
  <c r="AN306" i="1" s="1"/>
  <c r="AC306" i="1"/>
  <c r="AB306" i="1"/>
  <c r="AA306" i="1"/>
  <c r="AE306" i="1" s="1"/>
  <c r="Z306" i="1"/>
  <c r="AH306" i="1" s="1"/>
  <c r="X306" i="1"/>
  <c r="W306" i="1"/>
  <c r="V306" i="1"/>
  <c r="U306" i="1"/>
  <c r="T306" i="1"/>
  <c r="S306" i="1"/>
  <c r="R306" i="1"/>
  <c r="Q306" i="1"/>
  <c r="P306" i="1"/>
  <c r="O306" i="1"/>
  <c r="M306" i="1"/>
  <c r="N306" i="1" s="1"/>
  <c r="K306" i="1"/>
  <c r="L306" i="1" s="1"/>
  <c r="I306" i="1"/>
  <c r="G306" i="1"/>
  <c r="H306" i="1" s="1"/>
  <c r="F306" i="1"/>
  <c r="E306" i="1"/>
  <c r="J306" i="1" s="1"/>
  <c r="D306" i="1"/>
  <c r="C306" i="1"/>
  <c r="AJ306" i="1" s="1"/>
  <c r="B306" i="1"/>
  <c r="AD305" i="1"/>
  <c r="AM305" i="1" s="1"/>
  <c r="AC305" i="1"/>
  <c r="AB305" i="1"/>
  <c r="AL305" i="1" s="1"/>
  <c r="AA305" i="1"/>
  <c r="AE305" i="1" s="1"/>
  <c r="Z305" i="1"/>
  <c r="AH305" i="1" s="1"/>
  <c r="X305" i="1"/>
  <c r="W305" i="1"/>
  <c r="V305" i="1"/>
  <c r="U305" i="1"/>
  <c r="T305" i="1"/>
  <c r="S305" i="1"/>
  <c r="R305" i="1"/>
  <c r="Q305" i="1"/>
  <c r="P305" i="1"/>
  <c r="O305" i="1"/>
  <c r="M305" i="1"/>
  <c r="N305" i="1" s="1"/>
  <c r="K305" i="1"/>
  <c r="L305" i="1" s="1"/>
  <c r="I305" i="1"/>
  <c r="G305" i="1"/>
  <c r="H305" i="1" s="1"/>
  <c r="F305" i="1"/>
  <c r="E305" i="1"/>
  <c r="J305" i="1" s="1"/>
  <c r="D305" i="1"/>
  <c r="C305" i="1"/>
  <c r="AJ305" i="1" s="1"/>
  <c r="B305" i="1"/>
  <c r="AD304" i="1"/>
  <c r="AM304" i="1" s="1"/>
  <c r="AC304" i="1"/>
  <c r="AB304" i="1"/>
  <c r="AL304" i="1" s="1"/>
  <c r="AA304" i="1"/>
  <c r="AE304" i="1" s="1"/>
  <c r="Z304" i="1"/>
  <c r="AH304" i="1" s="1"/>
  <c r="X304" i="1"/>
  <c r="W304" i="1"/>
  <c r="V304" i="1"/>
  <c r="U304" i="1"/>
  <c r="T304" i="1"/>
  <c r="S304" i="1"/>
  <c r="R304" i="1"/>
  <c r="Q304" i="1"/>
  <c r="P304" i="1"/>
  <c r="O304" i="1"/>
  <c r="M304" i="1"/>
  <c r="N304" i="1" s="1"/>
  <c r="K304" i="1"/>
  <c r="L304" i="1" s="1"/>
  <c r="I304" i="1"/>
  <c r="G304" i="1"/>
  <c r="H304" i="1" s="1"/>
  <c r="F304" i="1"/>
  <c r="E304" i="1"/>
  <c r="J304" i="1" s="1"/>
  <c r="D304" i="1"/>
  <c r="C304" i="1"/>
  <c r="AJ304" i="1" s="1"/>
  <c r="B304" i="1"/>
  <c r="AD303" i="1"/>
  <c r="AM303" i="1" s="1"/>
  <c r="AN303" i="1" s="1"/>
  <c r="AC303" i="1"/>
  <c r="AB303" i="1"/>
  <c r="AL303" i="1" s="1"/>
  <c r="AA303" i="1"/>
  <c r="AE303" i="1" s="1"/>
  <c r="Z303" i="1"/>
  <c r="AH303" i="1" s="1"/>
  <c r="X303" i="1"/>
  <c r="W303" i="1"/>
  <c r="V303" i="1"/>
  <c r="U303" i="1"/>
  <c r="T303" i="1"/>
  <c r="S303" i="1"/>
  <c r="R303" i="1"/>
  <c r="Q303" i="1"/>
  <c r="P303" i="1"/>
  <c r="O303" i="1"/>
  <c r="M303" i="1"/>
  <c r="N303" i="1" s="1"/>
  <c r="K303" i="1"/>
  <c r="L303" i="1" s="1"/>
  <c r="I303" i="1"/>
  <c r="G303" i="1"/>
  <c r="H303" i="1" s="1"/>
  <c r="F303" i="1"/>
  <c r="E303" i="1"/>
  <c r="J303" i="1" s="1"/>
  <c r="D303" i="1"/>
  <c r="C303" i="1"/>
  <c r="AJ303" i="1" s="1"/>
  <c r="B303" i="1"/>
  <c r="AD302" i="1"/>
  <c r="AM302" i="1" s="1"/>
  <c r="AN302" i="1" s="1"/>
  <c r="AC302" i="1"/>
  <c r="AB302" i="1"/>
  <c r="AL302" i="1" s="1"/>
  <c r="AA302" i="1"/>
  <c r="AE302" i="1" s="1"/>
  <c r="Z302" i="1"/>
  <c r="AH302" i="1" s="1"/>
  <c r="X302" i="1"/>
  <c r="W302" i="1"/>
  <c r="V302" i="1"/>
  <c r="U302" i="1"/>
  <c r="T302" i="1"/>
  <c r="S302" i="1"/>
  <c r="R302" i="1"/>
  <c r="Q302" i="1"/>
  <c r="P302" i="1"/>
  <c r="O302" i="1"/>
  <c r="M302" i="1"/>
  <c r="N302" i="1" s="1"/>
  <c r="K302" i="1"/>
  <c r="L302" i="1" s="1"/>
  <c r="I302" i="1"/>
  <c r="G302" i="1"/>
  <c r="H302" i="1" s="1"/>
  <c r="F302" i="1"/>
  <c r="E302" i="1"/>
  <c r="J302" i="1" s="1"/>
  <c r="D302" i="1"/>
  <c r="C302" i="1"/>
  <c r="AJ302" i="1" s="1"/>
  <c r="B302" i="1"/>
  <c r="AD301" i="1"/>
  <c r="AM301" i="1" s="1"/>
  <c r="AN301" i="1" s="1"/>
  <c r="AC301" i="1"/>
  <c r="AB301" i="1"/>
  <c r="AL301" i="1" s="1"/>
  <c r="AA301" i="1"/>
  <c r="Z301" i="1"/>
  <c r="AH301" i="1" s="1"/>
  <c r="X301" i="1"/>
  <c r="W301" i="1"/>
  <c r="V301" i="1"/>
  <c r="U301" i="1"/>
  <c r="T301" i="1"/>
  <c r="S301" i="1"/>
  <c r="R301" i="1"/>
  <c r="Q301" i="1"/>
  <c r="P301" i="1"/>
  <c r="O301" i="1"/>
  <c r="M301" i="1"/>
  <c r="N301" i="1" s="1"/>
  <c r="K301" i="1"/>
  <c r="L301" i="1" s="1"/>
  <c r="I301" i="1"/>
  <c r="G301" i="1"/>
  <c r="H301" i="1" s="1"/>
  <c r="F301" i="1"/>
  <c r="E301" i="1"/>
  <c r="J301" i="1" s="1"/>
  <c r="D301" i="1"/>
  <c r="C301" i="1"/>
  <c r="AJ301" i="1" s="1"/>
  <c r="B301" i="1"/>
  <c r="AD300" i="1"/>
  <c r="AM300" i="1" s="1"/>
  <c r="AN300" i="1" s="1"/>
  <c r="AC300" i="1"/>
  <c r="AB300" i="1"/>
  <c r="AL300" i="1" s="1"/>
  <c r="AA300" i="1"/>
  <c r="Z300" i="1"/>
  <c r="AH300" i="1" s="1"/>
  <c r="X300" i="1"/>
  <c r="W300" i="1"/>
  <c r="V300" i="1"/>
  <c r="U300" i="1"/>
  <c r="T300" i="1"/>
  <c r="S300" i="1"/>
  <c r="R300" i="1"/>
  <c r="Q300" i="1"/>
  <c r="P300" i="1"/>
  <c r="O300" i="1"/>
  <c r="M300" i="1"/>
  <c r="N300" i="1" s="1"/>
  <c r="K300" i="1"/>
  <c r="L300" i="1" s="1"/>
  <c r="I300" i="1"/>
  <c r="G300" i="1"/>
  <c r="H300" i="1" s="1"/>
  <c r="F300" i="1"/>
  <c r="E300" i="1"/>
  <c r="J300" i="1" s="1"/>
  <c r="D300" i="1"/>
  <c r="C300" i="1"/>
  <c r="AJ300" i="1" s="1"/>
  <c r="B300" i="1"/>
  <c r="AH299" i="1"/>
  <c r="AD299" i="1"/>
  <c r="AM299" i="1" s="1"/>
  <c r="AN299" i="1" s="1"/>
  <c r="AC299" i="1"/>
  <c r="AB299" i="1"/>
  <c r="AL299" i="1" s="1"/>
  <c r="AA299" i="1"/>
  <c r="AE299" i="1" s="1"/>
  <c r="Z299" i="1"/>
  <c r="X299" i="1"/>
  <c r="W299" i="1"/>
  <c r="V299" i="1"/>
  <c r="U299" i="1"/>
  <c r="T299" i="1"/>
  <c r="S299" i="1"/>
  <c r="R299" i="1"/>
  <c r="Q299" i="1"/>
  <c r="P299" i="1"/>
  <c r="O299" i="1"/>
  <c r="M299" i="1"/>
  <c r="N299" i="1" s="1"/>
  <c r="K299" i="1"/>
  <c r="L299" i="1" s="1"/>
  <c r="I299" i="1"/>
  <c r="G299" i="1"/>
  <c r="H299" i="1" s="1"/>
  <c r="F299" i="1"/>
  <c r="E299" i="1"/>
  <c r="J299" i="1" s="1"/>
  <c r="D299" i="1"/>
  <c r="C299" i="1"/>
  <c r="AJ299" i="1" s="1"/>
  <c r="B299" i="1"/>
  <c r="AL298" i="1"/>
  <c r="AD298" i="1"/>
  <c r="AM298" i="1" s="1"/>
  <c r="AN298" i="1" s="1"/>
  <c r="AC298" i="1"/>
  <c r="AB298" i="1"/>
  <c r="AA298" i="1"/>
  <c r="AE298" i="1" s="1"/>
  <c r="Z298" i="1"/>
  <c r="AH298" i="1" s="1"/>
  <c r="X298" i="1"/>
  <c r="W298" i="1"/>
  <c r="V298" i="1"/>
  <c r="U298" i="1"/>
  <c r="T298" i="1"/>
  <c r="S298" i="1"/>
  <c r="R298" i="1"/>
  <c r="Q298" i="1"/>
  <c r="P298" i="1"/>
  <c r="O298" i="1"/>
  <c r="M298" i="1"/>
  <c r="N298" i="1" s="1"/>
  <c r="K298" i="1"/>
  <c r="L298" i="1" s="1"/>
  <c r="I298" i="1"/>
  <c r="G298" i="1"/>
  <c r="H298" i="1" s="1"/>
  <c r="F298" i="1"/>
  <c r="E298" i="1"/>
  <c r="J298" i="1" s="1"/>
  <c r="D298" i="1"/>
  <c r="C298" i="1"/>
  <c r="AJ298" i="1" s="1"/>
  <c r="B298" i="1"/>
  <c r="AD297" i="1"/>
  <c r="AM297" i="1" s="1"/>
  <c r="AN297" i="1" s="1"/>
  <c r="AC297" i="1"/>
  <c r="AB297" i="1"/>
  <c r="AL297" i="1" s="1"/>
  <c r="AA297" i="1"/>
  <c r="AE297" i="1" s="1"/>
  <c r="Z297" i="1"/>
  <c r="AH297" i="1" s="1"/>
  <c r="X297" i="1"/>
  <c r="W297" i="1"/>
  <c r="V297" i="1"/>
  <c r="U297" i="1"/>
  <c r="T297" i="1"/>
  <c r="S297" i="1"/>
  <c r="R297" i="1"/>
  <c r="Q297" i="1"/>
  <c r="P297" i="1"/>
  <c r="O297" i="1"/>
  <c r="M297" i="1"/>
  <c r="N297" i="1" s="1"/>
  <c r="K297" i="1"/>
  <c r="L297" i="1" s="1"/>
  <c r="I297" i="1"/>
  <c r="G297" i="1"/>
  <c r="H297" i="1" s="1"/>
  <c r="F297" i="1"/>
  <c r="E297" i="1"/>
  <c r="J297" i="1" s="1"/>
  <c r="D297" i="1"/>
  <c r="C297" i="1"/>
  <c r="AJ297" i="1" s="1"/>
  <c r="B297" i="1"/>
  <c r="AD296" i="1"/>
  <c r="AM296" i="1" s="1"/>
  <c r="AN296" i="1" s="1"/>
  <c r="AC296" i="1"/>
  <c r="AB296" i="1"/>
  <c r="AL296" i="1" s="1"/>
  <c r="AA296" i="1"/>
  <c r="AE296" i="1" s="1"/>
  <c r="Z296" i="1"/>
  <c r="AH296" i="1" s="1"/>
  <c r="X296" i="1"/>
  <c r="W296" i="1"/>
  <c r="V296" i="1"/>
  <c r="U296" i="1"/>
  <c r="T296" i="1"/>
  <c r="S296" i="1"/>
  <c r="R296" i="1"/>
  <c r="Q296" i="1"/>
  <c r="P296" i="1"/>
  <c r="O296" i="1"/>
  <c r="M296" i="1"/>
  <c r="N296" i="1" s="1"/>
  <c r="K296" i="1"/>
  <c r="L296" i="1" s="1"/>
  <c r="I296" i="1"/>
  <c r="G296" i="1"/>
  <c r="H296" i="1" s="1"/>
  <c r="F296" i="1"/>
  <c r="E296" i="1"/>
  <c r="J296" i="1" s="1"/>
  <c r="D296" i="1"/>
  <c r="C296" i="1"/>
  <c r="AJ296" i="1" s="1"/>
  <c r="B296" i="1"/>
  <c r="AD295" i="1"/>
  <c r="AM295" i="1" s="1"/>
  <c r="AN295" i="1" s="1"/>
  <c r="AC295" i="1"/>
  <c r="AB295" i="1"/>
  <c r="AL295" i="1" s="1"/>
  <c r="AA295" i="1"/>
  <c r="AE295" i="1" s="1"/>
  <c r="Z295" i="1"/>
  <c r="AH295" i="1" s="1"/>
  <c r="X295" i="1"/>
  <c r="W295" i="1"/>
  <c r="V295" i="1"/>
  <c r="U295" i="1"/>
  <c r="T295" i="1"/>
  <c r="S295" i="1"/>
  <c r="R295" i="1"/>
  <c r="Q295" i="1"/>
  <c r="P295" i="1"/>
  <c r="O295" i="1"/>
  <c r="M295" i="1"/>
  <c r="N295" i="1" s="1"/>
  <c r="K295" i="1"/>
  <c r="L295" i="1" s="1"/>
  <c r="I295" i="1"/>
  <c r="G295" i="1"/>
  <c r="H295" i="1" s="1"/>
  <c r="F295" i="1"/>
  <c r="E295" i="1"/>
  <c r="J295" i="1" s="1"/>
  <c r="D295" i="1"/>
  <c r="C295" i="1"/>
  <c r="AJ295" i="1" s="1"/>
  <c r="B295" i="1"/>
  <c r="AD294" i="1"/>
  <c r="AM294" i="1" s="1"/>
  <c r="AN294" i="1" s="1"/>
  <c r="AC294" i="1"/>
  <c r="AB294" i="1"/>
  <c r="AL294" i="1" s="1"/>
  <c r="AA294" i="1"/>
  <c r="AE294" i="1" s="1"/>
  <c r="Z294" i="1"/>
  <c r="AH294" i="1" s="1"/>
  <c r="X294" i="1"/>
  <c r="W294" i="1"/>
  <c r="V294" i="1"/>
  <c r="U294" i="1"/>
  <c r="T294" i="1"/>
  <c r="S294" i="1"/>
  <c r="R294" i="1"/>
  <c r="Q294" i="1"/>
  <c r="P294" i="1"/>
  <c r="O294" i="1"/>
  <c r="M294" i="1"/>
  <c r="N294" i="1" s="1"/>
  <c r="K294" i="1"/>
  <c r="L294" i="1" s="1"/>
  <c r="I294" i="1"/>
  <c r="G294" i="1"/>
  <c r="H294" i="1" s="1"/>
  <c r="F294" i="1"/>
  <c r="E294" i="1"/>
  <c r="J294" i="1" s="1"/>
  <c r="D294" i="1"/>
  <c r="C294" i="1"/>
  <c r="AJ294" i="1" s="1"/>
  <c r="B294" i="1"/>
  <c r="AD293" i="1"/>
  <c r="AM293" i="1" s="1"/>
  <c r="AN293" i="1" s="1"/>
  <c r="AC293" i="1"/>
  <c r="AB293" i="1"/>
  <c r="AL293" i="1" s="1"/>
  <c r="AA293" i="1"/>
  <c r="Z293" i="1"/>
  <c r="AH293" i="1" s="1"/>
  <c r="X293" i="1"/>
  <c r="W293" i="1"/>
  <c r="V293" i="1"/>
  <c r="U293" i="1"/>
  <c r="T293" i="1"/>
  <c r="S293" i="1"/>
  <c r="R293" i="1"/>
  <c r="Q293" i="1"/>
  <c r="P293" i="1"/>
  <c r="O293" i="1"/>
  <c r="M293" i="1"/>
  <c r="N293" i="1" s="1"/>
  <c r="K293" i="1"/>
  <c r="L293" i="1" s="1"/>
  <c r="I293" i="1"/>
  <c r="G293" i="1"/>
  <c r="H293" i="1" s="1"/>
  <c r="F293" i="1"/>
  <c r="E293" i="1"/>
  <c r="J293" i="1" s="1"/>
  <c r="D293" i="1"/>
  <c r="C293" i="1"/>
  <c r="AJ293" i="1" s="1"/>
  <c r="B293" i="1"/>
  <c r="AD292" i="1"/>
  <c r="AM292" i="1" s="1"/>
  <c r="AN292" i="1" s="1"/>
  <c r="AC292" i="1"/>
  <c r="AB292" i="1"/>
  <c r="AL292" i="1" s="1"/>
  <c r="AA292" i="1"/>
  <c r="Z292" i="1"/>
  <c r="AH292" i="1" s="1"/>
  <c r="X292" i="1"/>
  <c r="W292" i="1"/>
  <c r="V292" i="1"/>
  <c r="U292" i="1"/>
  <c r="T292" i="1"/>
  <c r="S292" i="1"/>
  <c r="R292" i="1"/>
  <c r="Q292" i="1"/>
  <c r="P292" i="1"/>
  <c r="O292" i="1"/>
  <c r="M292" i="1"/>
  <c r="N292" i="1" s="1"/>
  <c r="K292" i="1"/>
  <c r="L292" i="1" s="1"/>
  <c r="I292" i="1"/>
  <c r="G292" i="1"/>
  <c r="H292" i="1" s="1"/>
  <c r="F292" i="1"/>
  <c r="E292" i="1"/>
  <c r="J292" i="1" s="1"/>
  <c r="D292" i="1"/>
  <c r="C292" i="1"/>
  <c r="AJ292" i="1" s="1"/>
  <c r="B292" i="1"/>
  <c r="AH291" i="1"/>
  <c r="AD291" i="1"/>
  <c r="AM291" i="1" s="1"/>
  <c r="AN291" i="1" s="1"/>
  <c r="AC291" i="1"/>
  <c r="AB291" i="1"/>
  <c r="AL291" i="1" s="1"/>
  <c r="AA291" i="1"/>
  <c r="AE291" i="1" s="1"/>
  <c r="Z291" i="1"/>
  <c r="X291" i="1"/>
  <c r="W291" i="1"/>
  <c r="V291" i="1"/>
  <c r="U291" i="1"/>
  <c r="T291" i="1"/>
  <c r="S291" i="1"/>
  <c r="R291" i="1"/>
  <c r="Q291" i="1"/>
  <c r="P291" i="1"/>
  <c r="O291" i="1"/>
  <c r="M291" i="1"/>
  <c r="N291" i="1" s="1"/>
  <c r="K291" i="1"/>
  <c r="L291" i="1" s="1"/>
  <c r="I291" i="1"/>
  <c r="G291" i="1"/>
  <c r="H291" i="1" s="1"/>
  <c r="F291" i="1"/>
  <c r="E291" i="1"/>
  <c r="J291" i="1" s="1"/>
  <c r="D291" i="1"/>
  <c r="C291" i="1"/>
  <c r="AJ291" i="1" s="1"/>
  <c r="B291" i="1"/>
  <c r="AL290" i="1"/>
  <c r="AD290" i="1"/>
  <c r="AM290" i="1" s="1"/>
  <c r="AN290" i="1" s="1"/>
  <c r="AC290" i="1"/>
  <c r="AB290" i="1"/>
  <c r="AA290" i="1"/>
  <c r="AE290" i="1" s="1"/>
  <c r="Z290" i="1"/>
  <c r="AH290" i="1" s="1"/>
  <c r="X290" i="1"/>
  <c r="W290" i="1"/>
  <c r="V290" i="1"/>
  <c r="U290" i="1"/>
  <c r="T290" i="1"/>
  <c r="S290" i="1"/>
  <c r="R290" i="1"/>
  <c r="Q290" i="1"/>
  <c r="P290" i="1"/>
  <c r="O290" i="1"/>
  <c r="M290" i="1"/>
  <c r="N290" i="1" s="1"/>
  <c r="K290" i="1"/>
  <c r="L290" i="1" s="1"/>
  <c r="I290" i="1"/>
  <c r="G290" i="1"/>
  <c r="H290" i="1" s="1"/>
  <c r="F290" i="1"/>
  <c r="E290" i="1"/>
  <c r="J290" i="1" s="1"/>
  <c r="D290" i="1"/>
  <c r="C290" i="1"/>
  <c r="AJ290" i="1" s="1"/>
  <c r="B290" i="1"/>
  <c r="AD289" i="1"/>
  <c r="AM289" i="1" s="1"/>
  <c r="AN289" i="1" s="1"/>
  <c r="AC289" i="1"/>
  <c r="AB289" i="1"/>
  <c r="AL289" i="1" s="1"/>
  <c r="AA289" i="1"/>
  <c r="AE289" i="1" s="1"/>
  <c r="Z289" i="1"/>
  <c r="AH289" i="1" s="1"/>
  <c r="X289" i="1"/>
  <c r="W289" i="1"/>
  <c r="V289" i="1"/>
  <c r="U289" i="1"/>
  <c r="T289" i="1"/>
  <c r="S289" i="1"/>
  <c r="R289" i="1"/>
  <c r="Q289" i="1"/>
  <c r="P289" i="1"/>
  <c r="O289" i="1"/>
  <c r="M289" i="1"/>
  <c r="N289" i="1" s="1"/>
  <c r="K289" i="1"/>
  <c r="L289" i="1" s="1"/>
  <c r="I289" i="1"/>
  <c r="G289" i="1"/>
  <c r="H289" i="1" s="1"/>
  <c r="F289" i="1"/>
  <c r="E289" i="1"/>
  <c r="J289" i="1" s="1"/>
  <c r="D289" i="1"/>
  <c r="C289" i="1"/>
  <c r="AJ289" i="1" s="1"/>
  <c r="B289" i="1"/>
  <c r="AD288" i="1"/>
  <c r="AM288" i="1" s="1"/>
  <c r="AC288" i="1"/>
  <c r="AB288" i="1"/>
  <c r="AL288" i="1" s="1"/>
  <c r="AA288" i="1"/>
  <c r="AE288" i="1" s="1"/>
  <c r="Z288" i="1"/>
  <c r="AH288" i="1" s="1"/>
  <c r="X288" i="1"/>
  <c r="W288" i="1"/>
  <c r="V288" i="1"/>
  <c r="U288" i="1"/>
  <c r="T288" i="1"/>
  <c r="S288" i="1"/>
  <c r="R288" i="1"/>
  <c r="Q288" i="1"/>
  <c r="P288" i="1"/>
  <c r="O288" i="1"/>
  <c r="M288" i="1"/>
  <c r="N288" i="1" s="1"/>
  <c r="K288" i="1"/>
  <c r="L288" i="1" s="1"/>
  <c r="I288" i="1"/>
  <c r="G288" i="1"/>
  <c r="H288" i="1" s="1"/>
  <c r="F288" i="1"/>
  <c r="E288" i="1"/>
  <c r="J288" i="1" s="1"/>
  <c r="D288" i="1"/>
  <c r="C288" i="1"/>
  <c r="AJ288" i="1" s="1"/>
  <c r="B288" i="1"/>
  <c r="AD287" i="1"/>
  <c r="AM287" i="1" s="1"/>
  <c r="AN287" i="1" s="1"/>
  <c r="AC287" i="1"/>
  <c r="AB287" i="1"/>
  <c r="AL287" i="1" s="1"/>
  <c r="AA287" i="1"/>
  <c r="AE287" i="1" s="1"/>
  <c r="Z287" i="1"/>
  <c r="AH287" i="1" s="1"/>
  <c r="X287" i="1"/>
  <c r="W287" i="1"/>
  <c r="V287" i="1"/>
  <c r="U287" i="1"/>
  <c r="T287" i="1"/>
  <c r="S287" i="1"/>
  <c r="R287" i="1"/>
  <c r="Q287" i="1"/>
  <c r="P287" i="1"/>
  <c r="O287" i="1"/>
  <c r="M287" i="1"/>
  <c r="N287" i="1" s="1"/>
  <c r="K287" i="1"/>
  <c r="L287" i="1" s="1"/>
  <c r="I287" i="1"/>
  <c r="G287" i="1"/>
  <c r="H287" i="1" s="1"/>
  <c r="F287" i="1"/>
  <c r="E287" i="1"/>
  <c r="J287" i="1" s="1"/>
  <c r="D287" i="1"/>
  <c r="C287" i="1"/>
  <c r="AJ287" i="1" s="1"/>
  <c r="B287" i="1"/>
  <c r="AD286" i="1"/>
  <c r="AM286" i="1" s="1"/>
  <c r="AC286" i="1"/>
  <c r="AB286" i="1"/>
  <c r="AL286" i="1" s="1"/>
  <c r="AA286" i="1"/>
  <c r="AE286" i="1" s="1"/>
  <c r="Z286" i="1"/>
  <c r="AH286" i="1" s="1"/>
  <c r="X286" i="1"/>
  <c r="W286" i="1"/>
  <c r="V286" i="1"/>
  <c r="U286" i="1"/>
  <c r="T286" i="1"/>
  <c r="S286" i="1"/>
  <c r="R286" i="1"/>
  <c r="Q286" i="1"/>
  <c r="P286" i="1"/>
  <c r="O286" i="1"/>
  <c r="M286" i="1"/>
  <c r="N286" i="1" s="1"/>
  <c r="K286" i="1"/>
  <c r="L286" i="1" s="1"/>
  <c r="I286" i="1"/>
  <c r="G286" i="1"/>
  <c r="H286" i="1" s="1"/>
  <c r="F286" i="1"/>
  <c r="E286" i="1"/>
  <c r="J286" i="1" s="1"/>
  <c r="D286" i="1"/>
  <c r="C286" i="1"/>
  <c r="AJ286" i="1" s="1"/>
  <c r="B286" i="1"/>
  <c r="AD285" i="1"/>
  <c r="AM285" i="1" s="1"/>
  <c r="AN285" i="1" s="1"/>
  <c r="AC285" i="1"/>
  <c r="AB285" i="1"/>
  <c r="AL285" i="1" s="1"/>
  <c r="AA285" i="1"/>
  <c r="AE285" i="1" s="1"/>
  <c r="Z285" i="1"/>
  <c r="AH285" i="1" s="1"/>
  <c r="X285" i="1"/>
  <c r="W285" i="1"/>
  <c r="V285" i="1"/>
  <c r="U285" i="1"/>
  <c r="T285" i="1"/>
  <c r="S285" i="1"/>
  <c r="R285" i="1"/>
  <c r="Q285" i="1"/>
  <c r="P285" i="1"/>
  <c r="O285" i="1"/>
  <c r="M285" i="1"/>
  <c r="N285" i="1" s="1"/>
  <c r="K285" i="1"/>
  <c r="L285" i="1" s="1"/>
  <c r="I285" i="1"/>
  <c r="G285" i="1"/>
  <c r="H285" i="1" s="1"/>
  <c r="F285" i="1"/>
  <c r="E285" i="1"/>
  <c r="J285" i="1" s="1"/>
  <c r="D285" i="1"/>
  <c r="C285" i="1"/>
  <c r="AJ285" i="1" s="1"/>
  <c r="B285" i="1"/>
  <c r="AD284" i="1"/>
  <c r="AM284" i="1" s="1"/>
  <c r="AC284" i="1"/>
  <c r="AB284" i="1"/>
  <c r="AL284" i="1" s="1"/>
  <c r="AA284" i="1"/>
  <c r="Z284" i="1"/>
  <c r="AH284" i="1" s="1"/>
  <c r="X284" i="1"/>
  <c r="W284" i="1"/>
  <c r="V284" i="1"/>
  <c r="U284" i="1"/>
  <c r="T284" i="1"/>
  <c r="S284" i="1"/>
  <c r="R284" i="1"/>
  <c r="Q284" i="1"/>
  <c r="P284" i="1"/>
  <c r="O284" i="1"/>
  <c r="M284" i="1"/>
  <c r="N284" i="1" s="1"/>
  <c r="K284" i="1"/>
  <c r="L284" i="1" s="1"/>
  <c r="I284" i="1"/>
  <c r="G284" i="1"/>
  <c r="H284" i="1" s="1"/>
  <c r="F284" i="1"/>
  <c r="E284" i="1"/>
  <c r="J284" i="1" s="1"/>
  <c r="D284" i="1"/>
  <c r="C284" i="1"/>
  <c r="AJ284" i="1" s="1"/>
  <c r="B284" i="1"/>
  <c r="AH283" i="1"/>
  <c r="AD283" i="1"/>
  <c r="AM283" i="1" s="1"/>
  <c r="AC283" i="1"/>
  <c r="AB283" i="1"/>
  <c r="AL283" i="1" s="1"/>
  <c r="AA283" i="1"/>
  <c r="AE283" i="1" s="1"/>
  <c r="Z283" i="1"/>
  <c r="X283" i="1"/>
  <c r="W283" i="1"/>
  <c r="V283" i="1"/>
  <c r="U283" i="1"/>
  <c r="T283" i="1"/>
  <c r="S283" i="1"/>
  <c r="R283" i="1"/>
  <c r="Q283" i="1"/>
  <c r="P283" i="1"/>
  <c r="O283" i="1"/>
  <c r="M283" i="1"/>
  <c r="N283" i="1" s="1"/>
  <c r="K283" i="1"/>
  <c r="L283" i="1" s="1"/>
  <c r="I283" i="1"/>
  <c r="G283" i="1"/>
  <c r="H283" i="1" s="1"/>
  <c r="F283" i="1"/>
  <c r="E283" i="1"/>
  <c r="J283" i="1" s="1"/>
  <c r="D283" i="1"/>
  <c r="C283" i="1"/>
  <c r="AJ283" i="1" s="1"/>
  <c r="B283" i="1"/>
  <c r="AL282" i="1"/>
  <c r="AD282" i="1"/>
  <c r="AM282" i="1" s="1"/>
  <c r="AN282" i="1" s="1"/>
  <c r="AC282" i="1"/>
  <c r="AB282" i="1"/>
  <c r="AA282" i="1"/>
  <c r="AE282" i="1" s="1"/>
  <c r="Z282" i="1"/>
  <c r="AH282" i="1" s="1"/>
  <c r="X282" i="1"/>
  <c r="W282" i="1"/>
  <c r="V282" i="1"/>
  <c r="U282" i="1"/>
  <c r="T282" i="1"/>
  <c r="S282" i="1"/>
  <c r="R282" i="1"/>
  <c r="Q282" i="1"/>
  <c r="P282" i="1"/>
  <c r="O282" i="1"/>
  <c r="M282" i="1"/>
  <c r="N282" i="1" s="1"/>
  <c r="K282" i="1"/>
  <c r="L282" i="1" s="1"/>
  <c r="I282" i="1"/>
  <c r="G282" i="1"/>
  <c r="H282" i="1" s="1"/>
  <c r="F282" i="1"/>
  <c r="E282" i="1"/>
  <c r="J282" i="1" s="1"/>
  <c r="D282" i="1"/>
  <c r="C282" i="1"/>
  <c r="AJ282" i="1" s="1"/>
  <c r="B282" i="1"/>
  <c r="AD281" i="1"/>
  <c r="AM281" i="1" s="1"/>
  <c r="AC281" i="1"/>
  <c r="AB281" i="1"/>
  <c r="AL281" i="1" s="1"/>
  <c r="AA281" i="1"/>
  <c r="AE281" i="1" s="1"/>
  <c r="Z281" i="1"/>
  <c r="AH281" i="1" s="1"/>
  <c r="X281" i="1"/>
  <c r="W281" i="1"/>
  <c r="V281" i="1"/>
  <c r="U281" i="1"/>
  <c r="T281" i="1"/>
  <c r="S281" i="1"/>
  <c r="R281" i="1"/>
  <c r="Q281" i="1"/>
  <c r="P281" i="1"/>
  <c r="O281" i="1"/>
  <c r="M281" i="1"/>
  <c r="N281" i="1" s="1"/>
  <c r="K281" i="1"/>
  <c r="L281" i="1" s="1"/>
  <c r="I281" i="1"/>
  <c r="G281" i="1"/>
  <c r="H281" i="1" s="1"/>
  <c r="F281" i="1"/>
  <c r="E281" i="1"/>
  <c r="J281" i="1" s="1"/>
  <c r="D281" i="1"/>
  <c r="C281" i="1"/>
  <c r="AJ281" i="1" s="1"/>
  <c r="B281" i="1"/>
  <c r="AD280" i="1"/>
  <c r="AM280" i="1" s="1"/>
  <c r="AN280" i="1" s="1"/>
  <c r="AC280" i="1"/>
  <c r="AB280" i="1"/>
  <c r="AL280" i="1" s="1"/>
  <c r="AA280" i="1"/>
  <c r="AE280" i="1" s="1"/>
  <c r="Z280" i="1"/>
  <c r="AH280" i="1" s="1"/>
  <c r="X280" i="1"/>
  <c r="W280" i="1"/>
  <c r="V280" i="1"/>
  <c r="U280" i="1"/>
  <c r="T280" i="1"/>
  <c r="S280" i="1"/>
  <c r="R280" i="1"/>
  <c r="Q280" i="1"/>
  <c r="P280" i="1"/>
  <c r="O280" i="1"/>
  <c r="M280" i="1"/>
  <c r="N280" i="1" s="1"/>
  <c r="K280" i="1"/>
  <c r="L280" i="1" s="1"/>
  <c r="I280" i="1"/>
  <c r="G280" i="1"/>
  <c r="H280" i="1" s="1"/>
  <c r="F280" i="1"/>
  <c r="E280" i="1"/>
  <c r="J280" i="1" s="1"/>
  <c r="D280" i="1"/>
  <c r="C280" i="1"/>
  <c r="AJ280" i="1" s="1"/>
  <c r="B280" i="1"/>
  <c r="AD279" i="1"/>
  <c r="AM279" i="1" s="1"/>
  <c r="AC279" i="1"/>
  <c r="AB279" i="1"/>
  <c r="AL279" i="1" s="1"/>
  <c r="AA279" i="1"/>
  <c r="AE279" i="1" s="1"/>
  <c r="Z279" i="1"/>
  <c r="AH279" i="1" s="1"/>
  <c r="X279" i="1"/>
  <c r="W279" i="1"/>
  <c r="V279" i="1"/>
  <c r="U279" i="1"/>
  <c r="T279" i="1"/>
  <c r="S279" i="1"/>
  <c r="R279" i="1"/>
  <c r="Q279" i="1"/>
  <c r="P279" i="1"/>
  <c r="O279" i="1"/>
  <c r="M279" i="1"/>
  <c r="N279" i="1" s="1"/>
  <c r="K279" i="1"/>
  <c r="L279" i="1" s="1"/>
  <c r="I279" i="1"/>
  <c r="G279" i="1"/>
  <c r="H279" i="1" s="1"/>
  <c r="F279" i="1"/>
  <c r="E279" i="1"/>
  <c r="J279" i="1" s="1"/>
  <c r="D279" i="1"/>
  <c r="C279" i="1"/>
  <c r="AJ279" i="1" s="1"/>
  <c r="B279" i="1"/>
  <c r="AD278" i="1"/>
  <c r="AM278" i="1" s="1"/>
  <c r="AN278" i="1" s="1"/>
  <c r="AC278" i="1"/>
  <c r="AB278" i="1"/>
  <c r="AL278" i="1" s="1"/>
  <c r="AA278" i="1"/>
  <c r="AE278" i="1" s="1"/>
  <c r="Z278" i="1"/>
  <c r="AH278" i="1" s="1"/>
  <c r="X278" i="1"/>
  <c r="W278" i="1"/>
  <c r="V278" i="1"/>
  <c r="U278" i="1"/>
  <c r="T278" i="1"/>
  <c r="S278" i="1"/>
  <c r="R278" i="1"/>
  <c r="Q278" i="1"/>
  <c r="P278" i="1"/>
  <c r="O278" i="1"/>
  <c r="M278" i="1"/>
  <c r="N278" i="1" s="1"/>
  <c r="K278" i="1"/>
  <c r="L278" i="1" s="1"/>
  <c r="I278" i="1"/>
  <c r="G278" i="1"/>
  <c r="H278" i="1" s="1"/>
  <c r="F278" i="1"/>
  <c r="E278" i="1"/>
  <c r="J278" i="1" s="1"/>
  <c r="D278" i="1"/>
  <c r="C278" i="1"/>
  <c r="AJ278" i="1" s="1"/>
  <c r="B278" i="1"/>
  <c r="AD277" i="1"/>
  <c r="AM277" i="1" s="1"/>
  <c r="AC277" i="1"/>
  <c r="AB277" i="1"/>
  <c r="AL277" i="1" s="1"/>
  <c r="AA277" i="1"/>
  <c r="Z277" i="1"/>
  <c r="AH277" i="1" s="1"/>
  <c r="X277" i="1"/>
  <c r="W277" i="1"/>
  <c r="V277" i="1"/>
  <c r="U277" i="1"/>
  <c r="T277" i="1"/>
  <c r="S277" i="1"/>
  <c r="R277" i="1"/>
  <c r="Q277" i="1"/>
  <c r="P277" i="1"/>
  <c r="O277" i="1"/>
  <c r="M277" i="1"/>
  <c r="N277" i="1" s="1"/>
  <c r="K277" i="1"/>
  <c r="L277" i="1" s="1"/>
  <c r="I277" i="1"/>
  <c r="G277" i="1"/>
  <c r="H277" i="1" s="1"/>
  <c r="F277" i="1"/>
  <c r="E277" i="1"/>
  <c r="J277" i="1" s="1"/>
  <c r="D277" i="1"/>
  <c r="C277" i="1"/>
  <c r="AJ277" i="1" s="1"/>
  <c r="B277" i="1"/>
  <c r="AD276" i="1"/>
  <c r="AM276" i="1" s="1"/>
  <c r="AN276" i="1" s="1"/>
  <c r="AC276" i="1"/>
  <c r="AB276" i="1"/>
  <c r="AL276" i="1" s="1"/>
  <c r="AA276" i="1"/>
  <c r="Z276" i="1"/>
  <c r="AH276" i="1" s="1"/>
  <c r="X276" i="1"/>
  <c r="W276" i="1"/>
  <c r="V276" i="1"/>
  <c r="U276" i="1"/>
  <c r="T276" i="1"/>
  <c r="S276" i="1"/>
  <c r="R276" i="1"/>
  <c r="Q276" i="1"/>
  <c r="P276" i="1"/>
  <c r="O276" i="1"/>
  <c r="M276" i="1"/>
  <c r="N276" i="1" s="1"/>
  <c r="K276" i="1"/>
  <c r="L276" i="1" s="1"/>
  <c r="I276" i="1"/>
  <c r="G276" i="1"/>
  <c r="H276" i="1" s="1"/>
  <c r="F276" i="1"/>
  <c r="E276" i="1"/>
  <c r="J276" i="1" s="1"/>
  <c r="D276" i="1"/>
  <c r="C276" i="1"/>
  <c r="AJ276" i="1" s="1"/>
  <c r="B276" i="1"/>
  <c r="AH275" i="1"/>
  <c r="AD275" i="1"/>
  <c r="AM275" i="1" s="1"/>
  <c r="AC275" i="1"/>
  <c r="AB275" i="1"/>
  <c r="AL275" i="1" s="1"/>
  <c r="AA275" i="1"/>
  <c r="AE275" i="1" s="1"/>
  <c r="Z275" i="1"/>
  <c r="X275" i="1"/>
  <c r="W275" i="1"/>
  <c r="V275" i="1"/>
  <c r="U275" i="1"/>
  <c r="T275" i="1"/>
  <c r="S275" i="1"/>
  <c r="R275" i="1"/>
  <c r="Q275" i="1"/>
  <c r="P275" i="1"/>
  <c r="O275" i="1"/>
  <c r="M275" i="1"/>
  <c r="N275" i="1" s="1"/>
  <c r="K275" i="1"/>
  <c r="L275" i="1" s="1"/>
  <c r="I275" i="1"/>
  <c r="G275" i="1"/>
  <c r="H275" i="1" s="1"/>
  <c r="F275" i="1"/>
  <c r="E275" i="1"/>
  <c r="J275" i="1" s="1"/>
  <c r="D275" i="1"/>
  <c r="C275" i="1"/>
  <c r="AJ275" i="1" s="1"/>
  <c r="B275" i="1"/>
  <c r="AL274" i="1"/>
  <c r="AD274" i="1"/>
  <c r="AM274" i="1" s="1"/>
  <c r="AN274" i="1" s="1"/>
  <c r="AC274" i="1"/>
  <c r="AB274" i="1"/>
  <c r="AA274" i="1"/>
  <c r="AE274" i="1" s="1"/>
  <c r="Z274" i="1"/>
  <c r="AH274" i="1" s="1"/>
  <c r="X274" i="1"/>
  <c r="W274" i="1"/>
  <c r="V274" i="1"/>
  <c r="U274" i="1"/>
  <c r="T274" i="1"/>
  <c r="S274" i="1"/>
  <c r="R274" i="1"/>
  <c r="Q274" i="1"/>
  <c r="P274" i="1"/>
  <c r="O274" i="1"/>
  <c r="M274" i="1"/>
  <c r="N274" i="1" s="1"/>
  <c r="K274" i="1"/>
  <c r="L274" i="1" s="1"/>
  <c r="I274" i="1"/>
  <c r="G274" i="1"/>
  <c r="H274" i="1" s="1"/>
  <c r="F274" i="1"/>
  <c r="E274" i="1"/>
  <c r="J274" i="1" s="1"/>
  <c r="D274" i="1"/>
  <c r="C274" i="1"/>
  <c r="AJ274" i="1" s="1"/>
  <c r="B274" i="1"/>
  <c r="AN273" i="1"/>
  <c r="AD273" i="1"/>
  <c r="AM273" i="1" s="1"/>
  <c r="AC273" i="1"/>
  <c r="AB273" i="1"/>
  <c r="AL273" i="1" s="1"/>
  <c r="AA273" i="1"/>
  <c r="AE273" i="1" s="1"/>
  <c r="Z273" i="1"/>
  <c r="AH273" i="1" s="1"/>
  <c r="X273" i="1"/>
  <c r="W273" i="1"/>
  <c r="V273" i="1"/>
  <c r="U273" i="1"/>
  <c r="T273" i="1"/>
  <c r="S273" i="1"/>
  <c r="R273" i="1"/>
  <c r="Q273" i="1"/>
  <c r="P273" i="1"/>
  <c r="O273" i="1"/>
  <c r="M273" i="1"/>
  <c r="K273" i="1"/>
  <c r="L273" i="1" s="1"/>
  <c r="I273" i="1"/>
  <c r="G273" i="1"/>
  <c r="H273" i="1" s="1"/>
  <c r="F273" i="1"/>
  <c r="E273" i="1"/>
  <c r="J273" i="1" s="1"/>
  <c r="D273" i="1"/>
  <c r="C273" i="1"/>
  <c r="AJ273" i="1" s="1"/>
  <c r="B273" i="1"/>
  <c r="AD272" i="1"/>
  <c r="AM272" i="1" s="1"/>
  <c r="AC272" i="1"/>
  <c r="AB272" i="1"/>
  <c r="AL272" i="1" s="1"/>
  <c r="AA272" i="1"/>
  <c r="AE272" i="1" s="1"/>
  <c r="Z272" i="1"/>
  <c r="AH272" i="1" s="1"/>
  <c r="X272" i="1"/>
  <c r="W272" i="1"/>
  <c r="V272" i="1"/>
  <c r="U272" i="1"/>
  <c r="T272" i="1"/>
  <c r="S272" i="1"/>
  <c r="R272" i="1"/>
  <c r="Q272" i="1"/>
  <c r="P272" i="1"/>
  <c r="O272" i="1"/>
  <c r="M272" i="1"/>
  <c r="K272" i="1"/>
  <c r="L272" i="1" s="1"/>
  <c r="I272" i="1"/>
  <c r="G272" i="1"/>
  <c r="H272" i="1" s="1"/>
  <c r="F272" i="1"/>
  <c r="E272" i="1"/>
  <c r="D272" i="1"/>
  <c r="C272" i="1"/>
  <c r="AJ272" i="1" s="1"/>
  <c r="B272" i="1"/>
  <c r="AD271" i="1"/>
  <c r="AM271" i="1" s="1"/>
  <c r="AN271" i="1" s="1"/>
  <c r="AC271" i="1"/>
  <c r="AB271" i="1"/>
  <c r="AL271" i="1" s="1"/>
  <c r="AA271" i="1"/>
  <c r="AE271" i="1" s="1"/>
  <c r="Z271" i="1"/>
  <c r="AH271" i="1" s="1"/>
  <c r="X271" i="1"/>
  <c r="W271" i="1"/>
  <c r="V271" i="1"/>
  <c r="U271" i="1"/>
  <c r="T271" i="1"/>
  <c r="S271" i="1"/>
  <c r="R271" i="1"/>
  <c r="Q271" i="1"/>
  <c r="P271" i="1"/>
  <c r="O271" i="1"/>
  <c r="M271" i="1"/>
  <c r="N271" i="1" s="1"/>
  <c r="K271" i="1"/>
  <c r="L271" i="1" s="1"/>
  <c r="I271" i="1"/>
  <c r="G271" i="1"/>
  <c r="F271" i="1"/>
  <c r="E271" i="1"/>
  <c r="J271" i="1" s="1"/>
  <c r="D271" i="1"/>
  <c r="C271" i="1"/>
  <c r="AJ271" i="1" s="1"/>
  <c r="B271" i="1"/>
  <c r="AH270" i="1"/>
  <c r="AD270" i="1"/>
  <c r="AC270" i="1"/>
  <c r="AB270" i="1"/>
  <c r="AL270" i="1" s="1"/>
  <c r="AA270" i="1"/>
  <c r="Z270" i="1"/>
  <c r="X270" i="1"/>
  <c r="W270" i="1"/>
  <c r="V270" i="1"/>
  <c r="U270" i="1"/>
  <c r="T270" i="1"/>
  <c r="S270" i="1"/>
  <c r="R270" i="1"/>
  <c r="Q270" i="1"/>
  <c r="P270" i="1"/>
  <c r="O270" i="1"/>
  <c r="M270" i="1"/>
  <c r="N270" i="1" s="1"/>
  <c r="K270" i="1"/>
  <c r="L270" i="1" s="1"/>
  <c r="I270" i="1"/>
  <c r="G270" i="1"/>
  <c r="H270" i="1" s="1"/>
  <c r="F270" i="1"/>
  <c r="E270" i="1"/>
  <c r="D270" i="1"/>
  <c r="C270" i="1"/>
  <c r="AJ270" i="1" s="1"/>
  <c r="B270" i="1"/>
  <c r="AD269" i="1"/>
  <c r="AC269" i="1"/>
  <c r="AB269" i="1"/>
  <c r="AE269" i="1" s="1"/>
  <c r="AA269" i="1"/>
  <c r="Z269" i="1"/>
  <c r="AH269" i="1" s="1"/>
  <c r="X269" i="1"/>
  <c r="W269" i="1"/>
  <c r="V269" i="1"/>
  <c r="U269" i="1"/>
  <c r="T269" i="1"/>
  <c r="S269" i="1"/>
  <c r="R269" i="1"/>
  <c r="Q269" i="1"/>
  <c r="P269" i="1"/>
  <c r="O269" i="1"/>
  <c r="M269" i="1"/>
  <c r="K269" i="1"/>
  <c r="L269" i="1" s="1"/>
  <c r="I269" i="1"/>
  <c r="G269" i="1"/>
  <c r="F269" i="1"/>
  <c r="E269" i="1"/>
  <c r="J269" i="1" s="1"/>
  <c r="D269" i="1"/>
  <c r="C269" i="1"/>
  <c r="AJ269" i="1" s="1"/>
  <c r="B269" i="1"/>
  <c r="AH268" i="1"/>
  <c r="AD268" i="1"/>
  <c r="AC268" i="1"/>
  <c r="AB268" i="1"/>
  <c r="AE268" i="1" s="1"/>
  <c r="AA268" i="1"/>
  <c r="Z268" i="1"/>
  <c r="X268" i="1"/>
  <c r="W268" i="1"/>
  <c r="V268" i="1"/>
  <c r="U268" i="1"/>
  <c r="T268" i="1"/>
  <c r="S268" i="1"/>
  <c r="R268" i="1"/>
  <c r="Q268" i="1"/>
  <c r="P268" i="1"/>
  <c r="O268" i="1"/>
  <c r="M268" i="1"/>
  <c r="K268" i="1"/>
  <c r="L268" i="1" s="1"/>
  <c r="I268" i="1"/>
  <c r="G268" i="1"/>
  <c r="H268" i="1" s="1"/>
  <c r="F268" i="1"/>
  <c r="E268" i="1"/>
  <c r="D268" i="1"/>
  <c r="C268" i="1"/>
  <c r="AJ268" i="1" s="1"/>
  <c r="B268" i="1"/>
  <c r="AD267" i="1"/>
  <c r="AC267" i="1"/>
  <c r="AB267" i="1"/>
  <c r="AL267" i="1" s="1"/>
  <c r="AA267" i="1"/>
  <c r="Z267" i="1"/>
  <c r="AH267" i="1" s="1"/>
  <c r="X267" i="1"/>
  <c r="W267" i="1"/>
  <c r="V267" i="1"/>
  <c r="U267" i="1"/>
  <c r="T267" i="1"/>
  <c r="S267" i="1"/>
  <c r="R267" i="1"/>
  <c r="Q267" i="1"/>
  <c r="P267" i="1"/>
  <c r="O267" i="1"/>
  <c r="M267" i="1"/>
  <c r="K267" i="1"/>
  <c r="L267" i="1" s="1"/>
  <c r="I267" i="1"/>
  <c r="G267" i="1"/>
  <c r="H267" i="1" s="1"/>
  <c r="F267" i="1"/>
  <c r="E267" i="1"/>
  <c r="D267" i="1"/>
  <c r="C267" i="1"/>
  <c r="AJ267" i="1" s="1"/>
  <c r="B267" i="1"/>
  <c r="AD266" i="1"/>
  <c r="AC266" i="1"/>
  <c r="AB266" i="1"/>
  <c r="AL266" i="1" s="1"/>
  <c r="AA266" i="1"/>
  <c r="Z266" i="1"/>
  <c r="AH266" i="1" s="1"/>
  <c r="X266" i="1"/>
  <c r="W266" i="1"/>
  <c r="V266" i="1"/>
  <c r="U266" i="1"/>
  <c r="T266" i="1"/>
  <c r="S266" i="1"/>
  <c r="R266" i="1"/>
  <c r="Q266" i="1"/>
  <c r="P266" i="1"/>
  <c r="O266" i="1"/>
  <c r="M266" i="1"/>
  <c r="K266" i="1"/>
  <c r="L266" i="1" s="1"/>
  <c r="I266" i="1"/>
  <c r="G266" i="1"/>
  <c r="H266" i="1" s="1"/>
  <c r="F266" i="1"/>
  <c r="E266" i="1"/>
  <c r="D266" i="1"/>
  <c r="C266" i="1"/>
  <c r="AJ266" i="1" s="1"/>
  <c r="B266" i="1"/>
  <c r="AD265" i="1"/>
  <c r="AC265" i="1"/>
  <c r="AB265" i="1"/>
  <c r="AL265" i="1" s="1"/>
  <c r="AA265" i="1"/>
  <c r="Z265" i="1"/>
  <c r="AH265" i="1" s="1"/>
  <c r="X265" i="1"/>
  <c r="W265" i="1"/>
  <c r="V265" i="1"/>
  <c r="U265" i="1"/>
  <c r="T265" i="1"/>
  <c r="S265" i="1"/>
  <c r="R265" i="1"/>
  <c r="Q265" i="1"/>
  <c r="P265" i="1"/>
  <c r="O265" i="1"/>
  <c r="M265" i="1"/>
  <c r="K265" i="1"/>
  <c r="L265" i="1" s="1"/>
  <c r="I265" i="1"/>
  <c r="G265" i="1"/>
  <c r="H265" i="1" s="1"/>
  <c r="F265" i="1"/>
  <c r="E265" i="1"/>
  <c r="D265" i="1"/>
  <c r="C265" i="1"/>
  <c r="AJ265" i="1" s="1"/>
  <c r="B265" i="1"/>
  <c r="AH264" i="1"/>
  <c r="AD264" i="1"/>
  <c r="AC264" i="1"/>
  <c r="AB264" i="1"/>
  <c r="AL264" i="1" s="1"/>
  <c r="AA264" i="1"/>
  <c r="Z264" i="1"/>
  <c r="X264" i="1"/>
  <c r="W264" i="1"/>
  <c r="V264" i="1"/>
  <c r="U264" i="1"/>
  <c r="T264" i="1"/>
  <c r="S264" i="1"/>
  <c r="R264" i="1"/>
  <c r="Q264" i="1"/>
  <c r="P264" i="1"/>
  <c r="O264" i="1"/>
  <c r="M264" i="1"/>
  <c r="K264" i="1"/>
  <c r="L264" i="1" s="1"/>
  <c r="I264" i="1"/>
  <c r="G264" i="1"/>
  <c r="H264" i="1" s="1"/>
  <c r="F264" i="1"/>
  <c r="E264" i="1"/>
  <c r="D264" i="1"/>
  <c r="C264" i="1"/>
  <c r="AJ264" i="1" s="1"/>
  <c r="B264" i="1"/>
  <c r="AH263" i="1"/>
  <c r="AD263" i="1"/>
  <c r="AC263" i="1"/>
  <c r="AB263" i="1"/>
  <c r="AL263" i="1" s="1"/>
  <c r="AA263" i="1"/>
  <c r="Z263" i="1"/>
  <c r="X263" i="1"/>
  <c r="W263" i="1"/>
  <c r="V263" i="1"/>
  <c r="U263" i="1"/>
  <c r="T263" i="1"/>
  <c r="S263" i="1"/>
  <c r="R263" i="1"/>
  <c r="Q263" i="1"/>
  <c r="P263" i="1"/>
  <c r="O263" i="1"/>
  <c r="M263" i="1"/>
  <c r="K263" i="1"/>
  <c r="L263" i="1" s="1"/>
  <c r="I263" i="1"/>
  <c r="G263" i="1"/>
  <c r="H263" i="1" s="1"/>
  <c r="F263" i="1"/>
  <c r="E263" i="1"/>
  <c r="D263" i="1"/>
  <c r="C263" i="1"/>
  <c r="AJ263" i="1" s="1"/>
  <c r="B263" i="1"/>
  <c r="AH262" i="1"/>
  <c r="AD262" i="1"/>
  <c r="AC262" i="1"/>
  <c r="AB262" i="1"/>
  <c r="AE262" i="1" s="1"/>
  <c r="AA262" i="1"/>
  <c r="Z262" i="1"/>
  <c r="X262" i="1"/>
  <c r="W262" i="1"/>
  <c r="V262" i="1"/>
  <c r="U262" i="1"/>
  <c r="T262" i="1"/>
  <c r="S262" i="1"/>
  <c r="R262" i="1"/>
  <c r="Q262" i="1"/>
  <c r="P262" i="1"/>
  <c r="O262" i="1"/>
  <c r="M262" i="1"/>
  <c r="K262" i="1"/>
  <c r="L262" i="1" s="1"/>
  <c r="I262" i="1"/>
  <c r="G262" i="1"/>
  <c r="H262" i="1" s="1"/>
  <c r="F262" i="1"/>
  <c r="E262" i="1"/>
  <c r="D262" i="1"/>
  <c r="C262" i="1"/>
  <c r="AJ262" i="1" s="1"/>
  <c r="B262" i="1"/>
  <c r="AH261" i="1"/>
  <c r="AD261" i="1"/>
  <c r="AC261" i="1"/>
  <c r="AB261" i="1"/>
  <c r="AE261" i="1" s="1"/>
  <c r="AA261" i="1"/>
  <c r="Z261" i="1"/>
  <c r="X261" i="1"/>
  <c r="W261" i="1"/>
  <c r="V261" i="1"/>
  <c r="U261" i="1"/>
  <c r="T261" i="1"/>
  <c r="S261" i="1"/>
  <c r="R261" i="1"/>
  <c r="Q261" i="1"/>
  <c r="P261" i="1"/>
  <c r="O261" i="1"/>
  <c r="M261" i="1"/>
  <c r="K261" i="1"/>
  <c r="L261" i="1" s="1"/>
  <c r="I261" i="1"/>
  <c r="G261" i="1"/>
  <c r="H261" i="1" s="1"/>
  <c r="F261" i="1"/>
  <c r="E261" i="1"/>
  <c r="D261" i="1"/>
  <c r="C261" i="1"/>
  <c r="AJ261" i="1" s="1"/>
  <c r="B261" i="1"/>
  <c r="AD260" i="1"/>
  <c r="AC260" i="1"/>
  <c r="AB260" i="1"/>
  <c r="AE260" i="1" s="1"/>
  <c r="AA260" i="1"/>
  <c r="Z260" i="1"/>
  <c r="AH260" i="1" s="1"/>
  <c r="X260" i="1"/>
  <c r="W260" i="1"/>
  <c r="V260" i="1"/>
  <c r="U260" i="1"/>
  <c r="T260" i="1"/>
  <c r="S260" i="1"/>
  <c r="R260" i="1"/>
  <c r="Q260" i="1"/>
  <c r="P260" i="1"/>
  <c r="O260" i="1"/>
  <c r="M260" i="1"/>
  <c r="K260" i="1"/>
  <c r="L260" i="1" s="1"/>
  <c r="I260" i="1"/>
  <c r="G260" i="1"/>
  <c r="H260" i="1" s="1"/>
  <c r="F260" i="1"/>
  <c r="E260" i="1"/>
  <c r="D260" i="1"/>
  <c r="C260" i="1"/>
  <c r="AJ260" i="1" s="1"/>
  <c r="B260" i="1"/>
  <c r="AD259" i="1"/>
  <c r="AC259" i="1"/>
  <c r="AB259" i="1"/>
  <c r="AL259" i="1" s="1"/>
  <c r="AA259" i="1"/>
  <c r="Z259" i="1"/>
  <c r="AH259" i="1" s="1"/>
  <c r="X259" i="1"/>
  <c r="W259" i="1"/>
  <c r="V259" i="1"/>
  <c r="U259" i="1"/>
  <c r="T259" i="1"/>
  <c r="S259" i="1"/>
  <c r="R259" i="1"/>
  <c r="Q259" i="1"/>
  <c r="P259" i="1"/>
  <c r="O259" i="1"/>
  <c r="M259" i="1"/>
  <c r="K259" i="1"/>
  <c r="L259" i="1" s="1"/>
  <c r="I259" i="1"/>
  <c r="G259" i="1"/>
  <c r="H259" i="1" s="1"/>
  <c r="F259" i="1"/>
  <c r="E259" i="1"/>
  <c r="D259" i="1"/>
  <c r="C259" i="1"/>
  <c r="AJ259" i="1" s="1"/>
  <c r="B259" i="1"/>
  <c r="AH258" i="1"/>
  <c r="AD258" i="1"/>
  <c r="AC258" i="1"/>
  <c r="AB258" i="1"/>
  <c r="AL258" i="1" s="1"/>
  <c r="AA258" i="1"/>
  <c r="Z258" i="1"/>
  <c r="X258" i="1"/>
  <c r="W258" i="1"/>
  <c r="V258" i="1"/>
  <c r="U258" i="1"/>
  <c r="T258" i="1"/>
  <c r="S258" i="1"/>
  <c r="R258" i="1"/>
  <c r="Q258" i="1"/>
  <c r="P258" i="1"/>
  <c r="O258" i="1"/>
  <c r="M258" i="1"/>
  <c r="K258" i="1"/>
  <c r="L258" i="1" s="1"/>
  <c r="I258" i="1"/>
  <c r="G258" i="1"/>
  <c r="H258" i="1" s="1"/>
  <c r="F258" i="1"/>
  <c r="E258" i="1"/>
  <c r="D258" i="1"/>
  <c r="C258" i="1"/>
  <c r="AJ258" i="1" s="1"/>
  <c r="B258" i="1"/>
  <c r="AH257" i="1"/>
  <c r="AD257" i="1"/>
  <c r="AM257" i="1" s="1"/>
  <c r="AN257" i="1" s="1"/>
  <c r="AC257" i="1"/>
  <c r="AB257" i="1"/>
  <c r="AL257" i="1" s="1"/>
  <c r="AA257" i="1"/>
  <c r="Z257" i="1"/>
  <c r="X257" i="1"/>
  <c r="W257" i="1"/>
  <c r="V257" i="1"/>
  <c r="U257" i="1"/>
  <c r="T257" i="1"/>
  <c r="S257" i="1"/>
  <c r="R257" i="1"/>
  <c r="Q257" i="1"/>
  <c r="P257" i="1"/>
  <c r="O257" i="1"/>
  <c r="M257" i="1"/>
  <c r="K257" i="1"/>
  <c r="L257" i="1" s="1"/>
  <c r="I257" i="1"/>
  <c r="G257" i="1"/>
  <c r="H257" i="1" s="1"/>
  <c r="F257" i="1"/>
  <c r="E257" i="1"/>
  <c r="D257" i="1"/>
  <c r="C257" i="1"/>
  <c r="AJ257" i="1" s="1"/>
  <c r="B257" i="1"/>
  <c r="AH256" i="1"/>
  <c r="AD256" i="1"/>
  <c r="AC256" i="1"/>
  <c r="AB256" i="1"/>
  <c r="AL256" i="1" s="1"/>
  <c r="AA256" i="1"/>
  <c r="Z256" i="1"/>
  <c r="X256" i="1"/>
  <c r="W256" i="1"/>
  <c r="V256" i="1"/>
  <c r="U256" i="1"/>
  <c r="T256" i="1"/>
  <c r="S256" i="1"/>
  <c r="R256" i="1"/>
  <c r="Q256" i="1"/>
  <c r="P256" i="1"/>
  <c r="O256" i="1"/>
  <c r="M256" i="1"/>
  <c r="K256" i="1"/>
  <c r="L256" i="1" s="1"/>
  <c r="I256" i="1"/>
  <c r="G256" i="1"/>
  <c r="H256" i="1" s="1"/>
  <c r="F256" i="1"/>
  <c r="E256" i="1"/>
  <c r="D256" i="1"/>
  <c r="C256" i="1"/>
  <c r="AJ256" i="1" s="1"/>
  <c r="B256" i="1"/>
  <c r="AH255" i="1"/>
  <c r="AD255" i="1"/>
  <c r="AM255" i="1" s="1"/>
  <c r="AN255" i="1" s="1"/>
  <c r="AC255" i="1"/>
  <c r="AB255" i="1"/>
  <c r="AL255" i="1" s="1"/>
  <c r="AA255" i="1"/>
  <c r="Z255" i="1"/>
  <c r="X255" i="1"/>
  <c r="W255" i="1"/>
  <c r="V255" i="1"/>
  <c r="U255" i="1"/>
  <c r="T255" i="1"/>
  <c r="S255" i="1"/>
  <c r="R255" i="1"/>
  <c r="Q255" i="1"/>
  <c r="P255" i="1"/>
  <c r="O255" i="1"/>
  <c r="M255" i="1"/>
  <c r="K255" i="1"/>
  <c r="L255" i="1" s="1"/>
  <c r="I255" i="1"/>
  <c r="G255" i="1"/>
  <c r="F255" i="1"/>
  <c r="E255" i="1"/>
  <c r="J255" i="1" s="1"/>
  <c r="D255" i="1"/>
  <c r="C255" i="1"/>
  <c r="AJ255" i="1" s="1"/>
  <c r="B255" i="1"/>
  <c r="AH254" i="1"/>
  <c r="AD254" i="1"/>
  <c r="AC254" i="1"/>
  <c r="AB254" i="1"/>
  <c r="AE254" i="1" s="1"/>
  <c r="AA254" i="1"/>
  <c r="Z254" i="1"/>
  <c r="X254" i="1"/>
  <c r="W254" i="1"/>
  <c r="V254" i="1"/>
  <c r="U254" i="1"/>
  <c r="T254" i="1"/>
  <c r="S254" i="1"/>
  <c r="R254" i="1"/>
  <c r="Q254" i="1"/>
  <c r="P254" i="1"/>
  <c r="O254" i="1"/>
  <c r="M254" i="1"/>
  <c r="N254" i="1" s="1"/>
  <c r="K254" i="1"/>
  <c r="L254" i="1" s="1"/>
  <c r="I254" i="1"/>
  <c r="G254" i="1"/>
  <c r="H254" i="1" s="1"/>
  <c r="F254" i="1"/>
  <c r="E254" i="1"/>
  <c r="D254" i="1"/>
  <c r="C254" i="1"/>
  <c r="AJ254" i="1" s="1"/>
  <c r="B254" i="1"/>
  <c r="AD253" i="1"/>
  <c r="AC253" i="1"/>
  <c r="AB253" i="1"/>
  <c r="AE253" i="1" s="1"/>
  <c r="AA253" i="1"/>
  <c r="Z253" i="1"/>
  <c r="AH253" i="1" s="1"/>
  <c r="X253" i="1"/>
  <c r="W253" i="1"/>
  <c r="V253" i="1"/>
  <c r="U253" i="1"/>
  <c r="T253" i="1"/>
  <c r="S253" i="1"/>
  <c r="R253" i="1"/>
  <c r="Q253" i="1"/>
  <c r="P253" i="1"/>
  <c r="O253" i="1"/>
  <c r="M253" i="1"/>
  <c r="K253" i="1"/>
  <c r="L253" i="1" s="1"/>
  <c r="I253" i="1"/>
  <c r="G253" i="1"/>
  <c r="F253" i="1"/>
  <c r="E253" i="1"/>
  <c r="J253" i="1" s="1"/>
  <c r="D253" i="1"/>
  <c r="C253" i="1"/>
  <c r="AJ253" i="1" s="1"/>
  <c r="B253" i="1"/>
  <c r="AH252" i="1"/>
  <c r="AD252" i="1"/>
  <c r="AC252" i="1"/>
  <c r="AB252" i="1"/>
  <c r="AE252" i="1" s="1"/>
  <c r="AA252" i="1"/>
  <c r="Z252" i="1"/>
  <c r="X252" i="1"/>
  <c r="W252" i="1"/>
  <c r="V252" i="1"/>
  <c r="U252" i="1"/>
  <c r="T252" i="1"/>
  <c r="S252" i="1"/>
  <c r="R252" i="1"/>
  <c r="Q252" i="1"/>
  <c r="P252" i="1"/>
  <c r="O252" i="1"/>
  <c r="M252" i="1"/>
  <c r="K252" i="1"/>
  <c r="L252" i="1" s="1"/>
  <c r="I252" i="1"/>
  <c r="G252" i="1"/>
  <c r="H252" i="1" s="1"/>
  <c r="F252" i="1"/>
  <c r="E252" i="1"/>
  <c r="D252" i="1"/>
  <c r="C252" i="1"/>
  <c r="AJ252" i="1" s="1"/>
  <c r="B252" i="1"/>
  <c r="AD251" i="1"/>
  <c r="AC251" i="1"/>
  <c r="AB251" i="1"/>
  <c r="AL251" i="1" s="1"/>
  <c r="AA251" i="1"/>
  <c r="Z251" i="1"/>
  <c r="AH251" i="1" s="1"/>
  <c r="X251" i="1"/>
  <c r="W251" i="1"/>
  <c r="V251" i="1"/>
  <c r="U251" i="1"/>
  <c r="T251" i="1"/>
  <c r="S251" i="1"/>
  <c r="R251" i="1"/>
  <c r="Q251" i="1"/>
  <c r="P251" i="1"/>
  <c r="O251" i="1"/>
  <c r="M251" i="1"/>
  <c r="K251" i="1"/>
  <c r="L251" i="1" s="1"/>
  <c r="I251" i="1"/>
  <c r="G251" i="1"/>
  <c r="H251" i="1" s="1"/>
  <c r="F251" i="1"/>
  <c r="E251" i="1"/>
  <c r="D251" i="1"/>
  <c r="C251" i="1"/>
  <c r="AJ251" i="1" s="1"/>
  <c r="B251" i="1"/>
  <c r="AD250" i="1"/>
  <c r="AC250" i="1"/>
  <c r="AB250" i="1"/>
  <c r="AL250" i="1" s="1"/>
  <c r="AA250" i="1"/>
  <c r="Z250" i="1"/>
  <c r="AH250" i="1" s="1"/>
  <c r="X250" i="1"/>
  <c r="W250" i="1"/>
  <c r="V250" i="1"/>
  <c r="U250" i="1"/>
  <c r="T250" i="1"/>
  <c r="S250" i="1"/>
  <c r="R250" i="1"/>
  <c r="Q250" i="1"/>
  <c r="P250" i="1"/>
  <c r="O250" i="1"/>
  <c r="M250" i="1"/>
  <c r="K250" i="1"/>
  <c r="L250" i="1" s="1"/>
  <c r="I250" i="1"/>
  <c r="G250" i="1"/>
  <c r="H250" i="1" s="1"/>
  <c r="F250" i="1"/>
  <c r="E250" i="1"/>
  <c r="D250" i="1"/>
  <c r="C250" i="1"/>
  <c r="AJ250" i="1" s="1"/>
  <c r="B250" i="1"/>
  <c r="AH249" i="1"/>
  <c r="AD249" i="1"/>
  <c r="AC249" i="1"/>
  <c r="AB249" i="1"/>
  <c r="AL249" i="1" s="1"/>
  <c r="AA249" i="1"/>
  <c r="Z249" i="1"/>
  <c r="X249" i="1"/>
  <c r="W249" i="1"/>
  <c r="V249" i="1"/>
  <c r="U249" i="1"/>
  <c r="T249" i="1"/>
  <c r="S249" i="1"/>
  <c r="R249" i="1"/>
  <c r="Q249" i="1"/>
  <c r="P249" i="1"/>
  <c r="O249" i="1"/>
  <c r="M249" i="1"/>
  <c r="K249" i="1"/>
  <c r="L249" i="1" s="1"/>
  <c r="I249" i="1"/>
  <c r="G249" i="1"/>
  <c r="H249" i="1" s="1"/>
  <c r="F249" i="1"/>
  <c r="E249" i="1"/>
  <c r="D249" i="1"/>
  <c r="C249" i="1"/>
  <c r="AJ249" i="1" s="1"/>
  <c r="B249" i="1"/>
  <c r="AD248" i="1"/>
  <c r="AC248" i="1"/>
  <c r="AB248" i="1"/>
  <c r="AL248" i="1" s="1"/>
  <c r="AA248" i="1"/>
  <c r="Z248" i="1"/>
  <c r="AH248" i="1" s="1"/>
  <c r="X248" i="1"/>
  <c r="W248" i="1"/>
  <c r="V248" i="1"/>
  <c r="U248" i="1"/>
  <c r="T248" i="1"/>
  <c r="S248" i="1"/>
  <c r="R248" i="1"/>
  <c r="Q248" i="1"/>
  <c r="P248" i="1"/>
  <c r="O248" i="1"/>
  <c r="M248" i="1"/>
  <c r="K248" i="1"/>
  <c r="L248" i="1" s="1"/>
  <c r="I248" i="1"/>
  <c r="G248" i="1"/>
  <c r="H248" i="1" s="1"/>
  <c r="F248" i="1"/>
  <c r="E248" i="1"/>
  <c r="D248" i="1"/>
  <c r="C248" i="1"/>
  <c r="AJ248" i="1" s="1"/>
  <c r="B248" i="1"/>
  <c r="AH247" i="1"/>
  <c r="AD247" i="1"/>
  <c r="AC247" i="1"/>
  <c r="AB247" i="1"/>
  <c r="AL247" i="1" s="1"/>
  <c r="AA247" i="1"/>
  <c r="Z247" i="1"/>
  <c r="X247" i="1"/>
  <c r="W247" i="1"/>
  <c r="V247" i="1"/>
  <c r="U247" i="1"/>
  <c r="T247" i="1"/>
  <c r="S247" i="1"/>
  <c r="R247" i="1"/>
  <c r="Q247" i="1"/>
  <c r="P247" i="1"/>
  <c r="O247" i="1"/>
  <c r="M247" i="1"/>
  <c r="K247" i="1"/>
  <c r="L247" i="1" s="1"/>
  <c r="I247" i="1"/>
  <c r="G247" i="1"/>
  <c r="H247" i="1" s="1"/>
  <c r="F247" i="1"/>
  <c r="E247" i="1"/>
  <c r="D247" i="1"/>
  <c r="C247" i="1"/>
  <c r="AJ247" i="1" s="1"/>
  <c r="B247" i="1"/>
  <c r="AD246" i="1"/>
  <c r="AC246" i="1"/>
  <c r="AB246" i="1"/>
  <c r="AE246" i="1" s="1"/>
  <c r="AA246" i="1"/>
  <c r="Z246" i="1"/>
  <c r="AH246" i="1" s="1"/>
  <c r="X246" i="1"/>
  <c r="W246" i="1"/>
  <c r="V246" i="1"/>
  <c r="U246" i="1"/>
  <c r="T246" i="1"/>
  <c r="S246" i="1"/>
  <c r="R246" i="1"/>
  <c r="Q246" i="1"/>
  <c r="P246" i="1"/>
  <c r="O246" i="1"/>
  <c r="M246" i="1"/>
  <c r="K246" i="1"/>
  <c r="L246" i="1" s="1"/>
  <c r="I246" i="1"/>
  <c r="G246" i="1"/>
  <c r="H246" i="1" s="1"/>
  <c r="F246" i="1"/>
  <c r="E246" i="1"/>
  <c r="D246" i="1"/>
  <c r="C246" i="1"/>
  <c r="AJ246" i="1" s="1"/>
  <c r="B246" i="1"/>
  <c r="AH245" i="1"/>
  <c r="AD245" i="1"/>
  <c r="AC245" i="1"/>
  <c r="AB245" i="1"/>
  <c r="AE245" i="1" s="1"/>
  <c r="AA245" i="1"/>
  <c r="Z245" i="1"/>
  <c r="X245" i="1"/>
  <c r="W245" i="1"/>
  <c r="V245" i="1"/>
  <c r="U245" i="1"/>
  <c r="T245" i="1"/>
  <c r="S245" i="1"/>
  <c r="R245" i="1"/>
  <c r="Q245" i="1"/>
  <c r="P245" i="1"/>
  <c r="O245" i="1"/>
  <c r="M245" i="1"/>
  <c r="K245" i="1"/>
  <c r="L245" i="1" s="1"/>
  <c r="I245" i="1"/>
  <c r="G245" i="1"/>
  <c r="H245" i="1" s="1"/>
  <c r="F245" i="1"/>
  <c r="E245" i="1"/>
  <c r="D245" i="1"/>
  <c r="C245" i="1"/>
  <c r="AJ245" i="1" s="1"/>
  <c r="B245" i="1"/>
  <c r="AD244" i="1"/>
  <c r="AC244" i="1"/>
  <c r="AB244" i="1"/>
  <c r="AE244" i="1" s="1"/>
  <c r="AA244" i="1"/>
  <c r="Z244" i="1"/>
  <c r="AH244" i="1" s="1"/>
  <c r="X244" i="1"/>
  <c r="W244" i="1"/>
  <c r="V244" i="1"/>
  <c r="U244" i="1"/>
  <c r="T244" i="1"/>
  <c r="S244" i="1"/>
  <c r="R244" i="1"/>
  <c r="Q244" i="1"/>
  <c r="P244" i="1"/>
  <c r="O244" i="1"/>
  <c r="M244" i="1"/>
  <c r="K244" i="1"/>
  <c r="L244" i="1" s="1"/>
  <c r="I244" i="1"/>
  <c r="G244" i="1"/>
  <c r="H244" i="1" s="1"/>
  <c r="F244" i="1"/>
  <c r="E244" i="1"/>
  <c r="D244" i="1"/>
  <c r="C244" i="1"/>
  <c r="AJ244" i="1" s="1"/>
  <c r="B244" i="1"/>
  <c r="AD243" i="1"/>
  <c r="AC243" i="1"/>
  <c r="AB243" i="1"/>
  <c r="AL243" i="1" s="1"/>
  <c r="AA243" i="1"/>
  <c r="Z243" i="1"/>
  <c r="AH243" i="1" s="1"/>
  <c r="X243" i="1"/>
  <c r="W243" i="1"/>
  <c r="V243" i="1"/>
  <c r="U243" i="1"/>
  <c r="T243" i="1"/>
  <c r="S243" i="1"/>
  <c r="R243" i="1"/>
  <c r="Q243" i="1"/>
  <c r="P243" i="1"/>
  <c r="O243" i="1"/>
  <c r="M243" i="1"/>
  <c r="K243" i="1"/>
  <c r="L243" i="1" s="1"/>
  <c r="I243" i="1"/>
  <c r="G243" i="1"/>
  <c r="H243" i="1" s="1"/>
  <c r="F243" i="1"/>
  <c r="E243" i="1"/>
  <c r="D243" i="1"/>
  <c r="C243" i="1"/>
  <c r="AJ243" i="1" s="1"/>
  <c r="B243" i="1"/>
  <c r="AH242" i="1"/>
  <c r="AD242" i="1"/>
  <c r="AC242" i="1"/>
  <c r="AB242" i="1"/>
  <c r="AL242" i="1" s="1"/>
  <c r="AA242" i="1"/>
  <c r="Z242" i="1"/>
  <c r="X242" i="1"/>
  <c r="W242" i="1"/>
  <c r="V242" i="1"/>
  <c r="U242" i="1"/>
  <c r="T242" i="1"/>
  <c r="S242" i="1"/>
  <c r="R242" i="1"/>
  <c r="Q242" i="1"/>
  <c r="P242" i="1"/>
  <c r="O242" i="1"/>
  <c r="M242" i="1"/>
  <c r="K242" i="1"/>
  <c r="L242" i="1" s="1"/>
  <c r="I242" i="1"/>
  <c r="G242" i="1"/>
  <c r="H242" i="1" s="1"/>
  <c r="F242" i="1"/>
  <c r="E242" i="1"/>
  <c r="D242" i="1"/>
  <c r="C242" i="1"/>
  <c r="AJ242" i="1" s="1"/>
  <c r="B242" i="1"/>
  <c r="AH241" i="1"/>
  <c r="AD241" i="1"/>
  <c r="AM241" i="1" s="1"/>
  <c r="AC241" i="1"/>
  <c r="AB241" i="1"/>
  <c r="AL241" i="1" s="1"/>
  <c r="AA241" i="1"/>
  <c r="Z241" i="1"/>
  <c r="X241" i="1"/>
  <c r="W241" i="1"/>
  <c r="V241" i="1"/>
  <c r="U241" i="1"/>
  <c r="T241" i="1"/>
  <c r="S241" i="1"/>
  <c r="R241" i="1"/>
  <c r="Q241" i="1"/>
  <c r="P241" i="1"/>
  <c r="O241" i="1"/>
  <c r="M241" i="1"/>
  <c r="K241" i="1"/>
  <c r="L241" i="1" s="1"/>
  <c r="I241" i="1"/>
  <c r="G241" i="1"/>
  <c r="H241" i="1" s="1"/>
  <c r="F241" i="1"/>
  <c r="E241" i="1"/>
  <c r="J241" i="1" s="1"/>
  <c r="D241" i="1"/>
  <c r="C241" i="1"/>
  <c r="AJ241" i="1" s="1"/>
  <c r="B241" i="1"/>
  <c r="AD240" i="1"/>
  <c r="AC240" i="1"/>
  <c r="AB240" i="1"/>
  <c r="AL240" i="1" s="1"/>
  <c r="AA240" i="1"/>
  <c r="Z240" i="1"/>
  <c r="AH240" i="1" s="1"/>
  <c r="X240" i="1"/>
  <c r="W240" i="1"/>
  <c r="V240" i="1"/>
  <c r="U240" i="1"/>
  <c r="T240" i="1"/>
  <c r="S240" i="1"/>
  <c r="R240" i="1"/>
  <c r="Q240" i="1"/>
  <c r="P240" i="1"/>
  <c r="O240" i="1"/>
  <c r="M240" i="1"/>
  <c r="K240" i="1"/>
  <c r="L240" i="1" s="1"/>
  <c r="I240" i="1"/>
  <c r="G240" i="1"/>
  <c r="H240" i="1" s="1"/>
  <c r="F240" i="1"/>
  <c r="E240" i="1"/>
  <c r="J240" i="1" s="1"/>
  <c r="D240" i="1"/>
  <c r="C240" i="1"/>
  <c r="AJ240" i="1" s="1"/>
  <c r="B240" i="1"/>
  <c r="AH239" i="1"/>
  <c r="AD239" i="1"/>
  <c r="AC239" i="1"/>
  <c r="AB239" i="1"/>
  <c r="AL239" i="1" s="1"/>
  <c r="AA239" i="1"/>
  <c r="Z239" i="1"/>
  <c r="X239" i="1"/>
  <c r="W239" i="1"/>
  <c r="V239" i="1"/>
  <c r="U239" i="1"/>
  <c r="T239" i="1"/>
  <c r="S239" i="1"/>
  <c r="R239" i="1"/>
  <c r="Q239" i="1"/>
  <c r="P239" i="1"/>
  <c r="O239" i="1"/>
  <c r="M239" i="1"/>
  <c r="K239" i="1"/>
  <c r="L239" i="1" s="1"/>
  <c r="I239" i="1"/>
  <c r="G239" i="1"/>
  <c r="H239" i="1" s="1"/>
  <c r="F239" i="1"/>
  <c r="E239" i="1"/>
  <c r="J239" i="1" s="1"/>
  <c r="D239" i="1"/>
  <c r="C239" i="1"/>
  <c r="AJ239" i="1" s="1"/>
  <c r="B239" i="1"/>
  <c r="AH238" i="1"/>
  <c r="AD238" i="1"/>
  <c r="AC238" i="1"/>
  <c r="AB238" i="1"/>
  <c r="AA238" i="1"/>
  <c r="AL238" i="1" s="1"/>
  <c r="Z238" i="1"/>
  <c r="X238" i="1"/>
  <c r="W238" i="1"/>
  <c r="V238" i="1"/>
  <c r="U238" i="1"/>
  <c r="T238" i="1"/>
  <c r="S238" i="1"/>
  <c r="R238" i="1"/>
  <c r="Q238" i="1"/>
  <c r="P238" i="1"/>
  <c r="O238" i="1"/>
  <c r="N238" i="1" s="1"/>
  <c r="M238" i="1"/>
  <c r="K238" i="1"/>
  <c r="L238" i="1" s="1"/>
  <c r="G238" i="1"/>
  <c r="H238" i="1" s="1"/>
  <c r="F238" i="1"/>
  <c r="E238" i="1"/>
  <c r="J238" i="1" s="1"/>
  <c r="D238" i="1"/>
  <c r="I238" i="1" s="1"/>
  <c r="C238" i="1"/>
  <c r="AJ238" i="1" s="1"/>
  <c r="B238" i="1"/>
  <c r="AJ237" i="1"/>
  <c r="AH237" i="1"/>
  <c r="AD237" i="1"/>
  <c r="AC237" i="1"/>
  <c r="AB237" i="1"/>
  <c r="AL237" i="1" s="1"/>
  <c r="AA237" i="1"/>
  <c r="AE237" i="1" s="1"/>
  <c r="Z237" i="1"/>
  <c r="X237" i="1"/>
  <c r="W237" i="1"/>
  <c r="V237" i="1"/>
  <c r="U237" i="1"/>
  <c r="T237" i="1"/>
  <c r="S237" i="1"/>
  <c r="R237" i="1"/>
  <c r="Q237" i="1"/>
  <c r="P237" i="1"/>
  <c r="O237" i="1"/>
  <c r="N237" i="1" s="1"/>
  <c r="M237" i="1"/>
  <c r="K237" i="1"/>
  <c r="L237" i="1" s="1"/>
  <c r="G237" i="1"/>
  <c r="F237" i="1"/>
  <c r="E237" i="1"/>
  <c r="J237" i="1" s="1"/>
  <c r="D237" i="1"/>
  <c r="I237" i="1" s="1"/>
  <c r="C237" i="1"/>
  <c r="B237" i="1"/>
  <c r="AL236" i="1"/>
  <c r="AD236" i="1"/>
  <c r="AC236" i="1"/>
  <c r="AB236" i="1"/>
  <c r="AE236" i="1" s="1"/>
  <c r="AA236" i="1"/>
  <c r="Z236" i="1"/>
  <c r="AH236" i="1" s="1"/>
  <c r="X236" i="1"/>
  <c r="W236" i="1"/>
  <c r="V236" i="1"/>
  <c r="U236" i="1"/>
  <c r="T236" i="1"/>
  <c r="S236" i="1"/>
  <c r="R236" i="1"/>
  <c r="Q236" i="1"/>
  <c r="AM236" i="1" s="1"/>
  <c r="AN236" i="1" s="1"/>
  <c r="P236" i="1"/>
  <c r="O236" i="1"/>
  <c r="M236" i="1"/>
  <c r="N236" i="1" s="1"/>
  <c r="G236" i="1"/>
  <c r="F236" i="1"/>
  <c r="K236" i="1" s="1"/>
  <c r="L236" i="1" s="1"/>
  <c r="E236" i="1"/>
  <c r="J236" i="1" s="1"/>
  <c r="D236" i="1"/>
  <c r="I236" i="1" s="1"/>
  <c r="C236" i="1"/>
  <c r="AJ236" i="1" s="1"/>
  <c r="B236" i="1"/>
  <c r="AM235" i="1"/>
  <c r="AD235" i="1"/>
  <c r="AL235" i="1" s="1"/>
  <c r="AC235" i="1"/>
  <c r="AB235" i="1"/>
  <c r="AA235" i="1"/>
  <c r="Z235" i="1"/>
  <c r="AH235" i="1" s="1"/>
  <c r="X235" i="1"/>
  <c r="W235" i="1"/>
  <c r="V235" i="1"/>
  <c r="U235" i="1"/>
  <c r="T235" i="1"/>
  <c r="S235" i="1"/>
  <c r="R235" i="1"/>
  <c r="Q235" i="1"/>
  <c r="P235" i="1"/>
  <c r="O235" i="1"/>
  <c r="M235" i="1"/>
  <c r="N235" i="1" s="1"/>
  <c r="G235" i="1"/>
  <c r="H235" i="1" s="1"/>
  <c r="F235" i="1"/>
  <c r="K235" i="1" s="1"/>
  <c r="L235" i="1" s="1"/>
  <c r="E235" i="1"/>
  <c r="J235" i="1" s="1"/>
  <c r="D235" i="1"/>
  <c r="I235" i="1" s="1"/>
  <c r="C235" i="1"/>
  <c r="AJ235" i="1" s="1"/>
  <c r="B235" i="1"/>
  <c r="AH234" i="1"/>
  <c r="AD234" i="1"/>
  <c r="AC234" i="1"/>
  <c r="AB234" i="1"/>
  <c r="AL234" i="1" s="1"/>
  <c r="AA234" i="1"/>
  <c r="Z234" i="1"/>
  <c r="X234" i="1"/>
  <c r="W234" i="1"/>
  <c r="V234" i="1"/>
  <c r="U234" i="1"/>
  <c r="T234" i="1"/>
  <c r="S234" i="1"/>
  <c r="R234" i="1"/>
  <c r="Q234" i="1"/>
  <c r="AM234" i="1" s="1"/>
  <c r="AN234" i="1" s="1"/>
  <c r="P234" i="1"/>
  <c r="O234" i="1"/>
  <c r="M234" i="1"/>
  <c r="G234" i="1"/>
  <c r="H234" i="1" s="1"/>
  <c r="F234" i="1"/>
  <c r="K234" i="1" s="1"/>
  <c r="L234" i="1" s="1"/>
  <c r="E234" i="1"/>
  <c r="J234" i="1" s="1"/>
  <c r="D234" i="1"/>
  <c r="I234" i="1" s="1"/>
  <c r="C234" i="1"/>
  <c r="AJ234" i="1" s="1"/>
  <c r="B234" i="1"/>
  <c r="AD233" i="1"/>
  <c r="AC233" i="1"/>
  <c r="AB233" i="1"/>
  <c r="AL233" i="1" s="1"/>
  <c r="AA233" i="1"/>
  <c r="Z233" i="1"/>
  <c r="AH233" i="1" s="1"/>
  <c r="X233" i="1"/>
  <c r="W233" i="1"/>
  <c r="V233" i="1"/>
  <c r="U233" i="1"/>
  <c r="T233" i="1"/>
  <c r="S233" i="1"/>
  <c r="R233" i="1"/>
  <c r="Q233" i="1"/>
  <c r="AM233" i="1" s="1"/>
  <c r="P233" i="1"/>
  <c r="O233" i="1"/>
  <c r="M233" i="1"/>
  <c r="N233" i="1" s="1"/>
  <c r="G233" i="1"/>
  <c r="F233" i="1"/>
  <c r="K233" i="1" s="1"/>
  <c r="L233" i="1" s="1"/>
  <c r="E233" i="1"/>
  <c r="J233" i="1" s="1"/>
  <c r="D233" i="1"/>
  <c r="I233" i="1" s="1"/>
  <c r="C233" i="1"/>
  <c r="AJ233" i="1" s="1"/>
  <c r="B233" i="1"/>
  <c r="AD232" i="1"/>
  <c r="AC232" i="1"/>
  <c r="AB232" i="1"/>
  <c r="AA232" i="1"/>
  <c r="AL232" i="1" s="1"/>
  <c r="Z232" i="1"/>
  <c r="AH232" i="1" s="1"/>
  <c r="X232" i="1"/>
  <c r="W232" i="1"/>
  <c r="V232" i="1"/>
  <c r="U232" i="1"/>
  <c r="T232" i="1"/>
  <c r="S232" i="1"/>
  <c r="R232" i="1"/>
  <c r="Q232" i="1"/>
  <c r="P232" i="1"/>
  <c r="O232" i="1"/>
  <c r="AM232" i="1" s="1"/>
  <c r="M232" i="1"/>
  <c r="N232" i="1" s="1"/>
  <c r="G232" i="1"/>
  <c r="H232" i="1" s="1"/>
  <c r="F232" i="1"/>
  <c r="K232" i="1" s="1"/>
  <c r="L232" i="1" s="1"/>
  <c r="E232" i="1"/>
  <c r="J232" i="1" s="1"/>
  <c r="D232" i="1"/>
  <c r="I232" i="1" s="1"/>
  <c r="C232" i="1"/>
  <c r="AJ232" i="1" s="1"/>
  <c r="B232" i="1"/>
  <c r="AD231" i="1"/>
  <c r="AC231" i="1"/>
  <c r="AB231" i="1"/>
  <c r="AA231" i="1"/>
  <c r="AL231" i="1" s="1"/>
  <c r="Z231" i="1"/>
  <c r="AH231" i="1" s="1"/>
  <c r="X231" i="1"/>
  <c r="W231" i="1"/>
  <c r="V231" i="1"/>
  <c r="U231" i="1"/>
  <c r="T231" i="1"/>
  <c r="S231" i="1"/>
  <c r="R231" i="1"/>
  <c r="Q231" i="1"/>
  <c r="P231" i="1"/>
  <c r="O231" i="1"/>
  <c r="AM231" i="1" s="1"/>
  <c r="AN231" i="1" s="1"/>
  <c r="M231" i="1"/>
  <c r="N231" i="1" s="1"/>
  <c r="G231" i="1"/>
  <c r="H231" i="1" s="1"/>
  <c r="F231" i="1"/>
  <c r="K231" i="1" s="1"/>
  <c r="L231" i="1" s="1"/>
  <c r="E231" i="1"/>
  <c r="J231" i="1" s="1"/>
  <c r="D231" i="1"/>
  <c r="C231" i="1"/>
  <c r="AJ231" i="1" s="1"/>
  <c r="B231" i="1"/>
  <c r="AD230" i="1"/>
  <c r="AM230" i="1" s="1"/>
  <c r="AC230" i="1"/>
  <c r="AB230" i="1"/>
  <c r="AE230" i="1" s="1"/>
  <c r="AA230" i="1"/>
  <c r="AL230" i="1" s="1"/>
  <c r="Z230" i="1"/>
  <c r="AH230" i="1" s="1"/>
  <c r="X230" i="1"/>
  <c r="W230" i="1"/>
  <c r="V230" i="1"/>
  <c r="U230" i="1"/>
  <c r="T230" i="1"/>
  <c r="S230" i="1"/>
  <c r="N230" i="1" s="1"/>
  <c r="R230" i="1"/>
  <c r="Q230" i="1"/>
  <c r="P230" i="1"/>
  <c r="O230" i="1"/>
  <c r="M230" i="1"/>
  <c r="K230" i="1"/>
  <c r="L230" i="1" s="1"/>
  <c r="I230" i="1"/>
  <c r="H230" i="1"/>
  <c r="G230" i="1"/>
  <c r="J230" i="1" s="1"/>
  <c r="F230" i="1"/>
  <c r="E230" i="1"/>
  <c r="D230" i="1"/>
  <c r="C230" i="1"/>
  <c r="AJ230" i="1" s="1"/>
  <c r="B230" i="1"/>
  <c r="AD229" i="1"/>
  <c r="AM229" i="1" s="1"/>
  <c r="AC229" i="1"/>
  <c r="AB229" i="1"/>
  <c r="AA229" i="1"/>
  <c r="AE229" i="1" s="1"/>
  <c r="Z229" i="1"/>
  <c r="AH229" i="1" s="1"/>
  <c r="X229" i="1"/>
  <c r="W229" i="1"/>
  <c r="V229" i="1"/>
  <c r="U229" i="1"/>
  <c r="T229" i="1"/>
  <c r="S229" i="1"/>
  <c r="R229" i="1"/>
  <c r="Q229" i="1"/>
  <c r="P229" i="1"/>
  <c r="O229" i="1"/>
  <c r="M229" i="1"/>
  <c r="N229" i="1" s="1"/>
  <c r="K229" i="1"/>
  <c r="L229" i="1" s="1"/>
  <c r="J229" i="1"/>
  <c r="I229" i="1"/>
  <c r="G229" i="1"/>
  <c r="F229" i="1"/>
  <c r="E229" i="1"/>
  <c r="H229" i="1" s="1"/>
  <c r="D229" i="1"/>
  <c r="C229" i="1"/>
  <c r="AJ229" i="1" s="1"/>
  <c r="B229" i="1"/>
  <c r="AJ228" i="1"/>
  <c r="AH228" i="1"/>
  <c r="AD228" i="1"/>
  <c r="AM228" i="1" s="1"/>
  <c r="AN228" i="1" s="1"/>
  <c r="AC228" i="1"/>
  <c r="AB228" i="1"/>
  <c r="AA228" i="1"/>
  <c r="AL228" i="1" s="1"/>
  <c r="Z228" i="1"/>
  <c r="X228" i="1"/>
  <c r="W228" i="1"/>
  <c r="V228" i="1"/>
  <c r="U228" i="1"/>
  <c r="T228" i="1"/>
  <c r="S228" i="1"/>
  <c r="R228" i="1"/>
  <c r="Q228" i="1"/>
  <c r="P228" i="1"/>
  <c r="O228" i="1"/>
  <c r="M228" i="1"/>
  <c r="N228" i="1" s="1"/>
  <c r="L228" i="1"/>
  <c r="K228" i="1"/>
  <c r="G228" i="1"/>
  <c r="H228" i="1" s="1"/>
  <c r="F228" i="1"/>
  <c r="E228" i="1"/>
  <c r="J228" i="1" s="1"/>
  <c r="D228" i="1"/>
  <c r="I228" i="1" s="1"/>
  <c r="C228" i="1"/>
  <c r="B228" i="1"/>
  <c r="AH227" i="1"/>
  <c r="AE227" i="1"/>
  <c r="AD227" i="1"/>
  <c r="AM227" i="1" s="1"/>
  <c r="AC227" i="1"/>
  <c r="AB227" i="1"/>
  <c r="AA227" i="1"/>
  <c r="Z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G227" i="1"/>
  <c r="J227" i="1" s="1"/>
  <c r="F227" i="1"/>
  <c r="E227" i="1"/>
  <c r="D227" i="1"/>
  <c r="K227" i="1" s="1"/>
  <c r="L227" i="1" s="1"/>
  <c r="C227" i="1"/>
  <c r="AJ227" i="1" s="1"/>
  <c r="B227" i="1"/>
  <c r="AL226" i="1"/>
  <c r="AH226" i="1"/>
  <c r="AD226" i="1"/>
  <c r="AC226" i="1"/>
  <c r="AB226" i="1"/>
  <c r="AE226" i="1" s="1"/>
  <c r="AA226" i="1"/>
  <c r="Z226" i="1"/>
  <c r="X226" i="1"/>
  <c r="W226" i="1"/>
  <c r="V226" i="1"/>
  <c r="U226" i="1"/>
  <c r="T226" i="1"/>
  <c r="S226" i="1"/>
  <c r="R226" i="1"/>
  <c r="Q226" i="1"/>
  <c r="P226" i="1"/>
  <c r="O226" i="1"/>
  <c r="AM226" i="1" s="1"/>
  <c r="AN226" i="1" s="1"/>
  <c r="M226" i="1"/>
  <c r="G226" i="1"/>
  <c r="H226" i="1" s="1"/>
  <c r="F226" i="1"/>
  <c r="K226" i="1" s="1"/>
  <c r="L226" i="1" s="1"/>
  <c r="E226" i="1"/>
  <c r="J226" i="1" s="1"/>
  <c r="D226" i="1"/>
  <c r="I226" i="1" s="1"/>
  <c r="C226" i="1"/>
  <c r="AJ226" i="1" s="1"/>
  <c r="B226" i="1"/>
  <c r="AM225" i="1"/>
  <c r="AN225" i="1" s="1"/>
  <c r="AL225" i="1"/>
  <c r="AD225" i="1"/>
  <c r="AC225" i="1"/>
  <c r="AB225" i="1"/>
  <c r="AE225" i="1" s="1"/>
  <c r="AA225" i="1"/>
  <c r="Z225" i="1"/>
  <c r="AH225" i="1" s="1"/>
  <c r="X225" i="1"/>
  <c r="W225" i="1"/>
  <c r="V225" i="1"/>
  <c r="U225" i="1"/>
  <c r="T225" i="1"/>
  <c r="S225" i="1"/>
  <c r="R225" i="1"/>
  <c r="Q225" i="1"/>
  <c r="P225" i="1"/>
  <c r="O225" i="1"/>
  <c r="M225" i="1"/>
  <c r="N225" i="1" s="1"/>
  <c r="K225" i="1"/>
  <c r="L225" i="1" s="1"/>
  <c r="G225" i="1"/>
  <c r="H225" i="1" s="1"/>
  <c r="F225" i="1"/>
  <c r="E225" i="1"/>
  <c r="J225" i="1" s="1"/>
  <c r="D225" i="1"/>
  <c r="I225" i="1" s="1"/>
  <c r="C225" i="1"/>
  <c r="AJ225" i="1" s="1"/>
  <c r="B225" i="1"/>
  <c r="AD224" i="1"/>
  <c r="AM224" i="1" s="1"/>
  <c r="AN224" i="1" s="1"/>
  <c r="AC224" i="1"/>
  <c r="AB224" i="1"/>
  <c r="AA224" i="1"/>
  <c r="AL224" i="1" s="1"/>
  <c r="Z224" i="1"/>
  <c r="AH224" i="1" s="1"/>
  <c r="X224" i="1"/>
  <c r="W224" i="1"/>
  <c r="V224" i="1"/>
  <c r="U224" i="1"/>
  <c r="T224" i="1"/>
  <c r="S224" i="1"/>
  <c r="R224" i="1"/>
  <c r="Q224" i="1"/>
  <c r="P224" i="1"/>
  <c r="O224" i="1"/>
  <c r="M224" i="1"/>
  <c r="N224" i="1" s="1"/>
  <c r="G224" i="1"/>
  <c r="H224" i="1" s="1"/>
  <c r="F224" i="1"/>
  <c r="K224" i="1" s="1"/>
  <c r="L224" i="1" s="1"/>
  <c r="E224" i="1"/>
  <c r="J224" i="1" s="1"/>
  <c r="D224" i="1"/>
  <c r="I224" i="1" s="1"/>
  <c r="C224" i="1"/>
  <c r="AJ224" i="1" s="1"/>
  <c r="B224" i="1"/>
  <c r="AD223" i="1"/>
  <c r="AM223" i="1" s="1"/>
  <c r="AC223" i="1"/>
  <c r="AB223" i="1"/>
  <c r="AL223" i="1" s="1"/>
  <c r="AA223" i="1"/>
  <c r="AE223" i="1" s="1"/>
  <c r="Z223" i="1"/>
  <c r="AH223" i="1" s="1"/>
  <c r="X223" i="1"/>
  <c r="W223" i="1"/>
  <c r="V223" i="1"/>
  <c r="U223" i="1"/>
  <c r="T223" i="1"/>
  <c r="S223" i="1"/>
  <c r="R223" i="1"/>
  <c r="Q223" i="1"/>
  <c r="P223" i="1"/>
  <c r="O223" i="1"/>
  <c r="M223" i="1"/>
  <c r="N223" i="1" s="1"/>
  <c r="G223" i="1"/>
  <c r="H223" i="1" s="1"/>
  <c r="F223" i="1"/>
  <c r="K223" i="1" s="1"/>
  <c r="L223" i="1" s="1"/>
  <c r="E223" i="1"/>
  <c r="J223" i="1" s="1"/>
  <c r="D223" i="1"/>
  <c r="C223" i="1"/>
  <c r="AJ223" i="1" s="1"/>
  <c r="B223" i="1"/>
  <c r="AD222" i="1"/>
  <c r="AM222" i="1" s="1"/>
  <c r="AC222" i="1"/>
  <c r="AB222" i="1"/>
  <c r="AL222" i="1" s="1"/>
  <c r="AA222" i="1"/>
  <c r="Z222" i="1"/>
  <c r="AH222" i="1" s="1"/>
  <c r="X222" i="1"/>
  <c r="W222" i="1"/>
  <c r="V222" i="1"/>
  <c r="U222" i="1"/>
  <c r="T222" i="1"/>
  <c r="S222" i="1"/>
  <c r="R222" i="1"/>
  <c r="Q222" i="1"/>
  <c r="P222" i="1"/>
  <c r="O222" i="1"/>
  <c r="M222" i="1"/>
  <c r="N222" i="1" s="1"/>
  <c r="K222" i="1"/>
  <c r="L222" i="1" s="1"/>
  <c r="I222" i="1"/>
  <c r="H222" i="1"/>
  <c r="G222" i="1"/>
  <c r="F222" i="1"/>
  <c r="E222" i="1"/>
  <c r="J222" i="1" s="1"/>
  <c r="D222" i="1"/>
  <c r="C222" i="1"/>
  <c r="AJ222" i="1" s="1"/>
  <c r="B222" i="1"/>
  <c r="AD221" i="1"/>
  <c r="AM221" i="1" s="1"/>
  <c r="AC221" i="1"/>
  <c r="AB221" i="1"/>
  <c r="AA221" i="1"/>
  <c r="AE221" i="1" s="1"/>
  <c r="Z221" i="1"/>
  <c r="AH221" i="1" s="1"/>
  <c r="X221" i="1"/>
  <c r="W221" i="1"/>
  <c r="V221" i="1"/>
  <c r="U221" i="1"/>
  <c r="T221" i="1"/>
  <c r="S221" i="1"/>
  <c r="R221" i="1"/>
  <c r="Q221" i="1"/>
  <c r="P221" i="1"/>
  <c r="O221" i="1"/>
  <c r="M221" i="1"/>
  <c r="N221" i="1" s="1"/>
  <c r="K221" i="1"/>
  <c r="L221" i="1" s="1"/>
  <c r="J221" i="1"/>
  <c r="I221" i="1"/>
  <c r="G221" i="1"/>
  <c r="F221" i="1"/>
  <c r="E221" i="1"/>
  <c r="H221" i="1" s="1"/>
  <c r="D221" i="1"/>
  <c r="C221" i="1"/>
  <c r="AJ221" i="1" s="1"/>
  <c r="B221" i="1"/>
  <c r="AH220" i="1"/>
  <c r="AD220" i="1"/>
  <c r="AM220" i="1" s="1"/>
  <c r="AN220" i="1" s="1"/>
  <c r="AC220" i="1"/>
  <c r="AB220" i="1"/>
  <c r="AL220" i="1" s="1"/>
  <c r="AA220" i="1"/>
  <c r="AE220" i="1" s="1"/>
  <c r="Z220" i="1"/>
  <c r="X220" i="1"/>
  <c r="W220" i="1"/>
  <c r="V220" i="1"/>
  <c r="U220" i="1"/>
  <c r="T220" i="1"/>
  <c r="S220" i="1"/>
  <c r="R220" i="1"/>
  <c r="Q220" i="1"/>
  <c r="P220" i="1"/>
  <c r="O220" i="1"/>
  <c r="M220" i="1"/>
  <c r="N220" i="1" s="1"/>
  <c r="K220" i="1"/>
  <c r="L220" i="1" s="1"/>
  <c r="I220" i="1"/>
  <c r="G220" i="1"/>
  <c r="H220" i="1" s="1"/>
  <c r="F220" i="1"/>
  <c r="E220" i="1"/>
  <c r="J220" i="1" s="1"/>
  <c r="D220" i="1"/>
  <c r="C220" i="1"/>
  <c r="AJ220" i="1" s="1"/>
  <c r="B220" i="1"/>
  <c r="AH219" i="1"/>
  <c r="AD219" i="1"/>
  <c r="AM219" i="1" s="1"/>
  <c r="AC219" i="1"/>
  <c r="AB219" i="1"/>
  <c r="AA219" i="1"/>
  <c r="Z219" i="1"/>
  <c r="X219" i="1"/>
  <c r="W219" i="1"/>
  <c r="V219" i="1"/>
  <c r="U219" i="1"/>
  <c r="T219" i="1"/>
  <c r="S219" i="1"/>
  <c r="R219" i="1"/>
  <c r="Q219" i="1"/>
  <c r="P219" i="1"/>
  <c r="O219" i="1"/>
  <c r="M219" i="1"/>
  <c r="N219" i="1" s="1"/>
  <c r="I219" i="1"/>
  <c r="G219" i="1"/>
  <c r="H219" i="1" s="1"/>
  <c r="F219" i="1"/>
  <c r="E219" i="1"/>
  <c r="J219" i="1" s="1"/>
  <c r="D219" i="1"/>
  <c r="K219" i="1" s="1"/>
  <c r="L219" i="1" s="1"/>
  <c r="C219" i="1"/>
  <c r="AJ219" i="1" s="1"/>
  <c r="B219" i="1"/>
  <c r="AL218" i="1"/>
  <c r="AH218" i="1"/>
  <c r="AD218" i="1"/>
  <c r="AM218" i="1" s="1"/>
  <c r="AN218" i="1" s="1"/>
  <c r="AC218" i="1"/>
  <c r="AB218" i="1"/>
  <c r="AE218" i="1" s="1"/>
  <c r="AA218" i="1"/>
  <c r="Z218" i="1"/>
  <c r="X218" i="1"/>
  <c r="W218" i="1"/>
  <c r="V218" i="1"/>
  <c r="U218" i="1"/>
  <c r="T218" i="1"/>
  <c r="S218" i="1"/>
  <c r="R218" i="1"/>
  <c r="Q218" i="1"/>
  <c r="P218" i="1"/>
  <c r="O218" i="1"/>
  <c r="M218" i="1"/>
  <c r="N218" i="1" s="1"/>
  <c r="K218" i="1"/>
  <c r="L218" i="1" s="1"/>
  <c r="I218" i="1"/>
  <c r="G218" i="1"/>
  <c r="H218" i="1" s="1"/>
  <c r="F218" i="1"/>
  <c r="E218" i="1"/>
  <c r="J218" i="1" s="1"/>
  <c r="D218" i="1"/>
  <c r="C218" i="1"/>
  <c r="AJ218" i="1" s="1"/>
  <c r="B218" i="1"/>
  <c r="AL217" i="1"/>
  <c r="AD217" i="1"/>
  <c r="AC217" i="1"/>
  <c r="AB217" i="1"/>
  <c r="AE217" i="1" s="1"/>
  <c r="AA217" i="1"/>
  <c r="Z217" i="1"/>
  <c r="AH217" i="1" s="1"/>
  <c r="X217" i="1"/>
  <c r="W217" i="1"/>
  <c r="V217" i="1"/>
  <c r="U217" i="1"/>
  <c r="T217" i="1"/>
  <c r="S217" i="1"/>
  <c r="R217" i="1"/>
  <c r="Q217" i="1"/>
  <c r="AM217" i="1" s="1"/>
  <c r="AN217" i="1" s="1"/>
  <c r="P217" i="1"/>
  <c r="O217" i="1"/>
  <c r="M217" i="1"/>
  <c r="N217" i="1" s="1"/>
  <c r="K217" i="1"/>
  <c r="L217" i="1" s="1"/>
  <c r="G217" i="1"/>
  <c r="H217" i="1" s="1"/>
  <c r="F217" i="1"/>
  <c r="I217" i="1" s="1"/>
  <c r="E217" i="1"/>
  <c r="J217" i="1" s="1"/>
  <c r="D217" i="1"/>
  <c r="C217" i="1"/>
  <c r="AJ217" i="1" s="1"/>
  <c r="B217" i="1"/>
  <c r="AD216" i="1"/>
  <c r="AM216" i="1" s="1"/>
  <c r="AN216" i="1" s="1"/>
  <c r="AC216" i="1"/>
  <c r="AB216" i="1"/>
  <c r="AA216" i="1"/>
  <c r="AL216" i="1" s="1"/>
  <c r="Z216" i="1"/>
  <c r="AH216" i="1" s="1"/>
  <c r="X216" i="1"/>
  <c r="W216" i="1"/>
  <c r="V216" i="1"/>
  <c r="U216" i="1"/>
  <c r="T216" i="1"/>
  <c r="S216" i="1"/>
  <c r="R216" i="1"/>
  <c r="Q216" i="1"/>
  <c r="P216" i="1"/>
  <c r="O216" i="1"/>
  <c r="M216" i="1"/>
  <c r="N216" i="1" s="1"/>
  <c r="G216" i="1"/>
  <c r="H216" i="1" s="1"/>
  <c r="F216" i="1"/>
  <c r="E216" i="1"/>
  <c r="J216" i="1" s="1"/>
  <c r="D216" i="1"/>
  <c r="I216" i="1" s="1"/>
  <c r="C216" i="1"/>
  <c r="AJ216" i="1" s="1"/>
  <c r="B216" i="1"/>
  <c r="AD215" i="1"/>
  <c r="AM215" i="1" s="1"/>
  <c r="AN215" i="1" s="1"/>
  <c r="AC215" i="1"/>
  <c r="AB215" i="1"/>
  <c r="AL215" i="1" s="1"/>
  <c r="AA215" i="1"/>
  <c r="AE215" i="1" s="1"/>
  <c r="Z215" i="1"/>
  <c r="AH215" i="1" s="1"/>
  <c r="X215" i="1"/>
  <c r="W215" i="1"/>
  <c r="V215" i="1"/>
  <c r="U215" i="1"/>
  <c r="T215" i="1"/>
  <c r="S215" i="1"/>
  <c r="R215" i="1"/>
  <c r="Q215" i="1"/>
  <c r="P215" i="1"/>
  <c r="O215" i="1"/>
  <c r="M215" i="1"/>
  <c r="N215" i="1" s="1"/>
  <c r="I215" i="1"/>
  <c r="G215" i="1"/>
  <c r="H215" i="1" s="1"/>
  <c r="F215" i="1"/>
  <c r="K215" i="1" s="1"/>
  <c r="L215" i="1" s="1"/>
  <c r="E215" i="1"/>
  <c r="J215" i="1" s="1"/>
  <c r="D215" i="1"/>
  <c r="C215" i="1"/>
  <c r="AJ215" i="1" s="1"/>
  <c r="B215" i="1"/>
  <c r="AD214" i="1"/>
  <c r="AM214" i="1" s="1"/>
  <c r="AC214" i="1"/>
  <c r="AB214" i="1"/>
  <c r="AL214" i="1" s="1"/>
  <c r="AA214" i="1"/>
  <c r="Z214" i="1"/>
  <c r="AH214" i="1" s="1"/>
  <c r="X214" i="1"/>
  <c r="W214" i="1"/>
  <c r="V214" i="1"/>
  <c r="U214" i="1"/>
  <c r="T214" i="1"/>
  <c r="S214" i="1"/>
  <c r="R214" i="1"/>
  <c r="Q214" i="1"/>
  <c r="P214" i="1"/>
  <c r="O214" i="1"/>
  <c r="M214" i="1"/>
  <c r="N214" i="1" s="1"/>
  <c r="K214" i="1"/>
  <c r="L214" i="1" s="1"/>
  <c r="I214" i="1"/>
  <c r="G214" i="1"/>
  <c r="H214" i="1" s="1"/>
  <c r="F214" i="1"/>
  <c r="E214" i="1"/>
  <c r="J214" i="1" s="1"/>
  <c r="D214" i="1"/>
  <c r="C214" i="1"/>
  <c r="AJ214" i="1" s="1"/>
  <c r="B214" i="1"/>
  <c r="AD213" i="1"/>
  <c r="AM213" i="1" s="1"/>
  <c r="AC213" i="1"/>
  <c r="AB213" i="1"/>
  <c r="AA213" i="1"/>
  <c r="AE213" i="1" s="1"/>
  <c r="Z213" i="1"/>
  <c r="AH213" i="1" s="1"/>
  <c r="X213" i="1"/>
  <c r="W213" i="1"/>
  <c r="V213" i="1"/>
  <c r="U213" i="1"/>
  <c r="T213" i="1"/>
  <c r="S213" i="1"/>
  <c r="R213" i="1"/>
  <c r="Q213" i="1"/>
  <c r="P213" i="1"/>
  <c r="O213" i="1"/>
  <c r="M213" i="1"/>
  <c r="N213" i="1" s="1"/>
  <c r="K213" i="1"/>
  <c r="L213" i="1" s="1"/>
  <c r="I213" i="1"/>
  <c r="G213" i="1"/>
  <c r="H213" i="1" s="1"/>
  <c r="F213" i="1"/>
  <c r="E213" i="1"/>
  <c r="J213" i="1" s="1"/>
  <c r="D213" i="1"/>
  <c r="C213" i="1"/>
  <c r="AJ213" i="1" s="1"/>
  <c r="B213" i="1"/>
  <c r="AH212" i="1"/>
  <c r="AD212" i="1"/>
  <c r="AM212" i="1" s="1"/>
  <c r="AN212" i="1" s="1"/>
  <c r="AC212" i="1"/>
  <c r="AB212" i="1"/>
  <c r="AL212" i="1" s="1"/>
  <c r="AA212" i="1"/>
  <c r="AE212" i="1" s="1"/>
  <c r="Z212" i="1"/>
  <c r="X212" i="1"/>
  <c r="W212" i="1"/>
  <c r="V212" i="1"/>
  <c r="U212" i="1"/>
  <c r="T212" i="1"/>
  <c r="S212" i="1"/>
  <c r="R212" i="1"/>
  <c r="Q212" i="1"/>
  <c r="P212" i="1"/>
  <c r="O212" i="1"/>
  <c r="M212" i="1"/>
  <c r="N212" i="1" s="1"/>
  <c r="K212" i="1"/>
  <c r="L212" i="1" s="1"/>
  <c r="I212" i="1"/>
  <c r="G212" i="1"/>
  <c r="H212" i="1" s="1"/>
  <c r="F212" i="1"/>
  <c r="E212" i="1"/>
  <c r="J212" i="1" s="1"/>
  <c r="D212" i="1"/>
  <c r="C212" i="1"/>
  <c r="AJ212" i="1" s="1"/>
  <c r="B212" i="1"/>
  <c r="AH211" i="1"/>
  <c r="AD211" i="1"/>
  <c r="AM211" i="1" s="1"/>
  <c r="AC211" i="1"/>
  <c r="AB211" i="1"/>
  <c r="AA211" i="1"/>
  <c r="Z211" i="1"/>
  <c r="X211" i="1"/>
  <c r="W211" i="1"/>
  <c r="V211" i="1"/>
  <c r="U211" i="1"/>
  <c r="T211" i="1"/>
  <c r="S211" i="1"/>
  <c r="R211" i="1"/>
  <c r="Q211" i="1"/>
  <c r="P211" i="1"/>
  <c r="O211" i="1"/>
  <c r="M211" i="1"/>
  <c r="N211" i="1" s="1"/>
  <c r="K211" i="1"/>
  <c r="L211" i="1" s="1"/>
  <c r="I211" i="1"/>
  <c r="G211" i="1"/>
  <c r="H211" i="1" s="1"/>
  <c r="F211" i="1"/>
  <c r="E211" i="1"/>
  <c r="J211" i="1" s="1"/>
  <c r="D211" i="1"/>
  <c r="C211" i="1"/>
  <c r="AJ211" i="1" s="1"/>
  <c r="B211" i="1"/>
  <c r="AL210" i="1"/>
  <c r="AH210" i="1"/>
  <c r="AD210" i="1"/>
  <c r="AM210" i="1" s="1"/>
  <c r="AN210" i="1" s="1"/>
  <c r="AC210" i="1"/>
  <c r="AB210" i="1"/>
  <c r="AE210" i="1" s="1"/>
  <c r="AA210" i="1"/>
  <c r="Z210" i="1"/>
  <c r="X210" i="1"/>
  <c r="W210" i="1"/>
  <c r="V210" i="1"/>
  <c r="U210" i="1"/>
  <c r="T210" i="1"/>
  <c r="S210" i="1"/>
  <c r="R210" i="1"/>
  <c r="Q210" i="1"/>
  <c r="P210" i="1"/>
  <c r="O210" i="1"/>
  <c r="M210" i="1"/>
  <c r="N210" i="1" s="1"/>
  <c r="K210" i="1"/>
  <c r="L210" i="1" s="1"/>
  <c r="I210" i="1"/>
  <c r="G210" i="1"/>
  <c r="H210" i="1" s="1"/>
  <c r="F210" i="1"/>
  <c r="E210" i="1"/>
  <c r="J210" i="1" s="1"/>
  <c r="D210" i="1"/>
  <c r="C210" i="1"/>
  <c r="AJ210" i="1" s="1"/>
  <c r="B210" i="1"/>
  <c r="AL209" i="1"/>
  <c r="AD209" i="1"/>
  <c r="AM209" i="1" s="1"/>
  <c r="AN209" i="1" s="1"/>
  <c r="AC209" i="1"/>
  <c r="AB209" i="1"/>
  <c r="AE209" i="1" s="1"/>
  <c r="AA209" i="1"/>
  <c r="Z209" i="1"/>
  <c r="AH209" i="1" s="1"/>
  <c r="X209" i="1"/>
  <c r="W209" i="1"/>
  <c r="V209" i="1"/>
  <c r="U209" i="1"/>
  <c r="T209" i="1"/>
  <c r="S209" i="1"/>
  <c r="R209" i="1"/>
  <c r="Q209" i="1"/>
  <c r="P209" i="1"/>
  <c r="O209" i="1"/>
  <c r="M209" i="1"/>
  <c r="N209" i="1" s="1"/>
  <c r="K209" i="1"/>
  <c r="L209" i="1" s="1"/>
  <c r="I209" i="1"/>
  <c r="G209" i="1"/>
  <c r="H209" i="1" s="1"/>
  <c r="F209" i="1"/>
  <c r="E209" i="1"/>
  <c r="J209" i="1" s="1"/>
  <c r="D209" i="1"/>
  <c r="C209" i="1"/>
  <c r="AJ209" i="1" s="1"/>
  <c r="B209" i="1"/>
  <c r="AD208" i="1"/>
  <c r="AM208" i="1" s="1"/>
  <c r="AN208" i="1" s="1"/>
  <c r="AC208" i="1"/>
  <c r="AB208" i="1"/>
  <c r="AL208" i="1" s="1"/>
  <c r="AA208" i="1"/>
  <c r="AE208" i="1" s="1"/>
  <c r="Z208" i="1"/>
  <c r="AH208" i="1" s="1"/>
  <c r="X208" i="1"/>
  <c r="W208" i="1"/>
  <c r="V208" i="1"/>
  <c r="U208" i="1"/>
  <c r="T208" i="1"/>
  <c r="S208" i="1"/>
  <c r="R208" i="1"/>
  <c r="Q208" i="1"/>
  <c r="P208" i="1"/>
  <c r="O208" i="1"/>
  <c r="M208" i="1"/>
  <c r="N208" i="1" s="1"/>
  <c r="I208" i="1"/>
  <c r="G208" i="1"/>
  <c r="H208" i="1" s="1"/>
  <c r="F208" i="1"/>
  <c r="E208" i="1"/>
  <c r="J208" i="1" s="1"/>
  <c r="D208" i="1"/>
  <c r="K208" i="1" s="1"/>
  <c r="L208" i="1" s="1"/>
  <c r="C208" i="1"/>
  <c r="AJ208" i="1" s="1"/>
  <c r="B208" i="1"/>
  <c r="AD207" i="1"/>
  <c r="AM207" i="1" s="1"/>
  <c r="AC207" i="1"/>
  <c r="AB207" i="1"/>
  <c r="AL207" i="1" s="1"/>
  <c r="AA207" i="1"/>
  <c r="AE207" i="1" s="1"/>
  <c r="Z207" i="1"/>
  <c r="AH207" i="1" s="1"/>
  <c r="X207" i="1"/>
  <c r="W207" i="1"/>
  <c r="V207" i="1"/>
  <c r="U207" i="1"/>
  <c r="T207" i="1"/>
  <c r="S207" i="1"/>
  <c r="R207" i="1"/>
  <c r="Q207" i="1"/>
  <c r="P207" i="1"/>
  <c r="O207" i="1"/>
  <c r="M207" i="1"/>
  <c r="N207" i="1" s="1"/>
  <c r="K207" i="1"/>
  <c r="L207" i="1" s="1"/>
  <c r="I207" i="1"/>
  <c r="G207" i="1"/>
  <c r="H207" i="1" s="1"/>
  <c r="F207" i="1"/>
  <c r="E207" i="1"/>
  <c r="J207" i="1" s="1"/>
  <c r="D207" i="1"/>
  <c r="C207" i="1"/>
  <c r="AJ207" i="1" s="1"/>
  <c r="B207" i="1"/>
  <c r="AD206" i="1"/>
  <c r="AM206" i="1" s="1"/>
  <c r="AN206" i="1" s="1"/>
  <c r="AC206" i="1"/>
  <c r="AB206" i="1"/>
  <c r="AL206" i="1" s="1"/>
  <c r="AA206" i="1"/>
  <c r="Z206" i="1"/>
  <c r="AH206" i="1" s="1"/>
  <c r="X206" i="1"/>
  <c r="W206" i="1"/>
  <c r="V206" i="1"/>
  <c r="U206" i="1"/>
  <c r="T206" i="1"/>
  <c r="S206" i="1"/>
  <c r="R206" i="1"/>
  <c r="Q206" i="1"/>
  <c r="P206" i="1"/>
  <c r="O206" i="1"/>
  <c r="M206" i="1"/>
  <c r="N206" i="1" s="1"/>
  <c r="K206" i="1"/>
  <c r="L206" i="1" s="1"/>
  <c r="I206" i="1"/>
  <c r="G206" i="1"/>
  <c r="H206" i="1" s="1"/>
  <c r="F206" i="1"/>
  <c r="E206" i="1"/>
  <c r="J206" i="1" s="1"/>
  <c r="D206" i="1"/>
  <c r="C206" i="1"/>
  <c r="AJ206" i="1" s="1"/>
  <c r="B206" i="1"/>
  <c r="AD205" i="1"/>
  <c r="AM205" i="1" s="1"/>
  <c r="AC205" i="1"/>
  <c r="AB205" i="1"/>
  <c r="AA205" i="1"/>
  <c r="AE205" i="1" s="1"/>
  <c r="Z205" i="1"/>
  <c r="AH205" i="1" s="1"/>
  <c r="X205" i="1"/>
  <c r="W205" i="1"/>
  <c r="V205" i="1"/>
  <c r="U205" i="1"/>
  <c r="T205" i="1"/>
  <c r="S205" i="1"/>
  <c r="R205" i="1"/>
  <c r="Q205" i="1"/>
  <c r="P205" i="1"/>
  <c r="O205" i="1"/>
  <c r="M205" i="1"/>
  <c r="N205" i="1" s="1"/>
  <c r="K205" i="1"/>
  <c r="L205" i="1" s="1"/>
  <c r="I205" i="1"/>
  <c r="G205" i="1"/>
  <c r="H205" i="1" s="1"/>
  <c r="F205" i="1"/>
  <c r="E205" i="1"/>
  <c r="J205" i="1" s="1"/>
  <c r="D205" i="1"/>
  <c r="C205" i="1"/>
  <c r="AJ205" i="1" s="1"/>
  <c r="B205" i="1"/>
  <c r="AH204" i="1"/>
  <c r="AD204" i="1"/>
  <c r="AM204" i="1" s="1"/>
  <c r="AN204" i="1" s="1"/>
  <c r="AC204" i="1"/>
  <c r="AB204" i="1"/>
  <c r="AL204" i="1" s="1"/>
  <c r="AA204" i="1"/>
  <c r="AE204" i="1" s="1"/>
  <c r="Z204" i="1"/>
  <c r="X204" i="1"/>
  <c r="W204" i="1"/>
  <c r="V204" i="1"/>
  <c r="U204" i="1"/>
  <c r="T204" i="1"/>
  <c r="S204" i="1"/>
  <c r="R204" i="1"/>
  <c r="Q204" i="1"/>
  <c r="P204" i="1"/>
  <c r="O204" i="1"/>
  <c r="M204" i="1"/>
  <c r="N204" i="1" s="1"/>
  <c r="K204" i="1"/>
  <c r="L204" i="1" s="1"/>
  <c r="I204" i="1"/>
  <c r="G204" i="1"/>
  <c r="H204" i="1" s="1"/>
  <c r="F204" i="1"/>
  <c r="E204" i="1"/>
  <c r="J204" i="1" s="1"/>
  <c r="D204" i="1"/>
  <c r="C204" i="1"/>
  <c r="AJ204" i="1" s="1"/>
  <c r="B204" i="1"/>
  <c r="AL203" i="1"/>
  <c r="AH203" i="1"/>
  <c r="AD203" i="1"/>
  <c r="AM203" i="1" s="1"/>
  <c r="AN203" i="1" s="1"/>
  <c r="AC203" i="1"/>
  <c r="AB203" i="1"/>
  <c r="AE203" i="1" s="1"/>
  <c r="AA203" i="1"/>
  <c r="Z203" i="1"/>
  <c r="X203" i="1"/>
  <c r="W203" i="1"/>
  <c r="V203" i="1"/>
  <c r="U203" i="1"/>
  <c r="T203" i="1"/>
  <c r="S203" i="1"/>
  <c r="R203" i="1"/>
  <c r="Q203" i="1"/>
  <c r="P203" i="1"/>
  <c r="O203" i="1"/>
  <c r="M203" i="1"/>
  <c r="N203" i="1" s="1"/>
  <c r="K203" i="1"/>
  <c r="L203" i="1" s="1"/>
  <c r="I203" i="1"/>
  <c r="G203" i="1"/>
  <c r="H203" i="1" s="1"/>
  <c r="F203" i="1"/>
  <c r="E203" i="1"/>
  <c r="J203" i="1" s="1"/>
  <c r="D203" i="1"/>
  <c r="C203" i="1"/>
  <c r="AJ203" i="1" s="1"/>
  <c r="B203" i="1"/>
  <c r="AL202" i="1"/>
  <c r="AH202" i="1"/>
  <c r="AD202" i="1"/>
  <c r="AM202" i="1" s="1"/>
  <c r="AN202" i="1" s="1"/>
  <c r="AC202" i="1"/>
  <c r="AB202" i="1"/>
  <c r="AE202" i="1" s="1"/>
  <c r="AA202" i="1"/>
  <c r="Z202" i="1"/>
  <c r="X202" i="1"/>
  <c r="W202" i="1"/>
  <c r="V202" i="1"/>
  <c r="U202" i="1"/>
  <c r="T202" i="1"/>
  <c r="S202" i="1"/>
  <c r="R202" i="1"/>
  <c r="Q202" i="1"/>
  <c r="P202" i="1"/>
  <c r="O202" i="1"/>
  <c r="M202" i="1"/>
  <c r="N202" i="1" s="1"/>
  <c r="K202" i="1"/>
  <c r="L202" i="1" s="1"/>
  <c r="I202" i="1"/>
  <c r="G202" i="1"/>
  <c r="H202" i="1" s="1"/>
  <c r="F202" i="1"/>
  <c r="E202" i="1"/>
  <c r="J202" i="1" s="1"/>
  <c r="D202" i="1"/>
  <c r="C202" i="1"/>
  <c r="AJ202" i="1" s="1"/>
  <c r="B202" i="1"/>
  <c r="AL201" i="1"/>
  <c r="AD201" i="1"/>
  <c r="AM201" i="1" s="1"/>
  <c r="AN201" i="1" s="1"/>
  <c r="AC201" i="1"/>
  <c r="AB201" i="1"/>
  <c r="AE201" i="1" s="1"/>
  <c r="AA201" i="1"/>
  <c r="Z201" i="1"/>
  <c r="AH201" i="1" s="1"/>
  <c r="X201" i="1"/>
  <c r="W201" i="1"/>
  <c r="V201" i="1"/>
  <c r="U201" i="1"/>
  <c r="T201" i="1"/>
  <c r="S201" i="1"/>
  <c r="R201" i="1"/>
  <c r="Q201" i="1"/>
  <c r="P201" i="1"/>
  <c r="O201" i="1"/>
  <c r="M201" i="1"/>
  <c r="N201" i="1" s="1"/>
  <c r="K201" i="1"/>
  <c r="L201" i="1" s="1"/>
  <c r="I201" i="1"/>
  <c r="G201" i="1"/>
  <c r="H201" i="1" s="1"/>
  <c r="F201" i="1"/>
  <c r="E201" i="1"/>
  <c r="J201" i="1" s="1"/>
  <c r="D201" i="1"/>
  <c r="C201" i="1"/>
  <c r="AJ201" i="1" s="1"/>
  <c r="B201" i="1"/>
  <c r="AD200" i="1"/>
  <c r="AM200" i="1" s="1"/>
  <c r="AN200" i="1" s="1"/>
  <c r="AC200" i="1"/>
  <c r="AB200" i="1"/>
  <c r="AL200" i="1" s="1"/>
  <c r="AA200" i="1"/>
  <c r="AE200" i="1" s="1"/>
  <c r="Z200" i="1"/>
  <c r="AH200" i="1" s="1"/>
  <c r="X200" i="1"/>
  <c r="W200" i="1"/>
  <c r="V200" i="1"/>
  <c r="U200" i="1"/>
  <c r="T200" i="1"/>
  <c r="S200" i="1"/>
  <c r="R200" i="1"/>
  <c r="Q200" i="1"/>
  <c r="P200" i="1"/>
  <c r="O200" i="1"/>
  <c r="M200" i="1"/>
  <c r="N200" i="1" s="1"/>
  <c r="K200" i="1"/>
  <c r="L200" i="1" s="1"/>
  <c r="I200" i="1"/>
  <c r="G200" i="1"/>
  <c r="H200" i="1" s="1"/>
  <c r="F200" i="1"/>
  <c r="E200" i="1"/>
  <c r="J200" i="1" s="1"/>
  <c r="D200" i="1"/>
  <c r="C200" i="1"/>
  <c r="AJ200" i="1" s="1"/>
  <c r="B200" i="1"/>
  <c r="AD199" i="1"/>
  <c r="AM199" i="1" s="1"/>
  <c r="AN199" i="1" s="1"/>
  <c r="AC199" i="1"/>
  <c r="AB199" i="1"/>
  <c r="AL199" i="1" s="1"/>
  <c r="AA199" i="1"/>
  <c r="AE199" i="1" s="1"/>
  <c r="Z199" i="1"/>
  <c r="AH199" i="1" s="1"/>
  <c r="X199" i="1"/>
  <c r="W199" i="1"/>
  <c r="V199" i="1"/>
  <c r="U199" i="1"/>
  <c r="T199" i="1"/>
  <c r="S199" i="1"/>
  <c r="R199" i="1"/>
  <c r="Q199" i="1"/>
  <c r="P199" i="1"/>
  <c r="O199" i="1"/>
  <c r="M199" i="1"/>
  <c r="N199" i="1" s="1"/>
  <c r="K199" i="1"/>
  <c r="L199" i="1" s="1"/>
  <c r="I199" i="1"/>
  <c r="G199" i="1"/>
  <c r="H199" i="1" s="1"/>
  <c r="F199" i="1"/>
  <c r="E199" i="1"/>
  <c r="J199" i="1" s="1"/>
  <c r="D199" i="1"/>
  <c r="C199" i="1"/>
  <c r="AJ199" i="1" s="1"/>
  <c r="B199" i="1"/>
  <c r="AD198" i="1"/>
  <c r="AM198" i="1" s="1"/>
  <c r="AN198" i="1" s="1"/>
  <c r="AC198" i="1"/>
  <c r="AB198" i="1"/>
  <c r="AL198" i="1" s="1"/>
  <c r="AA198" i="1"/>
  <c r="Z198" i="1"/>
  <c r="AH198" i="1" s="1"/>
  <c r="X198" i="1"/>
  <c r="W198" i="1"/>
  <c r="V198" i="1"/>
  <c r="U198" i="1"/>
  <c r="T198" i="1"/>
  <c r="S198" i="1"/>
  <c r="R198" i="1"/>
  <c r="Q198" i="1"/>
  <c r="P198" i="1"/>
  <c r="O198" i="1"/>
  <c r="M198" i="1"/>
  <c r="N198" i="1" s="1"/>
  <c r="K198" i="1"/>
  <c r="L198" i="1" s="1"/>
  <c r="I198" i="1"/>
  <c r="G198" i="1"/>
  <c r="H198" i="1" s="1"/>
  <c r="F198" i="1"/>
  <c r="E198" i="1"/>
  <c r="J198" i="1" s="1"/>
  <c r="D198" i="1"/>
  <c r="C198" i="1"/>
  <c r="AJ198" i="1" s="1"/>
  <c r="B198" i="1"/>
  <c r="AD197" i="1"/>
  <c r="AM197" i="1" s="1"/>
  <c r="AN197" i="1" s="1"/>
  <c r="AC197" i="1"/>
  <c r="AB197" i="1"/>
  <c r="AL197" i="1" s="1"/>
  <c r="AA197" i="1"/>
  <c r="AE197" i="1" s="1"/>
  <c r="Z197" i="1"/>
  <c r="AH197" i="1" s="1"/>
  <c r="X197" i="1"/>
  <c r="W197" i="1"/>
  <c r="V197" i="1"/>
  <c r="U197" i="1"/>
  <c r="T197" i="1"/>
  <c r="S197" i="1"/>
  <c r="R197" i="1"/>
  <c r="Q197" i="1"/>
  <c r="P197" i="1"/>
  <c r="O197" i="1"/>
  <c r="M197" i="1"/>
  <c r="N197" i="1" s="1"/>
  <c r="K197" i="1"/>
  <c r="L197" i="1" s="1"/>
  <c r="I197" i="1"/>
  <c r="G197" i="1"/>
  <c r="H197" i="1" s="1"/>
  <c r="F197" i="1"/>
  <c r="E197" i="1"/>
  <c r="J197" i="1" s="1"/>
  <c r="D197" i="1"/>
  <c r="C197" i="1"/>
  <c r="AJ197" i="1" s="1"/>
  <c r="B197" i="1"/>
  <c r="AH196" i="1"/>
  <c r="AD196" i="1"/>
  <c r="AM196" i="1" s="1"/>
  <c r="AC196" i="1"/>
  <c r="AB196" i="1"/>
  <c r="AL196" i="1" s="1"/>
  <c r="AA196" i="1"/>
  <c r="AE196" i="1" s="1"/>
  <c r="Z196" i="1"/>
  <c r="X196" i="1"/>
  <c r="W196" i="1"/>
  <c r="V196" i="1"/>
  <c r="U196" i="1"/>
  <c r="T196" i="1"/>
  <c r="S196" i="1"/>
  <c r="R196" i="1"/>
  <c r="Q196" i="1"/>
  <c r="P196" i="1"/>
  <c r="O196" i="1"/>
  <c r="M196" i="1"/>
  <c r="N196" i="1" s="1"/>
  <c r="K196" i="1"/>
  <c r="L196" i="1" s="1"/>
  <c r="I196" i="1"/>
  <c r="G196" i="1"/>
  <c r="H196" i="1" s="1"/>
  <c r="F196" i="1"/>
  <c r="E196" i="1"/>
  <c r="J196" i="1" s="1"/>
  <c r="D196" i="1"/>
  <c r="C196" i="1"/>
  <c r="AJ196" i="1" s="1"/>
  <c r="B196" i="1"/>
  <c r="AL195" i="1"/>
  <c r="AH195" i="1"/>
  <c r="AD195" i="1"/>
  <c r="AM195" i="1" s="1"/>
  <c r="AN195" i="1" s="1"/>
  <c r="AC195" i="1"/>
  <c r="AB195" i="1"/>
  <c r="AE195" i="1" s="1"/>
  <c r="AA195" i="1"/>
  <c r="Z195" i="1"/>
  <c r="X195" i="1"/>
  <c r="W195" i="1"/>
  <c r="V195" i="1"/>
  <c r="U195" i="1"/>
  <c r="T195" i="1"/>
  <c r="S195" i="1"/>
  <c r="R195" i="1"/>
  <c r="Q195" i="1"/>
  <c r="P195" i="1"/>
  <c r="O195" i="1"/>
  <c r="M195" i="1"/>
  <c r="N195" i="1" s="1"/>
  <c r="K195" i="1"/>
  <c r="L195" i="1" s="1"/>
  <c r="I195" i="1"/>
  <c r="G195" i="1"/>
  <c r="H195" i="1" s="1"/>
  <c r="F195" i="1"/>
  <c r="E195" i="1"/>
  <c r="J195" i="1" s="1"/>
  <c r="D195" i="1"/>
  <c r="C195" i="1"/>
  <c r="AJ195" i="1" s="1"/>
  <c r="B195" i="1"/>
  <c r="AL194" i="1"/>
  <c r="AH194" i="1"/>
  <c r="AD194" i="1"/>
  <c r="AM194" i="1" s="1"/>
  <c r="AN194" i="1" s="1"/>
  <c r="AC194" i="1"/>
  <c r="AB194" i="1"/>
  <c r="AE194" i="1" s="1"/>
  <c r="AA194" i="1"/>
  <c r="Z194" i="1"/>
  <c r="X194" i="1"/>
  <c r="W194" i="1"/>
  <c r="V194" i="1"/>
  <c r="U194" i="1"/>
  <c r="T194" i="1"/>
  <c r="S194" i="1"/>
  <c r="R194" i="1"/>
  <c r="Q194" i="1"/>
  <c r="P194" i="1"/>
  <c r="O194" i="1"/>
  <c r="M194" i="1"/>
  <c r="N194" i="1" s="1"/>
  <c r="K194" i="1"/>
  <c r="L194" i="1" s="1"/>
  <c r="I194" i="1"/>
  <c r="G194" i="1"/>
  <c r="H194" i="1" s="1"/>
  <c r="F194" i="1"/>
  <c r="E194" i="1"/>
  <c r="J194" i="1" s="1"/>
  <c r="D194" i="1"/>
  <c r="C194" i="1"/>
  <c r="AJ194" i="1" s="1"/>
  <c r="B194" i="1"/>
  <c r="AL193" i="1"/>
  <c r="AD193" i="1"/>
  <c r="AM193" i="1" s="1"/>
  <c r="AN193" i="1" s="1"/>
  <c r="AC193" i="1"/>
  <c r="AB193" i="1"/>
  <c r="AE193" i="1" s="1"/>
  <c r="AA193" i="1"/>
  <c r="Z193" i="1"/>
  <c r="AH193" i="1" s="1"/>
  <c r="X193" i="1"/>
  <c r="W193" i="1"/>
  <c r="V193" i="1"/>
  <c r="U193" i="1"/>
  <c r="T193" i="1"/>
  <c r="S193" i="1"/>
  <c r="R193" i="1"/>
  <c r="Q193" i="1"/>
  <c r="P193" i="1"/>
  <c r="O193" i="1"/>
  <c r="M193" i="1"/>
  <c r="K193" i="1"/>
  <c r="L193" i="1" s="1"/>
  <c r="I193" i="1"/>
  <c r="G193" i="1"/>
  <c r="F193" i="1"/>
  <c r="E193" i="1"/>
  <c r="J193" i="1" s="1"/>
  <c r="D193" i="1"/>
  <c r="C193" i="1"/>
  <c r="AJ193" i="1" s="1"/>
  <c r="B193" i="1"/>
  <c r="AN192" i="1"/>
  <c r="AD192" i="1"/>
  <c r="AM192" i="1" s="1"/>
  <c r="AC192" i="1"/>
  <c r="AB192" i="1"/>
  <c r="AL192" i="1" s="1"/>
  <c r="AA192" i="1"/>
  <c r="AE192" i="1" s="1"/>
  <c r="Z192" i="1"/>
  <c r="AH192" i="1" s="1"/>
  <c r="X192" i="1"/>
  <c r="W192" i="1"/>
  <c r="V192" i="1"/>
  <c r="U192" i="1"/>
  <c r="T192" i="1"/>
  <c r="S192" i="1"/>
  <c r="R192" i="1"/>
  <c r="Q192" i="1"/>
  <c r="P192" i="1"/>
  <c r="O192" i="1"/>
  <c r="M192" i="1"/>
  <c r="K192" i="1"/>
  <c r="L192" i="1" s="1"/>
  <c r="I192" i="1"/>
  <c r="G192" i="1"/>
  <c r="H192" i="1" s="1"/>
  <c r="F192" i="1"/>
  <c r="E192" i="1"/>
  <c r="D192" i="1"/>
  <c r="C192" i="1"/>
  <c r="AJ192" i="1" s="1"/>
  <c r="B192" i="1"/>
  <c r="AD191" i="1"/>
  <c r="AM191" i="1" s="1"/>
  <c r="AN191" i="1" s="1"/>
  <c r="AC191" i="1"/>
  <c r="AB191" i="1"/>
  <c r="AL191" i="1" s="1"/>
  <c r="AA191" i="1"/>
  <c r="AE191" i="1" s="1"/>
  <c r="Z191" i="1"/>
  <c r="AH191" i="1" s="1"/>
  <c r="X191" i="1"/>
  <c r="W191" i="1"/>
  <c r="V191" i="1"/>
  <c r="U191" i="1"/>
  <c r="T191" i="1"/>
  <c r="S191" i="1"/>
  <c r="R191" i="1"/>
  <c r="Q191" i="1"/>
  <c r="P191" i="1"/>
  <c r="O191" i="1"/>
  <c r="M191" i="1"/>
  <c r="K191" i="1"/>
  <c r="L191" i="1" s="1"/>
  <c r="I191" i="1"/>
  <c r="G191" i="1"/>
  <c r="H191" i="1" s="1"/>
  <c r="F191" i="1"/>
  <c r="E191" i="1"/>
  <c r="D191" i="1"/>
  <c r="C191" i="1"/>
  <c r="AJ191" i="1" s="1"/>
  <c r="B191" i="1"/>
  <c r="AD190" i="1"/>
  <c r="AM190" i="1" s="1"/>
  <c r="AC190" i="1"/>
  <c r="AB190" i="1"/>
  <c r="AA190" i="1"/>
  <c r="Z190" i="1"/>
  <c r="AH190" i="1" s="1"/>
  <c r="X190" i="1"/>
  <c r="W190" i="1"/>
  <c r="V190" i="1"/>
  <c r="U190" i="1"/>
  <c r="T190" i="1"/>
  <c r="S190" i="1"/>
  <c r="R190" i="1"/>
  <c r="Q190" i="1"/>
  <c r="P190" i="1"/>
  <c r="O190" i="1"/>
  <c r="M190" i="1"/>
  <c r="N190" i="1" s="1"/>
  <c r="K190" i="1"/>
  <c r="L190" i="1" s="1"/>
  <c r="I190" i="1"/>
  <c r="G190" i="1"/>
  <c r="H190" i="1" s="1"/>
  <c r="F190" i="1"/>
  <c r="E190" i="1"/>
  <c r="D190" i="1"/>
  <c r="C190" i="1"/>
  <c r="AJ190" i="1" s="1"/>
  <c r="B190" i="1"/>
  <c r="AD189" i="1"/>
  <c r="AM189" i="1" s="1"/>
  <c r="AC189" i="1"/>
  <c r="AB189" i="1"/>
  <c r="AL189" i="1" s="1"/>
  <c r="AN189" i="1" s="1"/>
  <c r="AA189" i="1"/>
  <c r="Z189" i="1"/>
  <c r="AH189" i="1" s="1"/>
  <c r="X189" i="1"/>
  <c r="W189" i="1"/>
  <c r="V189" i="1"/>
  <c r="U189" i="1"/>
  <c r="T189" i="1"/>
  <c r="S189" i="1"/>
  <c r="R189" i="1"/>
  <c r="Q189" i="1"/>
  <c r="P189" i="1"/>
  <c r="O189" i="1"/>
  <c r="M189" i="1"/>
  <c r="K189" i="1"/>
  <c r="L189" i="1" s="1"/>
  <c r="I189" i="1"/>
  <c r="G189" i="1"/>
  <c r="H189" i="1" s="1"/>
  <c r="F189" i="1"/>
  <c r="E189" i="1"/>
  <c r="J189" i="1" s="1"/>
  <c r="D189" i="1"/>
  <c r="C189" i="1"/>
  <c r="AJ189" i="1" s="1"/>
  <c r="B189" i="1"/>
  <c r="AL188" i="1"/>
  <c r="AH188" i="1"/>
  <c r="AD188" i="1"/>
  <c r="AC188" i="1"/>
  <c r="AB188" i="1"/>
  <c r="AA188" i="1"/>
  <c r="Z188" i="1"/>
  <c r="X188" i="1"/>
  <c r="W188" i="1"/>
  <c r="V188" i="1"/>
  <c r="U188" i="1"/>
  <c r="T188" i="1"/>
  <c r="S188" i="1"/>
  <c r="R188" i="1"/>
  <c r="Q188" i="1"/>
  <c r="P188" i="1"/>
  <c r="O188" i="1"/>
  <c r="M188" i="1"/>
  <c r="N188" i="1" s="1"/>
  <c r="K188" i="1"/>
  <c r="L188" i="1" s="1"/>
  <c r="I188" i="1"/>
  <c r="G188" i="1"/>
  <c r="H188" i="1" s="1"/>
  <c r="F188" i="1"/>
  <c r="E188" i="1"/>
  <c r="D188" i="1"/>
  <c r="C188" i="1"/>
  <c r="AJ188" i="1" s="1"/>
  <c r="B188" i="1"/>
  <c r="AL187" i="1"/>
  <c r="AD187" i="1"/>
  <c r="AC187" i="1"/>
  <c r="AB187" i="1"/>
  <c r="AE187" i="1" s="1"/>
  <c r="AA187" i="1"/>
  <c r="Z187" i="1"/>
  <c r="AH187" i="1" s="1"/>
  <c r="X187" i="1"/>
  <c r="W187" i="1"/>
  <c r="V187" i="1"/>
  <c r="U187" i="1"/>
  <c r="T187" i="1"/>
  <c r="S187" i="1"/>
  <c r="R187" i="1"/>
  <c r="Q187" i="1"/>
  <c r="P187" i="1"/>
  <c r="O187" i="1"/>
  <c r="M187" i="1"/>
  <c r="K187" i="1"/>
  <c r="L187" i="1" s="1"/>
  <c r="I187" i="1"/>
  <c r="G187" i="1"/>
  <c r="F187" i="1"/>
  <c r="E187" i="1"/>
  <c r="J187" i="1" s="1"/>
  <c r="D187" i="1"/>
  <c r="C187" i="1"/>
  <c r="AJ187" i="1" s="1"/>
  <c r="B187" i="1"/>
  <c r="AH186" i="1"/>
  <c r="AD186" i="1"/>
  <c r="AC186" i="1"/>
  <c r="AB186" i="1"/>
  <c r="AE186" i="1" s="1"/>
  <c r="AA186" i="1"/>
  <c r="Z186" i="1"/>
  <c r="X186" i="1"/>
  <c r="W186" i="1"/>
  <c r="V186" i="1"/>
  <c r="U186" i="1"/>
  <c r="T186" i="1"/>
  <c r="S186" i="1"/>
  <c r="R186" i="1"/>
  <c r="Q186" i="1"/>
  <c r="P186" i="1"/>
  <c r="O186" i="1"/>
  <c r="M186" i="1"/>
  <c r="K186" i="1"/>
  <c r="L186" i="1" s="1"/>
  <c r="I186" i="1"/>
  <c r="G186" i="1"/>
  <c r="H186" i="1" s="1"/>
  <c r="F186" i="1"/>
  <c r="E186" i="1"/>
  <c r="D186" i="1"/>
  <c r="C186" i="1"/>
  <c r="AJ186" i="1" s="1"/>
  <c r="B186" i="1"/>
  <c r="AL185" i="1"/>
  <c r="AH185" i="1"/>
  <c r="AD185" i="1"/>
  <c r="AC185" i="1"/>
  <c r="AB185" i="1"/>
  <c r="AA185" i="1"/>
  <c r="Z185" i="1"/>
  <c r="X185" i="1"/>
  <c r="W185" i="1"/>
  <c r="V185" i="1"/>
  <c r="U185" i="1"/>
  <c r="T185" i="1"/>
  <c r="S185" i="1"/>
  <c r="R185" i="1"/>
  <c r="Q185" i="1"/>
  <c r="P185" i="1"/>
  <c r="O185" i="1"/>
  <c r="M185" i="1"/>
  <c r="K185" i="1"/>
  <c r="L185" i="1" s="1"/>
  <c r="I185" i="1"/>
  <c r="G185" i="1"/>
  <c r="H185" i="1" s="1"/>
  <c r="F185" i="1"/>
  <c r="E185" i="1"/>
  <c r="D185" i="1"/>
  <c r="C185" i="1"/>
  <c r="AJ185" i="1" s="1"/>
  <c r="B185" i="1"/>
  <c r="AD184" i="1"/>
  <c r="AC184" i="1"/>
  <c r="AB184" i="1"/>
  <c r="AL184" i="1" s="1"/>
  <c r="AA184" i="1"/>
  <c r="AE184" i="1" s="1"/>
  <c r="Z184" i="1"/>
  <c r="AH184" i="1" s="1"/>
  <c r="X184" i="1"/>
  <c r="W184" i="1"/>
  <c r="V184" i="1"/>
  <c r="U184" i="1"/>
  <c r="T184" i="1"/>
  <c r="S184" i="1"/>
  <c r="R184" i="1"/>
  <c r="Q184" i="1"/>
  <c r="P184" i="1"/>
  <c r="O184" i="1"/>
  <c r="M184" i="1"/>
  <c r="K184" i="1"/>
  <c r="L184" i="1" s="1"/>
  <c r="I184" i="1"/>
  <c r="G184" i="1"/>
  <c r="H184" i="1" s="1"/>
  <c r="F184" i="1"/>
  <c r="E184" i="1"/>
  <c r="D184" i="1"/>
  <c r="C184" i="1"/>
  <c r="AJ184" i="1" s="1"/>
  <c r="B184" i="1"/>
  <c r="AD183" i="1"/>
  <c r="AC183" i="1"/>
  <c r="AB183" i="1"/>
  <c r="AL183" i="1" s="1"/>
  <c r="AA183" i="1"/>
  <c r="Z183" i="1"/>
  <c r="AH183" i="1" s="1"/>
  <c r="X183" i="1"/>
  <c r="W183" i="1"/>
  <c r="V183" i="1"/>
  <c r="U183" i="1"/>
  <c r="T183" i="1"/>
  <c r="S183" i="1"/>
  <c r="R183" i="1"/>
  <c r="Q183" i="1"/>
  <c r="P183" i="1"/>
  <c r="O183" i="1"/>
  <c r="M183" i="1"/>
  <c r="K183" i="1"/>
  <c r="L183" i="1" s="1"/>
  <c r="I183" i="1"/>
  <c r="G183" i="1"/>
  <c r="H183" i="1" s="1"/>
  <c r="F183" i="1"/>
  <c r="E183" i="1"/>
  <c r="D183" i="1"/>
  <c r="C183" i="1"/>
  <c r="AJ183" i="1" s="1"/>
  <c r="B183" i="1"/>
  <c r="AL182" i="1"/>
  <c r="AH182" i="1"/>
  <c r="AD182" i="1"/>
  <c r="AC182" i="1"/>
  <c r="AB182" i="1"/>
  <c r="AA182" i="1"/>
  <c r="Z182" i="1"/>
  <c r="X182" i="1"/>
  <c r="W182" i="1"/>
  <c r="V182" i="1"/>
  <c r="U182" i="1"/>
  <c r="T182" i="1"/>
  <c r="S182" i="1"/>
  <c r="R182" i="1"/>
  <c r="Q182" i="1"/>
  <c r="P182" i="1"/>
  <c r="O182" i="1"/>
  <c r="M182" i="1"/>
  <c r="K182" i="1"/>
  <c r="L182" i="1" s="1"/>
  <c r="I182" i="1"/>
  <c r="G182" i="1"/>
  <c r="H182" i="1" s="1"/>
  <c r="F182" i="1"/>
  <c r="E182" i="1"/>
  <c r="D182" i="1"/>
  <c r="C182" i="1"/>
  <c r="AJ182" i="1" s="1"/>
  <c r="B182" i="1"/>
  <c r="AH181" i="1"/>
  <c r="AD181" i="1"/>
  <c r="AC181" i="1"/>
  <c r="AB181" i="1"/>
  <c r="AL181" i="1" s="1"/>
  <c r="AA181" i="1"/>
  <c r="Z181" i="1"/>
  <c r="X181" i="1"/>
  <c r="W181" i="1"/>
  <c r="V181" i="1"/>
  <c r="U181" i="1"/>
  <c r="T181" i="1"/>
  <c r="S181" i="1"/>
  <c r="R181" i="1"/>
  <c r="Q181" i="1"/>
  <c r="P181" i="1"/>
  <c r="O181" i="1"/>
  <c r="M181" i="1"/>
  <c r="K181" i="1"/>
  <c r="L181" i="1" s="1"/>
  <c r="I181" i="1"/>
  <c r="G181" i="1"/>
  <c r="H181" i="1" s="1"/>
  <c r="F181" i="1"/>
  <c r="E181" i="1"/>
  <c r="D181" i="1"/>
  <c r="C181" i="1"/>
  <c r="AJ181" i="1" s="1"/>
  <c r="B181" i="1"/>
  <c r="AH180" i="1"/>
  <c r="AD180" i="1"/>
  <c r="AM180" i="1" s="1"/>
  <c r="AN180" i="1" s="1"/>
  <c r="AC180" i="1"/>
  <c r="AB180" i="1"/>
  <c r="AL180" i="1" s="1"/>
  <c r="AA180" i="1"/>
  <c r="Z180" i="1"/>
  <c r="X180" i="1"/>
  <c r="W180" i="1"/>
  <c r="V180" i="1"/>
  <c r="U180" i="1"/>
  <c r="T180" i="1"/>
  <c r="S180" i="1"/>
  <c r="R180" i="1"/>
  <c r="Q180" i="1"/>
  <c r="P180" i="1"/>
  <c r="O180" i="1"/>
  <c r="M180" i="1"/>
  <c r="K180" i="1"/>
  <c r="L180" i="1" s="1"/>
  <c r="I180" i="1"/>
  <c r="G180" i="1"/>
  <c r="H180" i="1" s="1"/>
  <c r="F180" i="1"/>
  <c r="E180" i="1"/>
  <c r="D180" i="1"/>
  <c r="C180" i="1"/>
  <c r="AJ180" i="1" s="1"/>
  <c r="B180" i="1"/>
  <c r="AH179" i="1"/>
  <c r="AD179" i="1"/>
  <c r="AC179" i="1"/>
  <c r="AB179" i="1"/>
  <c r="AE179" i="1" s="1"/>
  <c r="AA179" i="1"/>
  <c r="Z179" i="1"/>
  <c r="X179" i="1"/>
  <c r="W179" i="1"/>
  <c r="V179" i="1"/>
  <c r="U179" i="1"/>
  <c r="T179" i="1"/>
  <c r="S179" i="1"/>
  <c r="R179" i="1"/>
  <c r="Q179" i="1"/>
  <c r="P179" i="1"/>
  <c r="O179" i="1"/>
  <c r="M179" i="1"/>
  <c r="K179" i="1"/>
  <c r="L179" i="1" s="1"/>
  <c r="I179" i="1"/>
  <c r="G179" i="1"/>
  <c r="H179" i="1" s="1"/>
  <c r="F179" i="1"/>
  <c r="E179" i="1"/>
  <c r="D179" i="1"/>
  <c r="C179" i="1"/>
  <c r="AJ179" i="1" s="1"/>
  <c r="B179" i="1"/>
  <c r="AD178" i="1"/>
  <c r="AM178" i="1" s="1"/>
  <c r="AC178" i="1"/>
  <c r="AB178" i="1"/>
  <c r="AE178" i="1" s="1"/>
  <c r="AA178" i="1"/>
  <c r="Z178" i="1"/>
  <c r="AH178" i="1" s="1"/>
  <c r="X178" i="1"/>
  <c r="W178" i="1"/>
  <c r="V178" i="1"/>
  <c r="U178" i="1"/>
  <c r="T178" i="1"/>
  <c r="S178" i="1"/>
  <c r="R178" i="1"/>
  <c r="Q178" i="1"/>
  <c r="P178" i="1"/>
  <c r="O178" i="1"/>
  <c r="M178" i="1"/>
  <c r="K178" i="1"/>
  <c r="L178" i="1" s="1"/>
  <c r="I178" i="1"/>
  <c r="G178" i="1"/>
  <c r="H178" i="1" s="1"/>
  <c r="F178" i="1"/>
  <c r="E178" i="1"/>
  <c r="D178" i="1"/>
  <c r="C178" i="1"/>
  <c r="AJ178" i="1" s="1"/>
  <c r="B178" i="1"/>
  <c r="AH177" i="1"/>
  <c r="AD177" i="1"/>
  <c r="AC177" i="1"/>
  <c r="AB177" i="1"/>
  <c r="AL177" i="1" s="1"/>
  <c r="AA177" i="1"/>
  <c r="Z177" i="1"/>
  <c r="X177" i="1"/>
  <c r="W177" i="1"/>
  <c r="V177" i="1"/>
  <c r="U177" i="1"/>
  <c r="T177" i="1"/>
  <c r="S177" i="1"/>
  <c r="R177" i="1"/>
  <c r="Q177" i="1"/>
  <c r="P177" i="1"/>
  <c r="O177" i="1"/>
  <c r="M177" i="1"/>
  <c r="K177" i="1"/>
  <c r="L177" i="1" s="1"/>
  <c r="I177" i="1"/>
  <c r="G177" i="1"/>
  <c r="H177" i="1" s="1"/>
  <c r="F177" i="1"/>
  <c r="E177" i="1"/>
  <c r="D177" i="1"/>
  <c r="C177" i="1"/>
  <c r="AJ177" i="1" s="1"/>
  <c r="B177" i="1"/>
  <c r="AD176" i="1"/>
  <c r="AC176" i="1"/>
  <c r="AB176" i="1"/>
  <c r="AL176" i="1" s="1"/>
  <c r="AA176" i="1"/>
  <c r="Z176" i="1"/>
  <c r="AH176" i="1" s="1"/>
  <c r="X176" i="1"/>
  <c r="W176" i="1"/>
  <c r="V176" i="1"/>
  <c r="U176" i="1"/>
  <c r="T176" i="1"/>
  <c r="S176" i="1"/>
  <c r="R176" i="1"/>
  <c r="Q176" i="1"/>
  <c r="P176" i="1"/>
  <c r="O176" i="1"/>
  <c r="M176" i="1"/>
  <c r="I176" i="1"/>
  <c r="G176" i="1"/>
  <c r="F176" i="1"/>
  <c r="E176" i="1"/>
  <c r="J176" i="1" s="1"/>
  <c r="D176" i="1"/>
  <c r="K176" i="1" s="1"/>
  <c r="L176" i="1" s="1"/>
  <c r="C176" i="1"/>
  <c r="AJ176" i="1" s="1"/>
  <c r="B176" i="1"/>
  <c r="AH175" i="1"/>
  <c r="AD175" i="1"/>
  <c r="AM175" i="1" s="1"/>
  <c r="AN175" i="1" s="1"/>
  <c r="AC175" i="1"/>
  <c r="AB175" i="1"/>
  <c r="AL175" i="1" s="1"/>
  <c r="AA175" i="1"/>
  <c r="Z175" i="1"/>
  <c r="X175" i="1"/>
  <c r="W175" i="1"/>
  <c r="V175" i="1"/>
  <c r="U175" i="1"/>
  <c r="T175" i="1"/>
  <c r="S175" i="1"/>
  <c r="R175" i="1"/>
  <c r="Q175" i="1"/>
  <c r="P175" i="1"/>
  <c r="O175" i="1"/>
  <c r="M175" i="1"/>
  <c r="K175" i="1"/>
  <c r="L175" i="1" s="1"/>
  <c r="I175" i="1"/>
  <c r="G175" i="1"/>
  <c r="H175" i="1" s="1"/>
  <c r="F175" i="1"/>
  <c r="E175" i="1"/>
  <c r="D175" i="1"/>
  <c r="C175" i="1"/>
  <c r="AJ175" i="1" s="1"/>
  <c r="B175" i="1"/>
  <c r="AL174" i="1"/>
  <c r="AD174" i="1"/>
  <c r="AC174" i="1"/>
  <c r="AB174" i="1"/>
  <c r="AE174" i="1" s="1"/>
  <c r="AA174" i="1"/>
  <c r="Z174" i="1"/>
  <c r="AH174" i="1" s="1"/>
  <c r="X174" i="1"/>
  <c r="W174" i="1"/>
  <c r="V174" i="1"/>
  <c r="U174" i="1"/>
  <c r="T174" i="1"/>
  <c r="S174" i="1"/>
  <c r="R174" i="1"/>
  <c r="Q174" i="1"/>
  <c r="P174" i="1"/>
  <c r="O174" i="1"/>
  <c r="M174" i="1"/>
  <c r="K174" i="1"/>
  <c r="L174" i="1" s="1"/>
  <c r="I174" i="1"/>
  <c r="G174" i="1"/>
  <c r="F174" i="1"/>
  <c r="E174" i="1"/>
  <c r="J174" i="1" s="1"/>
  <c r="D174" i="1"/>
  <c r="C174" i="1"/>
  <c r="AJ174" i="1" s="1"/>
  <c r="B174" i="1"/>
  <c r="AH173" i="1"/>
  <c r="AD173" i="1"/>
  <c r="AC173" i="1"/>
  <c r="AB173" i="1"/>
  <c r="AA173" i="1"/>
  <c r="Z173" i="1"/>
  <c r="X173" i="1"/>
  <c r="W173" i="1"/>
  <c r="V173" i="1"/>
  <c r="U173" i="1"/>
  <c r="T173" i="1"/>
  <c r="S173" i="1"/>
  <c r="R173" i="1"/>
  <c r="Q173" i="1"/>
  <c r="P173" i="1"/>
  <c r="O173" i="1"/>
  <c r="M173" i="1"/>
  <c r="K173" i="1"/>
  <c r="L173" i="1" s="1"/>
  <c r="I173" i="1"/>
  <c r="G173" i="1"/>
  <c r="H173" i="1" s="1"/>
  <c r="F173" i="1"/>
  <c r="E173" i="1"/>
  <c r="J173" i="1" s="1"/>
  <c r="D173" i="1"/>
  <c r="C173" i="1"/>
  <c r="AJ173" i="1" s="1"/>
  <c r="B173" i="1"/>
  <c r="AL172" i="1"/>
  <c r="AD172" i="1"/>
  <c r="AC172" i="1"/>
  <c r="AB172" i="1"/>
  <c r="AA172" i="1"/>
  <c r="Z172" i="1"/>
  <c r="AH172" i="1" s="1"/>
  <c r="X172" i="1"/>
  <c r="W172" i="1"/>
  <c r="V172" i="1"/>
  <c r="U172" i="1"/>
  <c r="T172" i="1"/>
  <c r="S172" i="1"/>
  <c r="R172" i="1"/>
  <c r="Q172" i="1"/>
  <c r="P172" i="1"/>
  <c r="O172" i="1"/>
  <c r="M172" i="1"/>
  <c r="L172" i="1"/>
  <c r="K172" i="1"/>
  <c r="I172" i="1"/>
  <c r="G172" i="1"/>
  <c r="H172" i="1" s="1"/>
  <c r="F172" i="1"/>
  <c r="E172" i="1"/>
  <c r="D172" i="1"/>
  <c r="C172" i="1"/>
  <c r="AJ172" i="1" s="1"/>
  <c r="B172" i="1"/>
  <c r="AD171" i="1"/>
  <c r="AM171" i="1" s="1"/>
  <c r="AC171" i="1"/>
  <c r="AB171" i="1"/>
  <c r="AA171" i="1"/>
  <c r="Z171" i="1"/>
  <c r="AH171" i="1" s="1"/>
  <c r="X171" i="1"/>
  <c r="W171" i="1"/>
  <c r="V171" i="1"/>
  <c r="U171" i="1"/>
  <c r="T171" i="1"/>
  <c r="S171" i="1"/>
  <c r="R171" i="1"/>
  <c r="Q171" i="1"/>
  <c r="P171" i="1"/>
  <c r="O171" i="1"/>
  <c r="M171" i="1"/>
  <c r="N171" i="1" s="1"/>
  <c r="K171" i="1"/>
  <c r="L171" i="1" s="1"/>
  <c r="I171" i="1"/>
  <c r="G171" i="1"/>
  <c r="H171" i="1" s="1"/>
  <c r="F171" i="1"/>
  <c r="E171" i="1"/>
  <c r="D171" i="1"/>
  <c r="C171" i="1"/>
  <c r="AJ171" i="1" s="1"/>
  <c r="B171" i="1"/>
  <c r="AD170" i="1"/>
  <c r="AC170" i="1"/>
  <c r="AB170" i="1"/>
  <c r="AE170" i="1" s="1"/>
  <c r="AA170" i="1"/>
  <c r="Z170" i="1"/>
  <c r="AH170" i="1" s="1"/>
  <c r="X170" i="1"/>
  <c r="W170" i="1"/>
  <c r="V170" i="1"/>
  <c r="U170" i="1"/>
  <c r="T170" i="1"/>
  <c r="S170" i="1"/>
  <c r="R170" i="1"/>
  <c r="Q170" i="1"/>
  <c r="P170" i="1"/>
  <c r="O170" i="1"/>
  <c r="M170" i="1"/>
  <c r="G170" i="1"/>
  <c r="F170" i="1"/>
  <c r="K170" i="1" s="1"/>
  <c r="L170" i="1" s="1"/>
  <c r="E170" i="1"/>
  <c r="J170" i="1" s="1"/>
  <c r="D170" i="1"/>
  <c r="C170" i="1"/>
  <c r="AJ170" i="1" s="1"/>
  <c r="B170" i="1"/>
  <c r="AL169" i="1"/>
  <c r="AD169" i="1"/>
  <c r="AM169" i="1" s="1"/>
  <c r="AN169" i="1" s="1"/>
  <c r="AC169" i="1"/>
  <c r="AB169" i="1"/>
  <c r="AA169" i="1"/>
  <c r="Z169" i="1"/>
  <c r="AH169" i="1" s="1"/>
  <c r="X169" i="1"/>
  <c r="W169" i="1"/>
  <c r="V169" i="1"/>
  <c r="U169" i="1"/>
  <c r="T169" i="1"/>
  <c r="S169" i="1"/>
  <c r="R169" i="1"/>
  <c r="Q169" i="1"/>
  <c r="P169" i="1"/>
  <c r="O169" i="1"/>
  <c r="M169" i="1"/>
  <c r="K169" i="1"/>
  <c r="L169" i="1" s="1"/>
  <c r="I169" i="1"/>
  <c r="H169" i="1"/>
  <c r="G169" i="1"/>
  <c r="F169" i="1"/>
  <c r="E169" i="1"/>
  <c r="D169" i="1"/>
  <c r="C169" i="1"/>
  <c r="AJ169" i="1" s="1"/>
  <c r="B169" i="1"/>
  <c r="AD168" i="1"/>
  <c r="AC168" i="1"/>
  <c r="AB168" i="1"/>
  <c r="AL168" i="1" s="1"/>
  <c r="AA168" i="1"/>
  <c r="Z168" i="1"/>
  <c r="AH168" i="1" s="1"/>
  <c r="X168" i="1"/>
  <c r="W168" i="1"/>
  <c r="V168" i="1"/>
  <c r="U168" i="1"/>
  <c r="T168" i="1"/>
  <c r="S168" i="1"/>
  <c r="R168" i="1"/>
  <c r="Q168" i="1"/>
  <c r="P168" i="1"/>
  <c r="O168" i="1"/>
  <c r="M168" i="1"/>
  <c r="K168" i="1"/>
  <c r="L168" i="1" s="1"/>
  <c r="I168" i="1"/>
  <c r="G168" i="1"/>
  <c r="H168" i="1" s="1"/>
  <c r="F168" i="1"/>
  <c r="E168" i="1"/>
  <c r="J168" i="1" s="1"/>
  <c r="D168" i="1"/>
  <c r="C168" i="1"/>
  <c r="AJ168" i="1" s="1"/>
  <c r="B168" i="1"/>
  <c r="AH167" i="1"/>
  <c r="AD167" i="1"/>
  <c r="AC167" i="1"/>
  <c r="AL167" i="1" s="1"/>
  <c r="AB167" i="1"/>
  <c r="AA167" i="1"/>
  <c r="Z167" i="1"/>
  <c r="X167" i="1"/>
  <c r="W167" i="1"/>
  <c r="V167" i="1"/>
  <c r="U167" i="1"/>
  <c r="T167" i="1"/>
  <c r="S167" i="1"/>
  <c r="R167" i="1"/>
  <c r="Q167" i="1"/>
  <c r="P167" i="1"/>
  <c r="O167" i="1"/>
  <c r="M167" i="1"/>
  <c r="N167" i="1" s="1"/>
  <c r="K167" i="1"/>
  <c r="L167" i="1" s="1"/>
  <c r="I167" i="1"/>
  <c r="G167" i="1"/>
  <c r="H167" i="1" s="1"/>
  <c r="F167" i="1"/>
  <c r="E167" i="1"/>
  <c r="J167" i="1" s="1"/>
  <c r="D167" i="1"/>
  <c r="C167" i="1"/>
  <c r="AJ167" i="1" s="1"/>
  <c r="B167" i="1"/>
  <c r="AH166" i="1"/>
  <c r="AD166" i="1"/>
  <c r="AM166" i="1" s="1"/>
  <c r="AC166" i="1"/>
  <c r="AB166" i="1"/>
  <c r="AL166" i="1" s="1"/>
  <c r="AA166" i="1"/>
  <c r="Z166" i="1"/>
  <c r="X166" i="1"/>
  <c r="W166" i="1"/>
  <c r="V166" i="1"/>
  <c r="U166" i="1"/>
  <c r="T166" i="1"/>
  <c r="S166" i="1"/>
  <c r="R166" i="1"/>
  <c r="Q166" i="1"/>
  <c r="P166" i="1"/>
  <c r="O166" i="1"/>
  <c r="M166" i="1"/>
  <c r="N166" i="1" s="1"/>
  <c r="K166" i="1"/>
  <c r="L166" i="1" s="1"/>
  <c r="I166" i="1"/>
  <c r="G166" i="1"/>
  <c r="H166" i="1" s="1"/>
  <c r="F166" i="1"/>
  <c r="E166" i="1"/>
  <c r="J166" i="1" s="1"/>
  <c r="D166" i="1"/>
  <c r="C166" i="1"/>
  <c r="AJ166" i="1" s="1"/>
  <c r="B166" i="1"/>
  <c r="AJ165" i="1"/>
  <c r="AH165" i="1"/>
  <c r="AE165" i="1"/>
  <c r="AD165" i="1"/>
  <c r="AC165" i="1"/>
  <c r="AB165" i="1"/>
  <c r="AA165" i="1"/>
  <c r="AL165" i="1" s="1"/>
  <c r="Z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H165" i="1"/>
  <c r="G165" i="1"/>
  <c r="F165" i="1"/>
  <c r="K165" i="1" s="1"/>
  <c r="L165" i="1" s="1"/>
  <c r="E165" i="1"/>
  <c r="J165" i="1" s="1"/>
  <c r="D165" i="1"/>
  <c r="C165" i="1"/>
  <c r="B165" i="1"/>
  <c r="AJ164" i="1"/>
  <c r="AD164" i="1"/>
  <c r="AC164" i="1"/>
  <c r="AB164" i="1"/>
  <c r="AA164" i="1"/>
  <c r="AE164" i="1" s="1"/>
  <c r="Z164" i="1"/>
  <c r="AH164" i="1" s="1"/>
  <c r="X164" i="1"/>
  <c r="W164" i="1"/>
  <c r="V164" i="1"/>
  <c r="U164" i="1"/>
  <c r="T164" i="1"/>
  <c r="S164" i="1"/>
  <c r="R164" i="1"/>
  <c r="Q164" i="1"/>
  <c r="AM164" i="1" s="1"/>
  <c r="P164" i="1"/>
  <c r="N164" i="1" s="1"/>
  <c r="O164" i="1"/>
  <c r="M164" i="1"/>
  <c r="K164" i="1"/>
  <c r="L164" i="1" s="1"/>
  <c r="J164" i="1"/>
  <c r="I164" i="1"/>
  <c r="H164" i="1"/>
  <c r="G164" i="1"/>
  <c r="F164" i="1"/>
  <c r="E164" i="1"/>
  <c r="D164" i="1"/>
  <c r="C164" i="1"/>
  <c r="B164" i="1"/>
  <c r="AM163" i="1"/>
  <c r="AN163" i="1" s="1"/>
  <c r="AD163" i="1"/>
  <c r="AC163" i="1"/>
  <c r="AB163" i="1"/>
  <c r="AA163" i="1"/>
  <c r="AL163" i="1" s="1"/>
  <c r="Z163" i="1"/>
  <c r="AH163" i="1" s="1"/>
  <c r="X163" i="1"/>
  <c r="W163" i="1"/>
  <c r="V163" i="1"/>
  <c r="U163" i="1"/>
  <c r="T163" i="1"/>
  <c r="S163" i="1"/>
  <c r="R163" i="1"/>
  <c r="Q163" i="1"/>
  <c r="P163" i="1"/>
  <c r="O163" i="1"/>
  <c r="M163" i="1"/>
  <c r="N163" i="1" s="1"/>
  <c r="J163" i="1"/>
  <c r="G163" i="1"/>
  <c r="H163" i="1" s="1"/>
  <c r="F163" i="1"/>
  <c r="K163" i="1" s="1"/>
  <c r="L163" i="1" s="1"/>
  <c r="E163" i="1"/>
  <c r="D163" i="1"/>
  <c r="I163" i="1" s="1"/>
  <c r="C163" i="1"/>
  <c r="AJ163" i="1" s="1"/>
  <c r="B163" i="1"/>
  <c r="AL162" i="1"/>
  <c r="AD162" i="1"/>
  <c r="AM162" i="1" s="1"/>
  <c r="AN162" i="1" s="1"/>
  <c r="AC162" i="1"/>
  <c r="AB162" i="1"/>
  <c r="AE162" i="1" s="1"/>
  <c r="AA162" i="1"/>
  <c r="Z162" i="1"/>
  <c r="AH162" i="1" s="1"/>
  <c r="X162" i="1"/>
  <c r="W162" i="1"/>
  <c r="V162" i="1"/>
  <c r="U162" i="1"/>
  <c r="T162" i="1"/>
  <c r="S162" i="1"/>
  <c r="R162" i="1"/>
  <c r="Q162" i="1"/>
  <c r="P162" i="1"/>
  <c r="O162" i="1"/>
  <c r="M162" i="1"/>
  <c r="N162" i="1" s="1"/>
  <c r="G162" i="1"/>
  <c r="F162" i="1"/>
  <c r="E162" i="1"/>
  <c r="J162" i="1" s="1"/>
  <c r="D162" i="1"/>
  <c r="K162" i="1" s="1"/>
  <c r="L162" i="1" s="1"/>
  <c r="C162" i="1"/>
  <c r="AJ162" i="1" s="1"/>
  <c r="B162" i="1"/>
  <c r="AE161" i="1"/>
  <c r="AD161" i="1"/>
  <c r="AC161" i="1"/>
  <c r="AB161" i="1"/>
  <c r="AL161" i="1" s="1"/>
  <c r="AA161" i="1"/>
  <c r="Z161" i="1"/>
  <c r="AH161" i="1" s="1"/>
  <c r="X161" i="1"/>
  <c r="W161" i="1"/>
  <c r="V161" i="1"/>
  <c r="AM161" i="1" s="1"/>
  <c r="U161" i="1"/>
  <c r="T161" i="1"/>
  <c r="N161" i="1" s="1"/>
  <c r="S161" i="1"/>
  <c r="R161" i="1"/>
  <c r="Q161" i="1"/>
  <c r="P161" i="1"/>
  <c r="O161" i="1"/>
  <c r="M161" i="1"/>
  <c r="G161" i="1"/>
  <c r="F161" i="1"/>
  <c r="E161" i="1"/>
  <c r="J161" i="1" s="1"/>
  <c r="D161" i="1"/>
  <c r="K161" i="1" s="1"/>
  <c r="L161" i="1" s="1"/>
  <c r="C161" i="1"/>
  <c r="AJ161" i="1" s="1"/>
  <c r="B161" i="1"/>
  <c r="AH160" i="1"/>
  <c r="AD160" i="1"/>
  <c r="AC160" i="1"/>
  <c r="AB160" i="1"/>
  <c r="AL160" i="1" s="1"/>
  <c r="AA160" i="1"/>
  <c r="Z160" i="1"/>
  <c r="X160" i="1"/>
  <c r="W160" i="1"/>
  <c r="V160" i="1"/>
  <c r="U160" i="1"/>
  <c r="T160" i="1"/>
  <c r="N160" i="1" s="1"/>
  <c r="S160" i="1"/>
  <c r="R160" i="1"/>
  <c r="Q160" i="1"/>
  <c r="AM160" i="1" s="1"/>
  <c r="AN160" i="1" s="1"/>
  <c r="P160" i="1"/>
  <c r="O160" i="1"/>
  <c r="M160" i="1"/>
  <c r="G160" i="1"/>
  <c r="H160" i="1" s="1"/>
  <c r="F160" i="1"/>
  <c r="K160" i="1" s="1"/>
  <c r="L160" i="1" s="1"/>
  <c r="E160" i="1"/>
  <c r="J160" i="1" s="1"/>
  <c r="D160" i="1"/>
  <c r="I160" i="1" s="1"/>
  <c r="C160" i="1"/>
  <c r="AJ160" i="1" s="1"/>
  <c r="B160" i="1"/>
  <c r="AD159" i="1"/>
  <c r="AM159" i="1" s="1"/>
  <c r="AC159" i="1"/>
  <c r="AB159" i="1"/>
  <c r="AA159" i="1"/>
  <c r="Z159" i="1"/>
  <c r="AH159" i="1" s="1"/>
  <c r="X159" i="1"/>
  <c r="W159" i="1"/>
  <c r="V159" i="1"/>
  <c r="U159" i="1"/>
  <c r="T159" i="1"/>
  <c r="S159" i="1"/>
  <c r="R159" i="1"/>
  <c r="Q159" i="1"/>
  <c r="P159" i="1"/>
  <c r="O159" i="1"/>
  <c r="M159" i="1"/>
  <c r="N159" i="1" s="1"/>
  <c r="G159" i="1"/>
  <c r="H159" i="1" s="1"/>
  <c r="F159" i="1"/>
  <c r="K159" i="1" s="1"/>
  <c r="L159" i="1" s="1"/>
  <c r="E159" i="1"/>
  <c r="J159" i="1" s="1"/>
  <c r="D159" i="1"/>
  <c r="I159" i="1" s="1"/>
  <c r="C159" i="1"/>
  <c r="AJ159" i="1" s="1"/>
  <c r="B159" i="1"/>
  <c r="AJ158" i="1"/>
  <c r="AD158" i="1"/>
  <c r="AC158" i="1"/>
  <c r="AB158" i="1"/>
  <c r="AA158" i="1"/>
  <c r="AL158" i="1" s="1"/>
  <c r="Z158" i="1"/>
  <c r="AH158" i="1" s="1"/>
  <c r="X158" i="1"/>
  <c r="W158" i="1"/>
  <c r="V158" i="1"/>
  <c r="AM158" i="1" s="1"/>
  <c r="AN158" i="1" s="1"/>
  <c r="U158" i="1"/>
  <c r="T158" i="1"/>
  <c r="S158" i="1"/>
  <c r="R158" i="1"/>
  <c r="Q158" i="1"/>
  <c r="P158" i="1"/>
  <c r="O158" i="1"/>
  <c r="M158" i="1"/>
  <c r="N158" i="1" s="1"/>
  <c r="J158" i="1"/>
  <c r="H158" i="1"/>
  <c r="G158" i="1"/>
  <c r="F158" i="1"/>
  <c r="K158" i="1" s="1"/>
  <c r="L158" i="1" s="1"/>
  <c r="E158" i="1"/>
  <c r="D158" i="1"/>
  <c r="C158" i="1"/>
  <c r="B158" i="1"/>
  <c r="AD157" i="1"/>
  <c r="AM157" i="1" s="1"/>
  <c r="AC157" i="1"/>
  <c r="AB157" i="1"/>
  <c r="AA157" i="1"/>
  <c r="AL157" i="1" s="1"/>
  <c r="Z157" i="1"/>
  <c r="AH157" i="1" s="1"/>
  <c r="X157" i="1"/>
  <c r="W157" i="1"/>
  <c r="V157" i="1"/>
  <c r="U157" i="1"/>
  <c r="T157" i="1"/>
  <c r="S157" i="1"/>
  <c r="R157" i="1"/>
  <c r="Q157" i="1"/>
  <c r="P157" i="1"/>
  <c r="O157" i="1"/>
  <c r="M157" i="1"/>
  <c r="N157" i="1" s="1"/>
  <c r="K157" i="1"/>
  <c r="L157" i="1" s="1"/>
  <c r="J157" i="1"/>
  <c r="H157" i="1"/>
  <c r="G157" i="1"/>
  <c r="F157" i="1"/>
  <c r="E157" i="1"/>
  <c r="D157" i="1"/>
  <c r="I157" i="1" s="1"/>
  <c r="C157" i="1"/>
  <c r="AJ157" i="1" s="1"/>
  <c r="B157" i="1"/>
  <c r="AD156" i="1"/>
  <c r="AM156" i="1" s="1"/>
  <c r="AC156" i="1"/>
  <c r="AB156" i="1"/>
  <c r="AA156" i="1"/>
  <c r="AL156" i="1" s="1"/>
  <c r="Z156" i="1"/>
  <c r="AH156" i="1" s="1"/>
  <c r="X156" i="1"/>
  <c r="W156" i="1"/>
  <c r="V156" i="1"/>
  <c r="U156" i="1"/>
  <c r="T156" i="1"/>
  <c r="S156" i="1"/>
  <c r="R156" i="1"/>
  <c r="Q156" i="1"/>
  <c r="P156" i="1"/>
  <c r="O156" i="1"/>
  <c r="M156" i="1"/>
  <c r="N156" i="1" s="1"/>
  <c r="J156" i="1"/>
  <c r="G156" i="1"/>
  <c r="H156" i="1" s="1"/>
  <c r="F156" i="1"/>
  <c r="K156" i="1" s="1"/>
  <c r="L156" i="1" s="1"/>
  <c r="E156" i="1"/>
  <c r="D156" i="1"/>
  <c r="C156" i="1"/>
  <c r="AJ156" i="1" s="1"/>
  <c r="B156" i="1"/>
  <c r="AJ155" i="1"/>
  <c r="AH155" i="1"/>
  <c r="AE155" i="1"/>
  <c r="AD155" i="1"/>
  <c r="AM155" i="1" s="1"/>
  <c r="AC155" i="1"/>
  <c r="AB155" i="1"/>
  <c r="AL155" i="1" s="1"/>
  <c r="AA155" i="1"/>
  <c r="Z155" i="1"/>
  <c r="X155" i="1"/>
  <c r="W155" i="1"/>
  <c r="V155" i="1"/>
  <c r="U155" i="1"/>
  <c r="T155" i="1"/>
  <c r="S155" i="1"/>
  <c r="R155" i="1"/>
  <c r="Q155" i="1"/>
  <c r="P155" i="1"/>
  <c r="O155" i="1"/>
  <c r="N155" i="1" s="1"/>
  <c r="M155" i="1"/>
  <c r="L155" i="1"/>
  <c r="K155" i="1"/>
  <c r="G155" i="1"/>
  <c r="F155" i="1"/>
  <c r="I155" i="1" s="1"/>
  <c r="E155" i="1"/>
  <c r="J155" i="1" s="1"/>
  <c r="D155" i="1"/>
  <c r="C155" i="1"/>
  <c r="B155" i="1"/>
  <c r="AL154" i="1"/>
  <c r="AJ154" i="1"/>
  <c r="AH154" i="1"/>
  <c r="AE154" i="1"/>
  <c r="AD154" i="1"/>
  <c r="AM154" i="1" s="1"/>
  <c r="AN154" i="1" s="1"/>
  <c r="AC154" i="1"/>
  <c r="AB154" i="1"/>
  <c r="AA154" i="1"/>
  <c r="Z154" i="1"/>
  <c r="X154" i="1"/>
  <c r="W154" i="1"/>
  <c r="V154" i="1"/>
  <c r="U154" i="1"/>
  <c r="T154" i="1"/>
  <c r="S154" i="1"/>
  <c r="R154" i="1"/>
  <c r="Q154" i="1"/>
  <c r="P154" i="1"/>
  <c r="N154" i="1" s="1"/>
  <c r="O154" i="1"/>
  <c r="M154" i="1"/>
  <c r="K154" i="1"/>
  <c r="L154" i="1" s="1"/>
  <c r="G154" i="1"/>
  <c r="J154" i="1" s="1"/>
  <c r="F154" i="1"/>
  <c r="I154" i="1" s="1"/>
  <c r="E154" i="1"/>
  <c r="D154" i="1"/>
  <c r="C154" i="1"/>
  <c r="B154" i="1"/>
  <c r="AM153" i="1"/>
  <c r="AD153" i="1"/>
  <c r="AC153" i="1"/>
  <c r="AB153" i="1"/>
  <c r="AA153" i="1"/>
  <c r="AL153" i="1" s="1"/>
  <c r="AN153" i="1" s="1"/>
  <c r="Z153" i="1"/>
  <c r="AH153" i="1" s="1"/>
  <c r="X153" i="1"/>
  <c r="W153" i="1"/>
  <c r="V153" i="1"/>
  <c r="U153" i="1"/>
  <c r="T153" i="1"/>
  <c r="S153" i="1"/>
  <c r="R153" i="1"/>
  <c r="Q153" i="1"/>
  <c r="P153" i="1"/>
  <c r="O153" i="1"/>
  <c r="M153" i="1"/>
  <c r="N153" i="1" s="1"/>
  <c r="I153" i="1"/>
  <c r="G153" i="1"/>
  <c r="H153" i="1" s="1"/>
  <c r="F153" i="1"/>
  <c r="E153" i="1"/>
  <c r="J153" i="1" s="1"/>
  <c r="D153" i="1"/>
  <c r="K153" i="1" s="1"/>
  <c r="L153" i="1" s="1"/>
  <c r="C153" i="1"/>
  <c r="AJ153" i="1" s="1"/>
  <c r="B153" i="1"/>
  <c r="AM152" i="1"/>
  <c r="AN152" i="1" s="1"/>
  <c r="AH152" i="1"/>
  <c r="AD152" i="1"/>
  <c r="AC152" i="1"/>
  <c r="AB152" i="1"/>
  <c r="AL152" i="1" s="1"/>
  <c r="AA152" i="1"/>
  <c r="Z152" i="1"/>
  <c r="X152" i="1"/>
  <c r="W152" i="1"/>
  <c r="V152" i="1"/>
  <c r="U152" i="1"/>
  <c r="T152" i="1"/>
  <c r="S152" i="1"/>
  <c r="R152" i="1"/>
  <c r="Q152" i="1"/>
  <c r="N152" i="1" s="1"/>
  <c r="P152" i="1"/>
  <c r="O152" i="1"/>
  <c r="M152" i="1"/>
  <c r="G152" i="1"/>
  <c r="H152" i="1" s="1"/>
  <c r="F152" i="1"/>
  <c r="E152" i="1"/>
  <c r="J152" i="1" s="1"/>
  <c r="D152" i="1"/>
  <c r="K152" i="1" s="1"/>
  <c r="L152" i="1" s="1"/>
  <c r="C152" i="1"/>
  <c r="AJ152" i="1" s="1"/>
  <c r="B152" i="1"/>
  <c r="AD151" i="1"/>
  <c r="AM151" i="1" s="1"/>
  <c r="AC151" i="1"/>
  <c r="AB151" i="1"/>
  <c r="AE151" i="1" s="1"/>
  <c r="AA151" i="1"/>
  <c r="Z151" i="1"/>
  <c r="AH151" i="1" s="1"/>
  <c r="X151" i="1"/>
  <c r="W151" i="1"/>
  <c r="V151" i="1"/>
  <c r="U151" i="1"/>
  <c r="T151" i="1"/>
  <c r="S151" i="1"/>
  <c r="R151" i="1"/>
  <c r="Q151" i="1"/>
  <c r="P151" i="1"/>
  <c r="O151" i="1"/>
  <c r="M151" i="1"/>
  <c r="N151" i="1" s="1"/>
  <c r="G151" i="1"/>
  <c r="H151" i="1" s="1"/>
  <c r="F151" i="1"/>
  <c r="K151" i="1" s="1"/>
  <c r="L151" i="1" s="1"/>
  <c r="E151" i="1"/>
  <c r="J151" i="1" s="1"/>
  <c r="D151" i="1"/>
  <c r="I151" i="1" s="1"/>
  <c r="C151" i="1"/>
  <c r="AJ151" i="1" s="1"/>
  <c r="B151" i="1"/>
  <c r="AD150" i="1"/>
  <c r="AC150" i="1"/>
  <c r="AB150" i="1"/>
  <c r="AA150" i="1"/>
  <c r="AL150" i="1" s="1"/>
  <c r="Z150" i="1"/>
  <c r="AH150" i="1" s="1"/>
  <c r="X150" i="1"/>
  <c r="W150" i="1"/>
  <c r="V150" i="1"/>
  <c r="U150" i="1"/>
  <c r="T150" i="1"/>
  <c r="S150" i="1"/>
  <c r="R150" i="1"/>
  <c r="Q150" i="1"/>
  <c r="P150" i="1"/>
  <c r="O150" i="1"/>
  <c r="AM150" i="1" s="1"/>
  <c r="M150" i="1"/>
  <c r="N150" i="1" s="1"/>
  <c r="I150" i="1"/>
  <c r="H150" i="1"/>
  <c r="G150" i="1"/>
  <c r="F150" i="1"/>
  <c r="K150" i="1" s="1"/>
  <c r="L150" i="1" s="1"/>
  <c r="E150" i="1"/>
  <c r="J150" i="1" s="1"/>
  <c r="D150" i="1"/>
  <c r="C150" i="1"/>
  <c r="AJ150" i="1" s="1"/>
  <c r="B150" i="1"/>
  <c r="AD149" i="1"/>
  <c r="AM149" i="1" s="1"/>
  <c r="AC149" i="1"/>
  <c r="AB149" i="1"/>
  <c r="AA149" i="1"/>
  <c r="AL149" i="1" s="1"/>
  <c r="Z149" i="1"/>
  <c r="AH149" i="1" s="1"/>
  <c r="X149" i="1"/>
  <c r="W149" i="1"/>
  <c r="V149" i="1"/>
  <c r="U149" i="1"/>
  <c r="T149" i="1"/>
  <c r="S149" i="1"/>
  <c r="R149" i="1"/>
  <c r="Q149" i="1"/>
  <c r="P149" i="1"/>
  <c r="O149" i="1"/>
  <c r="M149" i="1"/>
  <c r="N149" i="1" s="1"/>
  <c r="K149" i="1"/>
  <c r="L149" i="1" s="1"/>
  <c r="J149" i="1"/>
  <c r="G149" i="1"/>
  <c r="H149" i="1" s="1"/>
  <c r="F149" i="1"/>
  <c r="E149" i="1"/>
  <c r="D149" i="1"/>
  <c r="I149" i="1" s="1"/>
  <c r="C149" i="1"/>
  <c r="AJ149" i="1" s="1"/>
  <c r="B149" i="1"/>
  <c r="AD148" i="1"/>
  <c r="AM148" i="1" s="1"/>
  <c r="AC148" i="1"/>
  <c r="AB148" i="1"/>
  <c r="AA148" i="1"/>
  <c r="AL148" i="1" s="1"/>
  <c r="Z148" i="1"/>
  <c r="AH148" i="1" s="1"/>
  <c r="X148" i="1"/>
  <c r="W148" i="1"/>
  <c r="V148" i="1"/>
  <c r="U148" i="1"/>
  <c r="T148" i="1"/>
  <c r="S148" i="1"/>
  <c r="R148" i="1"/>
  <c r="Q148" i="1"/>
  <c r="P148" i="1"/>
  <c r="O148" i="1"/>
  <c r="M148" i="1"/>
  <c r="N148" i="1" s="1"/>
  <c r="J148" i="1"/>
  <c r="I148" i="1"/>
  <c r="G148" i="1"/>
  <c r="H148" i="1" s="1"/>
  <c r="F148" i="1"/>
  <c r="K148" i="1" s="1"/>
  <c r="L148" i="1" s="1"/>
  <c r="E148" i="1"/>
  <c r="D148" i="1"/>
  <c r="C148" i="1"/>
  <c r="AJ148" i="1" s="1"/>
  <c r="B148" i="1"/>
  <c r="AJ147" i="1"/>
  <c r="AH147" i="1"/>
  <c r="AD147" i="1"/>
  <c r="AM147" i="1" s="1"/>
  <c r="AC147" i="1"/>
  <c r="AB147" i="1"/>
  <c r="AE147" i="1" s="1"/>
  <c r="AA147" i="1"/>
  <c r="Z147" i="1"/>
  <c r="X147" i="1"/>
  <c r="W147" i="1"/>
  <c r="V147" i="1"/>
  <c r="U147" i="1"/>
  <c r="T147" i="1"/>
  <c r="S147" i="1"/>
  <c r="R147" i="1"/>
  <c r="Q147" i="1"/>
  <c r="P147" i="1"/>
  <c r="O147" i="1"/>
  <c r="N147" i="1" s="1"/>
  <c r="M147" i="1"/>
  <c r="K147" i="1"/>
  <c r="L147" i="1" s="1"/>
  <c r="I147" i="1"/>
  <c r="G147" i="1"/>
  <c r="F147" i="1"/>
  <c r="E147" i="1"/>
  <c r="J147" i="1" s="1"/>
  <c r="D147" i="1"/>
  <c r="C147" i="1"/>
  <c r="B147" i="1"/>
  <c r="AL146" i="1"/>
  <c r="AH146" i="1"/>
  <c r="AD146" i="1"/>
  <c r="AM146" i="1" s="1"/>
  <c r="AN146" i="1" s="1"/>
  <c r="AC146" i="1"/>
  <c r="AB146" i="1"/>
  <c r="AE146" i="1" s="1"/>
  <c r="AA146" i="1"/>
  <c r="Z146" i="1"/>
  <c r="X146" i="1"/>
  <c r="W146" i="1"/>
  <c r="V146" i="1"/>
  <c r="U146" i="1"/>
  <c r="T146" i="1"/>
  <c r="S146" i="1"/>
  <c r="R146" i="1"/>
  <c r="Q146" i="1"/>
  <c r="P146" i="1"/>
  <c r="O146" i="1"/>
  <c r="M146" i="1"/>
  <c r="N146" i="1" s="1"/>
  <c r="K146" i="1"/>
  <c r="L146" i="1" s="1"/>
  <c r="I146" i="1"/>
  <c r="G146" i="1"/>
  <c r="J146" i="1" s="1"/>
  <c r="F146" i="1"/>
  <c r="E146" i="1"/>
  <c r="D146" i="1"/>
  <c r="C146" i="1"/>
  <c r="AJ146" i="1" s="1"/>
  <c r="B146" i="1"/>
  <c r="AD145" i="1"/>
  <c r="AC145" i="1"/>
  <c r="AL145" i="1" s="1"/>
  <c r="AB145" i="1"/>
  <c r="AA145" i="1"/>
  <c r="AE145" i="1" s="1"/>
  <c r="Z145" i="1"/>
  <c r="AH145" i="1" s="1"/>
  <c r="X145" i="1"/>
  <c r="W145" i="1"/>
  <c r="V145" i="1"/>
  <c r="U145" i="1"/>
  <c r="T145" i="1"/>
  <c r="S145" i="1"/>
  <c r="R145" i="1"/>
  <c r="Q145" i="1"/>
  <c r="P145" i="1"/>
  <c r="O145" i="1"/>
  <c r="AM145" i="1" s="1"/>
  <c r="AN145" i="1" s="1"/>
  <c r="M145" i="1"/>
  <c r="N145" i="1" s="1"/>
  <c r="I145" i="1"/>
  <c r="G145" i="1"/>
  <c r="H145" i="1" s="1"/>
  <c r="F145" i="1"/>
  <c r="E145" i="1"/>
  <c r="J145" i="1" s="1"/>
  <c r="D145" i="1"/>
  <c r="K145" i="1" s="1"/>
  <c r="L145" i="1" s="1"/>
  <c r="C145" i="1"/>
  <c r="AJ145" i="1" s="1"/>
  <c r="B145" i="1"/>
  <c r="AH144" i="1"/>
  <c r="AD144" i="1"/>
  <c r="AC144" i="1"/>
  <c r="AB144" i="1"/>
  <c r="AL144" i="1" s="1"/>
  <c r="AA144" i="1"/>
  <c r="Z144" i="1"/>
  <c r="X144" i="1"/>
  <c r="W144" i="1"/>
  <c r="V144" i="1"/>
  <c r="U144" i="1"/>
  <c r="T144" i="1"/>
  <c r="S144" i="1"/>
  <c r="R144" i="1"/>
  <c r="Q144" i="1"/>
  <c r="P144" i="1"/>
  <c r="O144" i="1"/>
  <c r="AM144" i="1" s="1"/>
  <c r="AN144" i="1" s="1"/>
  <c r="M144" i="1"/>
  <c r="K144" i="1"/>
  <c r="L144" i="1" s="1"/>
  <c r="G144" i="1"/>
  <c r="H144" i="1" s="1"/>
  <c r="F144" i="1"/>
  <c r="E144" i="1"/>
  <c r="J144" i="1" s="1"/>
  <c r="D144" i="1"/>
  <c r="I144" i="1" s="1"/>
  <c r="C144" i="1"/>
  <c r="AJ144" i="1" s="1"/>
  <c r="B144" i="1"/>
  <c r="AD143" i="1"/>
  <c r="AM143" i="1" s="1"/>
  <c r="AC143" i="1"/>
  <c r="AB143" i="1"/>
  <c r="AE143" i="1" s="1"/>
  <c r="AA143" i="1"/>
  <c r="Z143" i="1"/>
  <c r="AH143" i="1" s="1"/>
  <c r="X143" i="1"/>
  <c r="W143" i="1"/>
  <c r="V143" i="1"/>
  <c r="U143" i="1"/>
  <c r="T143" i="1"/>
  <c r="S143" i="1"/>
  <c r="R143" i="1"/>
  <c r="Q143" i="1"/>
  <c r="P143" i="1"/>
  <c r="O143" i="1"/>
  <c r="M143" i="1"/>
  <c r="N143" i="1" s="1"/>
  <c r="G143" i="1"/>
  <c r="H143" i="1" s="1"/>
  <c r="F143" i="1"/>
  <c r="K143" i="1" s="1"/>
  <c r="L143" i="1" s="1"/>
  <c r="E143" i="1"/>
  <c r="J143" i="1" s="1"/>
  <c r="D143" i="1"/>
  <c r="C143" i="1"/>
  <c r="AJ143" i="1" s="1"/>
  <c r="B143" i="1"/>
  <c r="AD142" i="1"/>
  <c r="AM142" i="1" s="1"/>
  <c r="AN142" i="1" s="1"/>
  <c r="AC142" i="1"/>
  <c r="AB142" i="1"/>
  <c r="AA142" i="1"/>
  <c r="AL142" i="1" s="1"/>
  <c r="Z142" i="1"/>
  <c r="AH142" i="1" s="1"/>
  <c r="X142" i="1"/>
  <c r="W142" i="1"/>
  <c r="V142" i="1"/>
  <c r="U142" i="1"/>
  <c r="T142" i="1"/>
  <c r="S142" i="1"/>
  <c r="R142" i="1"/>
  <c r="Q142" i="1"/>
  <c r="P142" i="1"/>
  <c r="O142" i="1"/>
  <c r="M142" i="1"/>
  <c r="N142" i="1" s="1"/>
  <c r="K142" i="1"/>
  <c r="L142" i="1" s="1"/>
  <c r="I142" i="1"/>
  <c r="G142" i="1"/>
  <c r="F142" i="1"/>
  <c r="E142" i="1"/>
  <c r="H142" i="1" s="1"/>
  <c r="D142" i="1"/>
  <c r="C142" i="1"/>
  <c r="AJ142" i="1" s="1"/>
  <c r="B142" i="1"/>
  <c r="AD141" i="1"/>
  <c r="AM141" i="1" s="1"/>
  <c r="AC141" i="1"/>
  <c r="AB141" i="1"/>
  <c r="AL141" i="1" s="1"/>
  <c r="AA141" i="1"/>
  <c r="AE141" i="1" s="1"/>
  <c r="Z141" i="1"/>
  <c r="AH141" i="1" s="1"/>
  <c r="X141" i="1"/>
  <c r="W141" i="1"/>
  <c r="V141" i="1"/>
  <c r="U141" i="1"/>
  <c r="T141" i="1"/>
  <c r="S141" i="1"/>
  <c r="R141" i="1"/>
  <c r="Q141" i="1"/>
  <c r="P141" i="1"/>
  <c r="O141" i="1"/>
  <c r="M141" i="1"/>
  <c r="N141" i="1" s="1"/>
  <c r="K141" i="1"/>
  <c r="L141" i="1" s="1"/>
  <c r="G141" i="1"/>
  <c r="H141" i="1" s="1"/>
  <c r="F141" i="1"/>
  <c r="E141" i="1"/>
  <c r="J141" i="1" s="1"/>
  <c r="D141" i="1"/>
  <c r="I141" i="1" s="1"/>
  <c r="C141" i="1"/>
  <c r="AJ141" i="1" s="1"/>
  <c r="B141" i="1"/>
  <c r="AD140" i="1"/>
  <c r="AM140" i="1" s="1"/>
  <c r="AC140" i="1"/>
  <c r="AB140" i="1"/>
  <c r="AA140" i="1"/>
  <c r="AL140" i="1" s="1"/>
  <c r="Z140" i="1"/>
  <c r="AH140" i="1" s="1"/>
  <c r="X140" i="1"/>
  <c r="W140" i="1"/>
  <c r="V140" i="1"/>
  <c r="U140" i="1"/>
  <c r="T140" i="1"/>
  <c r="S140" i="1"/>
  <c r="R140" i="1"/>
  <c r="Q140" i="1"/>
  <c r="P140" i="1"/>
  <c r="O140" i="1"/>
  <c r="M140" i="1"/>
  <c r="N140" i="1" s="1"/>
  <c r="I140" i="1"/>
  <c r="G140" i="1"/>
  <c r="J140" i="1" s="1"/>
  <c r="F140" i="1"/>
  <c r="K140" i="1" s="1"/>
  <c r="L140" i="1" s="1"/>
  <c r="E140" i="1"/>
  <c r="D140" i="1"/>
  <c r="C140" i="1"/>
  <c r="AJ140" i="1" s="1"/>
  <c r="B140" i="1"/>
  <c r="AH139" i="1"/>
  <c r="AD139" i="1"/>
  <c r="AM139" i="1" s="1"/>
  <c r="AC139" i="1"/>
  <c r="AB139" i="1"/>
  <c r="AE139" i="1" s="1"/>
  <c r="AA139" i="1"/>
  <c r="Z139" i="1"/>
  <c r="X139" i="1"/>
  <c r="W139" i="1"/>
  <c r="V139" i="1"/>
  <c r="U139" i="1"/>
  <c r="T139" i="1"/>
  <c r="S139" i="1"/>
  <c r="R139" i="1"/>
  <c r="Q139" i="1"/>
  <c r="P139" i="1"/>
  <c r="O139" i="1"/>
  <c r="N139" i="1" s="1"/>
  <c r="M139" i="1"/>
  <c r="K139" i="1"/>
  <c r="L139" i="1" s="1"/>
  <c r="I139" i="1"/>
  <c r="G139" i="1"/>
  <c r="F139" i="1"/>
  <c r="E139" i="1"/>
  <c r="J139" i="1" s="1"/>
  <c r="D139" i="1"/>
  <c r="C139" i="1"/>
  <c r="AJ139" i="1" s="1"/>
  <c r="B139" i="1"/>
  <c r="AL138" i="1"/>
  <c r="AH138" i="1"/>
  <c r="AD138" i="1"/>
  <c r="AM138" i="1" s="1"/>
  <c r="AN138" i="1" s="1"/>
  <c r="AC138" i="1"/>
  <c r="AB138" i="1"/>
  <c r="AE138" i="1" s="1"/>
  <c r="AA138" i="1"/>
  <c r="Z138" i="1"/>
  <c r="X138" i="1"/>
  <c r="W138" i="1"/>
  <c r="V138" i="1"/>
  <c r="U138" i="1"/>
  <c r="T138" i="1"/>
  <c r="S138" i="1"/>
  <c r="R138" i="1"/>
  <c r="Q138" i="1"/>
  <c r="P138" i="1"/>
  <c r="O138" i="1"/>
  <c r="M138" i="1"/>
  <c r="N138" i="1" s="1"/>
  <c r="K138" i="1"/>
  <c r="L138" i="1" s="1"/>
  <c r="I138" i="1"/>
  <c r="G138" i="1"/>
  <c r="H138" i="1" s="1"/>
  <c r="F138" i="1"/>
  <c r="E138" i="1"/>
  <c r="J138" i="1" s="1"/>
  <c r="D138" i="1"/>
  <c r="C138" i="1"/>
  <c r="AJ138" i="1" s="1"/>
  <c r="B138" i="1"/>
  <c r="AD137" i="1"/>
  <c r="AM137" i="1" s="1"/>
  <c r="AC137" i="1"/>
  <c r="AB137" i="1"/>
  <c r="AL137" i="1" s="1"/>
  <c r="AA137" i="1"/>
  <c r="AE137" i="1" s="1"/>
  <c r="Z137" i="1"/>
  <c r="AH137" i="1" s="1"/>
  <c r="X137" i="1"/>
  <c r="W137" i="1"/>
  <c r="V137" i="1"/>
  <c r="U137" i="1"/>
  <c r="T137" i="1"/>
  <c r="S137" i="1"/>
  <c r="R137" i="1"/>
  <c r="Q137" i="1"/>
  <c r="P137" i="1"/>
  <c r="O137" i="1"/>
  <c r="M137" i="1"/>
  <c r="N137" i="1" s="1"/>
  <c r="K137" i="1"/>
  <c r="L137" i="1" s="1"/>
  <c r="I137" i="1"/>
  <c r="G137" i="1"/>
  <c r="H137" i="1" s="1"/>
  <c r="F137" i="1"/>
  <c r="E137" i="1"/>
  <c r="J137" i="1" s="1"/>
  <c r="D137" i="1"/>
  <c r="C137" i="1"/>
  <c r="AJ137" i="1" s="1"/>
  <c r="B137" i="1"/>
  <c r="AH136" i="1"/>
  <c r="AD136" i="1"/>
  <c r="AC136" i="1"/>
  <c r="AB136" i="1"/>
  <c r="AL136" i="1" s="1"/>
  <c r="AA136" i="1"/>
  <c r="Z136" i="1"/>
  <c r="X136" i="1"/>
  <c r="W136" i="1"/>
  <c r="V136" i="1"/>
  <c r="U136" i="1"/>
  <c r="T136" i="1"/>
  <c r="S136" i="1"/>
  <c r="R136" i="1"/>
  <c r="Q136" i="1"/>
  <c r="P136" i="1"/>
  <c r="O136" i="1"/>
  <c r="AM136" i="1" s="1"/>
  <c r="AN136" i="1" s="1"/>
  <c r="M136" i="1"/>
  <c r="N136" i="1" s="1"/>
  <c r="K136" i="1"/>
  <c r="L136" i="1" s="1"/>
  <c r="G136" i="1"/>
  <c r="H136" i="1" s="1"/>
  <c r="F136" i="1"/>
  <c r="E136" i="1"/>
  <c r="J136" i="1" s="1"/>
  <c r="D136" i="1"/>
  <c r="I136" i="1" s="1"/>
  <c r="C136" i="1"/>
  <c r="AJ136" i="1" s="1"/>
  <c r="B136" i="1"/>
  <c r="AJ135" i="1"/>
  <c r="AH135" i="1"/>
  <c r="AD135" i="1"/>
  <c r="AC135" i="1"/>
  <c r="AB135" i="1"/>
  <c r="AA135" i="1"/>
  <c r="AL135" i="1" s="1"/>
  <c r="Z135" i="1"/>
  <c r="X135" i="1"/>
  <c r="W135" i="1"/>
  <c r="V135" i="1"/>
  <c r="AM135" i="1" s="1"/>
  <c r="U135" i="1"/>
  <c r="T135" i="1"/>
  <c r="S135" i="1"/>
  <c r="R135" i="1"/>
  <c r="Q135" i="1"/>
  <c r="P135" i="1"/>
  <c r="O135" i="1"/>
  <c r="N135" i="1" s="1"/>
  <c r="M135" i="1"/>
  <c r="H135" i="1"/>
  <c r="G135" i="1"/>
  <c r="F135" i="1"/>
  <c r="K135" i="1" s="1"/>
  <c r="L135" i="1" s="1"/>
  <c r="E135" i="1"/>
  <c r="J135" i="1" s="1"/>
  <c r="D135" i="1"/>
  <c r="I135" i="1" s="1"/>
  <c r="C135" i="1"/>
  <c r="B135" i="1"/>
  <c r="AM134" i="1"/>
  <c r="AJ134" i="1"/>
  <c r="AE134" i="1"/>
  <c r="AD134" i="1"/>
  <c r="AC134" i="1"/>
  <c r="AB134" i="1"/>
  <c r="AA134" i="1"/>
  <c r="AL134" i="1" s="1"/>
  <c r="Z134" i="1"/>
  <c r="AH134" i="1" s="1"/>
  <c r="X134" i="1"/>
  <c r="W134" i="1"/>
  <c r="V134" i="1"/>
  <c r="U134" i="1"/>
  <c r="T134" i="1"/>
  <c r="N134" i="1" s="1"/>
  <c r="S134" i="1"/>
  <c r="R134" i="1"/>
  <c r="Q134" i="1"/>
  <c r="P134" i="1"/>
  <c r="O134" i="1"/>
  <c r="M134" i="1"/>
  <c r="J134" i="1"/>
  <c r="H134" i="1"/>
  <c r="G134" i="1"/>
  <c r="F134" i="1"/>
  <c r="K134" i="1" s="1"/>
  <c r="L134" i="1" s="1"/>
  <c r="E134" i="1"/>
  <c r="D134" i="1"/>
  <c r="I134" i="1" s="1"/>
  <c r="C134" i="1"/>
  <c r="B134" i="1"/>
  <c r="AJ133" i="1"/>
  <c r="AD133" i="1"/>
  <c r="AC133" i="1"/>
  <c r="AB133" i="1"/>
  <c r="AA133" i="1"/>
  <c r="AL133" i="1" s="1"/>
  <c r="Z133" i="1"/>
  <c r="AH133" i="1" s="1"/>
  <c r="X133" i="1"/>
  <c r="W133" i="1"/>
  <c r="V133" i="1"/>
  <c r="U133" i="1"/>
  <c r="T133" i="1"/>
  <c r="S133" i="1"/>
  <c r="R133" i="1"/>
  <c r="Q133" i="1"/>
  <c r="P133" i="1"/>
  <c r="AM133" i="1" s="1"/>
  <c r="O133" i="1"/>
  <c r="M133" i="1"/>
  <c r="J133" i="1"/>
  <c r="G133" i="1"/>
  <c r="H133" i="1" s="1"/>
  <c r="F133" i="1"/>
  <c r="K133" i="1" s="1"/>
  <c r="L133" i="1" s="1"/>
  <c r="E133" i="1"/>
  <c r="D133" i="1"/>
  <c r="I133" i="1" s="1"/>
  <c r="C133" i="1"/>
  <c r="B133" i="1"/>
  <c r="AJ132" i="1"/>
  <c r="AD132" i="1"/>
  <c r="AC132" i="1"/>
  <c r="AE132" i="1" s="1"/>
  <c r="AB132" i="1"/>
  <c r="AA132" i="1"/>
  <c r="AL132" i="1" s="1"/>
  <c r="Z132" i="1"/>
  <c r="AH132" i="1" s="1"/>
  <c r="X132" i="1"/>
  <c r="W132" i="1"/>
  <c r="V132" i="1"/>
  <c r="AM132" i="1" s="1"/>
  <c r="U132" i="1"/>
  <c r="T132" i="1"/>
  <c r="S132" i="1"/>
  <c r="R132" i="1"/>
  <c r="N132" i="1" s="1"/>
  <c r="Q132" i="1"/>
  <c r="P132" i="1"/>
  <c r="O132" i="1"/>
  <c r="M132" i="1"/>
  <c r="H132" i="1"/>
  <c r="G132" i="1"/>
  <c r="F132" i="1"/>
  <c r="K132" i="1" s="1"/>
  <c r="L132" i="1" s="1"/>
  <c r="E132" i="1"/>
  <c r="J132" i="1" s="1"/>
  <c r="D132" i="1"/>
  <c r="C132" i="1"/>
  <c r="B132" i="1"/>
  <c r="AJ131" i="1"/>
  <c r="AH131" i="1"/>
  <c r="AD131" i="1"/>
  <c r="AM131" i="1" s="1"/>
  <c r="AC131" i="1"/>
  <c r="AB131" i="1"/>
  <c r="AA131" i="1"/>
  <c r="AL131" i="1" s="1"/>
  <c r="Z131" i="1"/>
  <c r="X131" i="1"/>
  <c r="W131" i="1"/>
  <c r="V131" i="1"/>
  <c r="U131" i="1"/>
  <c r="T131" i="1"/>
  <c r="N131" i="1" s="1"/>
  <c r="S131" i="1"/>
  <c r="R131" i="1"/>
  <c r="Q131" i="1"/>
  <c r="P131" i="1"/>
  <c r="O131" i="1"/>
  <c r="M131" i="1"/>
  <c r="J131" i="1"/>
  <c r="H131" i="1"/>
  <c r="G131" i="1"/>
  <c r="F131" i="1"/>
  <c r="E131" i="1"/>
  <c r="D131" i="1"/>
  <c r="K131" i="1" s="1"/>
  <c r="L131" i="1" s="1"/>
  <c r="C131" i="1"/>
  <c r="B131" i="1"/>
  <c r="AJ130" i="1"/>
  <c r="AH130" i="1"/>
  <c r="AD130" i="1"/>
  <c r="AC130" i="1"/>
  <c r="AB130" i="1"/>
  <c r="AA130" i="1"/>
  <c r="AE130" i="1" s="1"/>
  <c r="Z130" i="1"/>
  <c r="X130" i="1"/>
  <c r="W130" i="1"/>
  <c r="V130" i="1"/>
  <c r="U130" i="1"/>
  <c r="T130" i="1"/>
  <c r="S130" i="1"/>
  <c r="R130" i="1"/>
  <c r="Q130" i="1"/>
  <c r="P130" i="1"/>
  <c r="AM130" i="1" s="1"/>
  <c r="O130" i="1"/>
  <c r="M130" i="1"/>
  <c r="N130" i="1" s="1"/>
  <c r="J130" i="1"/>
  <c r="H130" i="1"/>
  <c r="G130" i="1"/>
  <c r="F130" i="1"/>
  <c r="K130" i="1" s="1"/>
  <c r="L130" i="1" s="1"/>
  <c r="E130" i="1"/>
  <c r="D130" i="1"/>
  <c r="C130" i="1"/>
  <c r="B130" i="1"/>
  <c r="AM129" i="1"/>
  <c r="AN129" i="1" s="1"/>
  <c r="AH129" i="1"/>
  <c r="AE129" i="1"/>
  <c r="AD129" i="1"/>
  <c r="AC129" i="1"/>
  <c r="AL129" i="1" s="1"/>
  <c r="AB129" i="1"/>
  <c r="AA129" i="1"/>
  <c r="Z129" i="1"/>
  <c r="X129" i="1"/>
  <c r="W129" i="1"/>
  <c r="V129" i="1"/>
  <c r="U129" i="1"/>
  <c r="T129" i="1"/>
  <c r="S129" i="1"/>
  <c r="R129" i="1"/>
  <c r="N129" i="1" s="1"/>
  <c r="Q129" i="1"/>
  <c r="P129" i="1"/>
  <c r="O129" i="1"/>
  <c r="M129" i="1"/>
  <c r="J129" i="1"/>
  <c r="H129" i="1"/>
  <c r="G129" i="1"/>
  <c r="F129" i="1"/>
  <c r="E129" i="1"/>
  <c r="D129" i="1"/>
  <c r="K129" i="1" s="1"/>
  <c r="L129" i="1" s="1"/>
  <c r="C129" i="1"/>
  <c r="AJ129" i="1" s="1"/>
  <c r="B129" i="1"/>
  <c r="AJ128" i="1"/>
  <c r="AD128" i="1"/>
  <c r="AM128" i="1" s="1"/>
  <c r="AC128" i="1"/>
  <c r="AB128" i="1"/>
  <c r="AA128" i="1"/>
  <c r="AL128" i="1" s="1"/>
  <c r="Z128" i="1"/>
  <c r="AH128" i="1" s="1"/>
  <c r="X128" i="1"/>
  <c r="W128" i="1"/>
  <c r="V128" i="1"/>
  <c r="U128" i="1"/>
  <c r="T128" i="1"/>
  <c r="S128" i="1"/>
  <c r="R128" i="1"/>
  <c r="Q128" i="1"/>
  <c r="P128" i="1"/>
  <c r="N128" i="1" s="1"/>
  <c r="O128" i="1"/>
  <c r="M128" i="1"/>
  <c r="J128" i="1"/>
  <c r="G128" i="1"/>
  <c r="F128" i="1"/>
  <c r="K128" i="1" s="1"/>
  <c r="L128" i="1" s="1"/>
  <c r="E128" i="1"/>
  <c r="H128" i="1" s="1"/>
  <c r="D128" i="1"/>
  <c r="I128" i="1" s="1"/>
  <c r="C128" i="1"/>
  <c r="B128" i="1"/>
  <c r="AJ127" i="1"/>
  <c r="AH127" i="1"/>
  <c r="AD127" i="1"/>
  <c r="AC127" i="1"/>
  <c r="AB127" i="1"/>
  <c r="AA127" i="1"/>
  <c r="AL127" i="1" s="1"/>
  <c r="Z127" i="1"/>
  <c r="X127" i="1"/>
  <c r="W127" i="1"/>
  <c r="V127" i="1"/>
  <c r="AM127" i="1" s="1"/>
  <c r="U127" i="1"/>
  <c r="T127" i="1"/>
  <c r="S127" i="1"/>
  <c r="R127" i="1"/>
  <c r="Q127" i="1"/>
  <c r="P127" i="1"/>
  <c r="O127" i="1"/>
  <c r="N127" i="1" s="1"/>
  <c r="M127" i="1"/>
  <c r="H127" i="1"/>
  <c r="G127" i="1"/>
  <c r="F127" i="1"/>
  <c r="K127" i="1" s="1"/>
  <c r="L127" i="1" s="1"/>
  <c r="E127" i="1"/>
  <c r="J127" i="1" s="1"/>
  <c r="D127" i="1"/>
  <c r="I127" i="1" s="1"/>
  <c r="C127" i="1"/>
  <c r="B127" i="1"/>
  <c r="AM126" i="1"/>
  <c r="AN126" i="1" s="1"/>
  <c r="AJ126" i="1"/>
  <c r="AE126" i="1"/>
  <c r="AD126" i="1"/>
  <c r="AC126" i="1"/>
  <c r="AB126" i="1"/>
  <c r="AA126" i="1"/>
  <c r="AL126" i="1" s="1"/>
  <c r="Z126" i="1"/>
  <c r="AH126" i="1" s="1"/>
  <c r="X126" i="1"/>
  <c r="W126" i="1"/>
  <c r="V126" i="1"/>
  <c r="U126" i="1"/>
  <c r="T126" i="1"/>
  <c r="N126" i="1" s="1"/>
  <c r="S126" i="1"/>
  <c r="R126" i="1"/>
  <c r="Q126" i="1"/>
  <c r="P126" i="1"/>
  <c r="O126" i="1"/>
  <c r="M126" i="1"/>
  <c r="J126" i="1"/>
  <c r="H126" i="1"/>
  <c r="G126" i="1"/>
  <c r="F126" i="1"/>
  <c r="K126" i="1" s="1"/>
  <c r="L126" i="1" s="1"/>
  <c r="E126" i="1"/>
  <c r="D126" i="1"/>
  <c r="I126" i="1" s="1"/>
  <c r="C126" i="1"/>
  <c r="B126" i="1"/>
  <c r="AJ125" i="1"/>
  <c r="AD125" i="1"/>
  <c r="AC125" i="1"/>
  <c r="AB125" i="1"/>
  <c r="AA125" i="1"/>
  <c r="AL125" i="1" s="1"/>
  <c r="Z125" i="1"/>
  <c r="AH125" i="1" s="1"/>
  <c r="X125" i="1"/>
  <c r="W125" i="1"/>
  <c r="V125" i="1"/>
  <c r="U125" i="1"/>
  <c r="T125" i="1"/>
  <c r="S125" i="1"/>
  <c r="R125" i="1"/>
  <c r="Q125" i="1"/>
  <c r="P125" i="1"/>
  <c r="O125" i="1"/>
  <c r="AM125" i="1" s="1"/>
  <c r="AN125" i="1" s="1"/>
  <c r="M125" i="1"/>
  <c r="J125" i="1"/>
  <c r="G125" i="1"/>
  <c r="H125" i="1" s="1"/>
  <c r="F125" i="1"/>
  <c r="K125" i="1" s="1"/>
  <c r="L125" i="1" s="1"/>
  <c r="E125" i="1"/>
  <c r="D125" i="1"/>
  <c r="I125" i="1" s="1"/>
  <c r="C125" i="1"/>
  <c r="B125" i="1"/>
  <c r="AD124" i="1"/>
  <c r="AC124" i="1"/>
  <c r="AE124" i="1" s="1"/>
  <c r="AB124" i="1"/>
  <c r="AA124" i="1"/>
  <c r="AL124" i="1" s="1"/>
  <c r="Z124" i="1"/>
  <c r="AH124" i="1" s="1"/>
  <c r="X124" i="1"/>
  <c r="W124" i="1"/>
  <c r="V124" i="1"/>
  <c r="AM124" i="1" s="1"/>
  <c r="AN124" i="1" s="1"/>
  <c r="U124" i="1"/>
  <c r="T124" i="1"/>
  <c r="S124" i="1"/>
  <c r="R124" i="1"/>
  <c r="N124" i="1" s="1"/>
  <c r="Q124" i="1"/>
  <c r="P124" i="1"/>
  <c r="O124" i="1"/>
  <c r="M124" i="1"/>
  <c r="H124" i="1"/>
  <c r="G124" i="1"/>
  <c r="F124" i="1"/>
  <c r="K124" i="1" s="1"/>
  <c r="L124" i="1" s="1"/>
  <c r="E124" i="1"/>
  <c r="J124" i="1" s="1"/>
  <c r="D124" i="1"/>
  <c r="C124" i="1"/>
  <c r="AJ124" i="1" s="1"/>
  <c r="B124" i="1"/>
  <c r="AJ123" i="1"/>
  <c r="AH123" i="1"/>
  <c r="AD123" i="1"/>
  <c r="AM123" i="1" s="1"/>
  <c r="AN123" i="1" s="1"/>
  <c r="AC123" i="1"/>
  <c r="AB123" i="1"/>
  <c r="AA123" i="1"/>
  <c r="AL123" i="1" s="1"/>
  <c r="Z123" i="1"/>
  <c r="X123" i="1"/>
  <c r="W123" i="1"/>
  <c r="V123" i="1"/>
  <c r="U123" i="1"/>
  <c r="T123" i="1"/>
  <c r="N123" i="1" s="1"/>
  <c r="S123" i="1"/>
  <c r="R123" i="1"/>
  <c r="Q123" i="1"/>
  <c r="P123" i="1"/>
  <c r="O123" i="1"/>
  <c r="M123" i="1"/>
  <c r="J123" i="1"/>
  <c r="H123" i="1"/>
  <c r="G123" i="1"/>
  <c r="F123" i="1"/>
  <c r="E123" i="1"/>
  <c r="D123" i="1"/>
  <c r="K123" i="1" s="1"/>
  <c r="L123" i="1" s="1"/>
  <c r="C123" i="1"/>
  <c r="B123" i="1"/>
  <c r="AJ122" i="1"/>
  <c r="AH122" i="1"/>
  <c r="AD122" i="1"/>
  <c r="AC122" i="1"/>
  <c r="AB122" i="1"/>
  <c r="AA122" i="1"/>
  <c r="AE122" i="1" s="1"/>
  <c r="Z122" i="1"/>
  <c r="X122" i="1"/>
  <c r="W122" i="1"/>
  <c r="V122" i="1"/>
  <c r="U122" i="1"/>
  <c r="T122" i="1"/>
  <c r="S122" i="1"/>
  <c r="R122" i="1"/>
  <c r="Q122" i="1"/>
  <c r="P122" i="1"/>
  <c r="AM122" i="1" s="1"/>
  <c r="O122" i="1"/>
  <c r="M122" i="1"/>
  <c r="N122" i="1" s="1"/>
  <c r="J122" i="1"/>
  <c r="G122" i="1"/>
  <c r="F122" i="1"/>
  <c r="K122" i="1" s="1"/>
  <c r="L122" i="1" s="1"/>
  <c r="E122" i="1"/>
  <c r="H122" i="1" s="1"/>
  <c r="D122" i="1"/>
  <c r="C122" i="1"/>
  <c r="B122" i="1"/>
  <c r="AM121" i="1"/>
  <c r="AN121" i="1" s="1"/>
  <c r="AH121" i="1"/>
  <c r="AE121" i="1"/>
  <c r="AD121" i="1"/>
  <c r="AC121" i="1"/>
  <c r="AL121" i="1" s="1"/>
  <c r="AB121" i="1"/>
  <c r="AA121" i="1"/>
  <c r="Z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H121" i="1"/>
  <c r="G121" i="1"/>
  <c r="J121" i="1" s="1"/>
  <c r="F121" i="1"/>
  <c r="E121" i="1"/>
  <c r="D121" i="1"/>
  <c r="K121" i="1" s="1"/>
  <c r="L121" i="1" s="1"/>
  <c r="C121" i="1"/>
  <c r="AJ121" i="1" s="1"/>
  <c r="B121" i="1"/>
  <c r="AJ120" i="1"/>
  <c r="AD120" i="1"/>
  <c r="AM120" i="1" s="1"/>
  <c r="AC120" i="1"/>
  <c r="AB120" i="1"/>
  <c r="AA120" i="1"/>
  <c r="AL120" i="1" s="1"/>
  <c r="Z120" i="1"/>
  <c r="AH120" i="1" s="1"/>
  <c r="X120" i="1"/>
  <c r="W120" i="1"/>
  <c r="V120" i="1"/>
  <c r="U120" i="1"/>
  <c r="T120" i="1"/>
  <c r="S120" i="1"/>
  <c r="R120" i="1"/>
  <c r="Q120" i="1"/>
  <c r="P120" i="1"/>
  <c r="N120" i="1" s="1"/>
  <c r="O120" i="1"/>
  <c r="M120" i="1"/>
  <c r="J120" i="1"/>
  <c r="G120" i="1"/>
  <c r="F120" i="1"/>
  <c r="K120" i="1" s="1"/>
  <c r="L120" i="1" s="1"/>
  <c r="E120" i="1"/>
  <c r="H120" i="1" s="1"/>
  <c r="D120" i="1"/>
  <c r="I120" i="1" s="1"/>
  <c r="C120" i="1"/>
  <c r="B120" i="1"/>
  <c r="AM119" i="1"/>
  <c r="AN119" i="1" s="1"/>
  <c r="AJ119" i="1"/>
  <c r="AH119" i="1"/>
  <c r="AD119" i="1"/>
  <c r="AC119" i="1"/>
  <c r="AB119" i="1"/>
  <c r="AA119" i="1"/>
  <c r="AL119" i="1" s="1"/>
  <c r="Z119" i="1"/>
  <c r="X119" i="1"/>
  <c r="W119" i="1"/>
  <c r="V119" i="1"/>
  <c r="U119" i="1"/>
  <c r="T119" i="1"/>
  <c r="S119" i="1"/>
  <c r="R119" i="1"/>
  <c r="Q119" i="1"/>
  <c r="P119" i="1"/>
  <c r="O119" i="1"/>
  <c r="M119" i="1"/>
  <c r="N119" i="1" s="1"/>
  <c r="H119" i="1"/>
  <c r="G119" i="1"/>
  <c r="F119" i="1"/>
  <c r="K119" i="1" s="1"/>
  <c r="L119" i="1" s="1"/>
  <c r="E119" i="1"/>
  <c r="J119" i="1" s="1"/>
  <c r="D119" i="1"/>
  <c r="I119" i="1" s="1"/>
  <c r="C119" i="1"/>
  <c r="B119" i="1"/>
  <c r="AM118" i="1"/>
  <c r="AN118" i="1" s="1"/>
  <c r="AE118" i="1"/>
  <c r="AD118" i="1"/>
  <c r="AC118" i="1"/>
  <c r="AB118" i="1"/>
  <c r="AA118" i="1"/>
  <c r="AL118" i="1" s="1"/>
  <c r="Z118" i="1"/>
  <c r="AH118" i="1" s="1"/>
  <c r="X118" i="1"/>
  <c r="W118" i="1"/>
  <c r="V118" i="1"/>
  <c r="U118" i="1"/>
  <c r="T118" i="1"/>
  <c r="N118" i="1" s="1"/>
  <c r="S118" i="1"/>
  <c r="R118" i="1"/>
  <c r="Q118" i="1"/>
  <c r="P118" i="1"/>
  <c r="O118" i="1"/>
  <c r="M118" i="1"/>
  <c r="J118" i="1"/>
  <c r="H118" i="1"/>
  <c r="G118" i="1"/>
  <c r="F118" i="1"/>
  <c r="K118" i="1" s="1"/>
  <c r="L118" i="1" s="1"/>
  <c r="E118" i="1"/>
  <c r="D118" i="1"/>
  <c r="I118" i="1" s="1"/>
  <c r="C118" i="1"/>
  <c r="AJ118" i="1" s="1"/>
  <c r="B118" i="1"/>
  <c r="AJ117" i="1"/>
  <c r="AD117" i="1"/>
  <c r="AC117" i="1"/>
  <c r="AB117" i="1"/>
  <c r="AA117" i="1"/>
  <c r="AL117" i="1" s="1"/>
  <c r="Z117" i="1"/>
  <c r="AH117" i="1" s="1"/>
  <c r="X117" i="1"/>
  <c r="W117" i="1"/>
  <c r="V117" i="1"/>
  <c r="U117" i="1"/>
  <c r="T117" i="1"/>
  <c r="S117" i="1"/>
  <c r="R117" i="1"/>
  <c r="Q117" i="1"/>
  <c r="P117" i="1"/>
  <c r="O117" i="1"/>
  <c r="AM117" i="1" s="1"/>
  <c r="AN117" i="1" s="1"/>
  <c r="M117" i="1"/>
  <c r="J117" i="1"/>
  <c r="G117" i="1"/>
  <c r="H117" i="1" s="1"/>
  <c r="F117" i="1"/>
  <c r="K117" i="1" s="1"/>
  <c r="L117" i="1" s="1"/>
  <c r="E117" i="1"/>
  <c r="D117" i="1"/>
  <c r="I117" i="1" s="1"/>
  <c r="C117" i="1"/>
  <c r="B117" i="1"/>
  <c r="AD116" i="1"/>
  <c r="AC116" i="1"/>
  <c r="AE116" i="1" s="1"/>
  <c r="AB116" i="1"/>
  <c r="AL116" i="1" s="1"/>
  <c r="AA116" i="1"/>
  <c r="Z116" i="1"/>
  <c r="AH116" i="1" s="1"/>
  <c r="X116" i="1"/>
  <c r="W116" i="1"/>
  <c r="V116" i="1"/>
  <c r="AM116" i="1" s="1"/>
  <c r="U116" i="1"/>
  <c r="T116" i="1"/>
  <c r="S116" i="1"/>
  <c r="R116" i="1"/>
  <c r="N116" i="1" s="1"/>
  <c r="Q116" i="1"/>
  <c r="P116" i="1"/>
  <c r="O116" i="1"/>
  <c r="M116" i="1"/>
  <c r="H116" i="1"/>
  <c r="G116" i="1"/>
  <c r="F116" i="1"/>
  <c r="K116" i="1" s="1"/>
  <c r="L116" i="1" s="1"/>
  <c r="E116" i="1"/>
  <c r="J116" i="1" s="1"/>
  <c r="D116" i="1"/>
  <c r="C116" i="1"/>
  <c r="AJ116" i="1" s="1"/>
  <c r="B116" i="1"/>
  <c r="AJ115" i="1"/>
  <c r="AH115" i="1"/>
  <c r="AD115" i="1"/>
  <c r="AM115" i="1" s="1"/>
  <c r="AN115" i="1" s="1"/>
  <c r="AC115" i="1"/>
  <c r="AB115" i="1"/>
  <c r="AA115" i="1"/>
  <c r="AL115" i="1" s="1"/>
  <c r="Z115" i="1"/>
  <c r="X115" i="1"/>
  <c r="W115" i="1"/>
  <c r="V115" i="1"/>
  <c r="U115" i="1"/>
  <c r="T115" i="1"/>
  <c r="S115" i="1"/>
  <c r="R115" i="1"/>
  <c r="Q115" i="1"/>
  <c r="P115" i="1"/>
  <c r="N115" i="1" s="1"/>
  <c r="O115" i="1"/>
  <c r="M115" i="1"/>
  <c r="J115" i="1"/>
  <c r="H115" i="1"/>
  <c r="G115" i="1"/>
  <c r="F115" i="1"/>
  <c r="E115" i="1"/>
  <c r="D115" i="1"/>
  <c r="K115" i="1" s="1"/>
  <c r="L115" i="1" s="1"/>
  <c r="C115" i="1"/>
  <c r="B115" i="1"/>
  <c r="AJ114" i="1"/>
  <c r="AH114" i="1"/>
  <c r="AD114" i="1"/>
  <c r="AC114" i="1"/>
  <c r="AB114" i="1"/>
  <c r="AA114" i="1"/>
  <c r="AE114" i="1" s="1"/>
  <c r="Z114" i="1"/>
  <c r="X114" i="1"/>
  <c r="W114" i="1"/>
  <c r="V114" i="1"/>
  <c r="U114" i="1"/>
  <c r="T114" i="1"/>
  <c r="S114" i="1"/>
  <c r="R114" i="1"/>
  <c r="Q114" i="1"/>
  <c r="P114" i="1"/>
  <c r="AM114" i="1" s="1"/>
  <c r="O114" i="1"/>
  <c r="M114" i="1"/>
  <c r="N114" i="1" s="1"/>
  <c r="J114" i="1"/>
  <c r="G114" i="1"/>
  <c r="H114" i="1" s="1"/>
  <c r="F114" i="1"/>
  <c r="K114" i="1" s="1"/>
  <c r="L114" i="1" s="1"/>
  <c r="E114" i="1"/>
  <c r="D114" i="1"/>
  <c r="C114" i="1"/>
  <c r="B114" i="1"/>
  <c r="AM113" i="1"/>
  <c r="AH113" i="1"/>
  <c r="AE113" i="1"/>
  <c r="AD113" i="1"/>
  <c r="AC113" i="1"/>
  <c r="AL113" i="1" s="1"/>
  <c r="AB113" i="1"/>
  <c r="AA113" i="1"/>
  <c r="Z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H113" i="1"/>
  <c r="G113" i="1"/>
  <c r="F113" i="1"/>
  <c r="E113" i="1"/>
  <c r="J113" i="1" s="1"/>
  <c r="D113" i="1"/>
  <c r="K113" i="1" s="1"/>
  <c r="L113" i="1" s="1"/>
  <c r="C113" i="1"/>
  <c r="AJ113" i="1" s="1"/>
  <c r="B113" i="1"/>
  <c r="AJ112" i="1"/>
  <c r="AD112" i="1"/>
  <c r="AM112" i="1" s="1"/>
  <c r="AC112" i="1"/>
  <c r="AB112" i="1"/>
  <c r="AA112" i="1"/>
  <c r="AL112" i="1" s="1"/>
  <c r="Z112" i="1"/>
  <c r="AH112" i="1" s="1"/>
  <c r="X112" i="1"/>
  <c r="W112" i="1"/>
  <c r="V112" i="1"/>
  <c r="U112" i="1"/>
  <c r="T112" i="1"/>
  <c r="S112" i="1"/>
  <c r="R112" i="1"/>
  <c r="Q112" i="1"/>
  <c r="P112" i="1"/>
  <c r="N112" i="1" s="1"/>
  <c r="O112" i="1"/>
  <c r="M112" i="1"/>
  <c r="J112" i="1"/>
  <c r="G112" i="1"/>
  <c r="F112" i="1"/>
  <c r="K112" i="1" s="1"/>
  <c r="L112" i="1" s="1"/>
  <c r="E112" i="1"/>
  <c r="H112" i="1" s="1"/>
  <c r="D112" i="1"/>
  <c r="I112" i="1" s="1"/>
  <c r="C112" i="1"/>
  <c r="B112" i="1"/>
  <c r="AM111" i="1"/>
  <c r="AJ111" i="1"/>
  <c r="AH111" i="1"/>
  <c r="AD111" i="1"/>
  <c r="AC111" i="1"/>
  <c r="AB111" i="1"/>
  <c r="AL111" i="1" s="1"/>
  <c r="AA111" i="1"/>
  <c r="AE111" i="1" s="1"/>
  <c r="Z111" i="1"/>
  <c r="X111" i="1"/>
  <c r="W111" i="1"/>
  <c r="V111" i="1"/>
  <c r="U111" i="1"/>
  <c r="T111" i="1"/>
  <c r="S111" i="1"/>
  <c r="R111" i="1"/>
  <c r="Q111" i="1"/>
  <c r="P111" i="1"/>
  <c r="O111" i="1"/>
  <c r="M111" i="1"/>
  <c r="N111" i="1" s="1"/>
  <c r="H111" i="1"/>
  <c r="G111" i="1"/>
  <c r="F111" i="1"/>
  <c r="K111" i="1" s="1"/>
  <c r="L111" i="1" s="1"/>
  <c r="E111" i="1"/>
  <c r="J111" i="1" s="1"/>
  <c r="D111" i="1"/>
  <c r="I111" i="1" s="1"/>
  <c r="C111" i="1"/>
  <c r="B111" i="1"/>
  <c r="AM110" i="1"/>
  <c r="AN110" i="1" s="1"/>
  <c r="AE110" i="1"/>
  <c r="AD110" i="1"/>
  <c r="AC110" i="1"/>
  <c r="AB110" i="1"/>
  <c r="AA110" i="1"/>
  <c r="AL110" i="1" s="1"/>
  <c r="Z110" i="1"/>
  <c r="AH110" i="1" s="1"/>
  <c r="X110" i="1"/>
  <c r="W110" i="1"/>
  <c r="V110" i="1"/>
  <c r="U110" i="1"/>
  <c r="T110" i="1"/>
  <c r="N110" i="1" s="1"/>
  <c r="S110" i="1"/>
  <c r="R110" i="1"/>
  <c r="Q110" i="1"/>
  <c r="P110" i="1"/>
  <c r="O110" i="1"/>
  <c r="M110" i="1"/>
  <c r="J110" i="1"/>
  <c r="H110" i="1"/>
  <c r="G110" i="1"/>
  <c r="F110" i="1"/>
  <c r="K110" i="1" s="1"/>
  <c r="L110" i="1" s="1"/>
  <c r="E110" i="1"/>
  <c r="D110" i="1"/>
  <c r="I110" i="1" s="1"/>
  <c r="C110" i="1"/>
  <c r="AJ110" i="1" s="1"/>
  <c r="B110" i="1"/>
  <c r="AJ109" i="1"/>
  <c r="AD109" i="1"/>
  <c r="AM109" i="1" s="1"/>
  <c r="AN109" i="1" s="1"/>
  <c r="AC109" i="1"/>
  <c r="AB109" i="1"/>
  <c r="AA109" i="1"/>
  <c r="AL109" i="1" s="1"/>
  <c r="Z109" i="1"/>
  <c r="AH109" i="1" s="1"/>
  <c r="X109" i="1"/>
  <c r="W109" i="1"/>
  <c r="V109" i="1"/>
  <c r="U109" i="1"/>
  <c r="T109" i="1"/>
  <c r="S109" i="1"/>
  <c r="R109" i="1"/>
  <c r="Q109" i="1"/>
  <c r="P109" i="1"/>
  <c r="O109" i="1"/>
  <c r="M109" i="1"/>
  <c r="N109" i="1" s="1"/>
  <c r="J109" i="1"/>
  <c r="G109" i="1"/>
  <c r="H109" i="1" s="1"/>
  <c r="F109" i="1"/>
  <c r="K109" i="1" s="1"/>
  <c r="L109" i="1" s="1"/>
  <c r="E109" i="1"/>
  <c r="D109" i="1"/>
  <c r="I109" i="1" s="1"/>
  <c r="C109" i="1"/>
  <c r="B109" i="1"/>
  <c r="AD108" i="1"/>
  <c r="AC108" i="1"/>
  <c r="AB108" i="1"/>
  <c r="AL108" i="1" s="1"/>
  <c r="AA108" i="1"/>
  <c r="Z108" i="1"/>
  <c r="AH108" i="1" s="1"/>
  <c r="X108" i="1"/>
  <c r="W108" i="1"/>
  <c r="V108" i="1"/>
  <c r="AM108" i="1" s="1"/>
  <c r="AN108" i="1" s="1"/>
  <c r="U108" i="1"/>
  <c r="T108" i="1"/>
  <c r="S108" i="1"/>
  <c r="R108" i="1"/>
  <c r="N108" i="1" s="1"/>
  <c r="Q108" i="1"/>
  <c r="P108" i="1"/>
  <c r="O108" i="1"/>
  <c r="M108" i="1"/>
  <c r="H108" i="1"/>
  <c r="G108" i="1"/>
  <c r="F108" i="1"/>
  <c r="K108" i="1" s="1"/>
  <c r="L108" i="1" s="1"/>
  <c r="E108" i="1"/>
  <c r="J108" i="1" s="1"/>
  <c r="D108" i="1"/>
  <c r="C108" i="1"/>
  <c r="AJ108" i="1" s="1"/>
  <c r="B108" i="1"/>
  <c r="AH107" i="1"/>
  <c r="AD107" i="1"/>
  <c r="AM107" i="1" s="1"/>
  <c r="AN107" i="1" s="1"/>
  <c r="AC107" i="1"/>
  <c r="AB107" i="1"/>
  <c r="AA107" i="1"/>
  <c r="AL107" i="1" s="1"/>
  <c r="Z107" i="1"/>
  <c r="X107" i="1"/>
  <c r="W107" i="1"/>
  <c r="V107" i="1"/>
  <c r="U107" i="1"/>
  <c r="T107" i="1"/>
  <c r="S107" i="1"/>
  <c r="R107" i="1"/>
  <c r="Q107" i="1"/>
  <c r="P107" i="1"/>
  <c r="O107" i="1"/>
  <c r="M107" i="1"/>
  <c r="N107" i="1" s="1"/>
  <c r="J107" i="1"/>
  <c r="H107" i="1"/>
  <c r="G107" i="1"/>
  <c r="F107" i="1"/>
  <c r="E107" i="1"/>
  <c r="D107" i="1"/>
  <c r="K107" i="1" s="1"/>
  <c r="L107" i="1" s="1"/>
  <c r="C107" i="1"/>
  <c r="AJ107" i="1" s="1"/>
  <c r="B107" i="1"/>
  <c r="AJ106" i="1"/>
  <c r="AH106" i="1"/>
  <c r="AD106" i="1"/>
  <c r="AC106" i="1"/>
  <c r="AB106" i="1"/>
  <c r="AA106" i="1"/>
  <c r="AE106" i="1" s="1"/>
  <c r="Z106" i="1"/>
  <c r="X106" i="1"/>
  <c r="W106" i="1"/>
  <c r="V106" i="1"/>
  <c r="U106" i="1"/>
  <c r="T106" i="1"/>
  <c r="S106" i="1"/>
  <c r="R106" i="1"/>
  <c r="Q106" i="1"/>
  <c r="P106" i="1"/>
  <c r="O106" i="1"/>
  <c r="AM106" i="1" s="1"/>
  <c r="M106" i="1"/>
  <c r="N106" i="1" s="1"/>
  <c r="G106" i="1"/>
  <c r="H106" i="1" s="1"/>
  <c r="F106" i="1"/>
  <c r="K106" i="1" s="1"/>
  <c r="L106" i="1" s="1"/>
  <c r="E106" i="1"/>
  <c r="J106" i="1" s="1"/>
  <c r="D106" i="1"/>
  <c r="C106" i="1"/>
  <c r="B106" i="1"/>
  <c r="AL105" i="1"/>
  <c r="AH105" i="1"/>
  <c r="AE105" i="1"/>
  <c r="AD105" i="1"/>
  <c r="AC105" i="1"/>
  <c r="AB105" i="1"/>
  <c r="AA105" i="1"/>
  <c r="Z105" i="1"/>
  <c r="X105" i="1"/>
  <c r="W105" i="1"/>
  <c r="V105" i="1"/>
  <c r="U105" i="1"/>
  <c r="T105" i="1"/>
  <c r="S105" i="1"/>
  <c r="R105" i="1"/>
  <c r="Q105" i="1"/>
  <c r="P105" i="1"/>
  <c r="O105" i="1"/>
  <c r="AM105" i="1" s="1"/>
  <c r="AN105" i="1" s="1"/>
  <c r="N105" i="1"/>
  <c r="M105" i="1"/>
  <c r="H105" i="1"/>
  <c r="G105" i="1"/>
  <c r="F105" i="1"/>
  <c r="E105" i="1"/>
  <c r="J105" i="1" s="1"/>
  <c r="D105" i="1"/>
  <c r="K105" i="1" s="1"/>
  <c r="L105" i="1" s="1"/>
  <c r="C105" i="1"/>
  <c r="AJ105" i="1" s="1"/>
  <c r="B105" i="1"/>
  <c r="AD104" i="1"/>
  <c r="AM104" i="1" s="1"/>
  <c r="AC104" i="1"/>
  <c r="AB104" i="1"/>
  <c r="AA104" i="1"/>
  <c r="AL104" i="1" s="1"/>
  <c r="Z104" i="1"/>
  <c r="AH104" i="1" s="1"/>
  <c r="X104" i="1"/>
  <c r="W104" i="1"/>
  <c r="V104" i="1"/>
  <c r="U104" i="1"/>
  <c r="T104" i="1"/>
  <c r="S104" i="1"/>
  <c r="R104" i="1"/>
  <c r="Q104" i="1"/>
  <c r="P104" i="1"/>
  <c r="N104" i="1" s="1"/>
  <c r="O104" i="1"/>
  <c r="M104" i="1"/>
  <c r="J104" i="1"/>
  <c r="G104" i="1"/>
  <c r="H104" i="1" s="1"/>
  <c r="F104" i="1"/>
  <c r="K104" i="1" s="1"/>
  <c r="L104" i="1" s="1"/>
  <c r="E104" i="1"/>
  <c r="D104" i="1"/>
  <c r="I104" i="1" s="1"/>
  <c r="C104" i="1"/>
  <c r="AJ104" i="1" s="1"/>
  <c r="B104" i="1"/>
  <c r="AM103" i="1"/>
  <c r="AH103" i="1"/>
  <c r="AD103" i="1"/>
  <c r="AC103" i="1"/>
  <c r="AB103" i="1"/>
  <c r="AL103" i="1" s="1"/>
  <c r="AA103" i="1"/>
  <c r="AE103" i="1" s="1"/>
  <c r="Z103" i="1"/>
  <c r="X103" i="1"/>
  <c r="W103" i="1"/>
  <c r="V103" i="1"/>
  <c r="U103" i="1"/>
  <c r="T103" i="1"/>
  <c r="S103" i="1"/>
  <c r="R103" i="1"/>
  <c r="Q103" i="1"/>
  <c r="P103" i="1"/>
  <c r="O103" i="1"/>
  <c r="M103" i="1"/>
  <c r="N103" i="1" s="1"/>
  <c r="G103" i="1"/>
  <c r="F103" i="1"/>
  <c r="K103" i="1" s="1"/>
  <c r="L103" i="1" s="1"/>
  <c r="E103" i="1"/>
  <c r="J103" i="1" s="1"/>
  <c r="D103" i="1"/>
  <c r="C103" i="1"/>
  <c r="AJ103" i="1" s="1"/>
  <c r="B103" i="1"/>
  <c r="AE102" i="1"/>
  <c r="AD102" i="1"/>
  <c r="AM102" i="1" s="1"/>
  <c r="AC102" i="1"/>
  <c r="AB102" i="1"/>
  <c r="AA102" i="1"/>
  <c r="AL102" i="1" s="1"/>
  <c r="Z102" i="1"/>
  <c r="AH102" i="1" s="1"/>
  <c r="X102" i="1"/>
  <c r="W102" i="1"/>
  <c r="V102" i="1"/>
  <c r="U102" i="1"/>
  <c r="T102" i="1"/>
  <c r="N102" i="1" s="1"/>
  <c r="S102" i="1"/>
  <c r="R102" i="1"/>
  <c r="Q102" i="1"/>
  <c r="P102" i="1"/>
  <c r="O102" i="1"/>
  <c r="M102" i="1"/>
  <c r="G102" i="1"/>
  <c r="H102" i="1" s="1"/>
  <c r="F102" i="1"/>
  <c r="E102" i="1"/>
  <c r="J102" i="1" s="1"/>
  <c r="D102" i="1"/>
  <c r="K102" i="1" s="1"/>
  <c r="L102" i="1" s="1"/>
  <c r="C102" i="1"/>
  <c r="AJ102" i="1" s="1"/>
  <c r="B102" i="1"/>
  <c r="AJ101" i="1"/>
  <c r="AD101" i="1"/>
  <c r="AM101" i="1" s="1"/>
  <c r="AC101" i="1"/>
  <c r="AB101" i="1"/>
  <c r="AA101" i="1"/>
  <c r="AL101" i="1" s="1"/>
  <c r="Z101" i="1"/>
  <c r="AH101" i="1" s="1"/>
  <c r="X101" i="1"/>
  <c r="W101" i="1"/>
  <c r="V101" i="1"/>
  <c r="U101" i="1"/>
  <c r="T101" i="1"/>
  <c r="S101" i="1"/>
  <c r="R101" i="1"/>
  <c r="Q101" i="1"/>
  <c r="P101" i="1"/>
  <c r="O101" i="1"/>
  <c r="M101" i="1"/>
  <c r="N101" i="1" s="1"/>
  <c r="G101" i="1"/>
  <c r="H101" i="1" s="1"/>
  <c r="F101" i="1"/>
  <c r="I101" i="1" s="1"/>
  <c r="E101" i="1"/>
  <c r="D101" i="1"/>
  <c r="C101" i="1"/>
  <c r="B101" i="1"/>
  <c r="AD100" i="1"/>
  <c r="AC100" i="1"/>
  <c r="AB100" i="1"/>
  <c r="AL100" i="1" s="1"/>
  <c r="AA100" i="1"/>
  <c r="Z100" i="1"/>
  <c r="AH100" i="1" s="1"/>
  <c r="X100" i="1"/>
  <c r="W100" i="1"/>
  <c r="V100" i="1"/>
  <c r="U100" i="1"/>
  <c r="T100" i="1"/>
  <c r="S100" i="1"/>
  <c r="R100" i="1"/>
  <c r="Q100" i="1"/>
  <c r="AM100" i="1" s="1"/>
  <c r="AN100" i="1" s="1"/>
  <c r="P100" i="1"/>
  <c r="O100" i="1"/>
  <c r="M100" i="1"/>
  <c r="N100" i="1" s="1"/>
  <c r="K100" i="1"/>
  <c r="L100" i="1" s="1"/>
  <c r="I100" i="1"/>
  <c r="H100" i="1"/>
  <c r="G100" i="1"/>
  <c r="F100" i="1"/>
  <c r="E100" i="1"/>
  <c r="J100" i="1" s="1"/>
  <c r="D100" i="1"/>
  <c r="C100" i="1"/>
  <c r="AJ100" i="1" s="1"/>
  <c r="B100" i="1"/>
  <c r="AH99" i="1"/>
  <c r="AD99" i="1"/>
  <c r="AM99" i="1" s="1"/>
  <c r="AC99" i="1"/>
  <c r="AB99" i="1"/>
  <c r="AA99" i="1"/>
  <c r="AL99" i="1" s="1"/>
  <c r="Z99" i="1"/>
  <c r="X99" i="1"/>
  <c r="W99" i="1"/>
  <c r="V99" i="1"/>
  <c r="U99" i="1"/>
  <c r="T99" i="1"/>
  <c r="S99" i="1"/>
  <c r="R99" i="1"/>
  <c r="Q99" i="1"/>
  <c r="P99" i="1"/>
  <c r="O99" i="1"/>
  <c r="M99" i="1"/>
  <c r="N99" i="1" s="1"/>
  <c r="J99" i="1"/>
  <c r="G99" i="1"/>
  <c r="H99" i="1" s="1"/>
  <c r="F99" i="1"/>
  <c r="E99" i="1"/>
  <c r="D99" i="1"/>
  <c r="K99" i="1" s="1"/>
  <c r="L99" i="1" s="1"/>
  <c r="C99" i="1"/>
  <c r="AJ99" i="1" s="1"/>
  <c r="B99" i="1"/>
  <c r="AJ98" i="1"/>
  <c r="AH98" i="1"/>
  <c r="AD98" i="1"/>
  <c r="AC98" i="1"/>
  <c r="AL98" i="1" s="1"/>
  <c r="AB98" i="1"/>
  <c r="AA98" i="1"/>
  <c r="AE98" i="1" s="1"/>
  <c r="Z98" i="1"/>
  <c r="X98" i="1"/>
  <c r="W98" i="1"/>
  <c r="V98" i="1"/>
  <c r="U98" i="1"/>
  <c r="T98" i="1"/>
  <c r="S98" i="1"/>
  <c r="R98" i="1"/>
  <c r="Q98" i="1"/>
  <c r="P98" i="1"/>
  <c r="O98" i="1"/>
  <c r="M98" i="1"/>
  <c r="G98" i="1"/>
  <c r="F98" i="1"/>
  <c r="E98" i="1"/>
  <c r="J98" i="1" s="1"/>
  <c r="D98" i="1"/>
  <c r="C98" i="1"/>
  <c r="B98" i="1"/>
  <c r="AL97" i="1"/>
  <c r="AH97" i="1"/>
  <c r="AD97" i="1"/>
  <c r="AC97" i="1"/>
  <c r="AB97" i="1"/>
  <c r="AE97" i="1" s="1"/>
  <c r="AA97" i="1"/>
  <c r="Z97" i="1"/>
  <c r="X97" i="1"/>
  <c r="W97" i="1"/>
  <c r="V97" i="1"/>
  <c r="U97" i="1"/>
  <c r="T97" i="1"/>
  <c r="S97" i="1"/>
  <c r="R97" i="1"/>
  <c r="Q97" i="1"/>
  <c r="P97" i="1"/>
  <c r="O97" i="1"/>
  <c r="M97" i="1"/>
  <c r="K97" i="1"/>
  <c r="L97" i="1" s="1"/>
  <c r="G97" i="1"/>
  <c r="H97" i="1" s="1"/>
  <c r="F97" i="1"/>
  <c r="E97" i="1"/>
  <c r="D97" i="1"/>
  <c r="I97" i="1" s="1"/>
  <c r="C97" i="1"/>
  <c r="AJ97" i="1" s="1"/>
  <c r="B97" i="1"/>
  <c r="AD96" i="1"/>
  <c r="AC96" i="1"/>
  <c r="AB96" i="1"/>
  <c r="AA96" i="1"/>
  <c r="AE96" i="1" s="1"/>
  <c r="Z96" i="1"/>
  <c r="AH96" i="1" s="1"/>
  <c r="X96" i="1"/>
  <c r="W96" i="1"/>
  <c r="V96" i="1"/>
  <c r="U96" i="1"/>
  <c r="T96" i="1"/>
  <c r="S96" i="1"/>
  <c r="R96" i="1"/>
  <c r="Q96" i="1"/>
  <c r="P96" i="1"/>
  <c r="O96" i="1"/>
  <c r="M96" i="1"/>
  <c r="G96" i="1"/>
  <c r="H96" i="1" s="1"/>
  <c r="F96" i="1"/>
  <c r="K96" i="1" s="1"/>
  <c r="L96" i="1" s="1"/>
  <c r="E96" i="1"/>
  <c r="J96" i="1" s="1"/>
  <c r="D96" i="1"/>
  <c r="C96" i="1"/>
  <c r="AJ96" i="1" s="1"/>
  <c r="B96" i="1"/>
  <c r="AH95" i="1"/>
  <c r="AD95" i="1"/>
  <c r="AC95" i="1"/>
  <c r="AB95" i="1"/>
  <c r="AA95" i="1"/>
  <c r="Z95" i="1"/>
  <c r="X95" i="1"/>
  <c r="W95" i="1"/>
  <c r="V95" i="1"/>
  <c r="U95" i="1"/>
  <c r="T95" i="1"/>
  <c r="S95" i="1"/>
  <c r="R95" i="1"/>
  <c r="Q95" i="1"/>
  <c r="P95" i="1"/>
  <c r="O95" i="1"/>
  <c r="AM95" i="1" s="1"/>
  <c r="M95" i="1"/>
  <c r="K95" i="1"/>
  <c r="L95" i="1" s="1"/>
  <c r="H95" i="1"/>
  <c r="G95" i="1"/>
  <c r="F95" i="1"/>
  <c r="I95" i="1" s="1"/>
  <c r="E95" i="1"/>
  <c r="J95" i="1" s="1"/>
  <c r="D95" i="1"/>
  <c r="C95" i="1"/>
  <c r="AJ95" i="1" s="1"/>
  <c r="B95" i="1"/>
  <c r="AL94" i="1"/>
  <c r="AD94" i="1"/>
  <c r="AC94" i="1"/>
  <c r="AB94" i="1"/>
  <c r="AA94" i="1"/>
  <c r="Z94" i="1"/>
  <c r="AH94" i="1" s="1"/>
  <c r="X94" i="1"/>
  <c r="W94" i="1"/>
  <c r="V94" i="1"/>
  <c r="U94" i="1"/>
  <c r="T94" i="1"/>
  <c r="S94" i="1"/>
  <c r="R94" i="1"/>
  <c r="Q94" i="1"/>
  <c r="P94" i="1"/>
  <c r="O94" i="1"/>
  <c r="M94" i="1"/>
  <c r="N94" i="1" s="1"/>
  <c r="G94" i="1"/>
  <c r="H94" i="1" s="1"/>
  <c r="F94" i="1"/>
  <c r="E94" i="1"/>
  <c r="J94" i="1" s="1"/>
  <c r="D94" i="1"/>
  <c r="K94" i="1" s="1"/>
  <c r="L94" i="1" s="1"/>
  <c r="C94" i="1"/>
  <c r="AJ94" i="1" s="1"/>
  <c r="B94" i="1"/>
  <c r="AH93" i="1"/>
  <c r="AD93" i="1"/>
  <c r="AC93" i="1"/>
  <c r="AB93" i="1"/>
  <c r="AA93" i="1"/>
  <c r="Z93" i="1"/>
  <c r="X93" i="1"/>
  <c r="W93" i="1"/>
  <c r="V93" i="1"/>
  <c r="U93" i="1"/>
  <c r="T93" i="1"/>
  <c r="S93" i="1"/>
  <c r="R93" i="1"/>
  <c r="Q93" i="1"/>
  <c r="P93" i="1"/>
  <c r="O93" i="1"/>
  <c r="M93" i="1"/>
  <c r="J93" i="1"/>
  <c r="G93" i="1"/>
  <c r="H93" i="1" s="1"/>
  <c r="F93" i="1"/>
  <c r="K93" i="1" s="1"/>
  <c r="L93" i="1" s="1"/>
  <c r="E93" i="1"/>
  <c r="D93" i="1"/>
  <c r="I93" i="1" s="1"/>
  <c r="C93" i="1"/>
  <c r="AJ93" i="1" s="1"/>
  <c r="B93" i="1"/>
  <c r="AD92" i="1"/>
  <c r="AC92" i="1"/>
  <c r="AB92" i="1"/>
  <c r="AL92" i="1" s="1"/>
  <c r="AA92" i="1"/>
  <c r="Z92" i="1"/>
  <c r="AH92" i="1" s="1"/>
  <c r="X92" i="1"/>
  <c r="W92" i="1"/>
  <c r="V92" i="1"/>
  <c r="U92" i="1"/>
  <c r="T92" i="1"/>
  <c r="S92" i="1"/>
  <c r="R92" i="1"/>
  <c r="Q92" i="1"/>
  <c r="AM92" i="1" s="1"/>
  <c r="AN92" i="1" s="1"/>
  <c r="P92" i="1"/>
  <c r="O92" i="1"/>
  <c r="M92" i="1"/>
  <c r="N92" i="1" s="1"/>
  <c r="K92" i="1"/>
  <c r="L92" i="1" s="1"/>
  <c r="I92" i="1"/>
  <c r="G92" i="1"/>
  <c r="F92" i="1"/>
  <c r="E92" i="1"/>
  <c r="J92" i="1" s="1"/>
  <c r="D92" i="1"/>
  <c r="C92" i="1"/>
  <c r="AJ92" i="1" s="1"/>
  <c r="B92" i="1"/>
  <c r="AJ91" i="1"/>
  <c r="AH91" i="1"/>
  <c r="AD91" i="1"/>
  <c r="AC91" i="1"/>
  <c r="AB91" i="1"/>
  <c r="AA91" i="1"/>
  <c r="AL91" i="1" s="1"/>
  <c r="Z91" i="1"/>
  <c r="X91" i="1"/>
  <c r="W91" i="1"/>
  <c r="V91" i="1"/>
  <c r="U91" i="1"/>
  <c r="T91" i="1"/>
  <c r="S91" i="1"/>
  <c r="R91" i="1"/>
  <c r="Q91" i="1"/>
  <c r="P91" i="1"/>
  <c r="O91" i="1"/>
  <c r="M91" i="1"/>
  <c r="N91" i="1" s="1"/>
  <c r="K91" i="1"/>
  <c r="L91" i="1" s="1"/>
  <c r="H91" i="1"/>
  <c r="G91" i="1"/>
  <c r="J91" i="1" s="1"/>
  <c r="F91" i="1"/>
  <c r="E91" i="1"/>
  <c r="D91" i="1"/>
  <c r="I91" i="1" s="1"/>
  <c r="C91" i="1"/>
  <c r="B91" i="1"/>
  <c r="AL90" i="1"/>
  <c r="AJ90" i="1"/>
  <c r="AH90" i="1"/>
  <c r="AD90" i="1"/>
  <c r="AM90" i="1" s="1"/>
  <c r="AN90" i="1" s="1"/>
  <c r="AC90" i="1"/>
  <c r="AB90" i="1"/>
  <c r="AA90" i="1"/>
  <c r="Z90" i="1"/>
  <c r="X90" i="1"/>
  <c r="W90" i="1"/>
  <c r="V90" i="1"/>
  <c r="U90" i="1"/>
  <c r="T90" i="1"/>
  <c r="S90" i="1"/>
  <c r="R90" i="1"/>
  <c r="Q90" i="1"/>
  <c r="P90" i="1"/>
  <c r="O90" i="1"/>
  <c r="M90" i="1"/>
  <c r="G90" i="1"/>
  <c r="F90" i="1"/>
  <c r="K90" i="1" s="1"/>
  <c r="L90" i="1" s="1"/>
  <c r="E90" i="1"/>
  <c r="J90" i="1" s="1"/>
  <c r="D90" i="1"/>
  <c r="C90" i="1"/>
  <c r="B90" i="1"/>
  <c r="AH89" i="1"/>
  <c r="AD89" i="1"/>
  <c r="AM89" i="1" s="1"/>
  <c r="AN89" i="1" s="1"/>
  <c r="AC89" i="1"/>
  <c r="AL89" i="1" s="1"/>
  <c r="AB89" i="1"/>
  <c r="AA89" i="1"/>
  <c r="Z89" i="1"/>
  <c r="X89" i="1"/>
  <c r="W89" i="1"/>
  <c r="V89" i="1"/>
  <c r="U89" i="1"/>
  <c r="T89" i="1"/>
  <c r="S89" i="1"/>
  <c r="R89" i="1"/>
  <c r="Q89" i="1"/>
  <c r="P89" i="1"/>
  <c r="O89" i="1"/>
  <c r="M89" i="1"/>
  <c r="N89" i="1" s="1"/>
  <c r="G89" i="1"/>
  <c r="H89" i="1" s="1"/>
  <c r="F89" i="1"/>
  <c r="E89" i="1"/>
  <c r="J89" i="1" s="1"/>
  <c r="D89" i="1"/>
  <c r="K89" i="1" s="1"/>
  <c r="L89" i="1" s="1"/>
  <c r="C89" i="1"/>
  <c r="AJ89" i="1" s="1"/>
  <c r="B89" i="1"/>
  <c r="AH88" i="1"/>
  <c r="AD88" i="1"/>
  <c r="AC88" i="1"/>
  <c r="AB88" i="1"/>
  <c r="AE88" i="1" s="1"/>
  <c r="AA88" i="1"/>
  <c r="Z88" i="1"/>
  <c r="X88" i="1"/>
  <c r="W88" i="1"/>
  <c r="V88" i="1"/>
  <c r="U88" i="1"/>
  <c r="T88" i="1"/>
  <c r="S88" i="1"/>
  <c r="R88" i="1"/>
  <c r="Q88" i="1"/>
  <c r="P88" i="1"/>
  <c r="O88" i="1"/>
  <c r="M88" i="1"/>
  <c r="N88" i="1" s="1"/>
  <c r="G88" i="1"/>
  <c r="F88" i="1"/>
  <c r="E88" i="1"/>
  <c r="J88" i="1" s="1"/>
  <c r="D88" i="1"/>
  <c r="K88" i="1" s="1"/>
  <c r="L88" i="1" s="1"/>
  <c r="C88" i="1"/>
  <c r="AJ88" i="1" s="1"/>
  <c r="B88" i="1"/>
  <c r="AH87" i="1"/>
  <c r="AD87" i="1"/>
  <c r="AM87" i="1" s="1"/>
  <c r="AC87" i="1"/>
  <c r="AB87" i="1"/>
  <c r="AL87" i="1" s="1"/>
  <c r="AA87" i="1"/>
  <c r="Z87" i="1"/>
  <c r="X87" i="1"/>
  <c r="W87" i="1"/>
  <c r="V87" i="1"/>
  <c r="U87" i="1"/>
  <c r="T87" i="1"/>
  <c r="S87" i="1"/>
  <c r="R87" i="1"/>
  <c r="Q87" i="1"/>
  <c r="P87" i="1"/>
  <c r="O87" i="1"/>
  <c r="M87" i="1"/>
  <c r="N87" i="1" s="1"/>
  <c r="K87" i="1"/>
  <c r="L87" i="1" s="1"/>
  <c r="I87" i="1"/>
  <c r="H87" i="1"/>
  <c r="G87" i="1"/>
  <c r="F87" i="1"/>
  <c r="E87" i="1"/>
  <c r="J87" i="1" s="1"/>
  <c r="D87" i="1"/>
  <c r="C87" i="1"/>
  <c r="AJ87" i="1" s="1"/>
  <c r="B87" i="1"/>
  <c r="AH86" i="1"/>
  <c r="AD86" i="1"/>
  <c r="AM86" i="1" s="1"/>
  <c r="AC86" i="1"/>
  <c r="AB86" i="1"/>
  <c r="AA86" i="1"/>
  <c r="AL86" i="1" s="1"/>
  <c r="Z86" i="1"/>
  <c r="X86" i="1"/>
  <c r="W86" i="1"/>
  <c r="V86" i="1"/>
  <c r="U86" i="1"/>
  <c r="T86" i="1"/>
  <c r="S86" i="1"/>
  <c r="R86" i="1"/>
  <c r="Q86" i="1"/>
  <c r="P86" i="1"/>
  <c r="O86" i="1"/>
  <c r="M86" i="1"/>
  <c r="N86" i="1" s="1"/>
  <c r="J86" i="1"/>
  <c r="G86" i="1"/>
  <c r="F86" i="1"/>
  <c r="E86" i="1"/>
  <c r="H86" i="1" s="1"/>
  <c r="D86" i="1"/>
  <c r="K86" i="1" s="1"/>
  <c r="L86" i="1" s="1"/>
  <c r="C86" i="1"/>
  <c r="AJ86" i="1" s="1"/>
  <c r="B86" i="1"/>
  <c r="AH85" i="1"/>
  <c r="AD85" i="1"/>
  <c r="AC85" i="1"/>
  <c r="AB85" i="1"/>
  <c r="AA85" i="1"/>
  <c r="Z85" i="1"/>
  <c r="X85" i="1"/>
  <c r="W85" i="1"/>
  <c r="V85" i="1"/>
  <c r="U85" i="1"/>
  <c r="T85" i="1"/>
  <c r="S85" i="1"/>
  <c r="R85" i="1"/>
  <c r="Q85" i="1"/>
  <c r="P85" i="1"/>
  <c r="O85" i="1"/>
  <c r="M85" i="1"/>
  <c r="K85" i="1"/>
  <c r="L85" i="1" s="1"/>
  <c r="J85" i="1"/>
  <c r="I85" i="1"/>
  <c r="G85" i="1"/>
  <c r="H85" i="1" s="1"/>
  <c r="F85" i="1"/>
  <c r="E85" i="1"/>
  <c r="D85" i="1"/>
  <c r="C85" i="1"/>
  <c r="AJ85" i="1" s="1"/>
  <c r="B85" i="1"/>
  <c r="AD84" i="1"/>
  <c r="AM84" i="1" s="1"/>
  <c r="AC84" i="1"/>
  <c r="AB84" i="1"/>
  <c r="AL84" i="1" s="1"/>
  <c r="AA84" i="1"/>
  <c r="Z84" i="1"/>
  <c r="AH84" i="1" s="1"/>
  <c r="X84" i="1"/>
  <c r="W84" i="1"/>
  <c r="V84" i="1"/>
  <c r="U84" i="1"/>
  <c r="T84" i="1"/>
  <c r="S84" i="1"/>
  <c r="R84" i="1"/>
  <c r="Q84" i="1"/>
  <c r="P84" i="1"/>
  <c r="O84" i="1"/>
  <c r="M84" i="1"/>
  <c r="N84" i="1" s="1"/>
  <c r="K84" i="1"/>
  <c r="L84" i="1" s="1"/>
  <c r="I84" i="1"/>
  <c r="H84" i="1"/>
  <c r="G84" i="1"/>
  <c r="F84" i="1"/>
  <c r="E84" i="1"/>
  <c r="D84" i="1"/>
  <c r="C84" i="1"/>
  <c r="AJ84" i="1" s="1"/>
  <c r="B84" i="1"/>
  <c r="AJ83" i="1"/>
  <c r="AD83" i="1"/>
  <c r="AC83" i="1"/>
  <c r="AB83" i="1"/>
  <c r="AL83" i="1" s="1"/>
  <c r="AA83" i="1"/>
  <c r="AE83" i="1" s="1"/>
  <c r="Z83" i="1"/>
  <c r="AH83" i="1" s="1"/>
  <c r="X83" i="1"/>
  <c r="W83" i="1"/>
  <c r="V83" i="1"/>
  <c r="U83" i="1"/>
  <c r="T83" i="1"/>
  <c r="S83" i="1"/>
  <c r="R83" i="1"/>
  <c r="Q83" i="1"/>
  <c r="P83" i="1"/>
  <c r="O83" i="1"/>
  <c r="M83" i="1"/>
  <c r="N83" i="1" s="1"/>
  <c r="J83" i="1"/>
  <c r="I83" i="1"/>
  <c r="H83" i="1"/>
  <c r="G83" i="1"/>
  <c r="F83" i="1"/>
  <c r="E83" i="1"/>
  <c r="D83" i="1"/>
  <c r="K83" i="1" s="1"/>
  <c r="L83" i="1" s="1"/>
  <c r="C83" i="1"/>
  <c r="B83" i="1"/>
  <c r="AJ82" i="1"/>
  <c r="AD82" i="1"/>
  <c r="AC82" i="1"/>
  <c r="AB82" i="1"/>
  <c r="AL82" i="1" s="1"/>
  <c r="AA82" i="1"/>
  <c r="Z82" i="1"/>
  <c r="AH82" i="1" s="1"/>
  <c r="X82" i="1"/>
  <c r="W82" i="1"/>
  <c r="V82" i="1"/>
  <c r="U82" i="1"/>
  <c r="T82" i="1"/>
  <c r="S82" i="1"/>
  <c r="R82" i="1"/>
  <c r="Q82" i="1"/>
  <c r="AM82" i="1" s="1"/>
  <c r="AN82" i="1" s="1"/>
  <c r="P82" i="1"/>
  <c r="O82" i="1"/>
  <c r="M82" i="1"/>
  <c r="J82" i="1"/>
  <c r="G82" i="1"/>
  <c r="H82" i="1" s="1"/>
  <c r="F82" i="1"/>
  <c r="K82" i="1" s="1"/>
  <c r="L82" i="1" s="1"/>
  <c r="E82" i="1"/>
  <c r="D82" i="1"/>
  <c r="C82" i="1"/>
  <c r="B82" i="1"/>
  <c r="AL81" i="1"/>
  <c r="AH81" i="1"/>
  <c r="AE81" i="1"/>
  <c r="AD81" i="1"/>
  <c r="AC81" i="1"/>
  <c r="AB81" i="1"/>
  <c r="AA81" i="1"/>
  <c r="Z81" i="1"/>
  <c r="X81" i="1"/>
  <c r="W81" i="1"/>
  <c r="V81" i="1"/>
  <c r="U81" i="1"/>
  <c r="T81" i="1"/>
  <c r="S81" i="1"/>
  <c r="R81" i="1"/>
  <c r="Q81" i="1"/>
  <c r="AM81" i="1" s="1"/>
  <c r="AN81" i="1" s="1"/>
  <c r="P81" i="1"/>
  <c r="O81" i="1"/>
  <c r="N81" i="1" s="1"/>
  <c r="M81" i="1"/>
  <c r="I81" i="1"/>
  <c r="G81" i="1"/>
  <c r="H81" i="1" s="1"/>
  <c r="F81" i="1"/>
  <c r="E81" i="1"/>
  <c r="D81" i="1"/>
  <c r="K81" i="1" s="1"/>
  <c r="L81" i="1" s="1"/>
  <c r="C81" i="1"/>
  <c r="AJ81" i="1" s="1"/>
  <c r="B81" i="1"/>
  <c r="AJ80" i="1"/>
  <c r="AH80" i="1"/>
  <c r="AD80" i="1"/>
  <c r="AC80" i="1"/>
  <c r="AB80" i="1"/>
  <c r="AA80" i="1"/>
  <c r="AE80" i="1" s="1"/>
  <c r="Z80" i="1"/>
  <c r="X80" i="1"/>
  <c r="W80" i="1"/>
  <c r="V80" i="1"/>
  <c r="U80" i="1"/>
  <c r="T80" i="1"/>
  <c r="S80" i="1"/>
  <c r="R80" i="1"/>
  <c r="Q80" i="1"/>
  <c r="P80" i="1"/>
  <c r="O80" i="1"/>
  <c r="N80" i="1" s="1"/>
  <c r="M80" i="1"/>
  <c r="I80" i="1"/>
  <c r="G80" i="1"/>
  <c r="F80" i="1"/>
  <c r="K80" i="1" s="1"/>
  <c r="L80" i="1" s="1"/>
  <c r="E80" i="1"/>
  <c r="J80" i="1" s="1"/>
  <c r="D80" i="1"/>
  <c r="C80" i="1"/>
  <c r="B80" i="1"/>
  <c r="AL79" i="1"/>
  <c r="AJ79" i="1"/>
  <c r="AD79" i="1"/>
  <c r="AC79" i="1"/>
  <c r="AB79" i="1"/>
  <c r="AA79" i="1"/>
  <c r="Z79" i="1"/>
  <c r="AH79" i="1" s="1"/>
  <c r="X79" i="1"/>
  <c r="W79" i="1"/>
  <c r="V79" i="1"/>
  <c r="U79" i="1"/>
  <c r="T79" i="1"/>
  <c r="S79" i="1"/>
  <c r="R79" i="1"/>
  <c r="Q79" i="1"/>
  <c r="AM79" i="1" s="1"/>
  <c r="AN79" i="1" s="1"/>
  <c r="P79" i="1"/>
  <c r="O79" i="1"/>
  <c r="M79" i="1"/>
  <c r="I79" i="1"/>
  <c r="G79" i="1"/>
  <c r="H79" i="1" s="1"/>
  <c r="F79" i="1"/>
  <c r="K79" i="1" s="1"/>
  <c r="L79" i="1" s="1"/>
  <c r="E79" i="1"/>
  <c r="D79" i="1"/>
  <c r="C79" i="1"/>
  <c r="B79" i="1"/>
  <c r="AL78" i="1"/>
  <c r="AH78" i="1"/>
  <c r="AE78" i="1"/>
  <c r="AD78" i="1"/>
  <c r="AM78" i="1" s="1"/>
  <c r="AN78" i="1" s="1"/>
  <c r="AC78" i="1"/>
  <c r="AB78" i="1"/>
  <c r="AA78" i="1"/>
  <c r="Z78" i="1"/>
  <c r="X78" i="1"/>
  <c r="W78" i="1"/>
  <c r="V78" i="1"/>
  <c r="U78" i="1"/>
  <c r="T78" i="1"/>
  <c r="S78" i="1"/>
  <c r="R78" i="1"/>
  <c r="Q78" i="1"/>
  <c r="P78" i="1"/>
  <c r="O78" i="1"/>
  <c r="N78" i="1" s="1"/>
  <c r="M78" i="1"/>
  <c r="G78" i="1"/>
  <c r="H78" i="1" s="1"/>
  <c r="F78" i="1"/>
  <c r="E78" i="1"/>
  <c r="J78" i="1" s="1"/>
  <c r="D78" i="1"/>
  <c r="K78" i="1" s="1"/>
  <c r="L78" i="1" s="1"/>
  <c r="C78" i="1"/>
  <c r="AJ78" i="1" s="1"/>
  <c r="B78" i="1"/>
  <c r="AJ77" i="1"/>
  <c r="AH77" i="1"/>
  <c r="AD77" i="1"/>
  <c r="AC77" i="1"/>
  <c r="AB77" i="1"/>
  <c r="AL77" i="1" s="1"/>
  <c r="AA77" i="1"/>
  <c r="Z77" i="1"/>
  <c r="X77" i="1"/>
  <c r="W77" i="1"/>
  <c r="V77" i="1"/>
  <c r="U77" i="1"/>
  <c r="T77" i="1"/>
  <c r="S77" i="1"/>
  <c r="R77" i="1"/>
  <c r="Q77" i="1"/>
  <c r="P77" i="1"/>
  <c r="O77" i="1"/>
  <c r="M77" i="1"/>
  <c r="J77" i="1"/>
  <c r="G77" i="1"/>
  <c r="F77" i="1"/>
  <c r="K77" i="1" s="1"/>
  <c r="L77" i="1" s="1"/>
  <c r="E77" i="1"/>
  <c r="H77" i="1" s="1"/>
  <c r="D77" i="1"/>
  <c r="I77" i="1" s="1"/>
  <c r="C77" i="1"/>
  <c r="B77" i="1"/>
  <c r="AH76" i="1"/>
  <c r="AE76" i="1"/>
  <c r="AD76" i="1"/>
  <c r="AM76" i="1" s="1"/>
  <c r="AC76" i="1"/>
  <c r="AB76" i="1"/>
  <c r="AL76" i="1" s="1"/>
  <c r="AA76" i="1"/>
  <c r="Z76" i="1"/>
  <c r="X76" i="1"/>
  <c r="W76" i="1"/>
  <c r="V76" i="1"/>
  <c r="U76" i="1"/>
  <c r="T76" i="1"/>
  <c r="S76" i="1"/>
  <c r="R76" i="1"/>
  <c r="Q76" i="1"/>
  <c r="P76" i="1"/>
  <c r="O76" i="1"/>
  <c r="N76" i="1" s="1"/>
  <c r="M76" i="1"/>
  <c r="L76" i="1"/>
  <c r="K76" i="1"/>
  <c r="G76" i="1"/>
  <c r="H76" i="1" s="1"/>
  <c r="F76" i="1"/>
  <c r="I76" i="1" s="1"/>
  <c r="E76" i="1"/>
  <c r="J76" i="1" s="1"/>
  <c r="D76" i="1"/>
  <c r="C76" i="1"/>
  <c r="AJ76" i="1" s="1"/>
  <c r="B76" i="1"/>
  <c r="AJ75" i="1"/>
  <c r="AH75" i="1"/>
  <c r="AE75" i="1"/>
  <c r="AD75" i="1"/>
  <c r="AC75" i="1"/>
  <c r="AL75" i="1" s="1"/>
  <c r="AB75" i="1"/>
  <c r="AA75" i="1"/>
  <c r="Z75" i="1"/>
  <c r="X75" i="1"/>
  <c r="W75" i="1"/>
  <c r="V75" i="1"/>
  <c r="U75" i="1"/>
  <c r="T75" i="1"/>
  <c r="S75" i="1"/>
  <c r="R75" i="1"/>
  <c r="Q75" i="1"/>
  <c r="P75" i="1"/>
  <c r="O75" i="1"/>
  <c r="N75" i="1" s="1"/>
  <c r="M75" i="1"/>
  <c r="H75" i="1"/>
  <c r="G75" i="1"/>
  <c r="F75" i="1"/>
  <c r="E75" i="1"/>
  <c r="J75" i="1" s="1"/>
  <c r="D75" i="1"/>
  <c r="K75" i="1" s="1"/>
  <c r="L75" i="1" s="1"/>
  <c r="C75" i="1"/>
  <c r="B75" i="1"/>
  <c r="AM74" i="1"/>
  <c r="AN74" i="1" s="1"/>
  <c r="AL74" i="1"/>
  <c r="AJ74" i="1"/>
  <c r="AH74" i="1"/>
  <c r="AD74" i="1"/>
  <c r="AC74" i="1"/>
  <c r="AB74" i="1"/>
  <c r="AA74" i="1"/>
  <c r="AE74" i="1" s="1"/>
  <c r="Z74" i="1"/>
  <c r="X74" i="1"/>
  <c r="W74" i="1"/>
  <c r="V74" i="1"/>
  <c r="U74" i="1"/>
  <c r="T74" i="1"/>
  <c r="S74" i="1"/>
  <c r="R74" i="1"/>
  <c r="Q74" i="1"/>
  <c r="P74" i="1"/>
  <c r="O74" i="1"/>
  <c r="N74" i="1" s="1"/>
  <c r="M74" i="1"/>
  <c r="J74" i="1"/>
  <c r="G74" i="1"/>
  <c r="H74" i="1" s="1"/>
  <c r="F74" i="1"/>
  <c r="K74" i="1" s="1"/>
  <c r="L74" i="1" s="1"/>
  <c r="E74" i="1"/>
  <c r="D74" i="1"/>
  <c r="C74" i="1"/>
  <c r="B74" i="1"/>
  <c r="AM73" i="1"/>
  <c r="AD73" i="1"/>
  <c r="AC73" i="1"/>
  <c r="AB73" i="1"/>
  <c r="AL73" i="1" s="1"/>
  <c r="AN73" i="1" s="1"/>
  <c r="AA73" i="1"/>
  <c r="Z73" i="1"/>
  <c r="AH73" i="1" s="1"/>
  <c r="X73" i="1"/>
  <c r="W73" i="1"/>
  <c r="V73" i="1"/>
  <c r="U73" i="1"/>
  <c r="T73" i="1"/>
  <c r="S73" i="1"/>
  <c r="R73" i="1"/>
  <c r="Q73" i="1"/>
  <c r="P73" i="1"/>
  <c r="O73" i="1"/>
  <c r="N73" i="1" s="1"/>
  <c r="M73" i="1"/>
  <c r="K73" i="1"/>
  <c r="L73" i="1" s="1"/>
  <c r="G73" i="1"/>
  <c r="H73" i="1" s="1"/>
  <c r="F73" i="1"/>
  <c r="E73" i="1"/>
  <c r="D73" i="1"/>
  <c r="I73" i="1" s="1"/>
  <c r="C73" i="1"/>
  <c r="AJ73" i="1" s="1"/>
  <c r="B73" i="1"/>
  <c r="AN72" i="1"/>
  <c r="AM72" i="1"/>
  <c r="AL72" i="1"/>
  <c r="AD72" i="1"/>
  <c r="AC72" i="1"/>
  <c r="AB72" i="1"/>
  <c r="AA72" i="1"/>
  <c r="AE72" i="1" s="1"/>
  <c r="Z72" i="1"/>
  <c r="AH72" i="1" s="1"/>
  <c r="X72" i="1"/>
  <c r="W72" i="1"/>
  <c r="V72" i="1"/>
  <c r="U72" i="1"/>
  <c r="T72" i="1"/>
  <c r="S72" i="1"/>
  <c r="R72" i="1"/>
  <c r="Q72" i="1"/>
  <c r="P72" i="1"/>
  <c r="O72" i="1"/>
  <c r="N72" i="1" s="1"/>
  <c r="M72" i="1"/>
  <c r="K72" i="1"/>
  <c r="L72" i="1" s="1"/>
  <c r="G72" i="1"/>
  <c r="F72" i="1"/>
  <c r="E72" i="1"/>
  <c r="J72" i="1" s="1"/>
  <c r="D72" i="1"/>
  <c r="I72" i="1" s="1"/>
  <c r="C72" i="1"/>
  <c r="AJ72" i="1" s="1"/>
  <c r="B72" i="1"/>
  <c r="AD71" i="1"/>
  <c r="AC71" i="1"/>
  <c r="AL71" i="1" s="1"/>
  <c r="AB71" i="1"/>
  <c r="AA71" i="1"/>
  <c r="Z71" i="1"/>
  <c r="AH71" i="1" s="1"/>
  <c r="X71" i="1"/>
  <c r="W71" i="1"/>
  <c r="V71" i="1"/>
  <c r="U71" i="1"/>
  <c r="T71" i="1"/>
  <c r="S71" i="1"/>
  <c r="R71" i="1"/>
  <c r="Q71" i="1"/>
  <c r="AM71" i="1" s="1"/>
  <c r="AN71" i="1" s="1"/>
  <c r="P71" i="1"/>
  <c r="O71" i="1"/>
  <c r="M71" i="1"/>
  <c r="K71" i="1"/>
  <c r="L71" i="1" s="1"/>
  <c r="G71" i="1"/>
  <c r="F71" i="1"/>
  <c r="E71" i="1"/>
  <c r="J71" i="1" s="1"/>
  <c r="D71" i="1"/>
  <c r="I71" i="1" s="1"/>
  <c r="C71" i="1"/>
  <c r="AJ71" i="1" s="1"/>
  <c r="B71" i="1"/>
  <c r="AD70" i="1"/>
  <c r="AC70" i="1"/>
  <c r="AL70" i="1" s="1"/>
  <c r="AB70" i="1"/>
  <c r="AA70" i="1"/>
  <c r="AE70" i="1" s="1"/>
  <c r="Z70" i="1"/>
  <c r="AH70" i="1" s="1"/>
  <c r="X70" i="1"/>
  <c r="W70" i="1"/>
  <c r="V70" i="1"/>
  <c r="U70" i="1"/>
  <c r="T70" i="1"/>
  <c r="S70" i="1"/>
  <c r="R70" i="1"/>
  <c r="Q70" i="1"/>
  <c r="AM70" i="1" s="1"/>
  <c r="P70" i="1"/>
  <c r="O70" i="1"/>
  <c r="N70" i="1" s="1"/>
  <c r="M70" i="1"/>
  <c r="G70" i="1"/>
  <c r="F70" i="1"/>
  <c r="K70" i="1" s="1"/>
  <c r="L70" i="1" s="1"/>
  <c r="E70" i="1"/>
  <c r="J70" i="1" s="1"/>
  <c r="D70" i="1"/>
  <c r="I70" i="1" s="1"/>
  <c r="C70" i="1"/>
  <c r="AJ70" i="1" s="1"/>
  <c r="B70" i="1"/>
  <c r="AE69" i="1"/>
  <c r="AD69" i="1"/>
  <c r="AC69" i="1"/>
  <c r="AB69" i="1"/>
  <c r="AL69" i="1" s="1"/>
  <c r="AA69" i="1"/>
  <c r="Z69" i="1"/>
  <c r="AH69" i="1" s="1"/>
  <c r="X69" i="1"/>
  <c r="W69" i="1"/>
  <c r="V69" i="1"/>
  <c r="AM69" i="1" s="1"/>
  <c r="U69" i="1"/>
  <c r="T69" i="1"/>
  <c r="N69" i="1" s="1"/>
  <c r="S69" i="1"/>
  <c r="R69" i="1"/>
  <c r="Q69" i="1"/>
  <c r="P69" i="1"/>
  <c r="O69" i="1"/>
  <c r="M69" i="1"/>
  <c r="G69" i="1"/>
  <c r="H69" i="1" s="1"/>
  <c r="F69" i="1"/>
  <c r="K69" i="1" s="1"/>
  <c r="L69" i="1" s="1"/>
  <c r="E69" i="1"/>
  <c r="J69" i="1" s="1"/>
  <c r="D69" i="1"/>
  <c r="I69" i="1" s="1"/>
  <c r="C69" i="1"/>
  <c r="AJ69" i="1" s="1"/>
  <c r="B69" i="1"/>
  <c r="AJ68" i="1"/>
  <c r="AD68" i="1"/>
  <c r="AM68" i="1" s="1"/>
  <c r="AC68" i="1"/>
  <c r="AB68" i="1"/>
  <c r="AA68" i="1"/>
  <c r="AL68" i="1" s="1"/>
  <c r="Z68" i="1"/>
  <c r="AH68" i="1" s="1"/>
  <c r="X68" i="1"/>
  <c r="W68" i="1"/>
  <c r="V68" i="1"/>
  <c r="U68" i="1"/>
  <c r="T68" i="1"/>
  <c r="S68" i="1"/>
  <c r="R68" i="1"/>
  <c r="Q68" i="1"/>
  <c r="P68" i="1"/>
  <c r="O68" i="1"/>
  <c r="M68" i="1"/>
  <c r="N68" i="1" s="1"/>
  <c r="H68" i="1"/>
  <c r="G68" i="1"/>
  <c r="F68" i="1"/>
  <c r="K68" i="1" s="1"/>
  <c r="L68" i="1" s="1"/>
  <c r="E68" i="1"/>
  <c r="J68" i="1" s="1"/>
  <c r="D68" i="1"/>
  <c r="I68" i="1" s="1"/>
  <c r="C68" i="1"/>
  <c r="B68" i="1"/>
  <c r="AM67" i="1"/>
  <c r="AN67" i="1" s="1"/>
  <c r="AJ67" i="1"/>
  <c r="AD67" i="1"/>
  <c r="AC67" i="1"/>
  <c r="AB67" i="1"/>
  <c r="AA67" i="1"/>
  <c r="AL67" i="1" s="1"/>
  <c r="Z67" i="1"/>
  <c r="AH67" i="1" s="1"/>
  <c r="X67" i="1"/>
  <c r="W67" i="1"/>
  <c r="V67" i="1"/>
  <c r="U67" i="1"/>
  <c r="T67" i="1"/>
  <c r="S67" i="1"/>
  <c r="R67" i="1"/>
  <c r="Q67" i="1"/>
  <c r="P67" i="1"/>
  <c r="O67" i="1"/>
  <c r="M67" i="1"/>
  <c r="N67" i="1" s="1"/>
  <c r="J67" i="1"/>
  <c r="I67" i="1"/>
  <c r="H67" i="1"/>
  <c r="G67" i="1"/>
  <c r="F67" i="1"/>
  <c r="K67" i="1" s="1"/>
  <c r="L67" i="1" s="1"/>
  <c r="E67" i="1"/>
  <c r="D67" i="1"/>
  <c r="C67" i="1"/>
  <c r="B67" i="1"/>
  <c r="AD66" i="1"/>
  <c r="AM66" i="1" s="1"/>
  <c r="AN66" i="1" s="1"/>
  <c r="AC66" i="1"/>
  <c r="AB66" i="1"/>
  <c r="AA66" i="1"/>
  <c r="AL66" i="1" s="1"/>
  <c r="Z66" i="1"/>
  <c r="AH66" i="1" s="1"/>
  <c r="X66" i="1"/>
  <c r="W66" i="1"/>
  <c r="V66" i="1"/>
  <c r="U66" i="1"/>
  <c r="T66" i="1"/>
  <c r="S66" i="1"/>
  <c r="R66" i="1"/>
  <c r="Q66" i="1"/>
  <c r="P66" i="1"/>
  <c r="O66" i="1"/>
  <c r="M66" i="1"/>
  <c r="N66" i="1" s="1"/>
  <c r="K66" i="1"/>
  <c r="L66" i="1" s="1"/>
  <c r="J66" i="1"/>
  <c r="H66" i="1"/>
  <c r="G66" i="1"/>
  <c r="F66" i="1"/>
  <c r="E66" i="1"/>
  <c r="D66" i="1"/>
  <c r="I66" i="1" s="1"/>
  <c r="C66" i="1"/>
  <c r="AJ66" i="1" s="1"/>
  <c r="B66" i="1"/>
  <c r="AJ65" i="1"/>
  <c r="AH65" i="1"/>
  <c r="AD65" i="1"/>
  <c r="AM65" i="1" s="1"/>
  <c r="AC65" i="1"/>
  <c r="AB65" i="1"/>
  <c r="AA65" i="1"/>
  <c r="AL65" i="1" s="1"/>
  <c r="Z65" i="1"/>
  <c r="X65" i="1"/>
  <c r="W65" i="1"/>
  <c r="V65" i="1"/>
  <c r="U65" i="1"/>
  <c r="T65" i="1"/>
  <c r="S65" i="1"/>
  <c r="R65" i="1"/>
  <c r="Q65" i="1"/>
  <c r="P65" i="1"/>
  <c r="O65" i="1"/>
  <c r="M65" i="1"/>
  <c r="N65" i="1" s="1"/>
  <c r="G65" i="1"/>
  <c r="H65" i="1" s="1"/>
  <c r="F65" i="1"/>
  <c r="K65" i="1" s="1"/>
  <c r="L65" i="1" s="1"/>
  <c r="E65" i="1"/>
  <c r="J65" i="1" s="1"/>
  <c r="D65" i="1"/>
  <c r="C65" i="1"/>
  <c r="B65" i="1"/>
  <c r="AJ64" i="1"/>
  <c r="AH64" i="1"/>
  <c r="AE64" i="1"/>
  <c r="AD64" i="1"/>
  <c r="AM64" i="1" s="1"/>
  <c r="AC64" i="1"/>
  <c r="AB64" i="1"/>
  <c r="AA64" i="1"/>
  <c r="Z64" i="1"/>
  <c r="X64" i="1"/>
  <c r="W64" i="1"/>
  <c r="V64" i="1"/>
  <c r="U64" i="1"/>
  <c r="T64" i="1"/>
  <c r="S64" i="1"/>
  <c r="R64" i="1"/>
  <c r="Q64" i="1"/>
  <c r="P64" i="1"/>
  <c r="O64" i="1"/>
  <c r="N64" i="1" s="1"/>
  <c r="M64" i="1"/>
  <c r="L64" i="1"/>
  <c r="K64" i="1"/>
  <c r="H64" i="1"/>
  <c r="G64" i="1"/>
  <c r="F64" i="1"/>
  <c r="E64" i="1"/>
  <c r="J64" i="1" s="1"/>
  <c r="D64" i="1"/>
  <c r="I64" i="1" s="1"/>
  <c r="C64" i="1"/>
  <c r="B64" i="1"/>
  <c r="AL63" i="1"/>
  <c r="AJ63" i="1"/>
  <c r="AH63" i="1"/>
  <c r="AD63" i="1"/>
  <c r="AC63" i="1"/>
  <c r="AB63" i="1"/>
  <c r="AA63" i="1"/>
  <c r="AE63" i="1" s="1"/>
  <c r="Z63" i="1"/>
  <c r="X63" i="1"/>
  <c r="W63" i="1"/>
  <c r="V63" i="1"/>
  <c r="U63" i="1"/>
  <c r="T63" i="1"/>
  <c r="S63" i="1"/>
  <c r="R63" i="1"/>
  <c r="Q63" i="1"/>
  <c r="AM63" i="1" s="1"/>
  <c r="AN63" i="1" s="1"/>
  <c r="P63" i="1"/>
  <c r="O63" i="1"/>
  <c r="N63" i="1" s="1"/>
  <c r="M63" i="1"/>
  <c r="J63" i="1"/>
  <c r="G63" i="1"/>
  <c r="H63" i="1" s="1"/>
  <c r="F63" i="1"/>
  <c r="K63" i="1" s="1"/>
  <c r="L63" i="1" s="1"/>
  <c r="E63" i="1"/>
  <c r="D63" i="1"/>
  <c r="I63" i="1" s="1"/>
  <c r="C63" i="1"/>
  <c r="B63" i="1"/>
  <c r="AM62" i="1"/>
  <c r="AD62" i="1"/>
  <c r="AC62" i="1"/>
  <c r="AL62" i="1" s="1"/>
  <c r="AN62" i="1" s="1"/>
  <c r="AB62" i="1"/>
  <c r="AA62" i="1"/>
  <c r="AE62" i="1" s="1"/>
  <c r="Z62" i="1"/>
  <c r="AH62" i="1" s="1"/>
  <c r="X62" i="1"/>
  <c r="W62" i="1"/>
  <c r="V62" i="1"/>
  <c r="U62" i="1"/>
  <c r="T62" i="1"/>
  <c r="S62" i="1"/>
  <c r="R62" i="1"/>
  <c r="Q62" i="1"/>
  <c r="P62" i="1"/>
  <c r="O62" i="1"/>
  <c r="M62" i="1"/>
  <c r="N62" i="1" s="1"/>
  <c r="G62" i="1"/>
  <c r="H62" i="1" s="1"/>
  <c r="F62" i="1"/>
  <c r="E62" i="1"/>
  <c r="J62" i="1" s="1"/>
  <c r="D62" i="1"/>
  <c r="K62" i="1" s="1"/>
  <c r="L62" i="1" s="1"/>
  <c r="C62" i="1"/>
  <c r="AJ62" i="1" s="1"/>
  <c r="B62" i="1"/>
  <c r="AE61" i="1"/>
  <c r="AD61" i="1"/>
  <c r="AM61" i="1" s="1"/>
  <c r="AC61" i="1"/>
  <c r="AB61" i="1"/>
  <c r="AL61" i="1" s="1"/>
  <c r="AA61" i="1"/>
  <c r="Z61" i="1"/>
  <c r="AH61" i="1" s="1"/>
  <c r="X61" i="1"/>
  <c r="W61" i="1"/>
  <c r="V61" i="1"/>
  <c r="U61" i="1"/>
  <c r="T61" i="1"/>
  <c r="N61" i="1" s="1"/>
  <c r="S61" i="1"/>
  <c r="R61" i="1"/>
  <c r="Q61" i="1"/>
  <c r="P61" i="1"/>
  <c r="O61" i="1"/>
  <c r="M61" i="1"/>
  <c r="G61" i="1"/>
  <c r="H61" i="1" s="1"/>
  <c r="F61" i="1"/>
  <c r="K61" i="1" s="1"/>
  <c r="L61" i="1" s="1"/>
  <c r="E61" i="1"/>
  <c r="J61" i="1" s="1"/>
  <c r="D61" i="1"/>
  <c r="I61" i="1" s="1"/>
  <c r="C61" i="1"/>
  <c r="AJ61" i="1" s="1"/>
  <c r="B61" i="1"/>
  <c r="AJ60" i="1"/>
  <c r="AD60" i="1"/>
  <c r="AM60" i="1" s="1"/>
  <c r="AC60" i="1"/>
  <c r="AB60" i="1"/>
  <c r="AA60" i="1"/>
  <c r="AL60" i="1" s="1"/>
  <c r="Z60" i="1"/>
  <c r="AH60" i="1" s="1"/>
  <c r="X60" i="1"/>
  <c r="W60" i="1"/>
  <c r="V60" i="1"/>
  <c r="U60" i="1"/>
  <c r="T60" i="1"/>
  <c r="S60" i="1"/>
  <c r="R60" i="1"/>
  <c r="Q60" i="1"/>
  <c r="P60" i="1"/>
  <c r="O60" i="1"/>
  <c r="M60" i="1"/>
  <c r="N60" i="1" s="1"/>
  <c r="G60" i="1"/>
  <c r="H60" i="1" s="1"/>
  <c r="F60" i="1"/>
  <c r="K60" i="1" s="1"/>
  <c r="L60" i="1" s="1"/>
  <c r="E60" i="1"/>
  <c r="J60" i="1" s="1"/>
  <c r="D60" i="1"/>
  <c r="C60" i="1"/>
  <c r="B60" i="1"/>
  <c r="AM59" i="1"/>
  <c r="AD59" i="1"/>
  <c r="AC59" i="1"/>
  <c r="AB59" i="1"/>
  <c r="AA59" i="1"/>
  <c r="AL59" i="1" s="1"/>
  <c r="Z59" i="1"/>
  <c r="AH59" i="1" s="1"/>
  <c r="X59" i="1"/>
  <c r="W59" i="1"/>
  <c r="V59" i="1"/>
  <c r="U59" i="1"/>
  <c r="T59" i="1"/>
  <c r="S59" i="1"/>
  <c r="R59" i="1"/>
  <c r="Q59" i="1"/>
  <c r="P59" i="1"/>
  <c r="O59" i="1"/>
  <c r="M59" i="1"/>
  <c r="N59" i="1" s="1"/>
  <c r="K59" i="1"/>
  <c r="L59" i="1" s="1"/>
  <c r="J59" i="1"/>
  <c r="I59" i="1"/>
  <c r="H59" i="1"/>
  <c r="G59" i="1"/>
  <c r="F59" i="1"/>
  <c r="E59" i="1"/>
  <c r="D59" i="1"/>
  <c r="C59" i="1"/>
  <c r="AJ59" i="1" s="1"/>
  <c r="B59" i="1"/>
  <c r="AD58" i="1"/>
  <c r="AM58" i="1" s="1"/>
  <c r="AN58" i="1" s="1"/>
  <c r="AC58" i="1"/>
  <c r="AB58" i="1"/>
  <c r="AA58" i="1"/>
  <c r="AL58" i="1" s="1"/>
  <c r="Z58" i="1"/>
  <c r="AH58" i="1" s="1"/>
  <c r="X58" i="1"/>
  <c r="W58" i="1"/>
  <c r="V58" i="1"/>
  <c r="U58" i="1"/>
  <c r="T58" i="1"/>
  <c r="S58" i="1"/>
  <c r="R58" i="1"/>
  <c r="Q58" i="1"/>
  <c r="P58" i="1"/>
  <c r="O58" i="1"/>
  <c r="M58" i="1"/>
  <c r="N58" i="1" s="1"/>
  <c r="K58" i="1"/>
  <c r="L58" i="1" s="1"/>
  <c r="J58" i="1"/>
  <c r="H58" i="1"/>
  <c r="G58" i="1"/>
  <c r="F58" i="1"/>
  <c r="E58" i="1"/>
  <c r="D58" i="1"/>
  <c r="I58" i="1" s="1"/>
  <c r="C58" i="1"/>
  <c r="AJ58" i="1" s="1"/>
  <c r="B58" i="1"/>
  <c r="AH57" i="1"/>
  <c r="AD57" i="1"/>
  <c r="AM57" i="1" s="1"/>
  <c r="AN57" i="1" s="1"/>
  <c r="AC57" i="1"/>
  <c r="AB57" i="1"/>
  <c r="AA57" i="1"/>
  <c r="AL57" i="1" s="1"/>
  <c r="Z57" i="1"/>
  <c r="X57" i="1"/>
  <c r="W57" i="1"/>
  <c r="V57" i="1"/>
  <c r="U57" i="1"/>
  <c r="T57" i="1"/>
  <c r="S57" i="1"/>
  <c r="R57" i="1"/>
  <c r="Q57" i="1"/>
  <c r="P57" i="1"/>
  <c r="O57" i="1"/>
  <c r="M57" i="1"/>
  <c r="N57" i="1" s="1"/>
  <c r="G57" i="1"/>
  <c r="H57" i="1" s="1"/>
  <c r="F57" i="1"/>
  <c r="K57" i="1" s="1"/>
  <c r="L57" i="1" s="1"/>
  <c r="E57" i="1"/>
  <c r="J57" i="1" s="1"/>
  <c r="D57" i="1"/>
  <c r="C57" i="1"/>
  <c r="AJ57" i="1" s="1"/>
  <c r="B57" i="1"/>
  <c r="AJ56" i="1"/>
  <c r="AH56" i="1"/>
  <c r="AE56" i="1"/>
  <c r="AD56" i="1"/>
  <c r="AM56" i="1" s="1"/>
  <c r="AC56" i="1"/>
  <c r="AB56" i="1"/>
  <c r="AA56" i="1"/>
  <c r="Z56" i="1"/>
  <c r="X56" i="1"/>
  <c r="W56" i="1"/>
  <c r="V56" i="1"/>
  <c r="U56" i="1"/>
  <c r="T56" i="1"/>
  <c r="S56" i="1"/>
  <c r="R56" i="1"/>
  <c r="Q56" i="1"/>
  <c r="P56" i="1"/>
  <c r="O56" i="1"/>
  <c r="N56" i="1" s="1"/>
  <c r="M56" i="1"/>
  <c r="K56" i="1"/>
  <c r="L56" i="1" s="1"/>
  <c r="H56" i="1"/>
  <c r="G56" i="1"/>
  <c r="F56" i="1"/>
  <c r="I56" i="1" s="1"/>
  <c r="E56" i="1"/>
  <c r="J56" i="1" s="1"/>
  <c r="D56" i="1"/>
  <c r="C56" i="1"/>
  <c r="B56" i="1"/>
  <c r="AL55" i="1"/>
  <c r="AJ55" i="1"/>
  <c r="AH55" i="1"/>
  <c r="AD55" i="1"/>
  <c r="AC55" i="1"/>
  <c r="AB55" i="1"/>
  <c r="AA55" i="1"/>
  <c r="AE55" i="1" s="1"/>
  <c r="Z55" i="1"/>
  <c r="X55" i="1"/>
  <c r="W55" i="1"/>
  <c r="V55" i="1"/>
  <c r="U55" i="1"/>
  <c r="T55" i="1"/>
  <c r="S55" i="1"/>
  <c r="R55" i="1"/>
  <c r="Q55" i="1"/>
  <c r="AM55" i="1" s="1"/>
  <c r="AN55" i="1" s="1"/>
  <c r="P55" i="1"/>
  <c r="O55" i="1"/>
  <c r="M55" i="1"/>
  <c r="N55" i="1" s="1"/>
  <c r="J55" i="1"/>
  <c r="I55" i="1"/>
  <c r="G55" i="1"/>
  <c r="H55" i="1" s="1"/>
  <c r="F55" i="1"/>
  <c r="E55" i="1"/>
  <c r="D55" i="1"/>
  <c r="K55" i="1" s="1"/>
  <c r="L55" i="1" s="1"/>
  <c r="C55" i="1"/>
  <c r="B55" i="1"/>
  <c r="AM54" i="1"/>
  <c r="AD54" i="1"/>
  <c r="AC54" i="1"/>
  <c r="AL54" i="1" s="1"/>
  <c r="AN54" i="1" s="1"/>
  <c r="AB54" i="1"/>
  <c r="AA54" i="1"/>
  <c r="AE54" i="1" s="1"/>
  <c r="Z54" i="1"/>
  <c r="AH54" i="1" s="1"/>
  <c r="X54" i="1"/>
  <c r="W54" i="1"/>
  <c r="V54" i="1"/>
  <c r="U54" i="1"/>
  <c r="T54" i="1"/>
  <c r="S54" i="1"/>
  <c r="R54" i="1"/>
  <c r="Q54" i="1"/>
  <c r="P54" i="1"/>
  <c r="O54" i="1"/>
  <c r="M54" i="1"/>
  <c r="N54" i="1" s="1"/>
  <c r="G54" i="1"/>
  <c r="H54" i="1" s="1"/>
  <c r="F54" i="1"/>
  <c r="E54" i="1"/>
  <c r="J54" i="1" s="1"/>
  <c r="D54" i="1"/>
  <c r="K54" i="1" s="1"/>
  <c r="L54" i="1" s="1"/>
  <c r="C54" i="1"/>
  <c r="AJ54" i="1" s="1"/>
  <c r="B54" i="1"/>
  <c r="AE53" i="1"/>
  <c r="AD53" i="1"/>
  <c r="AM53" i="1" s="1"/>
  <c r="AC53" i="1"/>
  <c r="AB53" i="1"/>
  <c r="AL53" i="1" s="1"/>
  <c r="AA53" i="1"/>
  <c r="Z53" i="1"/>
  <c r="AH53" i="1" s="1"/>
  <c r="X53" i="1"/>
  <c r="W53" i="1"/>
  <c r="V53" i="1"/>
  <c r="U53" i="1"/>
  <c r="T53" i="1"/>
  <c r="S53" i="1"/>
  <c r="N53" i="1" s="1"/>
  <c r="R53" i="1"/>
  <c r="Q53" i="1"/>
  <c r="P53" i="1"/>
  <c r="O53" i="1"/>
  <c r="M53" i="1"/>
  <c r="G53" i="1"/>
  <c r="H53" i="1" s="1"/>
  <c r="F53" i="1"/>
  <c r="K53" i="1" s="1"/>
  <c r="L53" i="1" s="1"/>
  <c r="E53" i="1"/>
  <c r="J53" i="1" s="1"/>
  <c r="D53" i="1"/>
  <c r="I53" i="1" s="1"/>
  <c r="C53" i="1"/>
  <c r="AJ53" i="1" s="1"/>
  <c r="B53" i="1"/>
  <c r="AJ52" i="1"/>
  <c r="AD52" i="1"/>
  <c r="AM52" i="1" s="1"/>
  <c r="AN52" i="1" s="1"/>
  <c r="AC52" i="1"/>
  <c r="AB52" i="1"/>
  <c r="AA52" i="1"/>
  <c r="AL52" i="1" s="1"/>
  <c r="Z52" i="1"/>
  <c r="AH52" i="1" s="1"/>
  <c r="X52" i="1"/>
  <c r="W52" i="1"/>
  <c r="V52" i="1"/>
  <c r="U52" i="1"/>
  <c r="T52" i="1"/>
  <c r="S52" i="1"/>
  <c r="R52" i="1"/>
  <c r="Q52" i="1"/>
  <c r="P52" i="1"/>
  <c r="O52" i="1"/>
  <c r="M52" i="1"/>
  <c r="N52" i="1" s="1"/>
  <c r="G52" i="1"/>
  <c r="H52" i="1" s="1"/>
  <c r="F52" i="1"/>
  <c r="K52" i="1" s="1"/>
  <c r="L52" i="1" s="1"/>
  <c r="E52" i="1"/>
  <c r="J52" i="1" s="1"/>
  <c r="D52" i="1"/>
  <c r="C52" i="1"/>
  <c r="B52" i="1"/>
  <c r="AM51" i="1"/>
  <c r="AN51" i="1" s="1"/>
  <c r="AD51" i="1"/>
  <c r="AC51" i="1"/>
  <c r="AB51" i="1"/>
  <c r="AA51" i="1"/>
  <c r="AL51" i="1" s="1"/>
  <c r="Z51" i="1"/>
  <c r="AH51" i="1" s="1"/>
  <c r="X51" i="1"/>
  <c r="W51" i="1"/>
  <c r="V51" i="1"/>
  <c r="U51" i="1"/>
  <c r="T51" i="1"/>
  <c r="S51" i="1"/>
  <c r="R51" i="1"/>
  <c r="Q51" i="1"/>
  <c r="P51" i="1"/>
  <c r="O51" i="1"/>
  <c r="M51" i="1"/>
  <c r="N51" i="1" s="1"/>
  <c r="K51" i="1"/>
  <c r="L51" i="1" s="1"/>
  <c r="J51" i="1"/>
  <c r="I51" i="1"/>
  <c r="H51" i="1"/>
  <c r="G51" i="1"/>
  <c r="F51" i="1"/>
  <c r="E51" i="1"/>
  <c r="D51" i="1"/>
  <c r="C51" i="1"/>
  <c r="AJ51" i="1" s="1"/>
  <c r="B51" i="1"/>
  <c r="AD50" i="1"/>
  <c r="AM50" i="1" s="1"/>
  <c r="AC50" i="1"/>
  <c r="AB50" i="1"/>
  <c r="AA50" i="1"/>
  <c r="AL50" i="1" s="1"/>
  <c r="Z50" i="1"/>
  <c r="AH50" i="1" s="1"/>
  <c r="X50" i="1"/>
  <c r="W50" i="1"/>
  <c r="V50" i="1"/>
  <c r="U50" i="1"/>
  <c r="T50" i="1"/>
  <c r="S50" i="1"/>
  <c r="R50" i="1"/>
  <c r="Q50" i="1"/>
  <c r="P50" i="1"/>
  <c r="O50" i="1"/>
  <c r="M50" i="1"/>
  <c r="N50" i="1" s="1"/>
  <c r="K50" i="1"/>
  <c r="L50" i="1" s="1"/>
  <c r="J50" i="1"/>
  <c r="G50" i="1"/>
  <c r="H50" i="1" s="1"/>
  <c r="F50" i="1"/>
  <c r="E50" i="1"/>
  <c r="D50" i="1"/>
  <c r="I50" i="1" s="1"/>
  <c r="C50" i="1"/>
  <c r="AJ50" i="1" s="1"/>
  <c r="B50" i="1"/>
  <c r="AH49" i="1"/>
  <c r="AD49" i="1"/>
  <c r="AM49" i="1" s="1"/>
  <c r="AC49" i="1"/>
  <c r="AB49" i="1"/>
  <c r="AA49" i="1"/>
  <c r="AL49" i="1" s="1"/>
  <c r="Z49" i="1"/>
  <c r="X49" i="1"/>
  <c r="W49" i="1"/>
  <c r="V49" i="1"/>
  <c r="U49" i="1"/>
  <c r="T49" i="1"/>
  <c r="S49" i="1"/>
  <c r="R49" i="1"/>
  <c r="Q49" i="1"/>
  <c r="P49" i="1"/>
  <c r="O49" i="1"/>
  <c r="M49" i="1"/>
  <c r="N49" i="1" s="1"/>
  <c r="G49" i="1"/>
  <c r="H49" i="1" s="1"/>
  <c r="F49" i="1"/>
  <c r="K49" i="1" s="1"/>
  <c r="L49" i="1" s="1"/>
  <c r="E49" i="1"/>
  <c r="J49" i="1" s="1"/>
  <c r="D49" i="1"/>
  <c r="C49" i="1"/>
  <c r="AJ49" i="1" s="1"/>
  <c r="B49" i="1"/>
  <c r="AJ48" i="1"/>
  <c r="AH48" i="1"/>
  <c r="AE48" i="1"/>
  <c r="AD48" i="1"/>
  <c r="AM48" i="1" s="1"/>
  <c r="AC48" i="1"/>
  <c r="AB48" i="1"/>
  <c r="AA48" i="1"/>
  <c r="Z48" i="1"/>
  <c r="X48" i="1"/>
  <c r="W48" i="1"/>
  <c r="V48" i="1"/>
  <c r="U48" i="1"/>
  <c r="T48" i="1"/>
  <c r="S48" i="1"/>
  <c r="R48" i="1"/>
  <c r="Q48" i="1"/>
  <c r="P48" i="1"/>
  <c r="O48" i="1"/>
  <c r="N48" i="1" s="1"/>
  <c r="M48" i="1"/>
  <c r="K48" i="1"/>
  <c r="L48" i="1" s="1"/>
  <c r="H48" i="1"/>
  <c r="G48" i="1"/>
  <c r="F48" i="1"/>
  <c r="I48" i="1" s="1"/>
  <c r="E48" i="1"/>
  <c r="J48" i="1" s="1"/>
  <c r="D48" i="1"/>
  <c r="C48" i="1"/>
  <c r="B48" i="1"/>
  <c r="AL47" i="1"/>
  <c r="AJ47" i="1"/>
  <c r="AH47" i="1"/>
  <c r="AD47" i="1"/>
  <c r="AC47" i="1"/>
  <c r="AB47" i="1"/>
  <c r="AA47" i="1"/>
  <c r="AE47" i="1" s="1"/>
  <c r="Z47" i="1"/>
  <c r="X47" i="1"/>
  <c r="W47" i="1"/>
  <c r="V47" i="1"/>
  <c r="U47" i="1"/>
  <c r="T47" i="1"/>
  <c r="S47" i="1"/>
  <c r="R47" i="1"/>
  <c r="Q47" i="1"/>
  <c r="AM47" i="1" s="1"/>
  <c r="AN47" i="1" s="1"/>
  <c r="P47" i="1"/>
  <c r="O47" i="1"/>
  <c r="M47" i="1"/>
  <c r="N47" i="1" s="1"/>
  <c r="J47" i="1"/>
  <c r="I47" i="1"/>
  <c r="G47" i="1"/>
  <c r="H47" i="1" s="1"/>
  <c r="F47" i="1"/>
  <c r="E47" i="1"/>
  <c r="D47" i="1"/>
  <c r="K47" i="1" s="1"/>
  <c r="L47" i="1" s="1"/>
  <c r="C47" i="1"/>
  <c r="B47" i="1"/>
  <c r="AN46" i="1"/>
  <c r="AD46" i="1"/>
  <c r="AC46" i="1"/>
  <c r="AL46" i="1" s="1"/>
  <c r="AB46" i="1"/>
  <c r="AA46" i="1"/>
  <c r="AE46" i="1" s="1"/>
  <c r="Z46" i="1"/>
  <c r="AH46" i="1" s="1"/>
  <c r="X46" i="1"/>
  <c r="W46" i="1"/>
  <c r="V46" i="1"/>
  <c r="U46" i="1"/>
  <c r="T46" i="1"/>
  <c r="S46" i="1"/>
  <c r="R46" i="1"/>
  <c r="Q46" i="1"/>
  <c r="AM46" i="1" s="1"/>
  <c r="P46" i="1"/>
  <c r="O46" i="1"/>
  <c r="M46" i="1"/>
  <c r="G46" i="1"/>
  <c r="H46" i="1" s="1"/>
  <c r="F46" i="1"/>
  <c r="E46" i="1"/>
  <c r="J46" i="1" s="1"/>
  <c r="D46" i="1"/>
  <c r="K46" i="1" s="1"/>
  <c r="L46" i="1" s="1"/>
  <c r="C46" i="1"/>
  <c r="AJ46" i="1" s="1"/>
  <c r="B46" i="1"/>
  <c r="AE45" i="1"/>
  <c r="AD45" i="1"/>
  <c r="AM45" i="1" s="1"/>
  <c r="AC45" i="1"/>
  <c r="AB45" i="1"/>
  <c r="AL45" i="1" s="1"/>
  <c r="AA45" i="1"/>
  <c r="Z45" i="1"/>
  <c r="AH45" i="1" s="1"/>
  <c r="X45" i="1"/>
  <c r="W45" i="1"/>
  <c r="V45" i="1"/>
  <c r="U45" i="1"/>
  <c r="T45" i="1"/>
  <c r="S45" i="1"/>
  <c r="R45" i="1"/>
  <c r="Q45" i="1"/>
  <c r="P45" i="1"/>
  <c r="O45" i="1"/>
  <c r="M45" i="1"/>
  <c r="G45" i="1"/>
  <c r="F45" i="1"/>
  <c r="K45" i="1" s="1"/>
  <c r="L45" i="1" s="1"/>
  <c r="E45" i="1"/>
  <c r="J45" i="1" s="1"/>
  <c r="D45" i="1"/>
  <c r="I45" i="1" s="1"/>
  <c r="C45" i="1"/>
  <c r="AJ45" i="1" s="1"/>
  <c r="B45" i="1"/>
  <c r="AJ44" i="1"/>
  <c r="AD44" i="1"/>
  <c r="AM44" i="1" s="1"/>
  <c r="AN44" i="1" s="1"/>
  <c r="AC44" i="1"/>
  <c r="AB44" i="1"/>
  <c r="AA44" i="1"/>
  <c r="AL44" i="1" s="1"/>
  <c r="Z44" i="1"/>
  <c r="AH44" i="1" s="1"/>
  <c r="X44" i="1"/>
  <c r="W44" i="1"/>
  <c r="V44" i="1"/>
  <c r="U44" i="1"/>
  <c r="T44" i="1"/>
  <c r="S44" i="1"/>
  <c r="R44" i="1"/>
  <c r="Q44" i="1"/>
  <c r="P44" i="1"/>
  <c r="O44" i="1"/>
  <c r="M44" i="1"/>
  <c r="N44" i="1" s="1"/>
  <c r="G44" i="1"/>
  <c r="H44" i="1" s="1"/>
  <c r="F44" i="1"/>
  <c r="K44" i="1" s="1"/>
  <c r="L44" i="1" s="1"/>
  <c r="E44" i="1"/>
  <c r="D44" i="1"/>
  <c r="C44" i="1"/>
  <c r="B44" i="1"/>
  <c r="AM43" i="1"/>
  <c r="AN43" i="1" s="1"/>
  <c r="AD43" i="1"/>
  <c r="AC43" i="1"/>
  <c r="AB43" i="1"/>
  <c r="AA43" i="1"/>
  <c r="AL43" i="1" s="1"/>
  <c r="Z43" i="1"/>
  <c r="AH43" i="1" s="1"/>
  <c r="X43" i="1"/>
  <c r="W43" i="1"/>
  <c r="V43" i="1"/>
  <c r="U43" i="1"/>
  <c r="T43" i="1"/>
  <c r="S43" i="1"/>
  <c r="R43" i="1"/>
  <c r="Q43" i="1"/>
  <c r="P43" i="1"/>
  <c r="O43" i="1"/>
  <c r="M43" i="1"/>
  <c r="N43" i="1" s="1"/>
  <c r="K43" i="1"/>
  <c r="L43" i="1" s="1"/>
  <c r="J43" i="1"/>
  <c r="I43" i="1"/>
  <c r="H43" i="1"/>
  <c r="G43" i="1"/>
  <c r="F43" i="1"/>
  <c r="E43" i="1"/>
  <c r="D43" i="1"/>
  <c r="C43" i="1"/>
  <c r="AJ43" i="1" s="1"/>
  <c r="B43" i="1"/>
  <c r="AD42" i="1"/>
  <c r="AM42" i="1" s="1"/>
  <c r="AC42" i="1"/>
  <c r="AB42" i="1"/>
  <c r="AA42" i="1"/>
  <c r="Z42" i="1"/>
  <c r="AH42" i="1" s="1"/>
  <c r="X42" i="1"/>
  <c r="W42" i="1"/>
  <c r="V42" i="1"/>
  <c r="U42" i="1"/>
  <c r="T42" i="1"/>
  <c r="S42" i="1"/>
  <c r="R42" i="1"/>
  <c r="Q42" i="1"/>
  <c r="P42" i="1"/>
  <c r="O42" i="1"/>
  <c r="M42" i="1"/>
  <c r="N42" i="1" s="1"/>
  <c r="K42" i="1"/>
  <c r="L42" i="1" s="1"/>
  <c r="J42" i="1"/>
  <c r="I42" i="1"/>
  <c r="G42" i="1"/>
  <c r="H42" i="1" s="1"/>
  <c r="F42" i="1"/>
  <c r="E42" i="1"/>
  <c r="D42" i="1"/>
  <c r="C42" i="1"/>
  <c r="AJ42" i="1" s="1"/>
  <c r="B42" i="1"/>
  <c r="AH41" i="1"/>
  <c r="AD41" i="1"/>
  <c r="AC41" i="1"/>
  <c r="AB41" i="1"/>
  <c r="AA41" i="1"/>
  <c r="Z41" i="1"/>
  <c r="X41" i="1"/>
  <c r="W41" i="1"/>
  <c r="V41" i="1"/>
  <c r="U41" i="1"/>
  <c r="T41" i="1"/>
  <c r="S41" i="1"/>
  <c r="R41" i="1"/>
  <c r="Q41" i="1"/>
  <c r="P41" i="1"/>
  <c r="O41" i="1"/>
  <c r="M41" i="1"/>
  <c r="N41" i="1" s="1"/>
  <c r="K41" i="1"/>
  <c r="L41" i="1" s="1"/>
  <c r="G41" i="1"/>
  <c r="H41" i="1" s="1"/>
  <c r="F41" i="1"/>
  <c r="I41" i="1" s="1"/>
  <c r="E41" i="1"/>
  <c r="J41" i="1" s="1"/>
  <c r="D41" i="1"/>
  <c r="C41" i="1"/>
  <c r="AJ41" i="1" s="1"/>
  <c r="B41" i="1"/>
  <c r="AJ40" i="1"/>
  <c r="AH40" i="1"/>
  <c r="AD40" i="1"/>
  <c r="AE40" i="1" s="1"/>
  <c r="AC40" i="1"/>
  <c r="AB40" i="1"/>
  <c r="AA40" i="1"/>
  <c r="Z40" i="1"/>
  <c r="X40" i="1"/>
  <c r="W40" i="1"/>
  <c r="V40" i="1"/>
  <c r="U40" i="1"/>
  <c r="T40" i="1"/>
  <c r="S40" i="1"/>
  <c r="R40" i="1"/>
  <c r="Q40" i="1"/>
  <c r="P40" i="1"/>
  <c r="O40" i="1"/>
  <c r="M40" i="1"/>
  <c r="K40" i="1"/>
  <c r="L40" i="1" s="1"/>
  <c r="I40" i="1"/>
  <c r="H40" i="1"/>
  <c r="G40" i="1"/>
  <c r="F40" i="1"/>
  <c r="E40" i="1"/>
  <c r="J40" i="1" s="1"/>
  <c r="D40" i="1"/>
  <c r="C40" i="1"/>
  <c r="B40" i="1"/>
  <c r="AL39" i="1"/>
  <c r="AH39" i="1"/>
  <c r="AD39" i="1"/>
  <c r="AC39" i="1"/>
  <c r="AB39" i="1"/>
  <c r="AA39" i="1"/>
  <c r="AE39" i="1" s="1"/>
  <c r="Z39" i="1"/>
  <c r="X39" i="1"/>
  <c r="W39" i="1"/>
  <c r="V39" i="1"/>
  <c r="U39" i="1"/>
  <c r="T39" i="1"/>
  <c r="S39" i="1"/>
  <c r="R39" i="1"/>
  <c r="Q39" i="1"/>
  <c r="AM39" i="1" s="1"/>
  <c r="AN39" i="1" s="1"/>
  <c r="P39" i="1"/>
  <c r="O39" i="1"/>
  <c r="M39" i="1"/>
  <c r="J39" i="1"/>
  <c r="I39" i="1"/>
  <c r="G39" i="1"/>
  <c r="H39" i="1" s="1"/>
  <c r="F39" i="1"/>
  <c r="E39" i="1"/>
  <c r="D39" i="1"/>
  <c r="K39" i="1" s="1"/>
  <c r="L39" i="1" s="1"/>
  <c r="C39" i="1"/>
  <c r="AJ39" i="1" s="1"/>
  <c r="B39" i="1"/>
  <c r="AL38" i="1"/>
  <c r="AD38" i="1"/>
  <c r="AC38" i="1"/>
  <c r="AB38" i="1"/>
  <c r="AA38" i="1"/>
  <c r="AE38" i="1" s="1"/>
  <c r="Z38" i="1"/>
  <c r="AH38" i="1" s="1"/>
  <c r="X38" i="1"/>
  <c r="W38" i="1"/>
  <c r="V38" i="1"/>
  <c r="U38" i="1"/>
  <c r="T38" i="1"/>
  <c r="S38" i="1"/>
  <c r="R38" i="1"/>
  <c r="Q38" i="1"/>
  <c r="AM38" i="1" s="1"/>
  <c r="AN38" i="1" s="1"/>
  <c r="P38" i="1"/>
  <c r="O38" i="1"/>
  <c r="M38" i="1"/>
  <c r="G38" i="1"/>
  <c r="H38" i="1" s="1"/>
  <c r="F38" i="1"/>
  <c r="E38" i="1"/>
  <c r="J38" i="1" s="1"/>
  <c r="D38" i="1"/>
  <c r="K38" i="1" s="1"/>
  <c r="L38" i="1" s="1"/>
  <c r="C38" i="1"/>
  <c r="AJ38" i="1" s="1"/>
  <c r="B38" i="1"/>
  <c r="AD37" i="1"/>
  <c r="AM37" i="1" s="1"/>
  <c r="AC37" i="1"/>
  <c r="AB37" i="1"/>
  <c r="AL37" i="1" s="1"/>
  <c r="AA37" i="1"/>
  <c r="Z37" i="1"/>
  <c r="AH37" i="1" s="1"/>
  <c r="X37" i="1"/>
  <c r="W37" i="1"/>
  <c r="V37" i="1"/>
  <c r="U37" i="1"/>
  <c r="T37" i="1"/>
  <c r="S37" i="1"/>
  <c r="R37" i="1"/>
  <c r="Q37" i="1"/>
  <c r="P37" i="1"/>
  <c r="O37" i="1"/>
  <c r="M37" i="1"/>
  <c r="G37" i="1"/>
  <c r="F37" i="1"/>
  <c r="K37" i="1" s="1"/>
  <c r="L37" i="1" s="1"/>
  <c r="E37" i="1"/>
  <c r="J37" i="1" s="1"/>
  <c r="D37" i="1"/>
  <c r="I37" i="1" s="1"/>
  <c r="C37" i="1"/>
  <c r="AJ37" i="1" s="1"/>
  <c r="B37" i="1"/>
  <c r="AJ36" i="1"/>
  <c r="AD36" i="1"/>
  <c r="AM36" i="1" s="1"/>
  <c r="AN36" i="1" s="1"/>
  <c r="AC36" i="1"/>
  <c r="AB36" i="1"/>
  <c r="AA36" i="1"/>
  <c r="AL36" i="1" s="1"/>
  <c r="Z36" i="1"/>
  <c r="AH36" i="1" s="1"/>
  <c r="X36" i="1"/>
  <c r="W36" i="1"/>
  <c r="V36" i="1"/>
  <c r="U36" i="1"/>
  <c r="T36" i="1"/>
  <c r="S36" i="1"/>
  <c r="R36" i="1"/>
  <c r="Q36" i="1"/>
  <c r="P36" i="1"/>
  <c r="O36" i="1"/>
  <c r="M36" i="1"/>
  <c r="N36" i="1" s="1"/>
  <c r="G36" i="1"/>
  <c r="H36" i="1" s="1"/>
  <c r="F36" i="1"/>
  <c r="K36" i="1" s="1"/>
  <c r="L36" i="1" s="1"/>
  <c r="E36" i="1"/>
  <c r="D36" i="1"/>
  <c r="C36" i="1"/>
  <c r="B36" i="1"/>
  <c r="AJ35" i="1"/>
  <c r="AD35" i="1"/>
  <c r="AC35" i="1"/>
  <c r="AB35" i="1"/>
  <c r="AA35" i="1"/>
  <c r="AL35" i="1" s="1"/>
  <c r="Z35" i="1"/>
  <c r="AH35" i="1" s="1"/>
  <c r="X35" i="1"/>
  <c r="W35" i="1"/>
  <c r="V35" i="1"/>
  <c r="U35" i="1"/>
  <c r="T35" i="1"/>
  <c r="S35" i="1"/>
  <c r="R35" i="1"/>
  <c r="Q35" i="1"/>
  <c r="AM35" i="1" s="1"/>
  <c r="P35" i="1"/>
  <c r="N35" i="1" s="1"/>
  <c r="O35" i="1"/>
  <c r="M35" i="1"/>
  <c r="I35" i="1"/>
  <c r="H35" i="1"/>
  <c r="G35" i="1"/>
  <c r="J35" i="1" s="1"/>
  <c r="F35" i="1"/>
  <c r="K35" i="1" s="1"/>
  <c r="L35" i="1" s="1"/>
  <c r="E35" i="1"/>
  <c r="D35" i="1"/>
  <c r="C35" i="1"/>
  <c r="B35" i="1"/>
  <c r="AM34" i="1"/>
  <c r="AD34" i="1"/>
  <c r="AC34" i="1"/>
  <c r="AB34" i="1"/>
  <c r="AA34" i="1"/>
  <c r="Z34" i="1"/>
  <c r="AH34" i="1" s="1"/>
  <c r="X34" i="1"/>
  <c r="W34" i="1"/>
  <c r="V34" i="1"/>
  <c r="U34" i="1"/>
  <c r="T34" i="1"/>
  <c r="S34" i="1"/>
  <c r="R34" i="1"/>
  <c r="Q34" i="1"/>
  <c r="P34" i="1"/>
  <c r="N34" i="1" s="1"/>
  <c r="O34" i="1"/>
  <c r="M34" i="1"/>
  <c r="K34" i="1"/>
  <c r="L34" i="1" s="1"/>
  <c r="J34" i="1"/>
  <c r="I34" i="1"/>
  <c r="H34" i="1"/>
  <c r="G34" i="1"/>
  <c r="F34" i="1"/>
  <c r="E34" i="1"/>
  <c r="D34" i="1"/>
  <c r="C34" i="1"/>
  <c r="AJ34" i="1" s="1"/>
  <c r="B34" i="1"/>
  <c r="AJ33" i="1"/>
  <c r="AD33" i="1"/>
  <c r="AM33" i="1" s="1"/>
  <c r="AC33" i="1"/>
  <c r="AB33" i="1"/>
  <c r="AA33" i="1"/>
  <c r="Z33" i="1"/>
  <c r="AH33" i="1" s="1"/>
  <c r="X33" i="1"/>
  <c r="W33" i="1"/>
  <c r="V33" i="1"/>
  <c r="U33" i="1"/>
  <c r="T33" i="1"/>
  <c r="S33" i="1"/>
  <c r="R33" i="1"/>
  <c r="Q33" i="1"/>
  <c r="P33" i="1"/>
  <c r="O33" i="1"/>
  <c r="M33" i="1"/>
  <c r="N33" i="1" s="1"/>
  <c r="L33" i="1"/>
  <c r="K33" i="1"/>
  <c r="G33" i="1"/>
  <c r="F33" i="1"/>
  <c r="E33" i="1"/>
  <c r="J33" i="1" s="1"/>
  <c r="D33" i="1"/>
  <c r="I33" i="1" s="1"/>
  <c r="C33" i="1"/>
  <c r="B33" i="1"/>
  <c r="AJ32" i="1"/>
  <c r="AH32" i="1"/>
  <c r="AE32" i="1"/>
  <c r="AD32" i="1"/>
  <c r="AC32" i="1"/>
  <c r="AB32" i="1"/>
  <c r="AA32" i="1"/>
  <c r="AL32" i="1" s="1"/>
  <c r="Z32" i="1"/>
  <c r="X32" i="1"/>
  <c r="W32" i="1"/>
  <c r="V32" i="1"/>
  <c r="U32" i="1"/>
  <c r="T32" i="1"/>
  <c r="S32" i="1"/>
  <c r="R32" i="1"/>
  <c r="Q32" i="1"/>
  <c r="P32" i="1"/>
  <c r="O32" i="1"/>
  <c r="N32" i="1" s="1"/>
  <c r="M32" i="1"/>
  <c r="G32" i="1"/>
  <c r="J32" i="1" s="1"/>
  <c r="F32" i="1"/>
  <c r="K32" i="1" s="1"/>
  <c r="L32" i="1" s="1"/>
  <c r="E32" i="1"/>
  <c r="D32" i="1"/>
  <c r="I32" i="1" s="1"/>
  <c r="C32" i="1"/>
  <c r="B32" i="1"/>
  <c r="AL31" i="1"/>
  <c r="AJ31" i="1"/>
  <c r="AH31" i="1"/>
  <c r="AE31" i="1"/>
  <c r="AD31" i="1"/>
  <c r="AC31" i="1"/>
  <c r="AB31" i="1"/>
  <c r="AA31" i="1"/>
  <c r="Z31" i="1"/>
  <c r="X31" i="1"/>
  <c r="W31" i="1"/>
  <c r="V31" i="1"/>
  <c r="U31" i="1"/>
  <c r="T31" i="1"/>
  <c r="S31" i="1"/>
  <c r="R31" i="1"/>
  <c r="Q31" i="1"/>
  <c r="P31" i="1"/>
  <c r="O31" i="1"/>
  <c r="M31" i="1"/>
  <c r="J31" i="1"/>
  <c r="I31" i="1"/>
  <c r="H31" i="1"/>
  <c r="G31" i="1"/>
  <c r="F31" i="1"/>
  <c r="K31" i="1" s="1"/>
  <c r="L31" i="1" s="1"/>
  <c r="E31" i="1"/>
  <c r="D31" i="1"/>
  <c r="C31" i="1"/>
  <c r="B31" i="1"/>
  <c r="AN30" i="1"/>
  <c r="AM30" i="1"/>
  <c r="AL30" i="1"/>
  <c r="AH30" i="1"/>
  <c r="AD30" i="1"/>
  <c r="AC30" i="1"/>
  <c r="AB30" i="1"/>
  <c r="AA30" i="1"/>
  <c r="AE30" i="1" s="1"/>
  <c r="Z30" i="1"/>
  <c r="X30" i="1"/>
  <c r="W30" i="1"/>
  <c r="V30" i="1"/>
  <c r="U30" i="1"/>
  <c r="T30" i="1"/>
  <c r="S30" i="1"/>
  <c r="R30" i="1"/>
  <c r="Q30" i="1"/>
  <c r="P30" i="1"/>
  <c r="O30" i="1"/>
  <c r="M30" i="1"/>
  <c r="K30" i="1"/>
  <c r="L30" i="1" s="1"/>
  <c r="J30" i="1"/>
  <c r="H30" i="1"/>
  <c r="G30" i="1"/>
  <c r="F30" i="1"/>
  <c r="E30" i="1"/>
  <c r="D30" i="1"/>
  <c r="I30" i="1" s="1"/>
  <c r="C30" i="1"/>
  <c r="AJ30" i="1" s="1"/>
  <c r="B30" i="1"/>
  <c r="AD29" i="1"/>
  <c r="AM29" i="1" s="1"/>
  <c r="AN29" i="1" s="1"/>
  <c r="AC29" i="1"/>
  <c r="AB29" i="1"/>
  <c r="AA29" i="1"/>
  <c r="AL29" i="1" s="1"/>
  <c r="Z29" i="1"/>
  <c r="AH29" i="1" s="1"/>
  <c r="X29" i="1"/>
  <c r="W29" i="1"/>
  <c r="V29" i="1"/>
  <c r="U29" i="1"/>
  <c r="T29" i="1"/>
  <c r="S29" i="1"/>
  <c r="R29" i="1"/>
  <c r="Q29" i="1"/>
  <c r="P29" i="1"/>
  <c r="O29" i="1"/>
  <c r="M29" i="1"/>
  <c r="G29" i="1"/>
  <c r="F29" i="1"/>
  <c r="K29" i="1" s="1"/>
  <c r="L29" i="1" s="1"/>
  <c r="E29" i="1"/>
  <c r="J29" i="1" s="1"/>
  <c r="D29" i="1"/>
  <c r="I29" i="1" s="1"/>
  <c r="C29" i="1"/>
  <c r="AJ29" i="1" s="1"/>
  <c r="B29" i="1"/>
  <c r="AH28" i="1"/>
  <c r="AE28" i="1"/>
  <c r="AD28" i="1"/>
  <c r="AC28" i="1"/>
  <c r="AB28" i="1"/>
  <c r="AA28" i="1"/>
  <c r="AL28" i="1" s="1"/>
  <c r="Z28" i="1"/>
  <c r="X28" i="1"/>
  <c r="W28" i="1"/>
  <c r="V28" i="1"/>
  <c r="U28" i="1"/>
  <c r="T28" i="1"/>
  <c r="S28" i="1"/>
  <c r="R28" i="1"/>
  <c r="Q28" i="1"/>
  <c r="P28" i="1"/>
  <c r="O28" i="1"/>
  <c r="M28" i="1"/>
  <c r="G28" i="1"/>
  <c r="F28" i="1"/>
  <c r="K28" i="1" s="1"/>
  <c r="L28" i="1" s="1"/>
  <c r="E28" i="1"/>
  <c r="J28" i="1" s="1"/>
  <c r="D28" i="1"/>
  <c r="C28" i="1"/>
  <c r="AJ28" i="1" s="1"/>
  <c r="B28" i="1"/>
  <c r="AL27" i="1"/>
  <c r="AJ27" i="1"/>
  <c r="AD27" i="1"/>
  <c r="AC27" i="1"/>
  <c r="AB27" i="1"/>
  <c r="AA27" i="1"/>
  <c r="AE27" i="1" s="1"/>
  <c r="Z27" i="1"/>
  <c r="AH27" i="1" s="1"/>
  <c r="X27" i="1"/>
  <c r="W27" i="1"/>
  <c r="V27" i="1"/>
  <c r="U27" i="1"/>
  <c r="T27" i="1"/>
  <c r="S27" i="1"/>
  <c r="R27" i="1"/>
  <c r="Q27" i="1"/>
  <c r="AM27" i="1" s="1"/>
  <c r="AN27" i="1" s="1"/>
  <c r="P27" i="1"/>
  <c r="N27" i="1" s="1"/>
  <c r="O27" i="1"/>
  <c r="M27" i="1"/>
  <c r="G27" i="1"/>
  <c r="J27" i="1" s="1"/>
  <c r="F27" i="1"/>
  <c r="K27" i="1" s="1"/>
  <c r="L27" i="1" s="1"/>
  <c r="E27" i="1"/>
  <c r="D27" i="1"/>
  <c r="C27" i="1"/>
  <c r="B27" i="1"/>
  <c r="AM26" i="1"/>
  <c r="AD26" i="1"/>
  <c r="AC26" i="1"/>
  <c r="AB26" i="1"/>
  <c r="AA26" i="1"/>
  <c r="Z26" i="1"/>
  <c r="AH26" i="1" s="1"/>
  <c r="X26" i="1"/>
  <c r="W26" i="1"/>
  <c r="V26" i="1"/>
  <c r="U26" i="1"/>
  <c r="T26" i="1"/>
  <c r="S26" i="1"/>
  <c r="R26" i="1"/>
  <c r="Q26" i="1"/>
  <c r="P26" i="1"/>
  <c r="O26" i="1"/>
  <c r="M26" i="1"/>
  <c r="K26" i="1"/>
  <c r="L26" i="1" s="1"/>
  <c r="J26" i="1"/>
  <c r="I26" i="1"/>
  <c r="H26" i="1"/>
  <c r="G26" i="1"/>
  <c r="F26" i="1"/>
  <c r="E26" i="1"/>
  <c r="D26" i="1"/>
  <c r="C26" i="1"/>
  <c r="AJ26" i="1" s="1"/>
  <c r="B26" i="1"/>
  <c r="AJ25" i="1"/>
  <c r="AD25" i="1"/>
  <c r="AM25" i="1" s="1"/>
  <c r="AC25" i="1"/>
  <c r="AB25" i="1"/>
  <c r="AA25" i="1"/>
  <c r="Z25" i="1"/>
  <c r="AH25" i="1" s="1"/>
  <c r="X25" i="1"/>
  <c r="W25" i="1"/>
  <c r="V25" i="1"/>
  <c r="U25" i="1"/>
  <c r="T25" i="1"/>
  <c r="S25" i="1"/>
  <c r="R25" i="1"/>
  <c r="Q25" i="1"/>
  <c r="P25" i="1"/>
  <c r="O25" i="1"/>
  <c r="M25" i="1"/>
  <c r="N25" i="1" s="1"/>
  <c r="L25" i="1"/>
  <c r="K25" i="1"/>
  <c r="J25" i="1"/>
  <c r="G25" i="1"/>
  <c r="F25" i="1"/>
  <c r="E25" i="1"/>
  <c r="H25" i="1" s="1"/>
  <c r="D25" i="1"/>
  <c r="I25" i="1" s="1"/>
  <c r="C25" i="1"/>
  <c r="B25" i="1"/>
  <c r="AJ24" i="1"/>
  <c r="AH24" i="1"/>
  <c r="AD24" i="1"/>
  <c r="AM24" i="1" s="1"/>
  <c r="AC24" i="1"/>
  <c r="AE24" i="1" s="1"/>
  <c r="AB24" i="1"/>
  <c r="AA24" i="1"/>
  <c r="AL24" i="1" s="1"/>
  <c r="Z24" i="1"/>
  <c r="X24" i="1"/>
  <c r="W24" i="1"/>
  <c r="V24" i="1"/>
  <c r="U24" i="1"/>
  <c r="T24" i="1"/>
  <c r="S24" i="1"/>
  <c r="R24" i="1"/>
  <c r="Q24" i="1"/>
  <c r="P24" i="1"/>
  <c r="O24" i="1"/>
  <c r="M24" i="1"/>
  <c r="N24" i="1" s="1"/>
  <c r="G24" i="1"/>
  <c r="F24" i="1"/>
  <c r="K24" i="1" s="1"/>
  <c r="L24" i="1" s="1"/>
  <c r="E24" i="1"/>
  <c r="D24" i="1"/>
  <c r="I24" i="1" s="1"/>
  <c r="C24" i="1"/>
  <c r="B24" i="1"/>
  <c r="AL23" i="1"/>
  <c r="AJ23" i="1"/>
  <c r="AH23" i="1"/>
  <c r="AE23" i="1"/>
  <c r="AD23" i="1"/>
  <c r="AC23" i="1"/>
  <c r="AB23" i="1"/>
  <c r="AA23" i="1"/>
  <c r="Z23" i="1"/>
  <c r="X23" i="1"/>
  <c r="W23" i="1"/>
  <c r="V23" i="1"/>
  <c r="U23" i="1"/>
  <c r="T23" i="1"/>
  <c r="S23" i="1"/>
  <c r="R23" i="1"/>
  <c r="Q23" i="1"/>
  <c r="P23" i="1"/>
  <c r="O23" i="1"/>
  <c r="N23" i="1" s="1"/>
  <c r="M23" i="1"/>
  <c r="J23" i="1"/>
  <c r="I23" i="1"/>
  <c r="H23" i="1"/>
  <c r="G23" i="1"/>
  <c r="F23" i="1"/>
  <c r="K23" i="1" s="1"/>
  <c r="L23" i="1" s="1"/>
  <c r="E23" i="1"/>
  <c r="D23" i="1"/>
  <c r="C23" i="1"/>
  <c r="B23" i="1"/>
  <c r="AL22" i="1"/>
  <c r="AH22" i="1"/>
  <c r="AD22" i="1"/>
  <c r="AC22" i="1"/>
  <c r="AB22" i="1"/>
  <c r="AA22" i="1"/>
  <c r="Z22" i="1"/>
  <c r="X22" i="1"/>
  <c r="W22" i="1"/>
  <c r="V22" i="1"/>
  <c r="U22" i="1"/>
  <c r="T22" i="1"/>
  <c r="S22" i="1"/>
  <c r="R22" i="1"/>
  <c r="Q22" i="1"/>
  <c r="AM22" i="1" s="1"/>
  <c r="AN22" i="1" s="1"/>
  <c r="P22" i="1"/>
  <c r="O22" i="1"/>
  <c r="M22" i="1"/>
  <c r="J22" i="1"/>
  <c r="H22" i="1"/>
  <c r="G22" i="1"/>
  <c r="F22" i="1"/>
  <c r="E22" i="1"/>
  <c r="D22" i="1"/>
  <c r="I22" i="1" s="1"/>
  <c r="C22" i="1"/>
  <c r="AJ22" i="1" s="1"/>
  <c r="B22" i="1"/>
  <c r="AD21" i="1"/>
  <c r="AM21" i="1" s="1"/>
  <c r="AN21" i="1" s="1"/>
  <c r="AC21" i="1"/>
  <c r="AB21" i="1"/>
  <c r="AA21" i="1"/>
  <c r="AL21" i="1" s="1"/>
  <c r="Z21" i="1"/>
  <c r="AH21" i="1" s="1"/>
  <c r="X21" i="1"/>
  <c r="W21" i="1"/>
  <c r="V21" i="1"/>
  <c r="U21" i="1"/>
  <c r="T21" i="1"/>
  <c r="S21" i="1"/>
  <c r="R21" i="1"/>
  <c r="Q21" i="1"/>
  <c r="P21" i="1"/>
  <c r="O21" i="1"/>
  <c r="M21" i="1"/>
  <c r="G21" i="1"/>
  <c r="F21" i="1"/>
  <c r="E21" i="1"/>
  <c r="J21" i="1" s="1"/>
  <c r="D21" i="1"/>
  <c r="I21" i="1" s="1"/>
  <c r="C21" i="1"/>
  <c r="AJ21" i="1" s="1"/>
  <c r="B21" i="1"/>
  <c r="AH20" i="1"/>
  <c r="AE20" i="1"/>
  <c r="AD20" i="1"/>
  <c r="AC20" i="1"/>
  <c r="AB20" i="1"/>
  <c r="AA20" i="1"/>
  <c r="AL20" i="1" s="1"/>
  <c r="Z20" i="1"/>
  <c r="X20" i="1"/>
  <c r="W20" i="1"/>
  <c r="V20" i="1"/>
  <c r="U20" i="1"/>
  <c r="T20" i="1"/>
  <c r="S20" i="1"/>
  <c r="R20" i="1"/>
  <c r="Q20" i="1"/>
  <c r="P20" i="1"/>
  <c r="O20" i="1"/>
  <c r="M20" i="1"/>
  <c r="G20" i="1"/>
  <c r="H20" i="1" s="1"/>
  <c r="F20" i="1"/>
  <c r="E20" i="1"/>
  <c r="J20" i="1" s="1"/>
  <c r="D20" i="1"/>
  <c r="I20" i="1" s="1"/>
  <c r="C20" i="1"/>
  <c r="AJ20" i="1" s="1"/>
  <c r="B20" i="1"/>
  <c r="AL19" i="1"/>
  <c r="AJ19" i="1"/>
  <c r="AD19" i="1"/>
  <c r="AC19" i="1"/>
  <c r="AB19" i="1"/>
  <c r="AA19" i="1"/>
  <c r="AE19" i="1" s="1"/>
  <c r="Z19" i="1"/>
  <c r="AH19" i="1" s="1"/>
  <c r="X19" i="1"/>
  <c r="W19" i="1"/>
  <c r="V19" i="1"/>
  <c r="U19" i="1"/>
  <c r="T19" i="1"/>
  <c r="S19" i="1"/>
  <c r="R19" i="1"/>
  <c r="Q19" i="1"/>
  <c r="P19" i="1"/>
  <c r="O19" i="1"/>
  <c r="M19" i="1"/>
  <c r="I19" i="1"/>
  <c r="H19" i="1"/>
  <c r="G19" i="1"/>
  <c r="J19" i="1" s="1"/>
  <c r="F19" i="1"/>
  <c r="K19" i="1" s="1"/>
  <c r="L19" i="1" s="1"/>
  <c r="E19" i="1"/>
  <c r="D19" i="1"/>
  <c r="C19" i="1"/>
  <c r="B19" i="1"/>
  <c r="AM18" i="1"/>
  <c r="AD18" i="1"/>
  <c r="AC18" i="1"/>
  <c r="AB18" i="1"/>
  <c r="AA18" i="1"/>
  <c r="Z18" i="1"/>
  <c r="AH18" i="1" s="1"/>
  <c r="X18" i="1"/>
  <c r="W18" i="1"/>
  <c r="V18" i="1"/>
  <c r="U18" i="1"/>
  <c r="T18" i="1"/>
  <c r="S18" i="1"/>
  <c r="R18" i="1"/>
  <c r="Q18" i="1"/>
  <c r="P18" i="1"/>
  <c r="O18" i="1"/>
  <c r="M18" i="1"/>
  <c r="K18" i="1"/>
  <c r="L18" i="1" s="1"/>
  <c r="J18" i="1"/>
  <c r="I18" i="1"/>
  <c r="H18" i="1"/>
  <c r="G18" i="1"/>
  <c r="F18" i="1"/>
  <c r="E18" i="1"/>
  <c r="D18" i="1"/>
  <c r="C18" i="1"/>
  <c r="AJ18" i="1" s="1"/>
  <c r="B18" i="1"/>
  <c r="AD17" i="1"/>
  <c r="AM17" i="1" s="1"/>
  <c r="AC17" i="1"/>
  <c r="AB17" i="1"/>
  <c r="AA17" i="1"/>
  <c r="AL17" i="1" s="1"/>
  <c r="Z17" i="1"/>
  <c r="AH17" i="1" s="1"/>
  <c r="X17" i="1"/>
  <c r="W17" i="1"/>
  <c r="V17" i="1"/>
  <c r="U17" i="1"/>
  <c r="N17" i="1" s="1"/>
  <c r="T17" i="1"/>
  <c r="S17" i="1"/>
  <c r="R17" i="1"/>
  <c r="Q17" i="1"/>
  <c r="P17" i="1"/>
  <c r="O17" i="1"/>
  <c r="M17" i="1"/>
  <c r="J17" i="1"/>
  <c r="G17" i="1"/>
  <c r="F17" i="1"/>
  <c r="E17" i="1"/>
  <c r="H17" i="1" s="1"/>
  <c r="D17" i="1"/>
  <c r="I17" i="1" s="1"/>
  <c r="C17" i="1"/>
  <c r="AJ17" i="1" s="1"/>
  <c r="B17" i="1"/>
  <c r="AJ16" i="1"/>
  <c r="AH16" i="1"/>
  <c r="AD16" i="1"/>
  <c r="AC16" i="1"/>
  <c r="AE16" i="1" s="1"/>
  <c r="AB16" i="1"/>
  <c r="AA16" i="1"/>
  <c r="Z16" i="1"/>
  <c r="X16" i="1"/>
  <c r="W16" i="1"/>
  <c r="V16" i="1"/>
  <c r="U16" i="1"/>
  <c r="T16" i="1"/>
  <c r="S16" i="1"/>
  <c r="R16" i="1"/>
  <c r="Q16" i="1"/>
  <c r="P16" i="1"/>
  <c r="O16" i="1"/>
  <c r="N16" i="1" s="1"/>
  <c r="M16" i="1"/>
  <c r="L16" i="1"/>
  <c r="G16" i="1"/>
  <c r="F16" i="1"/>
  <c r="K16" i="1" s="1"/>
  <c r="E16" i="1"/>
  <c r="D16" i="1"/>
  <c r="I16" i="1" s="1"/>
  <c r="C16" i="1"/>
  <c r="B16" i="1"/>
  <c r="AL15" i="1"/>
  <c r="AJ15" i="1"/>
  <c r="AE15" i="1"/>
  <c r="AD15" i="1"/>
  <c r="AC15" i="1"/>
  <c r="AB15" i="1"/>
  <c r="AA15" i="1"/>
  <c r="Z15" i="1"/>
  <c r="AH15" i="1" s="1"/>
  <c r="X15" i="1"/>
  <c r="W15" i="1"/>
  <c r="V15" i="1"/>
  <c r="U15" i="1"/>
  <c r="T15" i="1"/>
  <c r="S15" i="1"/>
  <c r="R15" i="1"/>
  <c r="Q15" i="1"/>
  <c r="AM15" i="1" s="1"/>
  <c r="AN15" i="1" s="1"/>
  <c r="P15" i="1"/>
  <c r="N15" i="1" s="1"/>
  <c r="O15" i="1"/>
  <c r="M15" i="1"/>
  <c r="H15" i="1"/>
  <c r="G15" i="1"/>
  <c r="J15" i="1" s="1"/>
  <c r="F15" i="1"/>
  <c r="K15" i="1" s="1"/>
  <c r="L15" i="1" s="1"/>
  <c r="E15" i="1"/>
  <c r="D15" i="1"/>
  <c r="C15" i="1"/>
  <c r="B15" i="1"/>
  <c r="AJ14" i="1"/>
  <c r="AH14" i="1"/>
  <c r="AD14" i="1"/>
  <c r="AC14" i="1"/>
  <c r="AB14" i="1"/>
  <c r="AL14" i="1" s="1"/>
  <c r="AA14" i="1"/>
  <c r="Z14" i="1"/>
  <c r="X14" i="1"/>
  <c r="W14" i="1"/>
  <c r="V14" i="1"/>
  <c r="U14" i="1"/>
  <c r="T14" i="1"/>
  <c r="S14" i="1"/>
  <c r="R14" i="1"/>
  <c r="Q14" i="1"/>
  <c r="AM14" i="1" s="1"/>
  <c r="AN14" i="1" s="1"/>
  <c r="P14" i="1"/>
  <c r="O14" i="1"/>
  <c r="M14" i="1"/>
  <c r="H14" i="1"/>
  <c r="G14" i="1"/>
  <c r="F14" i="1"/>
  <c r="E14" i="1"/>
  <c r="J14" i="1" s="1"/>
  <c r="D14" i="1"/>
  <c r="I14" i="1" s="1"/>
  <c r="C14" i="1"/>
  <c r="B14" i="1"/>
  <c r="AJ13" i="1"/>
  <c r="AD13" i="1"/>
  <c r="AC13" i="1"/>
  <c r="AB13" i="1"/>
  <c r="AL13" i="1" s="1"/>
  <c r="AA13" i="1"/>
  <c r="Z13" i="1"/>
  <c r="AH13" i="1" s="1"/>
  <c r="X13" i="1"/>
  <c r="W13" i="1"/>
  <c r="V13" i="1"/>
  <c r="U13" i="1"/>
  <c r="T13" i="1"/>
  <c r="S13" i="1"/>
  <c r="R13" i="1"/>
  <c r="Q13" i="1"/>
  <c r="AM13" i="1" s="1"/>
  <c r="P13" i="1"/>
  <c r="O13" i="1"/>
  <c r="M13" i="1"/>
  <c r="N13" i="1" s="1"/>
  <c r="I13" i="1"/>
  <c r="G13" i="1"/>
  <c r="H13" i="1" s="1"/>
  <c r="F13" i="1"/>
  <c r="E13" i="1"/>
  <c r="J13" i="1" s="1"/>
  <c r="D13" i="1"/>
  <c r="K13" i="1" s="1"/>
  <c r="L13" i="1" s="1"/>
  <c r="C13" i="1"/>
  <c r="B13" i="1"/>
  <c r="AD12" i="1"/>
  <c r="AC12" i="1"/>
  <c r="AB12" i="1"/>
  <c r="AL12" i="1" s="1"/>
  <c r="AA12" i="1"/>
  <c r="Z12" i="1"/>
  <c r="AH12" i="1" s="1"/>
  <c r="X12" i="1"/>
  <c r="W12" i="1"/>
  <c r="V12" i="1"/>
  <c r="AM12" i="1" s="1"/>
  <c r="AN12" i="1" s="1"/>
  <c r="U12" i="1"/>
  <c r="T12" i="1"/>
  <c r="S12" i="1"/>
  <c r="R12" i="1"/>
  <c r="Q12" i="1"/>
  <c r="P12" i="1"/>
  <c r="O12" i="1"/>
  <c r="M12" i="1"/>
  <c r="N12" i="1" s="1"/>
  <c r="G12" i="1"/>
  <c r="H12" i="1" s="1"/>
  <c r="F12" i="1"/>
  <c r="K12" i="1" s="1"/>
  <c r="L12" i="1" s="1"/>
  <c r="E12" i="1"/>
  <c r="D12" i="1"/>
  <c r="I12" i="1" s="1"/>
  <c r="C12" i="1"/>
  <c r="AJ12" i="1" s="1"/>
  <c r="B12" i="1"/>
  <c r="AH11" i="1"/>
  <c r="AD11" i="1"/>
  <c r="AC11" i="1"/>
  <c r="AB11" i="1"/>
  <c r="AA11" i="1"/>
  <c r="Z11" i="1"/>
  <c r="X11" i="1"/>
  <c r="W11" i="1"/>
  <c r="V11" i="1"/>
  <c r="U11" i="1"/>
  <c r="T11" i="1"/>
  <c r="S11" i="1"/>
  <c r="R11" i="1"/>
  <c r="Q11" i="1"/>
  <c r="P11" i="1"/>
  <c r="O11" i="1"/>
  <c r="M11" i="1"/>
  <c r="H11" i="1"/>
  <c r="G11" i="1"/>
  <c r="F11" i="1"/>
  <c r="E11" i="1"/>
  <c r="J11" i="1" s="1"/>
  <c r="D11" i="1"/>
  <c r="I11" i="1" s="1"/>
  <c r="C11" i="1"/>
  <c r="AJ11" i="1" s="1"/>
  <c r="B11" i="1"/>
  <c r="AL10" i="1"/>
  <c r="AH10" i="1"/>
  <c r="AD10" i="1"/>
  <c r="AC10" i="1"/>
  <c r="AB10" i="1"/>
  <c r="AA10" i="1"/>
  <c r="Z10" i="1"/>
  <c r="X10" i="1"/>
  <c r="W10" i="1"/>
  <c r="V10" i="1"/>
  <c r="U10" i="1"/>
  <c r="T10" i="1"/>
  <c r="S10" i="1"/>
  <c r="R10" i="1"/>
  <c r="Q10" i="1"/>
  <c r="P10" i="1"/>
  <c r="O10" i="1"/>
  <c r="AM10" i="1" s="1"/>
  <c r="AN10" i="1" s="1"/>
  <c r="M10" i="1"/>
  <c r="J10" i="1"/>
  <c r="I10" i="1"/>
  <c r="G10" i="1"/>
  <c r="H10" i="1" s="1"/>
  <c r="F10" i="1"/>
  <c r="K10" i="1" s="1"/>
  <c r="L10" i="1" s="1"/>
  <c r="E10" i="1"/>
  <c r="D10" i="1"/>
  <c r="C10" i="1"/>
  <c r="AJ10" i="1" s="1"/>
  <c r="B10" i="1"/>
  <c r="AD9" i="1"/>
  <c r="AM9" i="1" s="1"/>
  <c r="AC9" i="1"/>
  <c r="AE9" i="1" s="1"/>
  <c r="AB9" i="1"/>
  <c r="AA9" i="1"/>
  <c r="Z9" i="1"/>
  <c r="AH9" i="1" s="1"/>
  <c r="X9" i="1"/>
  <c r="W9" i="1"/>
  <c r="V9" i="1"/>
  <c r="U9" i="1"/>
  <c r="T9" i="1"/>
  <c r="S9" i="1"/>
  <c r="R9" i="1"/>
  <c r="Q9" i="1"/>
  <c r="P9" i="1"/>
  <c r="O9" i="1"/>
  <c r="M9" i="1"/>
  <c r="N9" i="1" s="1"/>
  <c r="J9" i="1"/>
  <c r="I9" i="1"/>
  <c r="H9" i="1"/>
  <c r="G9" i="1"/>
  <c r="F9" i="1"/>
  <c r="E9" i="1"/>
  <c r="D9" i="1"/>
  <c r="K9" i="1" s="1"/>
  <c r="L9" i="1" s="1"/>
  <c r="C9" i="1"/>
  <c r="AJ9" i="1" s="1"/>
  <c r="B9" i="1"/>
  <c r="AJ8" i="1"/>
  <c r="AH8" i="1"/>
  <c r="AD8" i="1"/>
  <c r="AC8" i="1"/>
  <c r="AE8" i="1" s="1"/>
  <c r="AB8" i="1"/>
  <c r="AA8" i="1"/>
  <c r="Z8" i="1"/>
  <c r="X8" i="1"/>
  <c r="W8" i="1"/>
  <c r="V8" i="1"/>
  <c r="U8" i="1"/>
  <c r="T8" i="1"/>
  <c r="S8" i="1"/>
  <c r="R8" i="1"/>
  <c r="Q8" i="1"/>
  <c r="P8" i="1"/>
  <c r="O8" i="1"/>
  <c r="M8" i="1"/>
  <c r="N8" i="1" s="1"/>
  <c r="L8" i="1"/>
  <c r="K8" i="1"/>
  <c r="I8" i="1"/>
  <c r="G8" i="1"/>
  <c r="F8" i="1"/>
  <c r="E8" i="1"/>
  <c r="J8" i="1" s="1"/>
  <c r="D8" i="1"/>
  <c r="C8" i="1"/>
  <c r="B8" i="1"/>
  <c r="AJ7" i="1"/>
  <c r="AH7" i="1"/>
  <c r="AD7" i="1"/>
  <c r="AM7" i="1" s="1"/>
  <c r="AC7" i="1"/>
  <c r="AE7" i="1" s="1"/>
  <c r="AB7" i="1"/>
  <c r="AA7" i="1"/>
  <c r="Z7" i="1"/>
  <c r="X7" i="1"/>
  <c r="W7" i="1"/>
  <c r="V7" i="1"/>
  <c r="U7" i="1"/>
  <c r="T7" i="1"/>
  <c r="S7" i="1"/>
  <c r="R7" i="1"/>
  <c r="Q7" i="1"/>
  <c r="P7" i="1"/>
  <c r="O7" i="1"/>
  <c r="M7" i="1"/>
  <c r="N7" i="1" s="1"/>
  <c r="L7" i="1"/>
  <c r="K7" i="1"/>
  <c r="G7" i="1"/>
  <c r="H7" i="1" s="1"/>
  <c r="F7" i="1"/>
  <c r="I7" i="1" s="1"/>
  <c r="E7" i="1"/>
  <c r="D7" i="1"/>
  <c r="C7" i="1"/>
  <c r="B7" i="1"/>
  <c r="AJ6" i="1"/>
  <c r="AH6" i="1"/>
  <c r="AD6" i="1"/>
  <c r="AE6" i="1" s="1"/>
  <c r="AC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M6" i="1"/>
  <c r="N6" i="1" s="1"/>
  <c r="J6" i="1"/>
  <c r="I6" i="1"/>
  <c r="G6" i="1"/>
  <c r="H6" i="1" s="1"/>
  <c r="F6" i="1"/>
  <c r="E6" i="1"/>
  <c r="D6" i="1"/>
  <c r="K6" i="1" s="1"/>
  <c r="L6" i="1" s="1"/>
  <c r="C6" i="1"/>
  <c r="B6" i="1"/>
  <c r="AJ5" i="1"/>
  <c r="AH5" i="1"/>
  <c r="AD5" i="1"/>
  <c r="AC5" i="1"/>
  <c r="AB5" i="1"/>
  <c r="AL5" i="1" s="1"/>
  <c r="AA5" i="1"/>
  <c r="Z5" i="1"/>
  <c r="X5" i="1"/>
  <c r="W5" i="1"/>
  <c r="V5" i="1"/>
  <c r="U5" i="1"/>
  <c r="T5" i="1"/>
  <c r="S5" i="1"/>
  <c r="R5" i="1"/>
  <c r="Q5" i="1"/>
  <c r="P5" i="1"/>
  <c r="O5" i="1"/>
  <c r="AM5" i="1" s="1"/>
  <c r="M5" i="1"/>
  <c r="I5" i="1"/>
  <c r="G5" i="1"/>
  <c r="H5" i="1" s="1"/>
  <c r="F5" i="1"/>
  <c r="E5" i="1"/>
  <c r="J5" i="1" s="1"/>
  <c r="D5" i="1"/>
  <c r="K5" i="1" s="1"/>
  <c r="L5" i="1" s="1"/>
  <c r="C5" i="1"/>
  <c r="B5" i="1"/>
  <c r="AD4" i="1"/>
  <c r="AC4" i="1"/>
  <c r="AB4" i="1"/>
  <c r="AL4" i="1" s="1"/>
  <c r="AA4" i="1"/>
  <c r="Z4" i="1"/>
  <c r="AH4" i="1" s="1"/>
  <c r="X4" i="1"/>
  <c r="W4" i="1"/>
  <c r="V4" i="1"/>
  <c r="U4" i="1"/>
  <c r="T4" i="1"/>
  <c r="N4" i="1" s="1"/>
  <c r="S4" i="1"/>
  <c r="R4" i="1"/>
  <c r="Q4" i="1"/>
  <c r="AM4" i="1" s="1"/>
  <c r="P4" i="1"/>
  <c r="O4" i="1"/>
  <c r="M4" i="1"/>
  <c r="K4" i="1"/>
  <c r="L4" i="1" s="1"/>
  <c r="G4" i="1"/>
  <c r="H4" i="1" s="1"/>
  <c r="F4" i="1"/>
  <c r="E4" i="1"/>
  <c r="J4" i="1" s="1"/>
  <c r="D4" i="1"/>
  <c r="C4" i="1"/>
  <c r="AJ4" i="1" s="1"/>
  <c r="B4" i="1"/>
  <c r="AD3" i="1"/>
  <c r="AC3" i="1"/>
  <c r="AB3" i="1"/>
  <c r="AA3" i="1"/>
  <c r="Z3" i="1"/>
  <c r="AH3" i="1" s="1"/>
  <c r="X3" i="1"/>
  <c r="W3" i="1"/>
  <c r="V3" i="1"/>
  <c r="U3" i="1"/>
  <c r="T3" i="1"/>
  <c r="S3" i="1"/>
  <c r="R3" i="1"/>
  <c r="Q3" i="1"/>
  <c r="P3" i="1"/>
  <c r="O3" i="1"/>
  <c r="M3" i="1"/>
  <c r="G3" i="1"/>
  <c r="H3" i="1" s="1"/>
  <c r="F3" i="1"/>
  <c r="E3" i="1"/>
  <c r="J3" i="1" s="1"/>
  <c r="D3" i="1"/>
  <c r="I3" i="1" s="1"/>
  <c r="C3" i="1"/>
  <c r="AJ3" i="1" s="1"/>
  <c r="B3" i="1"/>
  <c r="AM2" i="1"/>
  <c r="AD2" i="1"/>
  <c r="AC2" i="1"/>
  <c r="AB2" i="1"/>
  <c r="AL2" i="1" s="1"/>
  <c r="AA2" i="1"/>
  <c r="Z2" i="1"/>
  <c r="AH2" i="1" s="1"/>
  <c r="X2" i="1"/>
  <c r="W2" i="1"/>
  <c r="V2" i="1"/>
  <c r="U2" i="1"/>
  <c r="T2" i="1"/>
  <c r="S2" i="1"/>
  <c r="R2" i="1"/>
  <c r="R326" i="1" s="1"/>
  <c r="Q2" i="1"/>
  <c r="P2" i="1"/>
  <c r="P326" i="1" s="1"/>
  <c r="O2" i="1"/>
  <c r="M2" i="1"/>
  <c r="K2" i="1"/>
  <c r="L2" i="1" s="1"/>
  <c r="G2" i="1"/>
  <c r="F2" i="1"/>
  <c r="E2" i="1"/>
  <c r="D2" i="1"/>
  <c r="C2" i="1"/>
  <c r="AJ2" i="1" s="1"/>
  <c r="B2" i="1"/>
  <c r="AN4" i="1" l="1"/>
  <c r="AN5" i="1"/>
  <c r="AN2" i="1"/>
  <c r="J24" i="1"/>
  <c r="H24" i="1"/>
  <c r="N46" i="1"/>
  <c r="AL7" i="1"/>
  <c r="AN7" i="1" s="1"/>
  <c r="N18" i="1"/>
  <c r="H27" i="1"/>
  <c r="N5" i="1"/>
  <c r="AL6" i="1"/>
  <c r="U326" i="1"/>
  <c r="K3" i="1"/>
  <c r="L3" i="1" s="1"/>
  <c r="AM6" i="1"/>
  <c r="AN6" i="1" s="1"/>
  <c r="K17" i="1"/>
  <c r="L17" i="1" s="1"/>
  <c r="K20" i="1"/>
  <c r="L20" i="1" s="1"/>
  <c r="AN24" i="1"/>
  <c r="I27" i="1"/>
  <c r="H29" i="1"/>
  <c r="H37" i="1"/>
  <c r="AN37" i="1"/>
  <c r="V326" i="1"/>
  <c r="K11" i="1"/>
  <c r="L11" i="1" s="1"/>
  <c r="N29" i="1"/>
  <c r="N37" i="1"/>
  <c r="N39" i="1"/>
  <c r="AL41" i="1"/>
  <c r="AN61" i="1"/>
  <c r="AN84" i="1"/>
  <c r="AL3" i="1"/>
  <c r="AL326" i="1" s="1"/>
  <c r="AE3" i="1"/>
  <c r="AE4" i="1"/>
  <c r="F326" i="1"/>
  <c r="AL11" i="1"/>
  <c r="AE11" i="1"/>
  <c r="AE12" i="1"/>
  <c r="AN17" i="1"/>
  <c r="AE22" i="1"/>
  <c r="AM32" i="1"/>
  <c r="AN32" i="1" s="1"/>
  <c r="AN68" i="1"/>
  <c r="AN69" i="1"/>
  <c r="AN86" i="1"/>
  <c r="E326" i="1"/>
  <c r="J16" i="1"/>
  <c r="H16" i="1"/>
  <c r="AL16" i="1"/>
  <c r="AE17" i="1"/>
  <c r="AN50" i="1"/>
  <c r="G326" i="1"/>
  <c r="H2" i="1"/>
  <c r="AM3" i="1"/>
  <c r="AN3" i="1" s="1"/>
  <c r="AM20" i="1"/>
  <c r="AN20" i="1" s="1"/>
  <c r="N20" i="1"/>
  <c r="AL26" i="1"/>
  <c r="AN26" i="1" s="1"/>
  <c r="AE26" i="1"/>
  <c r="AM41" i="1"/>
  <c r="AN41" i="1" s="1"/>
  <c r="AE41" i="1"/>
  <c r="AN59" i="1"/>
  <c r="AN70" i="1"/>
  <c r="AM8" i="1"/>
  <c r="I2" i="1"/>
  <c r="AE2" i="1"/>
  <c r="N3" i="1"/>
  <c r="J7" i="1"/>
  <c r="AM11" i="1"/>
  <c r="AN11" i="1" s="1"/>
  <c r="AM16" i="1"/>
  <c r="AN16" i="1" s="1"/>
  <c r="K22" i="1"/>
  <c r="L22" i="1" s="1"/>
  <c r="I28" i="1"/>
  <c r="AL34" i="1"/>
  <c r="AN34" i="1" s="1"/>
  <c r="AE34" i="1"/>
  <c r="AN65" i="1"/>
  <c r="H8" i="1"/>
  <c r="AE10" i="1"/>
  <c r="N11" i="1"/>
  <c r="AE14" i="1"/>
  <c r="I15" i="1"/>
  <c r="AM23" i="1"/>
  <c r="AN23" i="1" s="1"/>
  <c r="J36" i="1"/>
  <c r="H45" i="1"/>
  <c r="AN45" i="1"/>
  <c r="AN76" i="1"/>
  <c r="N38" i="1"/>
  <c r="AL8" i="1"/>
  <c r="N22" i="1"/>
  <c r="N26" i="1"/>
  <c r="H28" i="1"/>
  <c r="J2" i="1"/>
  <c r="M326" i="1"/>
  <c r="K14" i="1"/>
  <c r="L14" i="1" s="1"/>
  <c r="K21" i="1"/>
  <c r="L21" i="1" s="1"/>
  <c r="AL25" i="1"/>
  <c r="AE25" i="1"/>
  <c r="N31" i="1"/>
  <c r="AL9" i="1"/>
  <c r="AN9" i="1" s="1"/>
  <c r="O326" i="1"/>
  <c r="I4" i="1"/>
  <c r="AE5" i="1"/>
  <c r="N10" i="1"/>
  <c r="AE13" i="1"/>
  <c r="H21" i="1"/>
  <c r="AM28" i="1"/>
  <c r="AN28" i="1" s="1"/>
  <c r="AL33" i="1"/>
  <c r="AN33" i="1" s="1"/>
  <c r="AN49" i="1"/>
  <c r="AN60" i="1"/>
  <c r="N14" i="1"/>
  <c r="AL18" i="1"/>
  <c r="AN18" i="1" s="1"/>
  <c r="AE18" i="1"/>
  <c r="AM19" i="1"/>
  <c r="AN19" i="1" s="1"/>
  <c r="N21" i="1"/>
  <c r="AL42" i="1"/>
  <c r="AN42" i="1" s="1"/>
  <c r="AN53" i="1"/>
  <c r="Q326" i="1"/>
  <c r="J12" i="1"/>
  <c r="N19" i="1"/>
  <c r="AN25" i="1"/>
  <c r="N40" i="1"/>
  <c r="N45" i="1"/>
  <c r="AN64" i="1"/>
  <c r="AN87" i="1"/>
  <c r="N30" i="1"/>
  <c r="J44" i="1"/>
  <c r="N77" i="1"/>
  <c r="AL80" i="1"/>
  <c r="AM93" i="1"/>
  <c r="AE49" i="1"/>
  <c r="AE57" i="1"/>
  <c r="AE65" i="1"/>
  <c r="N93" i="1"/>
  <c r="AN137" i="1"/>
  <c r="AN147" i="1"/>
  <c r="AN151" i="1"/>
  <c r="AN164" i="1"/>
  <c r="AN166" i="1"/>
  <c r="AM31" i="1"/>
  <c r="AN31" i="1" s="1"/>
  <c r="AE33" i="1"/>
  <c r="I36" i="1"/>
  <c r="AL40" i="1"/>
  <c r="I44" i="1"/>
  <c r="AL48" i="1"/>
  <c r="AN48" i="1" s="1"/>
  <c r="I52" i="1"/>
  <c r="AL56" i="1"/>
  <c r="AN56" i="1" s="1"/>
  <c r="I60" i="1"/>
  <c r="AL64" i="1"/>
  <c r="H90" i="1"/>
  <c r="I96" i="1"/>
  <c r="AN141" i="1"/>
  <c r="AM40" i="1"/>
  <c r="AN40" i="1" s="1"/>
  <c r="AE42" i="1"/>
  <c r="AE50" i="1"/>
  <c r="AE58" i="1"/>
  <c r="AE66" i="1"/>
  <c r="H88" i="1"/>
  <c r="I90" i="1"/>
  <c r="AE90" i="1"/>
  <c r="AM96" i="1"/>
  <c r="AN96" i="1" s="1"/>
  <c r="AN139" i="1"/>
  <c r="AN149" i="1"/>
  <c r="J73" i="1"/>
  <c r="J84" i="1"/>
  <c r="I88" i="1"/>
  <c r="I89" i="1"/>
  <c r="AM91" i="1"/>
  <c r="AN91" i="1" s="1"/>
  <c r="AE92" i="1"/>
  <c r="N96" i="1"/>
  <c r="AL96" i="1"/>
  <c r="K98" i="1"/>
  <c r="L98" i="1" s="1"/>
  <c r="I98" i="1"/>
  <c r="AN111" i="1"/>
  <c r="AN120" i="1"/>
  <c r="AN155" i="1"/>
  <c r="N2" i="1"/>
  <c r="AE43" i="1"/>
  <c r="AE51" i="1"/>
  <c r="AE59" i="1"/>
  <c r="AE67" i="1"/>
  <c r="H70" i="1"/>
  <c r="J81" i="1"/>
  <c r="AE87" i="1"/>
  <c r="AE91" i="1"/>
  <c r="AE95" i="1"/>
  <c r="H98" i="1"/>
  <c r="AM98" i="1"/>
  <c r="AN98" i="1" s="1"/>
  <c r="AN102" i="1"/>
  <c r="AN104" i="1"/>
  <c r="AE35" i="1"/>
  <c r="I38" i="1"/>
  <c r="I46" i="1"/>
  <c r="I54" i="1"/>
  <c r="I62" i="1"/>
  <c r="H71" i="1"/>
  <c r="H72" i="1"/>
  <c r="I86" i="1"/>
  <c r="AL95" i="1"/>
  <c r="AN95" i="1" s="1"/>
  <c r="N98" i="1"/>
  <c r="AE36" i="1"/>
  <c r="AE44" i="1"/>
  <c r="AE52" i="1"/>
  <c r="AE60" i="1"/>
  <c r="AE68" i="1"/>
  <c r="AE71" i="1"/>
  <c r="J79" i="1"/>
  <c r="AE85" i="1"/>
  <c r="AM88" i="1"/>
  <c r="AN88" i="1" s="1"/>
  <c r="N90" i="1"/>
  <c r="AN113" i="1"/>
  <c r="AN157" i="1"/>
  <c r="N28" i="1"/>
  <c r="I74" i="1"/>
  <c r="H80" i="1"/>
  <c r="I82" i="1"/>
  <c r="AE82" i="1"/>
  <c r="AE89" i="1"/>
  <c r="AN106" i="1"/>
  <c r="AN134" i="1"/>
  <c r="AE37" i="1"/>
  <c r="N95" i="1"/>
  <c r="J97" i="1"/>
  <c r="C326" i="1"/>
  <c r="AE21" i="1"/>
  <c r="AE29" i="1"/>
  <c r="H32" i="1"/>
  <c r="I75" i="1"/>
  <c r="AE79" i="1"/>
  <c r="AM85" i="1"/>
  <c r="AN85" i="1" s="1"/>
  <c r="AE86" i="1"/>
  <c r="AN116" i="1"/>
  <c r="S326" i="1"/>
  <c r="D326" i="1"/>
  <c r="I326" i="1" s="1"/>
  <c r="T326" i="1"/>
  <c r="N71" i="1"/>
  <c r="I78" i="1"/>
  <c r="AM83" i="1"/>
  <c r="AN83" i="1" s="1"/>
  <c r="N85" i="1"/>
  <c r="AL88" i="1"/>
  <c r="I94" i="1"/>
  <c r="AN112" i="1"/>
  <c r="AN131" i="1"/>
  <c r="AN140" i="1"/>
  <c r="AN148" i="1"/>
  <c r="H33" i="1"/>
  <c r="I49" i="1"/>
  <c r="I57" i="1"/>
  <c r="I65" i="1"/>
  <c r="AE73" i="1"/>
  <c r="AE77" i="1"/>
  <c r="AM80" i="1"/>
  <c r="AN80" i="1" s="1"/>
  <c r="N82" i="1"/>
  <c r="AE84" i="1"/>
  <c r="AN161" i="1"/>
  <c r="AL85" i="1"/>
  <c r="AL93" i="1"/>
  <c r="AE93" i="1"/>
  <c r="AM94" i="1"/>
  <c r="AN94" i="1" s="1"/>
  <c r="AN127" i="1"/>
  <c r="AN128" i="1"/>
  <c r="AN132" i="1"/>
  <c r="AN150" i="1"/>
  <c r="AM75" i="1"/>
  <c r="AN75" i="1" s="1"/>
  <c r="N79" i="1"/>
  <c r="AE94" i="1"/>
  <c r="AN99" i="1"/>
  <c r="AN101" i="1"/>
  <c r="AN103" i="1"/>
  <c r="AN156" i="1"/>
  <c r="AM77" i="1"/>
  <c r="AN77" i="1" s="1"/>
  <c r="H92" i="1"/>
  <c r="N97" i="1"/>
  <c r="AN133" i="1"/>
  <c r="AM97" i="1"/>
  <c r="AN97" i="1" s="1"/>
  <c r="AE99" i="1"/>
  <c r="J101" i="1"/>
  <c r="AE107" i="1"/>
  <c r="AE115" i="1"/>
  <c r="AE123" i="1"/>
  <c r="AE131" i="1"/>
  <c r="I158" i="1"/>
  <c r="AL164" i="1"/>
  <c r="AE166" i="1"/>
  <c r="AL190" i="1"/>
  <c r="AE190" i="1"/>
  <c r="K101" i="1"/>
  <c r="L101" i="1" s="1"/>
  <c r="I102" i="1"/>
  <c r="AL106" i="1"/>
  <c r="AL114" i="1"/>
  <c r="AN114" i="1" s="1"/>
  <c r="AL122" i="1"/>
  <c r="AN122" i="1" s="1"/>
  <c r="AL130" i="1"/>
  <c r="AN130" i="1" s="1"/>
  <c r="AE140" i="1"/>
  <c r="J142" i="1"/>
  <c r="AE148" i="1"/>
  <c r="AE156" i="1"/>
  <c r="H170" i="1"/>
  <c r="AE171" i="1"/>
  <c r="N175" i="1"/>
  <c r="AE100" i="1"/>
  <c r="H103" i="1"/>
  <c r="AE108" i="1"/>
  <c r="AL139" i="1"/>
  <c r="I143" i="1"/>
  <c r="AL147" i="1"/>
  <c r="J169" i="1"/>
  <c r="I170" i="1"/>
  <c r="J177" i="1"/>
  <c r="N178" i="1"/>
  <c r="AM181" i="1"/>
  <c r="AN181" i="1" s="1"/>
  <c r="H187" i="1"/>
  <c r="AN190" i="1"/>
  <c r="I103" i="1"/>
  <c r="AE149" i="1"/>
  <c r="AE157" i="1"/>
  <c r="AM170" i="1"/>
  <c r="AN170" i="1" s="1"/>
  <c r="AL171" i="1"/>
  <c r="AN171" i="1" s="1"/>
  <c r="H174" i="1"/>
  <c r="AE177" i="1"/>
  <c r="AL178" i="1"/>
  <c r="AN178" i="1" s="1"/>
  <c r="J180" i="1"/>
  <c r="N181" i="1"/>
  <c r="AM184" i="1"/>
  <c r="AN184" i="1" s="1"/>
  <c r="N192" i="1"/>
  <c r="AE101" i="1"/>
  <c r="AE109" i="1"/>
  <c r="N117" i="1"/>
  <c r="AE117" i="1"/>
  <c r="N125" i="1"/>
  <c r="AE125" i="1"/>
  <c r="N133" i="1"/>
  <c r="AE133" i="1"/>
  <c r="I152" i="1"/>
  <c r="H161" i="1"/>
  <c r="AE169" i="1"/>
  <c r="N170" i="1"/>
  <c r="AE180" i="1"/>
  <c r="J183" i="1"/>
  <c r="N184" i="1"/>
  <c r="AM187" i="1"/>
  <c r="AN187" i="1" s="1"/>
  <c r="AN214" i="1"/>
  <c r="AE142" i="1"/>
  <c r="AE150" i="1"/>
  <c r="AE158" i="1"/>
  <c r="AE160" i="1"/>
  <c r="I161" i="1"/>
  <c r="H162" i="1"/>
  <c r="AM174" i="1"/>
  <c r="AN174" i="1" s="1"/>
  <c r="AE183" i="1"/>
  <c r="J186" i="1"/>
  <c r="N187" i="1"/>
  <c r="I162" i="1"/>
  <c r="AL170" i="1"/>
  <c r="AE173" i="1"/>
  <c r="N174" i="1"/>
  <c r="AM177" i="1"/>
  <c r="AN177" i="1" s="1"/>
  <c r="AE189" i="1"/>
  <c r="J191" i="1"/>
  <c r="AN222" i="1"/>
  <c r="AN232" i="1"/>
  <c r="I105" i="1"/>
  <c r="I113" i="1"/>
  <c r="I121" i="1"/>
  <c r="I129" i="1"/>
  <c r="H146" i="1"/>
  <c r="H154" i="1"/>
  <c r="AE159" i="1"/>
  <c r="N177" i="1"/>
  <c r="AE119" i="1"/>
  <c r="AE127" i="1"/>
  <c r="AE135" i="1"/>
  <c r="AE168" i="1"/>
  <c r="N169" i="1"/>
  <c r="J172" i="1"/>
  <c r="AE176" i="1"/>
  <c r="J179" i="1"/>
  <c r="N180" i="1"/>
  <c r="AM183" i="1"/>
  <c r="AN183" i="1" s="1"/>
  <c r="AN207" i="1"/>
  <c r="AN230" i="1"/>
  <c r="AN235" i="1"/>
  <c r="I106" i="1"/>
  <c r="I114" i="1"/>
  <c r="I122" i="1"/>
  <c r="I130" i="1"/>
  <c r="AE136" i="1"/>
  <c r="H139" i="1"/>
  <c r="N144" i="1"/>
  <c r="AE144" i="1"/>
  <c r="H147" i="1"/>
  <c r="AE152" i="1"/>
  <c r="H155" i="1"/>
  <c r="AM173" i="1"/>
  <c r="H176" i="1"/>
  <c r="J182" i="1"/>
  <c r="N183" i="1"/>
  <c r="AM186" i="1"/>
  <c r="AN186" i="1" s="1"/>
  <c r="H193" i="1"/>
  <c r="AN196" i="1"/>
  <c r="AN241" i="1"/>
  <c r="AE104" i="1"/>
  <c r="AE112" i="1"/>
  <c r="AE120" i="1"/>
  <c r="AE128" i="1"/>
  <c r="AL143" i="1"/>
  <c r="AN143" i="1" s="1"/>
  <c r="AL151" i="1"/>
  <c r="AL159" i="1"/>
  <c r="AN159" i="1" s="1"/>
  <c r="I165" i="1"/>
  <c r="AE172" i="1"/>
  <c r="N173" i="1"/>
  <c r="J185" i="1"/>
  <c r="N186" i="1"/>
  <c r="N189" i="1"/>
  <c r="AN219" i="1"/>
  <c r="I99" i="1"/>
  <c r="I107" i="1"/>
  <c r="I115" i="1"/>
  <c r="I123" i="1"/>
  <c r="I131" i="1"/>
  <c r="H140" i="1"/>
  <c r="AE153" i="1"/>
  <c r="AE163" i="1"/>
  <c r="AE167" i="1"/>
  <c r="AM168" i="1"/>
  <c r="AN168" i="1" s="1"/>
  <c r="J171" i="1"/>
  <c r="AL173" i="1"/>
  <c r="AM176" i="1"/>
  <c r="AN176" i="1" s="1"/>
  <c r="AE182" i="1"/>
  <c r="AE185" i="1"/>
  <c r="AL186" i="1"/>
  <c r="J188" i="1"/>
  <c r="N191" i="1"/>
  <c r="I156" i="1"/>
  <c r="N168" i="1"/>
  <c r="J175" i="1"/>
  <c r="N176" i="1"/>
  <c r="AM179" i="1"/>
  <c r="AN179" i="1" s="1"/>
  <c r="AE188" i="1"/>
  <c r="N193" i="1"/>
  <c r="AN223" i="1"/>
  <c r="I108" i="1"/>
  <c r="I116" i="1"/>
  <c r="I124" i="1"/>
  <c r="I132" i="1"/>
  <c r="AM172" i="1"/>
  <c r="AN172" i="1" s="1"/>
  <c r="AE175" i="1"/>
  <c r="J178" i="1"/>
  <c r="N179" i="1"/>
  <c r="AM182" i="1"/>
  <c r="AN182" i="1" s="1"/>
  <c r="AN221" i="1"/>
  <c r="AM165" i="1"/>
  <c r="AN165" i="1" s="1"/>
  <c r="AM167" i="1"/>
  <c r="AN167" i="1" s="1"/>
  <c r="N172" i="1"/>
  <c r="AL179" i="1"/>
  <c r="J181" i="1"/>
  <c r="N182" i="1"/>
  <c r="AM185" i="1"/>
  <c r="AN185" i="1" s="1"/>
  <c r="J190" i="1"/>
  <c r="J192" i="1"/>
  <c r="AN233" i="1"/>
  <c r="AE181" i="1"/>
  <c r="J184" i="1"/>
  <c r="N185" i="1"/>
  <c r="AM188" i="1"/>
  <c r="AN188" i="1" s="1"/>
  <c r="AN229" i="1"/>
  <c r="AE198" i="1"/>
  <c r="AE206" i="1"/>
  <c r="AE214" i="1"/>
  <c r="AE222" i="1"/>
  <c r="H233" i="1"/>
  <c r="AE250" i="1"/>
  <c r="AE266" i="1"/>
  <c r="AL205" i="1"/>
  <c r="AN205" i="1" s="1"/>
  <c r="AL213" i="1"/>
  <c r="AN213" i="1" s="1"/>
  <c r="K216" i="1"/>
  <c r="L216" i="1" s="1"/>
  <c r="AL221" i="1"/>
  <c r="AL229" i="1"/>
  <c r="AE240" i="1"/>
  <c r="N241" i="1"/>
  <c r="AM244" i="1"/>
  <c r="AN244" i="1" s="1"/>
  <c r="AL254" i="1"/>
  <c r="J256" i="1"/>
  <c r="N257" i="1"/>
  <c r="AM260" i="1"/>
  <c r="AE231" i="1"/>
  <c r="AE234" i="1"/>
  <c r="H236" i="1"/>
  <c r="H237" i="1"/>
  <c r="J243" i="1"/>
  <c r="N244" i="1"/>
  <c r="AM247" i="1"/>
  <c r="AN247" i="1" s="1"/>
  <c r="H253" i="1"/>
  <c r="AE256" i="1"/>
  <c r="J259" i="1"/>
  <c r="N260" i="1"/>
  <c r="AM263" i="1"/>
  <c r="AN263" i="1" s="1"/>
  <c r="H269" i="1"/>
  <c r="AN272" i="1"/>
  <c r="AE243" i="1"/>
  <c r="AL244" i="1"/>
  <c r="J246" i="1"/>
  <c r="N247" i="1"/>
  <c r="AM250" i="1"/>
  <c r="AN250" i="1" s="1"/>
  <c r="AE259" i="1"/>
  <c r="AL260" i="1"/>
  <c r="J262" i="1"/>
  <c r="N263" i="1"/>
  <c r="AM266" i="1"/>
  <c r="AN266" i="1" s="1"/>
  <c r="N272" i="1"/>
  <c r="AN305" i="1"/>
  <c r="AE216" i="1"/>
  <c r="AE224" i="1"/>
  <c r="H227" i="1"/>
  <c r="AE232" i="1"/>
  <c r="AE239" i="1"/>
  <c r="AM240" i="1"/>
  <c r="AN240" i="1" s="1"/>
  <c r="J249" i="1"/>
  <c r="N250" i="1"/>
  <c r="AM253" i="1"/>
  <c r="J265" i="1"/>
  <c r="N266" i="1"/>
  <c r="AM269" i="1"/>
  <c r="AN307" i="1"/>
  <c r="I227" i="1"/>
  <c r="N240" i="1"/>
  <c r="AE249" i="1"/>
  <c r="J252" i="1"/>
  <c r="N253" i="1"/>
  <c r="AM256" i="1"/>
  <c r="AN256" i="1" s="1"/>
  <c r="AE265" i="1"/>
  <c r="J268" i="1"/>
  <c r="N269" i="1"/>
  <c r="AN309" i="1"/>
  <c r="AN311" i="1"/>
  <c r="AN313" i="1"/>
  <c r="AE233" i="1"/>
  <c r="N234" i="1"/>
  <c r="AE235" i="1"/>
  <c r="AM243" i="1"/>
  <c r="AN243" i="1" s="1"/>
  <c r="AL253" i="1"/>
  <c r="N256" i="1"/>
  <c r="AM259" i="1"/>
  <c r="AN259" i="1" s="1"/>
  <c r="AL269" i="1"/>
  <c r="AN321" i="1"/>
  <c r="AM237" i="1"/>
  <c r="AN237" i="1" s="1"/>
  <c r="AM239" i="1"/>
  <c r="AN239" i="1" s="1"/>
  <c r="J242" i="1"/>
  <c r="N243" i="1"/>
  <c r="AM246" i="1"/>
  <c r="AE255" i="1"/>
  <c r="J258" i="1"/>
  <c r="N259" i="1"/>
  <c r="AM262" i="1"/>
  <c r="AN284" i="1"/>
  <c r="AN286" i="1"/>
  <c r="AN288" i="1"/>
  <c r="AN317" i="1"/>
  <c r="AN319" i="1"/>
  <c r="N226" i="1"/>
  <c r="AM238" i="1"/>
  <c r="AN238" i="1" s="1"/>
  <c r="N239" i="1"/>
  <c r="AE242" i="1"/>
  <c r="J245" i="1"/>
  <c r="N246" i="1"/>
  <c r="AM249" i="1"/>
  <c r="AN249" i="1" s="1"/>
  <c r="H255" i="1"/>
  <c r="AE258" i="1"/>
  <c r="J261" i="1"/>
  <c r="N262" i="1"/>
  <c r="AM265" i="1"/>
  <c r="AN265" i="1" s="1"/>
  <c r="H271" i="1"/>
  <c r="AN324" i="1"/>
  <c r="AE238" i="1"/>
  <c r="AL246" i="1"/>
  <c r="J248" i="1"/>
  <c r="N249" i="1"/>
  <c r="AM252" i="1"/>
  <c r="AL262" i="1"/>
  <c r="J264" i="1"/>
  <c r="N265" i="1"/>
  <c r="AM268" i="1"/>
  <c r="AE211" i="1"/>
  <c r="AE219" i="1"/>
  <c r="AE248" i="1"/>
  <c r="J251" i="1"/>
  <c r="N252" i="1"/>
  <c r="AE264" i="1"/>
  <c r="J267" i="1"/>
  <c r="N268" i="1"/>
  <c r="AM242" i="1"/>
  <c r="AN242" i="1" s="1"/>
  <c r="AE251" i="1"/>
  <c r="AL252" i="1"/>
  <c r="J254" i="1"/>
  <c r="N255" i="1"/>
  <c r="AM258" i="1"/>
  <c r="AN258" i="1" s="1"/>
  <c r="AE267" i="1"/>
  <c r="AL268" i="1"/>
  <c r="J270" i="1"/>
  <c r="N273" i="1"/>
  <c r="AN304" i="1"/>
  <c r="AE228" i="1"/>
  <c r="N242" i="1"/>
  <c r="AM245" i="1"/>
  <c r="AN245" i="1" s="1"/>
  <c r="J257" i="1"/>
  <c r="N258" i="1"/>
  <c r="AM261" i="1"/>
  <c r="AN261" i="1" s="1"/>
  <c r="AE270" i="1"/>
  <c r="AN275" i="1"/>
  <c r="AN322" i="1"/>
  <c r="AL211" i="1"/>
  <c r="AN211" i="1" s="1"/>
  <c r="AL219" i="1"/>
  <c r="I223" i="1"/>
  <c r="AL227" i="1"/>
  <c r="AN227" i="1" s="1"/>
  <c r="I231" i="1"/>
  <c r="AE241" i="1"/>
  <c r="J244" i="1"/>
  <c r="N245" i="1"/>
  <c r="AM248" i="1"/>
  <c r="AN248" i="1" s="1"/>
  <c r="AE257" i="1"/>
  <c r="J260" i="1"/>
  <c r="N261" i="1"/>
  <c r="AM264" i="1"/>
  <c r="AN264" i="1" s="1"/>
  <c r="AN277" i="1"/>
  <c r="AN279" i="1"/>
  <c r="AN281" i="1"/>
  <c r="AN308" i="1"/>
  <c r="AN310" i="1"/>
  <c r="AN312" i="1"/>
  <c r="AL245" i="1"/>
  <c r="J247" i="1"/>
  <c r="N248" i="1"/>
  <c r="AM251" i="1"/>
  <c r="AN251" i="1" s="1"/>
  <c r="AL261" i="1"/>
  <c r="J263" i="1"/>
  <c r="N264" i="1"/>
  <c r="AM267" i="1"/>
  <c r="AN267" i="1" s="1"/>
  <c r="J272" i="1"/>
  <c r="AN283" i="1"/>
  <c r="AE247" i="1"/>
  <c r="J250" i="1"/>
  <c r="N251" i="1"/>
  <c r="AM254" i="1"/>
  <c r="AN254" i="1" s="1"/>
  <c r="AE263" i="1"/>
  <c r="J266" i="1"/>
  <c r="N267" i="1"/>
  <c r="AM270" i="1"/>
  <c r="AN270" i="1" s="1"/>
  <c r="AN325" i="1"/>
  <c r="AE276" i="1"/>
  <c r="AE284" i="1"/>
  <c r="AE292" i="1"/>
  <c r="AE300" i="1"/>
  <c r="AE308" i="1"/>
  <c r="AE316" i="1"/>
  <c r="AE277" i="1"/>
  <c r="AE293" i="1"/>
  <c r="AE301" i="1"/>
  <c r="AE325" i="1"/>
  <c r="AE310" i="1"/>
  <c r="I322" i="1"/>
  <c r="AE320" i="1"/>
  <c r="AE321" i="1"/>
  <c r="AN252" i="1" l="1"/>
  <c r="H326" i="1"/>
  <c r="AN269" i="1"/>
  <c r="K326" i="1"/>
  <c r="L326" i="1" s="1"/>
  <c r="AN262" i="1"/>
  <c r="N326" i="1"/>
  <c r="AM326" i="1"/>
  <c r="AN326" i="1" s="1"/>
  <c r="AN253" i="1"/>
  <c r="AN93" i="1"/>
  <c r="AN173" i="1"/>
  <c r="AN268" i="1"/>
  <c r="AN246" i="1"/>
  <c r="AN8" i="1"/>
  <c r="AN260" i="1"/>
  <c r="J326" i="1"/>
</calcChain>
</file>

<file path=xl/sharedStrings.xml><?xml version="1.0" encoding="utf-8"?>
<sst xmlns="http://schemas.openxmlformats.org/spreadsheetml/2006/main" count="689" uniqueCount="685">
  <si>
    <t>Cliente</t>
  </si>
  <si>
    <t>Tipo de Cliente</t>
  </si>
  <si>
    <t>Ingreso 2025 - 2026</t>
  </si>
  <si>
    <t>Ingreso 2025 - 2026 Correctivo</t>
  </si>
  <si>
    <t># Correctivo</t>
  </si>
  <si>
    <t>Ingreso 2025 - 2026 Preventivo</t>
  </si>
  <si>
    <t># Preventivo</t>
  </si>
  <si>
    <t>Total</t>
  </si>
  <si>
    <t>$ C/P</t>
  </si>
  <si>
    <t># C/P</t>
  </si>
  <si>
    <t>% Preventivo $</t>
  </si>
  <si>
    <t>% Correctivo $</t>
  </si>
  <si>
    <t>BI Total</t>
  </si>
  <si>
    <t>Check</t>
  </si>
  <si>
    <t># Equipos Instalados Esterilización</t>
  </si>
  <si>
    <t># Equipos Instalados Dental</t>
  </si>
  <si>
    <t># Equipos Instalados Endoscopía</t>
  </si>
  <si>
    <t># Equipos Instalados Incardia</t>
  </si>
  <si>
    <t># Equipos Instalados MMQ</t>
  </si>
  <si>
    <t># Equipos Instalados REAS</t>
  </si>
  <si>
    <t># Equipos Instalados Mobiliario Clinico</t>
  </si>
  <si>
    <t># Equipos Instalados Mobiliario Otros</t>
  </si>
  <si>
    <t>Región</t>
  </si>
  <si>
    <t>Comuna</t>
  </si>
  <si>
    <t>Dirección</t>
  </si>
  <si>
    <t xml:space="preserve"># Contratos Vigentes </t>
  </si>
  <si>
    <t>Pipeline 2026 $MM ESTERILIZACIÓN</t>
  </si>
  <si>
    <t>Pipeline 2026 $MM ENDOSCOPÍA</t>
  </si>
  <si>
    <t>Pipeline 2026 $MM DENTAL</t>
  </si>
  <si>
    <t>Pipeline 2026 $MM TECSERVICE</t>
  </si>
  <si>
    <t>Pipeline 2026 $MM Total</t>
  </si>
  <si>
    <t>Latitud</t>
  </si>
  <si>
    <t>Longitud</t>
  </si>
  <si>
    <t>Con Contrato - Sin Contrato</t>
  </si>
  <si>
    <t>% Costo Serv. Directo</t>
  </si>
  <si>
    <t>Margen $</t>
  </si>
  <si>
    <t>Nivel de Satisfacción Actual (1-5)</t>
  </si>
  <si>
    <t>Potencial Pipeline</t>
  </si>
  <si>
    <t>Potencial Equipos</t>
  </si>
  <si>
    <t>Potencial Total</t>
  </si>
  <si>
    <t>INSUMOS Y SERVICIOS MEDICOS S.A.</t>
  </si>
  <si>
    <t>Exequiel Fernandez 3397, Macul, Región Metropolitana</t>
  </si>
  <si>
    <t>SOCIEDAD CONCESIONARIA METROPOLITANA DE SALUD S.A.</t>
  </si>
  <si>
    <t>Mapocho Sur 7432, Cerro Navia, Región Metropolitana</t>
  </si>
  <si>
    <t>DIPRECA FONDO HOSPITAL</t>
  </si>
  <si>
    <t>Vital Apoquindo 1200, Las Condes, Región Metropolitana</t>
  </si>
  <si>
    <t>SERVICIO DE SALUD OSORNO</t>
  </si>
  <si>
    <t>Dr. Guillermo Buhler 1765, Osorno, Región Los Lagos</t>
  </si>
  <si>
    <t>CLÍNICA ANDES SALUD PUERTO MONTT S.A.</t>
  </si>
  <si>
    <t>Avenida Bellavista 123, Puerto Montt, Región Los Lagos</t>
  </si>
  <si>
    <t>I. MUNICIPALIDAD DE PUCON</t>
  </si>
  <si>
    <t>Adolfo Kachele, Pucon, Pucón, Región Araucanía</t>
  </si>
  <si>
    <t>SERVICIO DE SALUD RELONCAVI</t>
  </si>
  <si>
    <t>Los Aromos 65, Puerto Montt, Región Los Lagos</t>
  </si>
  <si>
    <t>HOSPITAL DEL SALVADOR</t>
  </si>
  <si>
    <t>Av. Salvador 364, Providencia, Región Metropolitana</t>
  </si>
  <si>
    <t>HOSPITAL CLINICO SAN BORJA-ARRIARAN</t>
  </si>
  <si>
    <t>Av. Sta. Rosa 1234, Santiago, Región Metropolitana</t>
  </si>
  <si>
    <t>HOSPITAL EXEQUIEL GONZALEZ CORTES</t>
  </si>
  <si>
    <t>Gran Av. José Miguel Carrera 3300, San Miguel, Región Metropolitana</t>
  </si>
  <si>
    <t>JOHNSON &amp; JOHNSON DE CHILE S.A.</t>
  </si>
  <si>
    <t>Dirección: Cerro Colorado 5240, Las Condes, Región Metropolitana</t>
  </si>
  <si>
    <t>CLINICA ANDES SALUD CONCEPCIÓN S.A.</t>
  </si>
  <si>
    <r>
      <t> </t>
    </r>
    <r>
      <rPr>
        <sz val="11"/>
        <color rgb="FF1F1F1F"/>
        <rFont val="Aptos Narrow"/>
        <family val="2"/>
        <scheme val="minor"/>
      </rPr>
      <t>Av. Pdte. Jorge Alessandri Rodriguez 2047, Hualpén, Región Bío Bío</t>
    </r>
  </si>
  <si>
    <t>HOSPITAL CLINICO DE LA FUERZA AEREA FACH GRAL DR RAUL YAZIGI JAUREGUI</t>
  </si>
  <si>
    <t> Avenida Las Condes N° 8631, comuna de Las Condes, Santiago, Región Metropolitana</t>
  </si>
  <si>
    <t>HOSPITAL REGIONAL DE ANTOFAGASTA</t>
  </si>
  <si>
    <t>Av. Azapa 5935, Antofagasta, Región Antofagasta</t>
  </si>
  <si>
    <t>HOSPITAL SAN JOSÉ</t>
  </si>
  <si>
    <t>San José 1196, Independencia, Región Metropolitana</t>
  </si>
  <si>
    <t>HOSPITAL DR. HERNAN HENRIQUEZ ARAVENA</t>
  </si>
  <si>
    <t>Manuel Montt 115, Temuco, Región Araucanía</t>
  </si>
  <si>
    <t>CLINICA MEDS LTDA</t>
  </si>
  <si>
    <t>Av. José Alcalde Délano 10.581, Lo Barnechea, Región Metropolitana</t>
  </si>
  <si>
    <t>HOSPITAL SAN PABLO DE COQUIMBO</t>
  </si>
  <si>
    <t>Av. Pedro Nolasco Videla, Coquimbo, Región Coquimbo</t>
  </si>
  <si>
    <t>HOSPITAL DR. LUIS TISNE B.</t>
  </si>
  <si>
    <t>Av. Las Torres 5150, Peñalolén, Región Metropolitana</t>
  </si>
  <si>
    <t>HOSPITAL CLAUDIO VICUÑA</t>
  </si>
  <si>
    <t>Carmen Guerrero 945, 3er piso, San Antonio, Región Valparaíso</t>
  </si>
  <si>
    <t>HOSPITAL DE PUERTO MONTT</t>
  </si>
  <si>
    <t>HOSPITAL METROPOLITANO DE SANTIAGO</t>
  </si>
  <si>
    <r>
      <t> </t>
    </r>
    <r>
      <rPr>
        <sz val="11"/>
        <color rgb="FF1F1F1F"/>
        <rFont val="Arial"/>
        <family val="2"/>
      </rPr>
      <t>Holanda 060, 7510043 Providencia, Santiago, Región Metropolitana</t>
    </r>
  </si>
  <si>
    <t>HOSPITAL DE PUERTO AYSEN</t>
  </si>
  <si>
    <t>Yuseff Laibe 180, Puerto Aysen, Región Aysén</t>
  </si>
  <si>
    <t>INSTITUTO DE DIAGNOSTICO S.A.</t>
  </si>
  <si>
    <t>Av. Santa María 1810, Providencia, Región Metropolitana</t>
  </si>
  <si>
    <t>HOSPITAL COMPLEJO ASISTENCIAL PADRE LAS CASAS</t>
  </si>
  <si>
    <t>Ruta 194, Padre las Casas, Padre Las Casas, Región Araucanía</t>
  </si>
  <si>
    <t>HOSPITAL BARROS LUCO TRUDEAU</t>
  </si>
  <si>
    <t>Gran Av. José Miguel Carrera 3204, San Miguel, Región Metropolitana</t>
  </si>
  <si>
    <t>HOSPITAL VICTOR RIOS RUIZ</t>
  </si>
  <si>
    <t>Av. Ricardo Vicuña 147, Los Ángeles, Región Bío Bío</t>
  </si>
  <si>
    <t>HOSPITAL CARLOS VAN BUREN</t>
  </si>
  <si>
    <t>San Ignacio 725, Valparaíso, Región Valparaíso</t>
  </si>
  <si>
    <t>HOSPITAL VICTORIA</t>
  </si>
  <si>
    <t>Av. Dartnell 1100, Victoria, Región Araucanía</t>
  </si>
  <si>
    <t>HOSPITAL REGIONAL DE ARICA DR. JUAN NOÉ CREVANI</t>
  </si>
  <si>
    <t>18 de Septiembre 1000, Arica, Región Arica y Parinacota</t>
  </si>
  <si>
    <t>COMPLEJO ASISTENCIAL DR.SOTERO DEL RIO</t>
  </si>
  <si>
    <t>Av. Concha y Toro 3459, Puente Alto, Región Metropolitana</t>
  </si>
  <si>
    <t>HOSPITAL PENCO -LIRQUEN</t>
  </si>
  <si>
    <t>Ruta 150, Lirquen, Penco, Región Bío Bío</t>
  </si>
  <si>
    <t>SERVICIO NACIONAL DE SALUD HOSPITAL DE LOTA</t>
  </si>
  <si>
    <t>Carrera 702, Lota, Región Bío Bío</t>
  </si>
  <si>
    <t>HOSPITAL GUILLERMO GRANT BENAVENTE</t>
  </si>
  <si>
    <t>San Martín 1436, Concepción, Región Bío Bío</t>
  </si>
  <si>
    <t>HOSPITAL DE PURRANQUE</t>
  </si>
  <si>
    <t>21 de Mayo 468, Purranque, Región Los Lagos</t>
  </si>
  <si>
    <t>UC CHRISTUS SERVICIOS AMBULATORIOS SPA</t>
  </si>
  <si>
    <t>Marcoleta 367, Santiago, Región Metropolitana</t>
  </si>
  <si>
    <t>HOSPITAL DE CURANILAHUE DR. RAFAEL AVARIA</t>
  </si>
  <si>
    <r>
      <t>Avenida O'Higgins N°111, Curanilahue</t>
    </r>
    <r>
      <rPr>
        <sz val="11"/>
        <color rgb="FF474747"/>
        <rFont val="Arial"/>
        <family val="2"/>
      </rPr>
      <t>, Región Bío Bío</t>
    </r>
  </si>
  <si>
    <t>HOSPITAL MILITAR DE SANTIAGO</t>
  </si>
  <si>
    <r>
      <t> </t>
    </r>
    <r>
      <rPr>
        <sz val="11"/>
        <color rgb="FF1F1F1F"/>
        <rFont val="Arial"/>
        <family val="2"/>
      </rPr>
      <t>Av. Alcalde Fernando Castillo Velasco 9100, La Reina, Región Metropolitana</t>
    </r>
  </si>
  <si>
    <t>HOSPITAL SAN LUIS BUIN</t>
  </si>
  <si>
    <t>Arturo Prat 250, Buin, Región Metropolitana</t>
  </si>
  <si>
    <t>CLINICA ALEMANA DE SANTIAGO S A</t>
  </si>
  <si>
    <r>
      <t>Avenida Manquehue Norte 1410, Vitacura</t>
    </r>
    <r>
      <rPr>
        <sz val="12"/>
        <color rgb="FF001D35"/>
        <rFont val="Arial"/>
        <family val="2"/>
      </rPr>
      <t>, Región Metropolitana</t>
    </r>
  </si>
  <si>
    <t>HOSPITAL  PITRUFQUEN</t>
  </si>
  <si>
    <t>Manuel Rodriguez  N°1235, Pitrufquén, Región Araucanía</t>
  </si>
  <si>
    <t>HOSPITAL EDUARDO PEREIRA</t>
  </si>
  <si>
    <r>
      <t>Ibsen s/n, Cerro Delicias, Valparaíso</t>
    </r>
    <r>
      <rPr>
        <sz val="12"/>
        <color rgb="FF001D35"/>
        <rFont val="Arial"/>
        <family val="2"/>
      </rPr>
      <t>, Región Valparaíso</t>
    </r>
  </si>
  <si>
    <t>EJERCITO DE CHILE CENTRAL ODONTOLOGICA D</t>
  </si>
  <si>
    <t>Alameda 1449, Santiago, Región Metropolitana</t>
  </si>
  <si>
    <t>HOSPITAL DE ANDACOLLO</t>
  </si>
  <si>
    <t>Urmeneta N°2, Andacollo, Región Coquimbo</t>
  </si>
  <si>
    <t>HOSPITAL LUIS CALVO MACKENNA</t>
  </si>
  <si>
    <t>Avenida Antonio Varas 360, Providencia, Región Metropolitana</t>
  </si>
  <si>
    <t>FUNDACIÓN OFTALMOLÓGICA LOS ANDES</t>
  </si>
  <si>
    <t>Las Hualtatas 5951, Vitacura, Región Metropolitana</t>
  </si>
  <si>
    <t>HOSPITAL DE CURICO</t>
  </si>
  <si>
    <t>Río Elqui N° 1336, Curicó, Región Maule</t>
  </si>
  <si>
    <t>HOSPITAL DE URGENCIA ASISTENCIA PUBLICA DR. ALEJ</t>
  </si>
  <si>
    <t>Av. Curicó 345, Santiago, Región Metropolitana</t>
  </si>
  <si>
    <t>SOCIEDAD MEDICA E IMAGENEOLOGICA ANCUD LTDA</t>
  </si>
  <si>
    <t>Aníbal Pinto 308, Ancud, Región Los Lagos</t>
  </si>
  <si>
    <t>INSTITUTO NACIONAL DEL CANCER</t>
  </si>
  <si>
    <t>Avenida Profesor Zañartu 1010, Independencia, Región Metropolitana</t>
  </si>
  <si>
    <t>CLINICA LAS CONDES S.A.</t>
  </si>
  <si>
    <t>Estoril 450, Las Condes, Región Metropolitana</t>
  </si>
  <si>
    <t>HOSPITAL NACIMIENTO</t>
  </si>
  <si>
    <t>Av. Julio Hemmelmann 628, Nacimiento, Región Bío Bío</t>
  </si>
  <si>
    <t>I.MUNICIPALIDAD DE INDEPENDENCIA</t>
  </si>
  <si>
    <r>
      <t>Av. Independencia 753</t>
    </r>
    <r>
      <rPr>
        <sz val="12"/>
        <color rgb="FF001D35"/>
        <rFont val="Arial"/>
        <family val="2"/>
      </rPr>
      <t>, Santiago, Región Metropolitana</t>
    </r>
  </si>
  <si>
    <t>LABORATORIO CLINICO CENTRAL KOJCHEN Y COMPANIA LIMITADA</t>
  </si>
  <si>
    <t>Colo Colo 646, Los Ángeles, Región Bío Bío</t>
  </si>
  <si>
    <t>SERVICIOS CLINICOS DEL DESARROLLO S.A</t>
  </si>
  <si>
    <t>Avda. Vicuña Mackenna 9630, La Florida, Región Metropolitana</t>
  </si>
  <si>
    <t>CLÍNICA INTERMEDICAL LTDA.</t>
  </si>
  <si>
    <t>Luis Reuss 246, San Antonio, Región Valparaíso</t>
  </si>
  <si>
    <t>UNIVERSIDAD FINIS TERRAE</t>
  </si>
  <si>
    <t>Av. Pedro de Valdivia 1509, Providencia, Región Metropolitana</t>
  </si>
  <si>
    <t>SOCIEDAD CMA-COSTANERA S.A.</t>
  </si>
  <si>
    <t>Pedro de Valdivia 201, Valdivia, Región Los Ríos</t>
  </si>
  <si>
    <t>ILUSTRE MUNICIPALIDAD DE LOS ALAMOS - DEPTO. SALUD</t>
  </si>
  <si>
    <t>Pedro Eyeramendy N°600, Los Álamos, Región Bío Bío</t>
  </si>
  <si>
    <t>REDLASER CONCEPCION SPA</t>
  </si>
  <si>
    <t>Orompello 450, Concepción,Región Bío Bío</t>
  </si>
  <si>
    <t>UNIVERSIDAD DE VALPARAISO</t>
  </si>
  <si>
    <t>Blanco 951, Valparaíso, Valparaíso Valparaíso</t>
  </si>
  <si>
    <t>MEGASALUD S.A.</t>
  </si>
  <si>
    <t>Los Conquistadores N° 1730, Providencia, Región Metropolitana</t>
  </si>
  <si>
    <t>HOSPITAL DE YUMBEL</t>
  </si>
  <si>
    <t>Castellón 251, Yumbel, Región Bío Bío</t>
  </si>
  <si>
    <t>CESFAM MIRAFLORES</t>
  </si>
  <si>
    <t>Membrillo 3170, Viña del Mar, Región Valparaíso</t>
  </si>
  <si>
    <t>HOSPITAL NAVAL ALMIRANTE ADRIAZOLA</t>
  </si>
  <si>
    <t>Calle Michimalongo S/N, Sector Las Canchas, Talcahuano, Región Bío Bío</t>
  </si>
  <si>
    <t>CENTRO DE OFTALMOLOGIA DR.DAVID BITRAN S.A.</t>
  </si>
  <si>
    <t>Av. Salvador 943, Providencia, Región Metropolitana</t>
  </si>
  <si>
    <t>CLINICA BUPA ANTOFAGASTA SA</t>
  </si>
  <si>
    <t>Manuel Antonio Matta 1945, Antofagasta, Región Antofagasta</t>
  </si>
  <si>
    <t>HOSPITAL RIO NEGRO</t>
  </si>
  <si>
    <t>Artura Prat  791, Río Negro, Región Los Lagos</t>
  </si>
  <si>
    <t>SERV DE SALUD BÍO BÍO - HOSPITAL DE HUEPIL</t>
  </si>
  <si>
    <t>12 de Febrero 233, 4480000 Biobío, Tucapel, Región Bío Bío</t>
  </si>
  <si>
    <t xml:space="preserve">HOSPITAL SAN CAMILO  </t>
  </si>
  <si>
    <t>Av. Miraflores 2085, San Felipe, Región Valparaíso</t>
  </si>
  <si>
    <t>INSTITUTO OFTALMOLÓGICO PUERTA DEL SOL S.A.</t>
  </si>
  <si>
    <t>Puerta del Sol 36, 7580069 Santiago, Las Condes, Región Metropolitana</t>
  </si>
  <si>
    <t>HOSPITAL DR. GUSTAVO FRICKE</t>
  </si>
  <si>
    <t>Álvarez 1532, Viña del Mar, Región Valparaíso</t>
  </si>
  <si>
    <t>CORPORACION MUNICIPAL DE CONCHALI</t>
  </si>
  <si>
    <t>Tte. Yávar 2552, Conchalí, Región Metropolitana</t>
  </si>
  <si>
    <t>I MUNICIPALIDAD DE VICUÑA</t>
  </si>
  <si>
    <t>18 de Septiembre 101, Vicuña, Región Coquimbo</t>
  </si>
  <si>
    <t>HOSPITAL DE ILLAPEL</t>
  </si>
  <si>
    <t>Pje. Independencia 512, Illapel, Región Coquimbo</t>
  </si>
  <si>
    <t>I.MUNICIPALIDAD DE LA UNION</t>
  </si>
  <si>
    <t>Padre Hurtado 620, La Unión, Región Los Ríos</t>
  </si>
  <si>
    <t>CLINICA WLK SA</t>
  </si>
  <si>
    <t>Av. Los Leones 485, Providencia, Región Metropolitana</t>
  </si>
  <si>
    <t>HOSPITAL DE QUILACAHUIN</t>
  </si>
  <si>
    <t>U-10, Mision Quilacahuin, San Pablo, Región Los Lagos</t>
  </si>
  <si>
    <t>HOSPITAL DE MISION SAN JUAN DE LA COSTA</t>
  </si>
  <si>
    <t>Mision San Juan de la Costa, San Juan de la Costa, Región Los Lagos</t>
  </si>
  <si>
    <t>CORPORACION DE AYUDA AL NIÑO QUEMADO</t>
  </si>
  <si>
    <t>Av. Pedro de Valdivia 291, Providencia, Región Metropolitana</t>
  </si>
  <si>
    <t>CORP MUNICIPAL DE EDUCACION Y SERVICIOS RAMON FREIRE</t>
  </si>
  <si>
    <t>San Martín 109, Dalcahue, Región Los Lagos</t>
  </si>
  <si>
    <t>HOSPITAL DE TALCA</t>
  </si>
  <si>
    <t>Calle 1 Nte. 1990, Talca, Región Maule</t>
  </si>
  <si>
    <t>HOSPITAL DE QUELLON</t>
  </si>
  <si>
    <t>Dr. Ahues 305, Quellón, Región Los Lagos</t>
  </si>
  <si>
    <t>INTEGRAMEDICA S.A (Las Condes)</t>
  </si>
  <si>
    <t>Av. Pdte. Kennedy 9001, Piso 3, Las Condes, Región Metropolitana</t>
  </si>
  <si>
    <t>GOBIERNO REGIONAL LIBERTADOR BDO. O'HIGGINS</t>
  </si>
  <si>
    <t>C. Cuevas 450, Rancagua, Región O'Higgins</t>
  </si>
  <si>
    <t>HOSPITAL DE LANCO</t>
  </si>
  <si>
    <t>HOSPITAL CLINICO DE MAGALLANES</t>
  </si>
  <si>
    <t>Av. los Flamencos 01365, Punta Arenas, Región Magallanes y la Antártica Chilena</t>
  </si>
  <si>
    <t>CESFAM CORDILLERA ANDINA</t>
  </si>
  <si>
    <t>Papudo Nte. 151, Los Andes, Región Valparaíso</t>
  </si>
  <si>
    <t>I. MUNICIPALIDAD DE QUILLOTA DPTO. SALUD</t>
  </si>
  <si>
    <t>Clorindo Véliz 520, Quillota, Región Valparaíso</t>
  </si>
  <si>
    <t>HOSPITAL CARLOS CISTERNA DE CALAMA</t>
  </si>
  <si>
    <t>Av. Almte. Grau 1490, Calama, Región Antofagasta</t>
  </si>
  <si>
    <t>JUNAEB ALTOBIOBIO</t>
  </si>
  <si>
    <t>Av. Los Carrera 256, 4430035 Los Angeles, Los Ángeles, Región Bío Bío</t>
  </si>
  <si>
    <t>JUNAEB MODULO FRUTILLAR</t>
  </si>
  <si>
    <t>Padre Harter 175, Puerto Montt, Región Los Lagos</t>
  </si>
  <si>
    <t>JUNAEB ESCUELA VICTOR DOMINGO SILVA</t>
  </si>
  <si>
    <t>Buen Retiro 820, Coronel, Región Bío Bío</t>
  </si>
  <si>
    <t>JUNAEB ESCUELA NUEVA ZELANDIA</t>
  </si>
  <si>
    <t>Gamero 2722, Independencia, Región Metropolitana</t>
  </si>
  <si>
    <t>CESFAM PENCAHUE</t>
  </si>
  <si>
    <t>Fernando Parot Silva - K-60 s/n, Pencahue, Región Maule</t>
  </si>
  <si>
    <t>HOSPITAL BASE DE LINARES</t>
  </si>
  <si>
    <t>Av. Brasil 753,  Linares, Región Maule</t>
  </si>
  <si>
    <t>HOSPITAL DE CASTRO</t>
  </si>
  <si>
    <t>Ramón Freire 852, Castro, Región Los Lagos</t>
  </si>
  <si>
    <t>HOSPITAL DE OVALLE</t>
  </si>
  <si>
    <t>Av. Manuel Peñafiel Olivares 1550, Coquimbo, Ovalle, Región Coquimbo</t>
  </si>
  <si>
    <t>CENTRO CLINICO MILITAR ARICA</t>
  </si>
  <si>
    <t>Gral. Velásquez 1700, Arica, Región Arica y Parinacota</t>
  </si>
  <si>
    <t xml:space="preserve">CESFAM CONSTITUCIÓN </t>
  </si>
  <si>
    <t>Av. Sta. María 417-543, Constitución, Región Maule</t>
  </si>
  <si>
    <t>CESFAM MARTA UGARTE QUILICURA</t>
  </si>
  <si>
    <t>Av. Bernardo O'Higgins 460, Quilicura, Región Metropolitana</t>
  </si>
  <si>
    <t>CESFAM VICTOR CASTRO</t>
  </si>
  <si>
    <t>Av. el Guanaco Nte. 1597, Huechuraba, Región Metropolitana</t>
  </si>
  <si>
    <t>HOSPITAL COLLIPULLI</t>
  </si>
  <si>
    <t>Manuel Rodríguez 1671, Collipulli, Región Araucanía</t>
  </si>
  <si>
    <t>CESFAM ALERCE</t>
  </si>
  <si>
    <t>Av. Violeta Parra 5198, Alerce, Puerto Montt, Región Los Lagos</t>
  </si>
  <si>
    <t>HOSPITAL DE PUERTO OCTAY</t>
  </si>
  <si>
    <t>Pedro Montt N° 601, Puerto Octay, Región Los Lagos</t>
  </si>
  <si>
    <t>CESFAM LONGAVI</t>
  </si>
  <si>
    <t>CAMINO LA COPA S/N, Longaví, Región Maule</t>
  </si>
  <si>
    <t>UNIVERSIDAD DE CHILE</t>
  </si>
  <si>
    <t>Av. Alameda Libertador Bernardo O'Higgins 1058, Santiago, Región Metropolitana</t>
  </si>
  <si>
    <t>HOSPITAL DE TRAIGUEN</t>
  </si>
  <si>
    <t>21 de Mayo 751, 4730024 Traiguen, Traiguén, Región Araucanía</t>
  </si>
  <si>
    <t>CESFAM YERBAS BUENAS</t>
  </si>
  <si>
    <t>Avenida María Antúnez Bravo #82P, Yerbas Buenas, Región Maule</t>
  </si>
  <si>
    <t>CESFAM LOS CERROS</t>
  </si>
  <si>
    <t>esquina Coliumo, Nueva - Playa El Galgo, Los Lobos 1050, Talcahuano, Región Bío Bío</t>
  </si>
  <si>
    <t>UNIVERSIDAD DE CONCEPCION</t>
  </si>
  <si>
    <t>Marchant Pereira 10, Providencia, Región Metropolitana</t>
  </si>
  <si>
    <t>CESFAM ARRAU MENDEZ PARRAL</t>
  </si>
  <si>
    <t>0115, Sur 3, Linares, Parral, Región Maule</t>
  </si>
  <si>
    <t>HOSPITAL SANTA JUANA</t>
  </si>
  <si>
    <t>Doctor Sosa 100, Santa Juana, Región Bío Bío</t>
  </si>
  <si>
    <t>INTEGRAMEDICA LA SERENA</t>
  </si>
  <si>
    <t>Mall Plaza - Alberto Solari 1400, La Serena, Región Coquimbo</t>
  </si>
  <si>
    <t>CENTRAL ODONTOLOGICA PRIMERA ZONA NAVAL VIÑA</t>
  </si>
  <si>
    <t>Av. Libertad 471, Viña del Mar, Región Valparaíso</t>
  </si>
  <si>
    <t>NORDEN NEW YORK</t>
  </si>
  <si>
    <t>Nueva York 27, Edificio Ahumada Once, Santiago, Región Metropolitana</t>
  </si>
  <si>
    <t>DR. FRANCISCO ASTURIAS PEREZ</t>
  </si>
  <si>
    <t>Av. Luis Thayer Ojeda 0180, of. 1202, Providencia, Región Metropolitana</t>
  </si>
  <si>
    <t>CESFAM STEGGER</t>
  </si>
  <si>
    <t>Huelen 1629, Cerro Navia, Región Metropolitana</t>
  </si>
  <si>
    <t>NORDEN</t>
  </si>
  <si>
    <t>Av. Américo Vespucio Norte 1090, oficina 201, Vitacura,Región Metropolitana</t>
  </si>
  <si>
    <t>CENTRO NORDEN AGUSTINAS 640</t>
  </si>
  <si>
    <t>Agustinas 640, Santiago, Región Metropolitana</t>
  </si>
  <si>
    <t>CLINICA MUC SPA</t>
  </si>
  <si>
    <t>AVENIDA PRAT 199, 1506 TORR A, Concepción, Región Bío Bío</t>
  </si>
  <si>
    <t>CESFAM COLINA</t>
  </si>
  <si>
    <t>Alpatacal 0540, Colina, Región Metropolitana</t>
  </si>
  <si>
    <t>CESFAM JULIO CONTARDO URZUA DE TALCA</t>
  </si>
  <si>
    <t>Quince Sur 1634, Talca, Región Maule</t>
  </si>
  <si>
    <t>CESFAM MAGISTERIO, TALCA</t>
  </si>
  <si>
    <t>Calle 21 Pte., Talca, Región Maule</t>
  </si>
  <si>
    <t>CESFAM RIO CLARO</t>
  </si>
  <si>
    <t>Río Claro 1090, Peñalolén, Región Metropolitana</t>
  </si>
  <si>
    <t>CESFAM EL SAUCE COQUIMBO</t>
  </si>
  <si>
    <t>Los Olivos 545-985, Coquimbo, Región Coquimbo</t>
  </si>
  <si>
    <t>HOSPITAL DE LAUTARO</t>
  </si>
  <si>
    <t>Barros Arana 820, Diego Barros Arana 715, Lautaro, Región Araucanía</t>
  </si>
  <si>
    <t>CESFAM VIOLETA PARRA (PUDAHUEL)</t>
  </si>
  <si>
    <t>9070007 Santiago, Pudahuel, Región Metropolitana</t>
  </si>
  <si>
    <t>HOSPITAL FUTALEUFU</t>
  </si>
  <si>
    <t>Balmaceda 382, Futaleufu, Futaleufú, Región Los Lagos</t>
  </si>
  <si>
    <t>HOSPITAL DE FRUTILLAR</t>
  </si>
  <si>
    <t>Las Piedras, Frutillar Bajo, Frutillar, Región Los Lagos</t>
  </si>
  <si>
    <t>CESFAM SAN VICENTE TALCAHUANO</t>
  </si>
  <si>
    <t>Brasil 360, San Vicente, Talcahuano, Región Bío Bío</t>
  </si>
  <si>
    <t>HOSPITAL DE SALAMANCA</t>
  </si>
  <si>
    <t>Av. José Manuel Infante 891, Salamanca, Región Coquimbo</t>
  </si>
  <si>
    <t>HOSPITAL DE IQUIQUE</t>
  </si>
  <si>
    <t>Av. Héroes de la Concepción 502, Iquique, Región Tarapacá</t>
  </si>
  <si>
    <t>CLINICA SANATORIO ALEMAN</t>
  </si>
  <si>
    <t>Av. Pedro de Valdivia 801, Concepción, Región Bío Bío</t>
  </si>
  <si>
    <t>HOSPITAL DE SANTA BARBARA</t>
  </si>
  <si>
    <t>Salamanca S/N, Santa Bárbara, Región Bío Bío</t>
  </si>
  <si>
    <t>HOSPITAL LA LIGUA</t>
  </si>
  <si>
    <t>Dr. Víctor Díaz N° 1020, La Ligua, Región Valparaíso</t>
  </si>
  <si>
    <t>HOSPITAL DE PARRAL</t>
  </si>
  <si>
    <t>Av. Anibal Pinto S/N, Parral, Región Maule</t>
  </si>
  <si>
    <t>HOSPITAL SANTO TOMAS DE LIMACHE</t>
  </si>
  <si>
    <t>Carelmapu 57, Limache, Región Valparaíso</t>
  </si>
  <si>
    <t>UNIVERSIDAD DEL DESARROLLO CONCEPCION</t>
  </si>
  <si>
    <t>Ainavillo 456, Concepción, Región Bío Bío</t>
  </si>
  <si>
    <t>HOSPITAL DE ANGOL</t>
  </si>
  <si>
    <t>Gral. Oscar Bonilla 695, Angol, Región Araucanía</t>
  </si>
  <si>
    <t>HOSPITAL DE QUILLOTA</t>
  </si>
  <si>
    <t>O'Higgins 2200, Quillota, Región Valparaíso</t>
  </si>
  <si>
    <t>CLINICA UNIVERSITARIA CONCEPCION</t>
  </si>
  <si>
    <t>Av. Pdte. Jorge Alessandri Rodriguez 2047, Hualpén, Región Bío Bío</t>
  </si>
  <si>
    <t>CLINICA HOGAR BUENA SALUD S.P.A</t>
  </si>
  <si>
    <t>Armando Moock 3818, Macul, Región Metropolitana</t>
  </si>
  <si>
    <t>UNIVERSIDAD DE LA FRONTERA</t>
  </si>
  <si>
    <t>Francisco Salazar 1145, Temuco, Región Araucanía</t>
  </si>
  <si>
    <t>HOSPITAL LA SERENA</t>
  </si>
  <si>
    <t>Av. Balmaceda 916, La Serena, Región Coquimbo</t>
  </si>
  <si>
    <t>CLINICA BIO-BIO S.A.</t>
  </si>
  <si>
    <t>Freire 1445, Concepción, Región Bío Bío</t>
  </si>
  <si>
    <t>POLICIA DE INVESTIGACIONES DE CHILE</t>
  </si>
  <si>
    <t>Gral. Borgoño 1204, Independencia, Región Metropolitana</t>
  </si>
  <si>
    <t>ODONTOESTETICA</t>
  </si>
  <si>
    <t>Av. Apoquindo 6314, Of. 1204, Las Condes, Región Metropolitana</t>
  </si>
  <si>
    <t>LA ARAUCANA SALUD S.A.</t>
  </si>
  <si>
    <t>13 Nte. 766, Viña del Mar, Región Valparaíso</t>
  </si>
  <si>
    <t>SERVICIO DE SALUD ÑUBLE</t>
  </si>
  <si>
    <t>Bulnes 502, Chillán, Región Ñuble</t>
  </si>
  <si>
    <t>ODONTOLOGIA GARCIA TOMASSOVICH S.A.</t>
  </si>
  <si>
    <t>Av. Hernando de Aguirre 162, Providencia, Región Metropolitana</t>
  </si>
  <si>
    <t>INSTITUTO DE SALUD PUBLICA</t>
  </si>
  <si>
    <t>Av. Marathón 1000, Ñuñoa, Región Metropolitana</t>
  </si>
  <si>
    <t>HOSPITAL DE TOME</t>
  </si>
  <si>
    <t>Mariano Egaña 1640, Tome, Tomé, Región Bío Bío</t>
  </si>
  <si>
    <t>FUND. DE DESARROLLO EDUC. Y TECN. LA ARAUCARIA</t>
  </si>
  <si>
    <t>Arturo Prat 332, Temuco, Región Araucanía</t>
  </si>
  <si>
    <t>INTEGRAMEDICA EL TREBOL</t>
  </si>
  <si>
    <t>Mall Plaza El Trébol - Av. Pdte. Jorge Alessandri Rodriguez 3177, 4300818 Concepción, Talcahuano, Región Bío Bío</t>
  </si>
  <si>
    <t>NORDEN  SEDE PEÑALOLEN</t>
  </si>
  <si>
    <t>Av. Tobalaba 12175, Peñalolén, Región Metropolitana</t>
  </si>
  <si>
    <t>INGENIERIA Y CONSTRUCCION COPAYAPU LIMITADA</t>
  </si>
  <si>
    <t>Barrio industrial - Diego de Almagro #567, 1533559 Paipote, Copiapó, Region Atacama</t>
  </si>
  <si>
    <t>SERVICIO DE SALUD DEL MAULE</t>
  </si>
  <si>
    <t>5 Ote. 1492, Talca, Región Maule</t>
  </si>
  <si>
    <t>POLICIA DE INVESTIGACIONES ANTOFAGASTA</t>
  </si>
  <si>
    <t>Arturo Prat 1261, Antofagasta, Región Antofagasta</t>
  </si>
  <si>
    <t>CESFAM PEDRO PULGAR MELGAREJO</t>
  </si>
  <si>
    <t>Av. los Álamos 3101, Alto Hospicio, Región Tarapacá</t>
  </si>
  <si>
    <t>HOSPITAL DE HUASCO</t>
  </si>
  <si>
    <t>Cautin 105, Puerto, Huasco, Region Atacama</t>
  </si>
  <si>
    <t>CLINICA ORTHODENT</t>
  </si>
  <si>
    <t>Av. Irarrázaval 705, Ñuñoa, Región Metropolitana</t>
  </si>
  <si>
    <t>SERVICIOS ODONTOLOGICOS BRIDENT LTDA</t>
  </si>
  <si>
    <t>Av. Santelices 701, Isla de Maipo, Región Metropolitana</t>
  </si>
  <si>
    <t>CARABINEROS CHILLAN</t>
  </si>
  <si>
    <t>Bulnes 369, Chillán, Región Ñuble</t>
  </si>
  <si>
    <t>GENDARMERIA DE CHILE</t>
  </si>
  <si>
    <t>Capuchinos 746, Santiago, Región Metropolitana</t>
  </si>
  <si>
    <t>I. MUNICIPALIDAD DE PAINE</t>
  </si>
  <si>
    <t>Av. Gral. Baquedano 490, Paine, Región Metropolitana</t>
  </si>
  <si>
    <t>CESFAM ALEMANIA</t>
  </si>
  <si>
    <t>Baviera 445, Angol, Región Araucanía</t>
  </si>
  <si>
    <t>CESFAM SAN RAFAEL</t>
  </si>
  <si>
    <t xml:space="preserve"> Porto Alegre 12577, La Pintana, Región Metropolitana</t>
  </si>
  <si>
    <t>CESFAM FAUSTINO GONZALEZ</t>
  </si>
  <si>
    <t>Diecisiete Ote. 1, Talca, Región Maule</t>
  </si>
  <si>
    <t>CESFAM N° 2 RANCAGUA</t>
  </si>
  <si>
    <t>San Pedro 1696, Rancagua, Región O'Higgins</t>
  </si>
  <si>
    <t>UNIVERSIDAD SAN SEBASTIAN</t>
  </si>
  <si>
    <t>Recoleta Providencia, Bellavista 7, Recoleta, Región Metropolitana</t>
  </si>
  <si>
    <t>UNIVERSIDAD ARTURO PRAT</t>
  </si>
  <si>
    <t>San Pablo 1796, Santiago, Región Metropolitana</t>
  </si>
  <si>
    <t>CESFAM NORPONIENTE DE CALAMA</t>
  </si>
  <si>
    <t>Luis Emilio Recabarren 3825, Calama, Región Antofagasta</t>
  </si>
  <si>
    <t>CESFAM BOCA SUR</t>
  </si>
  <si>
    <t>Segunda transversal 457,  San Pedro de la Paz, Región Bío Bío</t>
  </si>
  <si>
    <t>HOSPITAL DE CAUQUENES</t>
  </si>
  <si>
    <t>Manuel Montt S/N, Cauquenes, Región Maule</t>
  </si>
  <si>
    <t>HOSPITAL DEL PROFESOR</t>
  </si>
  <si>
    <t>Avenida Libertador Bernardo O'Higgins (Alameda) 4860, Estación Central, Región Metropolitana</t>
  </si>
  <si>
    <t>FUNDACION JOSEFINA MARTINEZ DE FERRARI</t>
  </si>
  <si>
    <t>Av. Camilo Henríquez 3691,  Puente Alto, Región Metropolitana</t>
  </si>
  <si>
    <t>HOSPITAL DE HUALAÑE</t>
  </si>
  <si>
    <t>Av. Libertad S/N, Hualañé, Región Maule</t>
  </si>
  <si>
    <t>CESFAM FUTRONO</t>
  </si>
  <si>
    <t>Germán Riesco 305, Futrono, Región Los Ríos</t>
  </si>
  <si>
    <t>HOSPITAL DE MULCHEN</t>
  </si>
  <si>
    <t>Villalon, Mulchen, Mulchén, Región Bío Bío</t>
  </si>
  <si>
    <t>MUNICIPALIDAD DE STA.  JUANA</t>
  </si>
  <si>
    <t>Yungay 125, Santa Juana, Región Bío Bío</t>
  </si>
  <si>
    <t>HOSPITAL DE COYHAIQUE</t>
  </si>
  <si>
    <t>Dr. Jorge Ibar 68, Coyhaique, Región Aysén</t>
  </si>
  <si>
    <t>ONCOMED</t>
  </si>
  <si>
    <t>GENERAL HOLLEY 2381, OF.705, Providencia, Región Metropolitana</t>
  </si>
  <si>
    <t>HOSPITAL DE FRESIA</t>
  </si>
  <si>
    <t xml:space="preserve"> San José N° 301, Fresia, Región Los Lagos</t>
  </si>
  <si>
    <t>SERVICIO DE SALUD VALPARAISO SN ANTONIO</t>
  </si>
  <si>
    <t>Avenida Brtasil 1435, Valparaíso, Región Valparaíso</t>
  </si>
  <si>
    <t>HOSPITAL DE QUILPUE</t>
  </si>
  <si>
    <t>San Martín 1270, Quilpué, Región Valparaíso</t>
  </si>
  <si>
    <t>CESFAM SAN FELIPE DEL REAL</t>
  </si>
  <si>
    <t>Cajales 1900, San Felipe, Región Valparaíso</t>
  </si>
  <si>
    <t>INTEGRAMEDICA TALCA</t>
  </si>
  <si>
    <t>C. 1 Sur 1557, Piso 5, Talca, Región Maule</t>
  </si>
  <si>
    <t>POLICENTER</t>
  </si>
  <si>
    <t>Metro San José de la Estrella, Av. Vicuña Mackenna 10477, La Florida, Región Metropolitana</t>
  </si>
  <si>
    <t>INSTITUTO NACIONAL DEL TORAX</t>
  </si>
  <si>
    <t>José Manuel Infante 717, Santiago, Providencia, Región Metropolitana</t>
  </si>
  <si>
    <t>ACHS</t>
  </si>
  <si>
    <t>Ramón Carnicer 163, Providencia, Región Metropolitana</t>
  </si>
  <si>
    <t>HOSPITAL DE CONSTITUCION</t>
  </si>
  <si>
    <t>Hospital 200, Constitución, Región Maule</t>
  </si>
  <si>
    <t>HOSPITAL BASE DE VALDIVIA</t>
  </si>
  <si>
    <t>Coronel Santiago Bueras 1003, Valdivia, Región Los Ríos</t>
  </si>
  <si>
    <t>HOSPITAL LAS HIGUERAS</t>
  </si>
  <si>
    <t>Alto Horno 777, Talcahuano, Región Bío Bío</t>
  </si>
  <si>
    <t>SERVICIO DE SALUD CONCEPCION</t>
  </si>
  <si>
    <t>Libertador Gral. Bernardo O'Higgins 297, Concepción, Región Bío Bío</t>
  </si>
  <si>
    <t>S.S VIÑA DEL MAR-QUILLOTA</t>
  </si>
  <si>
    <t>Gran Hotel 451, Viña del Mar, Región Valparaíso</t>
  </si>
  <si>
    <t>SERVICIO DE SALUD BIO-BIO</t>
  </si>
  <si>
    <t>Av. Ricardo Vicuña 371,Los Angeles, Los Ángeles, Región Bío Bío</t>
  </si>
  <si>
    <t>S. SALUD METROPOLITANO SUR ORIENTE</t>
  </si>
  <si>
    <t>SERVICIO DE SALUD CHILOE</t>
  </si>
  <si>
    <t>Libertador, Av. Bernardo O`Higgins 504, Castro, Región Los Lagos</t>
  </si>
  <si>
    <t>HOSPITAL REGIONAL DE RANCAGUA</t>
  </si>
  <si>
    <t>Av. Libertador Bernardo O'Higgins 3065, Rancagua, Región O'Higgins</t>
  </si>
  <si>
    <t>HOSPITAL SAN JUAN DE DIOS</t>
  </si>
  <si>
    <t>Huérfanos 3255, Santiago, Región Metropolitana</t>
  </si>
  <si>
    <t>HOSPITAL DE COPIAPO</t>
  </si>
  <si>
    <t>Los Carrera 1320, Copiapó, Region Atacama</t>
  </si>
  <si>
    <t>HOSPITAL DE CABILDO</t>
  </si>
  <si>
    <t>Aníbal Pinto S/N, Cabildo, Región Valparaíso</t>
  </si>
  <si>
    <t>INSTITUTO NACIONAL DE GERIATRIA</t>
  </si>
  <si>
    <t>José Manuel Infante 370, Providencia, Región Metropolitana</t>
  </si>
  <si>
    <t>INSTITUTO DE SEGURIDAD DEL TRABAJO</t>
  </si>
  <si>
    <t>1/2 Oriente 1175, Edificio Plaza O'Higgins, Viña del Mar, Región Valparaíso</t>
  </si>
  <si>
    <t>CORP. MUNICIPAL DESARROLLO SOCIAL ANTOFAGASTA</t>
  </si>
  <si>
    <t>Av. Argentina 1595, Antofagasta, Región Antofagasta</t>
  </si>
  <si>
    <t>HOSPITAL ROBERTO DEL RIO</t>
  </si>
  <si>
    <t>Prof. Zañartu 1085, Independencia, Región Metropolitana</t>
  </si>
  <si>
    <t>CESFAM RAUL BRAÑES</t>
  </si>
  <si>
    <t>Condell 1036, San Bernardo, Región Metropolitana</t>
  </si>
  <si>
    <t>PONTIFICIA UNIVERSIDAD CATOLICA DE CHILE</t>
  </si>
  <si>
    <t>Marcoleta 367,  Santiago, Región Metropolitana</t>
  </si>
  <si>
    <t>HOSPITAL  SAN JOSE DE MAIPO</t>
  </si>
  <si>
    <t>Comercio 19856, San José de Maipo, Región Metropolitana</t>
  </si>
  <si>
    <t>MUNICIPALIDAD BARNECHEA</t>
  </si>
  <si>
    <t>El Rodeo 12777, Lo Barnechea, Región Metropolitana</t>
  </si>
  <si>
    <t>HOSPITAL DE LA FLORIDA</t>
  </si>
  <si>
    <t>Froilán Roa 6542, La Florida, Región Metropolitana</t>
  </si>
  <si>
    <t>INTEGRAMEDICA TOBALABA</t>
  </si>
  <si>
    <t>Mallplaza Tobalaba - Av. Camilo Henríquez 3296, Puente Alto, Región Metropolitana</t>
  </si>
  <si>
    <t>INTEGRAMEDICA MANQUEHUE</t>
  </si>
  <si>
    <t>Av. Manquehue Sur 329, Las Condes, Región Metropolitana</t>
  </si>
  <si>
    <t>INTEGRAMEDICA PLAZA OESTE</t>
  </si>
  <si>
    <t>Mall Plaza Oeste - Av. Américo Vespucio 1501, Cerrillos, Región Metropolitana</t>
  </si>
  <si>
    <t>INTEGRAMEDICA SAN MIGUEL</t>
  </si>
  <si>
    <t>Av. El, Llano Subercaseaux 3965, San Miguel, Región Metropolitana</t>
  </si>
  <si>
    <t>INTEGRAMEDICA RANCAGUA</t>
  </si>
  <si>
    <t>Mall Open Plaza - Teniente Coronel Cuevas 405, Rancagua, Región O'Higgins</t>
  </si>
  <si>
    <t>INTEGRAMEDICA MAIPU</t>
  </si>
  <si>
    <t>Ingreso por Centro Comercial Espacio Urbano - Av. Los Pajaritos 1790, Maipú, Región Metropolitana</t>
  </si>
  <si>
    <t>INTEGRAMEDICA ALAMEDA</t>
  </si>
  <si>
    <t>Av. Alameda Libertador Bernardo O'Higgins 654, Santiago, Región Metropolitana</t>
  </si>
  <si>
    <t>INTEGRAMEDICA PUENTE ALTO</t>
  </si>
  <si>
    <t>Centro Comercial Plaza Puente - Av. Concha y Toro 26, Puente Alto, Región Metropolitana</t>
  </si>
  <si>
    <t>INTEGRAMEDICA BANDERA</t>
  </si>
  <si>
    <t>Bandera 168, Santiago, Región Metropolitana</t>
  </si>
  <si>
    <t>INTEGRAMEDICA PLAZA SUR</t>
  </si>
  <si>
    <t>Mall Plaza Sur, Av. Pdte. Jorge Alessandri Rodríguez 20040, San Bernardo, Región Metropolitana</t>
  </si>
  <si>
    <t>INTEGRAMEDICA SANTA LUCIA.</t>
  </si>
  <si>
    <t>Victoria 417, San Bernardo, Región Metropolitana</t>
  </si>
  <si>
    <t>UNIVERSIDAD DE ANTOFAGASTA</t>
  </si>
  <si>
    <t>Av. Universidad de Antofagasta 02800, Antofagasta, Región Antofagasta</t>
  </si>
  <si>
    <t>LA ARAUCANA PUERTO MONTT</t>
  </si>
  <si>
    <t>Pedro Montt 55, Puerto Montt, Región Los Lagos</t>
  </si>
  <si>
    <t>CESFAM URBANO DE ILLAPEL</t>
  </si>
  <si>
    <t>Avenida Balmaceda 261, Illapel, Región Coquimbo</t>
  </si>
  <si>
    <t>INTEGRAMEDICA BARCELONA</t>
  </si>
  <si>
    <t>Barcelona 2116, 7510184 Santiago, Providencia, Región Metropolitana</t>
  </si>
  <si>
    <t>CECOSF CERRO ESTANQUE DE TOME</t>
  </si>
  <si>
    <t>Santiago Osorio 2276, 4160126 Tome, Tomé, Región Bío Bío</t>
  </si>
  <si>
    <t>CESFAM NAVIDAD</t>
  </si>
  <si>
    <t>G-880 102, Navidad, Región O'Higgins</t>
  </si>
  <si>
    <t>CESFAM LA CANELA</t>
  </si>
  <si>
    <t>D-71 384, La Serena, Canela, Región Coquimbo</t>
  </si>
  <si>
    <t>NORDEN VITACURA</t>
  </si>
  <si>
    <t>Av. Manquehue Nte. 1931, Vitacura, Región Metropolitana</t>
  </si>
  <si>
    <t>CESFAM COLBUN</t>
  </si>
  <si>
    <t>Adolfo Novoa, Colbun, Colbún, Región Maule</t>
  </si>
  <si>
    <t xml:space="preserve">DOMINION SPA </t>
  </si>
  <si>
    <t>Av. Pdte. Eduardo Frei Montalva 1377, Independencia, Región Metropolitana</t>
  </si>
  <si>
    <t>SERVICIO DE SALUD METROPOLITANO SUR</t>
  </si>
  <si>
    <t>Av. Sta. Rosa 3453, San Miguel, Santiago, Región Metropolitana</t>
  </si>
  <si>
    <t>CRS PEÑALOLEN CORDILLERA ORIENTE </t>
  </si>
  <si>
    <t>Av. Las Torres 5100, Peñalolén, Región Metropolitana</t>
  </si>
  <si>
    <t>CESFAM MACHALI</t>
  </si>
  <si>
    <t>Av. Abdon Yarra 420, Machalí, Región O'Higgins</t>
  </si>
  <si>
    <t>HOSPITAL DE PICHILEMU</t>
  </si>
  <si>
    <t>Jorge Errázuriz 151, Pichilemu, Región O'Higgins</t>
  </si>
  <si>
    <t>SERVICIO DE SALUD TALCAHUANO</t>
  </si>
  <si>
    <t>Gómez Carreño 3030,, Talcahuano, Región Bío Bío</t>
  </si>
  <si>
    <t>CESFAM ROMERAL</t>
  </si>
  <si>
    <t>Alcalde, Raúl Arellano 640, Romeral, Región Maule</t>
  </si>
  <si>
    <t>TECMEDENT</t>
  </si>
  <si>
    <t>Av. Las Condes 7700, Las Condes, Región Metropolitana</t>
  </si>
  <si>
    <t>CESFAM  DICHATO</t>
  </si>
  <si>
    <t>O-14-N, Tome, Tomé, Región Bío Bío</t>
  </si>
  <si>
    <t>SERVICIO SALUD O'HIGGINS</t>
  </si>
  <si>
    <t>Av. Libertador Gral. Bernardo O'Higgins 609, Rancagua, Región O'Higgins</t>
  </si>
  <si>
    <t>I. MUNICIPALIDAD DE LINARES</t>
  </si>
  <si>
    <t>Kurt Moller 391, Linares, Región Maule</t>
  </si>
  <si>
    <t>DIAGNORAD ANTOFAGASTA</t>
  </si>
  <si>
    <t>1243351 Avenida General, Antonio José de Sucre, Región Antofagasta</t>
  </si>
  <si>
    <t>HOSPITAL DE QUINTEROS</t>
  </si>
  <si>
    <t>Aránguiz - Tudela 380, Quintero, Región Valparaíso</t>
  </si>
  <si>
    <t>CECOSF CHUMAQUITO</t>
  </si>
  <si>
    <t>Requinoa, Requínoa, Región O'Higgins</t>
  </si>
  <si>
    <t>I. MUNICIPALIDAD DE LA CISTERNA</t>
  </si>
  <si>
    <t>Gran Av. José Miguel Carrera 8585, La Cisterna, Región Metropolitana</t>
  </si>
  <si>
    <t>HOSPITAL LOS VILOS</t>
  </si>
  <si>
    <t>Arauco 400, Los Vilos, Región Coquimbo</t>
  </si>
  <si>
    <t>MUNICIPALIDAD DE HUALPEN</t>
  </si>
  <si>
    <t>Patria Nueva 1035, Hualpén, Región Bío Bío</t>
  </si>
  <si>
    <t>CESFAM CAROL URZUA</t>
  </si>
  <si>
    <t>Av. Consistorial 1960, Peñalolén, Región Metropolitana</t>
  </si>
  <si>
    <t>CESFAM RENGO</t>
  </si>
  <si>
    <t>Arturo Prat 1729, Rengo, Región O'Higgins</t>
  </si>
  <si>
    <t>HOSPITAL CLINICO HERMINDA MARTIN CHILLAN</t>
  </si>
  <si>
    <t>Francisco Ramírez 10, Chillán, Región Ñuble</t>
  </si>
  <si>
    <t>LA ARAUCANA SALUD  SAN ANTONIO</t>
  </si>
  <si>
    <t>Gregorio Mira 240, San Antonio, Región Valparaíso</t>
  </si>
  <si>
    <t>CESFAM CARLOS TRUPP TALCA</t>
  </si>
  <si>
    <t>Calle 30 Ote. S, Ocho y Medio Sur &amp;, Talca, Región Maule</t>
  </si>
  <si>
    <t>CESFAM ARAUCO</t>
  </si>
  <si>
    <t>Av. Mirador 1599, Santiago, Región Metropolitana</t>
  </si>
  <si>
    <t>HOSPITAL SAN VICENTE TAGUA TAGUA</t>
  </si>
  <si>
    <t>Juan Bautista Pastene 1100, San Vicente de Tagua Tagua, Región O'Higgins</t>
  </si>
  <si>
    <t>HOSPITAL EL CARMEN DR. LUIS VALENTIN FERRADA</t>
  </si>
  <si>
    <t>Camino A Rinconada, El Olimpo 1201, Maipú, Región Metropolitana</t>
  </si>
  <si>
    <t>HOSPITAL DE QUIRIHUE</t>
  </si>
  <si>
    <t>Ruta los Conquistadores 145, Quirihue, Región Ñuble</t>
  </si>
  <si>
    <t>INTEGRAMEDICA ESTACION CENTRAL</t>
  </si>
  <si>
    <t>Av. Alameda Libertador Bernardo O'Higgins 3470, Mall Plaza Alameda, Estación Central, Región Metropolitana</t>
  </si>
  <si>
    <t>SERVICIOS DE SALUD INTEGRALES  DE SALUD LTDA.</t>
  </si>
  <si>
    <t>Av. Providencia 1810, 7500500 Santiago, Providencia, Región Metropolitana</t>
  </si>
  <si>
    <t>INTEGRAMEDICA VESPUCIO</t>
  </si>
  <si>
    <t>Av. Vicuña Mackenna Ote. 7110, Santiago, La Florida, Región Metropolitana</t>
  </si>
  <si>
    <t>LA ARAUCANA SALUD TEMUCO</t>
  </si>
  <si>
    <t>Gral. Aldunate 186, Temuco, Región Araucanía</t>
  </si>
  <si>
    <t>CESFAM SOL DE SEPTIEMBRE</t>
  </si>
  <si>
    <t>Río Itata 6, Curicó, Región Maule</t>
  </si>
  <si>
    <t>LA ARAUCANA OSORNO</t>
  </si>
  <si>
    <t>Av. Manuel Rodriguez 861, Osorno, Región Los Lagos</t>
  </si>
  <si>
    <t>CLINICA ODONTOLOGICA GEO LTDA</t>
  </si>
  <si>
    <t>Esquina 6 oriente 3 sur 890, Talca, Región Maule</t>
  </si>
  <si>
    <t>CESFAM TALCA</t>
  </si>
  <si>
    <t>Calle 21 Pte, Talca, Región Maule</t>
  </si>
  <si>
    <t>INTEGRAMEDICA PLAZA EGAÑA</t>
  </si>
  <si>
    <t>Av. Larraín 5862, La Reina, Región Metropolitana</t>
  </si>
  <si>
    <t>CESFAM LA PINCOYA</t>
  </si>
  <si>
    <t>Av. Recoleta 5680, Huechuraba, Región Metropolitana</t>
  </si>
  <si>
    <t>CESFAM GOMEZ CARREÑO</t>
  </si>
  <si>
    <t>Diecinueve Pte. 5650, Viña del Mar, Región Valparaíso</t>
  </si>
  <si>
    <t>INTEGRAMEDICA VIÑA DEL MAR</t>
  </si>
  <si>
    <t>Boulevard Mall Marina Arauco - 13 Nte. 853, Piso 4 y 5, Viña del Mar, Región Valparaíso</t>
  </si>
  <si>
    <t>CESFAM SANTA TERESA</t>
  </si>
  <si>
    <t>Huara 5479, San Joaquín, Región Metropolitana</t>
  </si>
  <si>
    <t>CESFAM BETTY MUÑOZ</t>
  </si>
  <si>
    <t>Marcelo oxilia 1550, Curicó, Región Maule</t>
  </si>
  <si>
    <t>DRA. ALICIA GUAMBUGUETE</t>
  </si>
  <si>
    <t>Barros Arana 692, San Bernardo, Región Metropolitana</t>
  </si>
  <si>
    <t>CESFAM RODELILLO</t>
  </si>
  <si>
    <t>Pje. Juan Gomez 4350, Viña del Mar, Región Valparaíso</t>
  </si>
  <si>
    <t>CESFAM LAS AMERICAS</t>
  </si>
  <si>
    <t>Pedro Víctor Contreras 2474, Villa Alemana, Región Valparaíso</t>
  </si>
  <si>
    <t>CESFAM CIRUJANO GUZMAN</t>
  </si>
  <si>
    <t>Av. Salvador Allende Gossens 2736, Iquique, Región Tarapacá</t>
  </si>
  <si>
    <t>CENTRO DENTAL MATIAS COUSIÑO</t>
  </si>
  <si>
    <t>Agustinas 1022, of 1015, Santiago, Región Metropolitana</t>
  </si>
  <si>
    <t>INTEGRAMEDICA BIO BIO</t>
  </si>
  <si>
    <t>Los Carrera Poniente 301 Mall Plaza Mirador Piso 4 y, Pje. Cinco, Concepción, Región Bío Bío</t>
  </si>
  <si>
    <t>INTEGRAMEDICA PLAZA NORTE</t>
  </si>
  <si>
    <t>Mallplaza Norte - Av. Américo Vespucio 1731, Huechuraba, Región Metropolitana</t>
  </si>
  <si>
    <t>SONORAD HUERFANOS</t>
  </si>
  <si>
    <t>Huérfanos 757, piso 8, Santiago, Región Metropolitana</t>
  </si>
  <si>
    <t>CESFAM MARCOS MACUADA</t>
  </si>
  <si>
    <t>Covarrubias 260, Ovalle, Región Coquimbo</t>
  </si>
  <si>
    <t>CESFAM JORGE JORDAN</t>
  </si>
  <si>
    <t>Magallanes Moure 794, Ovalle, Región Coquimbo</t>
  </si>
  <si>
    <t>I. MUNICIPALIDAD DE OVALLE</t>
  </si>
  <si>
    <t>Benjamin Vicuña Mackenna 441, Ovalle, Región Coquimbo</t>
  </si>
  <si>
    <t>DENTALWISS LTDA.</t>
  </si>
  <si>
    <t>Hochstetter 926, Temuco, Región Araucanía</t>
  </si>
  <si>
    <t>CESFAM LO BARNECHEA</t>
  </si>
  <si>
    <t>Padre Alfredo Arteaga Barros, Lo Barnechea, Región Metropolitana</t>
  </si>
  <si>
    <t>UNIVERSIDAD SAN SEBASTIAN SEDE CONCPECION</t>
  </si>
  <si>
    <t>Lientur 1457, Concepción, Región Bío Bío</t>
  </si>
  <si>
    <t>CESFAM LOMA COLORADA</t>
  </si>
  <si>
    <t>Los Sauces 56, San Pedro de la Paz, Región Bío Bío</t>
  </si>
  <si>
    <t>HOSPITAL LITUECHE</t>
  </si>
  <si>
    <t>Cardenal Caro 783, Litueche, Región O'Higgins</t>
  </si>
  <si>
    <t>CESFAM LORETO DE COLTAUCO</t>
  </si>
  <si>
    <t>Avda. Arturo Prat N° 42, Coltauco, Región O'Higgins</t>
  </si>
  <si>
    <t>CECOSF EDUARDO FREI</t>
  </si>
  <si>
    <t>Victoria 8396,  La Cisterna, Región Metropolitana</t>
  </si>
  <si>
    <t>POSTA LIMAHUIDA</t>
  </si>
  <si>
    <t>6RWR+X3, Limahuida, Illapel, Región Coquimbo</t>
  </si>
  <si>
    <t>CESFAM CURICO CENTRO</t>
  </si>
  <si>
    <t>56, Curicó, Región Maule</t>
  </si>
  <si>
    <t>CESFAM LLOLLEO</t>
  </si>
  <si>
    <t>José Miguel Carrera Verdugo 1053, San Antonio, Región Valparaíso</t>
  </si>
  <si>
    <t>HOSPITAL ALTO HOSPICIO</t>
  </si>
  <si>
    <t>Alemania 3240, Alto Hospicio, Región Tarapacá</t>
  </si>
  <si>
    <t>HOSPITAL DE VILLARRICA</t>
  </si>
  <si>
    <t>Saturnino Epulef 2105, Villarrica,Región Araucanía</t>
  </si>
  <si>
    <t>CLINICA PICHIMAPU SPA</t>
  </si>
  <si>
    <t>Avda Las Rastras Esq, Av. 2 Nte., Talca, Región Maule</t>
  </si>
  <si>
    <t>CESFAM THOMAS FENTON</t>
  </si>
  <si>
    <t>Suiza 01441, Punta Arenas, Región Magallanes y la Antártica Chilena</t>
  </si>
  <si>
    <t>SERVICIO DE SALUD MAGALLANES</t>
  </si>
  <si>
    <t>C. Lautaro Navarro 820, Punta Arenas, Región Magallanes y la Antártica Chilena</t>
  </si>
  <si>
    <t>CESFAM LAS TORRES</t>
  </si>
  <si>
    <t>Peñalolén, Región Metropolitana</t>
  </si>
  <si>
    <t>CLINICA UNIVERSIDAD DE LOS ANDES SAN BERNARDO</t>
  </si>
  <si>
    <t>O'Higgins 070, San Bernardo, Región Metropolitana</t>
  </si>
  <si>
    <t>CESFAM YANEQUEN NEGRETE</t>
  </si>
  <si>
    <t>Ignacio Carrera Pinto 0206, Negrete, Región Bío Bío</t>
  </si>
  <si>
    <t>CESFAM ULTRAESTACION CHILLAN</t>
  </si>
  <si>
    <t>Nicanor Parra 74, Chillán, Región Ñuble</t>
  </si>
  <si>
    <t>HOSPITAL DE SAN CARLOS</t>
  </si>
  <si>
    <t>David Gazmuri 448, San Carlos, Región Ñuble</t>
  </si>
  <si>
    <t>LJ AUTOMOTRIZ LTDA</t>
  </si>
  <si>
    <t>Av. Pdte. Eduardo Frei Montalva 9530, Quilicura, Región Metropolitana</t>
  </si>
  <si>
    <t>SERVICIO DE SALUD METROPOLITANO CENTRAL</t>
  </si>
  <si>
    <t>Victoria Subercaseaux 381, Santiago, Región Metropolitana</t>
  </si>
  <si>
    <t>CLINICA ESTORIL</t>
  </si>
  <si>
    <t>Paul Harris 10349, Las Condes, Región Metropolitana</t>
  </si>
  <si>
    <t>KINEROD BUIN</t>
  </si>
  <si>
    <t>Arturo Prat 607, Buin, Región Metropolitana</t>
  </si>
  <si>
    <t>CENTRO ODONTOLOGICO MARITZA SALAS</t>
  </si>
  <si>
    <t>Llano Subercaseaux 3791, San Miguel, Región Metropolitana</t>
  </si>
  <si>
    <t>CESFAM PICA</t>
  </si>
  <si>
    <t>Juan Márquez, Pica, Región Tarapacá</t>
  </si>
  <si>
    <t>HOSPITAL CLINICO IST VIÑA DEL MAR</t>
  </si>
  <si>
    <t>Álvarez 662, Viña del Mar, Región Valparaíso</t>
  </si>
  <si>
    <t>CAPREDENA</t>
  </si>
  <si>
    <t>P.º Bulnes 284, Santiago, Región Metropolitana</t>
  </si>
  <si>
    <t>CLINICA REÑACA</t>
  </si>
  <si>
    <t>Av. Libertad 737, Vina del M, Viña del Mar, Valparaíso, Región Valparaíso</t>
  </si>
  <si>
    <t>CESFAM TUCAPEL</t>
  </si>
  <si>
    <t>Juan de Dios Rivera 1060, Concepción, Región Bío Bío</t>
  </si>
  <si>
    <t>HOSPITAL DE CARAHUE</t>
  </si>
  <si>
    <t>Alcalde Floody 1360, Carahue, Región Araucanía</t>
  </si>
  <si>
    <t>UNIVERSIDAD AUTONOMA DE CHILE</t>
  </si>
  <si>
    <t>Av. Pedro de Valdivia 425, Providencia, Región Metropolitana</t>
  </si>
  <si>
    <t>CESFAM SAGRADA FAMILIA CURICO</t>
  </si>
  <si>
    <t>K-16, Sagrada Familia, Región Maule</t>
  </si>
  <si>
    <t>MUTUAL DE SEGURIDAD SANTIAGO</t>
  </si>
  <si>
    <t>Av. Libertador Bernardo O'Higgins 4848, Estación Central, Región Metropolitana</t>
  </si>
  <si>
    <t>INGELSERVICE</t>
  </si>
  <si>
    <t>París 720, piso 4, Santiago, Región Metropolitana</t>
  </si>
  <si>
    <t>CLINICA REDMEDICAL</t>
  </si>
  <si>
    <t>Andrés Bello 1061, La Serena, Región Coquimbo</t>
  </si>
  <si>
    <t>CENTRO REFERENCIAL DE SALUD DR SALVADOR ALLENDE GO</t>
  </si>
  <si>
    <t>Av. Tte. Cruz 800, Pudahuel, Santiago, Región Metropolitana</t>
  </si>
  <si>
    <t>GOBIERNO REGIONAL DE LOS RIOS</t>
  </si>
  <si>
    <t>O'Higgins 543, Valdivia, Región Los Ríos</t>
  </si>
  <si>
    <t>MUNICIPALIDAD DE VITACURA</t>
  </si>
  <si>
    <t>Av. Bicentenario 3800, Vitacura, Región Metropolitana</t>
  </si>
  <si>
    <t>SALUD POR CHILE LIMITADA</t>
  </si>
  <si>
    <t>Av. Salvador 95, Providencia, Región Metropolitana</t>
  </si>
  <si>
    <t>CENTRO CLINICO SAN BERNARDO</t>
  </si>
  <si>
    <t>O'Higgins 237, San Bernardo, Región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</si>
</sst>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0.00000000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rgb="FF1F1F1F"/>
      <name val="Arial"/>
      <family val="2"/>
    </font>
    <font>
      <sz val="11"/>
      <color rgb="FF474747"/>
      <name val="Arial"/>
      <family val="2"/>
    </font>
    <font>
      <sz val="12"/>
      <color rgb="FF001D35"/>
      <name val="Arial"/>
      <family val="2"/>
    </font>
    <font>
      <sz val="12"/>
      <color rgb="FF000000"/>
      <name val="Calibri"/>
      <family val="2"/>
    </font>
    <font>
      <sz val="11"/>
      <color rgb="FF0A0A0A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3" fontId="2" fillId="0" borderId="3" xfId="0" applyNumberFormat="1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left" vertical="center"/>
    </xf>
    <xf numFmtId="164" fontId="2" fillId="0" borderId="2" xfId="1" applyFont="1" applyFill="1" applyBorder="1" applyAlignment="1">
      <alignment horizontal="right"/>
    </xf>
    <xf numFmtId="164" fontId="2" fillId="0" borderId="3" xfId="1" applyFont="1" applyFill="1" applyBorder="1" applyAlignment="1">
      <alignment horizontal="left" vertic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164" fontId="2" fillId="0" borderId="1" xfId="1" applyFont="1" applyFill="1" applyBorder="1" applyAlignment="1">
      <alignment horizontal="right"/>
    </xf>
    <xf numFmtId="164" fontId="2" fillId="2" borderId="2" xfId="1" applyFont="1" applyFill="1" applyBorder="1" applyAlignment="1">
      <alignment horizontal="right"/>
    </xf>
    <xf numFmtId="164" fontId="2" fillId="2" borderId="1" xfId="1" applyFont="1" applyFill="1" applyBorder="1" applyAlignment="1">
      <alignment horizontal="right"/>
    </xf>
    <xf numFmtId="164" fontId="2" fillId="2" borderId="3" xfId="1" applyFont="1" applyFill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9" fontId="2" fillId="2" borderId="3" xfId="2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0" fillId="0" borderId="7" xfId="0" applyBorder="1"/>
    <xf numFmtId="3" fontId="0" fillId="0" borderId="8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3" fontId="0" fillId="0" borderId="7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8" xfId="1" applyNumberFormat="1" applyFont="1" applyBorder="1" applyAlignment="1">
      <alignment horizontal="right"/>
    </xf>
    <xf numFmtId="9" fontId="0" fillId="0" borderId="8" xfId="2" applyFont="1" applyBorder="1" applyAlignment="1">
      <alignment horizontal="right" vertical="center"/>
    </xf>
    <xf numFmtId="164" fontId="0" fillId="0" borderId="8" xfId="1" applyFont="1" applyBorder="1" applyAlignment="1">
      <alignment horizontal="right" vertical="center"/>
    </xf>
    <xf numFmtId="164" fontId="0" fillId="0" borderId="9" xfId="1" applyFont="1" applyBorder="1" applyAlignment="1">
      <alignment horizontal="right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164" fontId="0" fillId="0" borderId="7" xfId="1" applyFont="1" applyFill="1" applyBorder="1" applyAlignment="1">
      <alignment horizontal="right"/>
    </xf>
    <xf numFmtId="164" fontId="0" fillId="0" borderId="0" xfId="1" applyFont="1" applyFill="1" applyAlignment="1">
      <alignment horizontal="right"/>
    </xf>
    <xf numFmtId="164" fontId="0" fillId="0" borderId="8" xfId="1" applyFont="1" applyFill="1" applyBorder="1" applyAlignment="1">
      <alignment horizontal="right"/>
    </xf>
    <xf numFmtId="165" fontId="0" fillId="0" borderId="10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8" xfId="0" applyNumberFormat="1" applyBorder="1" applyAlignment="1">
      <alignment horizontal="center"/>
    </xf>
    <xf numFmtId="9" fontId="0" fillId="3" borderId="8" xfId="2" applyFont="1" applyFill="1" applyBorder="1"/>
    <xf numFmtId="3" fontId="0" fillId="3" borderId="8" xfId="2" applyNumberFormat="1" applyFont="1" applyFill="1" applyBorder="1"/>
    <xf numFmtId="0" fontId="0" fillId="3" borderId="11" xfId="0" applyFill="1" applyBorder="1"/>
    <xf numFmtId="164" fontId="0" fillId="0" borderId="0" xfId="0" applyNumberFormat="1"/>
    <xf numFmtId="165" fontId="0" fillId="0" borderId="9" xfId="0" applyNumberFormat="1" applyBorder="1" applyAlignment="1">
      <alignment horizontal="left"/>
    </xf>
    <xf numFmtId="164" fontId="0" fillId="4" borderId="0" xfId="0" applyNumberFormat="1" applyFill="1"/>
    <xf numFmtId="164" fontId="0" fillId="0" borderId="8" xfId="1" applyFont="1" applyFill="1" applyBorder="1" applyAlignment="1">
      <alignment horizontal="right" vertical="center"/>
    </xf>
    <xf numFmtId="164" fontId="0" fillId="0" borderId="9" xfId="1" applyFont="1" applyFill="1" applyBorder="1" applyAlignment="1">
      <alignment horizontal="right" vertical="center"/>
    </xf>
    <xf numFmtId="0" fontId="7" fillId="0" borderId="7" xfId="0" applyFont="1" applyBorder="1" applyAlignment="1">
      <alignment horizontal="left"/>
    </xf>
    <xf numFmtId="164" fontId="0" fillId="0" borderId="8" xfId="1" applyFont="1" applyBorder="1"/>
    <xf numFmtId="164" fontId="0" fillId="0" borderId="0" xfId="1" applyFont="1" applyBorder="1"/>
    <xf numFmtId="9" fontId="0" fillId="0" borderId="8" xfId="2" applyFont="1" applyBorder="1"/>
    <xf numFmtId="164" fontId="0" fillId="0" borderId="8" xfId="1" applyFont="1" applyFill="1" applyBorder="1"/>
    <xf numFmtId="164" fontId="0" fillId="0" borderId="9" xfId="1" applyFont="1" applyFill="1" applyBorder="1"/>
    <xf numFmtId="165" fontId="0" fillId="0" borderId="12" xfId="0" applyNumberForma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/>
    </xf>
    <xf numFmtId="165" fontId="0" fillId="0" borderId="14" xfId="0" applyNumberFormat="1" applyBorder="1" applyAlignment="1">
      <alignment horizontal="left"/>
    </xf>
    <xf numFmtId="165" fontId="0" fillId="0" borderId="0" xfId="0" applyNumberFormat="1" applyAlignment="1">
      <alignment horizontal="center"/>
    </xf>
    <xf numFmtId="165" fontId="0" fillId="0" borderId="7" xfId="0" applyNumberFormat="1" applyBorder="1" applyAlignment="1">
      <alignment horizontal="left"/>
    </xf>
    <xf numFmtId="3" fontId="0" fillId="0" borderId="8" xfId="1" applyNumberFormat="1" applyFont="1" applyFill="1" applyBorder="1" applyAlignment="1">
      <alignment horizontal="right"/>
    </xf>
    <xf numFmtId="9" fontId="0" fillId="0" borderId="8" xfId="2" applyFont="1" applyFill="1" applyBorder="1" applyAlignment="1">
      <alignment horizontal="right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15" xfId="1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164" fontId="0" fillId="0" borderId="9" xfId="1" applyFont="1" applyFill="1" applyBorder="1" applyAlignment="1">
      <alignment horizontal="right"/>
    </xf>
    <xf numFmtId="9" fontId="0" fillId="4" borderId="8" xfId="2" applyFont="1" applyFill="1" applyBorder="1"/>
    <xf numFmtId="3" fontId="0" fillId="4" borderId="9" xfId="2" applyNumberFormat="1" applyFont="1" applyFill="1" applyBorder="1"/>
    <xf numFmtId="0" fontId="2" fillId="4" borderId="16" xfId="0" applyFont="1" applyFill="1" applyBorder="1"/>
    <xf numFmtId="0" fontId="8" fillId="0" borderId="0" xfId="0" applyFont="1" applyAlignment="1">
      <alignment horizontal="left"/>
    </xf>
    <xf numFmtId="0" fontId="2" fillId="0" borderId="7" xfId="0" applyFont="1" applyBorder="1"/>
    <xf numFmtId="164" fontId="2" fillId="0" borderId="8" xfId="1" applyFont="1" applyFill="1" applyBorder="1" applyAlignment="1">
      <alignment horizontal="right" vertical="center"/>
    </xf>
    <xf numFmtId="164" fontId="2" fillId="0" borderId="9" xfId="1" applyFont="1" applyFill="1" applyBorder="1" applyAlignment="1">
      <alignment horizontal="right" vertical="center"/>
    </xf>
    <xf numFmtId="164" fontId="2" fillId="0" borderId="7" xfId="1" applyFont="1" applyFill="1" applyBorder="1" applyAlignment="1">
      <alignment horizontal="right" vertical="center"/>
    </xf>
    <xf numFmtId="164" fontId="2" fillId="0" borderId="0" xfId="1" applyFont="1" applyFill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3" fontId="2" fillId="0" borderId="8" xfId="1" applyNumberFormat="1" applyFont="1" applyFill="1" applyBorder="1" applyAlignment="1">
      <alignment horizontal="right"/>
    </xf>
    <xf numFmtId="9" fontId="2" fillId="0" borderId="8" xfId="2" applyFont="1" applyFill="1" applyBorder="1" applyAlignment="1">
      <alignment horizontal="right" vertical="center"/>
    </xf>
    <xf numFmtId="9" fontId="2" fillId="0" borderId="8" xfId="2" applyFont="1" applyBorder="1" applyAlignment="1">
      <alignment horizontal="right" vertic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7" xfId="1" applyFont="1" applyFill="1" applyBorder="1" applyAlignment="1">
      <alignment horizontal="right"/>
    </xf>
    <xf numFmtId="164" fontId="2" fillId="0" borderId="15" xfId="1" applyFont="1" applyFill="1" applyBorder="1" applyAlignment="1">
      <alignment horizontal="right"/>
    </xf>
    <xf numFmtId="164" fontId="2" fillId="0" borderId="0" xfId="1" applyFont="1" applyFill="1" applyBorder="1" applyAlignment="1">
      <alignment horizontal="right"/>
    </xf>
    <xf numFmtId="164" fontId="2" fillId="0" borderId="9" xfId="1" applyFont="1" applyFill="1" applyBorder="1" applyAlignment="1">
      <alignment horizontal="right"/>
    </xf>
    <xf numFmtId="165" fontId="0" fillId="0" borderId="15" xfId="0" applyNumberFormat="1" applyBorder="1" applyAlignment="1">
      <alignment horizontal="left"/>
    </xf>
    <xf numFmtId="165" fontId="0" fillId="0" borderId="17" xfId="0" applyNumberFormat="1" applyBorder="1" applyAlignment="1">
      <alignment horizontal="left"/>
    </xf>
    <xf numFmtId="0" fontId="2" fillId="0" borderId="0" xfId="0" applyFont="1"/>
    <xf numFmtId="0" fontId="2" fillId="0" borderId="18" xfId="0" applyFont="1" applyBorder="1"/>
    <xf numFmtId="164" fontId="2" fillId="0" borderId="0" xfId="0" applyNumberFormat="1" applyFont="1"/>
    <xf numFmtId="0" fontId="0" fillId="0" borderId="0" xfId="0" applyAlignment="1">
      <alignment horizontal="right"/>
    </xf>
  </cellXfs>
  <cellStyles count="3">
    <cellStyle name="Millares [0]" xfId="1" builtinId="6"/>
    <cellStyle name="Normal" xfId="0" builtinId="0"/>
    <cellStyle name="Porcentaje" xfId="2" builtinId="5"/>
  </cellStyles>
  <dxfs count="82">
    <dxf>
      <numFmt numFmtId="164" formatCode="_(* #,##0_);_(* \(#,##0\);_(* &quot;-&quot;_);_(@_)"/>
    </dxf>
    <dxf>
      <fill>
        <patternFill patternType="none">
          <bgColor auto="1"/>
        </patternFill>
      </fill>
    </dxf>
    <dxf>
      <numFmt numFmtId="164" formatCode="_(* #,##0_);_(* \(#,##0\);_(* &quot;-&quot;_);_(@_)"/>
    </dxf>
    <dxf>
      <numFmt numFmtId="164" formatCode="_(* #,##0_);_(* \(#,##0\);_(* &quot;-&quot;_);_(@_)"/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/>
        <right style="thin">
          <color indexed="64"/>
        </right>
      </border>
    </dxf>
    <dxf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/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0.000000000000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0.0000000000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000000000000"/>
      <alignment horizontal="left" vertical="bottom" textRotation="0" wrapText="0" indent="0" justifyLastLine="0" shrinkToFit="0" readingOrder="0"/>
      <border diagonalUp="0" diagonalDown="0">
        <right style="thin">
          <color theme="1"/>
        </right>
        <vertical/>
      </border>
    </dxf>
    <dxf>
      <numFmt numFmtId="165" formatCode="0.0000000000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4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1"/>
        </left>
        <right/>
      </border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solid">
          <fgColor indexed="64"/>
          <bgColor rgb="FF92D05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3" formatCode="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3" formatCode="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numFmt numFmtId="164" formatCode="_(* #,##0_);_(* \(#,##0\);_(* &quot;-&quot;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vertical/>
      </border>
    </dxf>
    <dxf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vertical/>
      </border>
    </dxf>
    <dxf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vertical/>
      </border>
    </dxf>
    <dxf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theme="1"/>
        </right>
        <top/>
        <bottom/>
        <vertical/>
      </border>
    </dxf>
    <dxf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diagonalUp="0" diagonalDown="0">
        <left style="thin">
          <color theme="1"/>
        </left>
        <right style="thin">
          <color theme="1"/>
        </right>
        <vertic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.%20GEMCO\33.%20TECSERVICE\old\20260402%20Analisis%20Facturaci&#243;n%20ST%202026.xlsx" TargetMode="External"/><Relationship Id="rId1" Type="http://schemas.openxmlformats.org/officeDocument/2006/relationships/externalLinkPath" Target="file:///Z:\2.%20GEMCO\33.%20TECSERVICE\old\20260402%20Analisis%20Facturaci&#243;n%20S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os"/>
      <sheetName val="Diccionario"/>
      <sheetName val="TS - OPORTUNIDADES"/>
      <sheetName val="TS - SEGUIMIENTO CASOS"/>
      <sheetName val="TS - HISTORICO CASOS"/>
      <sheetName val="Privisiones Copia"/>
      <sheetName val="Inputs"/>
      <sheetName val="Resumen Clientes"/>
      <sheetName val="Primera Semana"/>
      <sheetName val="Base Instalada"/>
      <sheetName val="Facturacion a Fecha"/>
      <sheetName val="Diccionario Facturacion"/>
      <sheetName val="Pipeline TS"/>
      <sheetName val="Pipeline Esterilización"/>
      <sheetName val="Pipeline Endoscopía"/>
      <sheetName val="Pipeline Dental"/>
      <sheetName val="Diccionario Pipeline"/>
      <sheetName val="Público Privado"/>
      <sheetName val="Cirugías 2023"/>
      <sheetName val="Clientes Faltantes B.I"/>
      <sheetName val="Cambio Nombre"/>
      <sheetName val="Real_PPTO (2)"/>
      <sheetName val="Prv-Pbl"/>
      <sheetName val="Validación"/>
      <sheetName val="1. Provisiones Rodrigo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C2">
            <v>39940</v>
          </cell>
        </row>
        <row r="3">
          <cell r="C3">
            <v>50</v>
          </cell>
        </row>
        <row r="4">
          <cell r="C4">
            <v>21.53846153846154</v>
          </cell>
        </row>
        <row r="5">
          <cell r="C5">
            <v>15</v>
          </cell>
        </row>
        <row r="6">
          <cell r="C6">
            <v>2</v>
          </cell>
        </row>
      </sheetData>
      <sheetData sheetId="7"/>
      <sheetData sheetId="8"/>
      <sheetData sheetId="9">
        <row r="1">
          <cell r="Z1" t="str">
            <v>Linea de Negocio</v>
          </cell>
          <cell r="AA1" t="str">
            <v>Nombre  Analisis</v>
          </cell>
        </row>
        <row r="2">
          <cell r="Z2" t="str">
            <v>DENTAL</v>
          </cell>
          <cell r="AA2" t="str">
            <v>HOSPITAL VICTORIA</v>
          </cell>
        </row>
        <row r="3">
          <cell r="Z3" t="str">
            <v>DENTAL</v>
          </cell>
        </row>
        <row r="4">
          <cell r="Z4" t="str">
            <v>DENTAL</v>
          </cell>
        </row>
        <row r="5">
          <cell r="Z5" t="str">
            <v>DENTAL</v>
          </cell>
        </row>
        <row r="6">
          <cell r="Z6" t="str">
            <v>DENTAL</v>
          </cell>
        </row>
        <row r="7">
          <cell r="Z7" t="str">
            <v>DENTAL</v>
          </cell>
          <cell r="AA7" t="str">
            <v>GOBIERNO REGIONAL LIBERTADOR BDO. O'HIGGINS</v>
          </cell>
        </row>
        <row r="8">
          <cell r="Z8" t="str">
            <v>DENTAL</v>
          </cell>
        </row>
        <row r="9">
          <cell r="Z9" t="str">
            <v>DENTAL</v>
          </cell>
        </row>
        <row r="10">
          <cell r="Z10" t="str">
            <v>DENTAL</v>
          </cell>
          <cell r="AA10" t="str">
            <v>HOSPITAL DE LANCO</v>
          </cell>
        </row>
        <row r="11">
          <cell r="Z11" t="str">
            <v>DENTAL</v>
          </cell>
          <cell r="AA11" t="str">
            <v>HOSPITAL CLINICO DE MAGALLANES</v>
          </cell>
        </row>
        <row r="12">
          <cell r="Z12" t="str">
            <v>DENTAL</v>
          </cell>
        </row>
        <row r="13">
          <cell r="Z13" t="str">
            <v>DENTAL</v>
          </cell>
        </row>
        <row r="14">
          <cell r="Z14" t="str">
            <v>ESTERILIZACIÓN</v>
          </cell>
          <cell r="AA14" t="str">
            <v>HOSPITAL DEL SALVADOR</v>
          </cell>
        </row>
        <row r="15">
          <cell r="Z15" t="str">
            <v>ESTERILIZACIÓN</v>
          </cell>
        </row>
        <row r="16">
          <cell r="Z16" t="str">
            <v>ESTERILIZACIÓN</v>
          </cell>
          <cell r="AA16" t="str">
            <v>HOSPITAL NAVAL ALMIRANTE ADRIAZOLA</v>
          </cell>
        </row>
        <row r="17">
          <cell r="Z17" t="str">
            <v>ESTERILIZACIÓN</v>
          </cell>
          <cell r="AA17" t="str">
            <v>CESFAM CORDILLERA ANDINA</v>
          </cell>
        </row>
        <row r="18">
          <cell r="Z18" t="str">
            <v>ESTERILIZACIÓN</v>
          </cell>
          <cell r="AA18" t="str">
            <v>I. MUNICIPALIDAD DE QUILLOTA DPTO. SALUD</v>
          </cell>
        </row>
        <row r="19">
          <cell r="Z19" t="str">
            <v>ESTERILIZACIÓN</v>
          </cell>
        </row>
        <row r="20">
          <cell r="Z20" t="str">
            <v>INCARDIA</v>
          </cell>
          <cell r="AA20" t="str">
            <v>HOSPITAL CARLOS CISTERNA DE CALAMA</v>
          </cell>
        </row>
        <row r="21">
          <cell r="Z21" t="str">
            <v>OTRO</v>
          </cell>
        </row>
        <row r="22">
          <cell r="Z22" t="str">
            <v>DENTAL</v>
          </cell>
        </row>
        <row r="23">
          <cell r="Z23" t="str">
            <v>DENTAL</v>
          </cell>
          <cell r="AA23" t="str">
            <v>JUNAEB ALTOBIOBIO</v>
          </cell>
        </row>
        <row r="24">
          <cell r="Z24" t="str">
            <v>DENTAL</v>
          </cell>
          <cell r="AA24" t="str">
            <v>JUNAEB MODULO FRUTILLAR</v>
          </cell>
        </row>
        <row r="25">
          <cell r="Z25" t="str">
            <v>DENTAL</v>
          </cell>
          <cell r="AA25" t="str">
            <v>JUNAEB ESCUELA VICTOR DOMINGO SILVA</v>
          </cell>
        </row>
        <row r="26">
          <cell r="Z26" t="str">
            <v>DENTAL</v>
          </cell>
          <cell r="AA26" t="str">
            <v>JUNAEB ESCUELA NUEVA ZELANDIA</v>
          </cell>
        </row>
        <row r="27">
          <cell r="Z27" t="str">
            <v>DENTAL</v>
          </cell>
          <cell r="AA27" t="str">
            <v>JUNAEB ESCUELA NUEVA ZELANDIA</v>
          </cell>
        </row>
        <row r="28">
          <cell r="Z28" t="str">
            <v>DENTAL</v>
          </cell>
          <cell r="AA28" t="str">
            <v>CESFAM PENCAHUE</v>
          </cell>
        </row>
        <row r="29">
          <cell r="Z29" t="str">
            <v>DENTAL</v>
          </cell>
          <cell r="AA29" t="str">
            <v>HOSPITAL BASE DE LINARES</v>
          </cell>
        </row>
        <row r="30">
          <cell r="Z30" t="str">
            <v>DENTAL</v>
          </cell>
        </row>
        <row r="31">
          <cell r="Z31" t="str">
            <v>ESTERILIZACIÓN</v>
          </cell>
          <cell r="AA31" t="str">
            <v>INSUMOS Y SERVICIOS MEDICOS S.A.</v>
          </cell>
        </row>
        <row r="32">
          <cell r="Z32" t="str">
            <v>ESTERILIZACIÓN</v>
          </cell>
        </row>
        <row r="33">
          <cell r="Z33" t="str">
            <v>ESTERILIZACIÓN</v>
          </cell>
          <cell r="AA33" t="str">
            <v>HOSPITAL DE CASTRO</v>
          </cell>
        </row>
        <row r="34">
          <cell r="Z34" t="str">
            <v>ESTERILIZACIÓN</v>
          </cell>
        </row>
        <row r="35">
          <cell r="Z35" t="str">
            <v>REAS</v>
          </cell>
          <cell r="AA35" t="str">
            <v>HOSPITAL SAN JOSÉ</v>
          </cell>
        </row>
        <row r="36">
          <cell r="Z36" t="str">
            <v>REAS</v>
          </cell>
          <cell r="AA36" t="str">
            <v>HOSPITAL DR. HERNAN HENRIQUEZ ARAVENA</v>
          </cell>
        </row>
        <row r="37">
          <cell r="Z37" t="str">
            <v>REAS</v>
          </cell>
          <cell r="AA37" t="str">
            <v>HOSPITAL VICTOR RIOS RUIZ</v>
          </cell>
        </row>
        <row r="38">
          <cell r="Z38" t="str">
            <v>REAS</v>
          </cell>
          <cell r="AA38" t="str">
            <v>HOSPITAL SAN JOSÉ</v>
          </cell>
        </row>
        <row r="39">
          <cell r="Z39" t="str">
            <v>REAS</v>
          </cell>
          <cell r="AA39" t="str">
            <v>HOSPITAL DE OVALLE</v>
          </cell>
        </row>
        <row r="40">
          <cell r="Z40" t="str">
            <v>REAS</v>
          </cell>
          <cell r="AA40" t="str">
            <v>HOSPITAL DR. HERNAN HENRIQUEZ ARAVENA</v>
          </cell>
        </row>
        <row r="41">
          <cell r="Z41" t="str">
            <v>DENTAL</v>
          </cell>
        </row>
        <row r="42">
          <cell r="Z42" t="str">
            <v>ESTERILIZACIÓN</v>
          </cell>
          <cell r="AA42" t="str">
            <v>GEMCO GENERAL MACHINERY S.A.</v>
          </cell>
        </row>
        <row r="43">
          <cell r="Z43" t="str">
            <v>ESTERILIZACIÓN</v>
          </cell>
        </row>
        <row r="44">
          <cell r="Z44" t="str">
            <v>ESTERILIZACIÓN</v>
          </cell>
          <cell r="AA44" t="str">
            <v>I. MUNICIPALIDAD DE PUCON</v>
          </cell>
        </row>
        <row r="45">
          <cell r="Z45" t="str">
            <v>ESTERILIZACIÓN</v>
          </cell>
        </row>
        <row r="46">
          <cell r="Z46" t="str">
            <v>ESTERILIZACIÓN</v>
          </cell>
        </row>
        <row r="47">
          <cell r="Z47" t="str">
            <v>ESTERILIZACIÓN</v>
          </cell>
        </row>
        <row r="48">
          <cell r="Z48" t="str">
            <v>ESTERILIZACIÓN</v>
          </cell>
        </row>
        <row r="49">
          <cell r="Z49" t="str">
            <v>ESTERILIZACIÓN</v>
          </cell>
        </row>
        <row r="50">
          <cell r="Z50" t="str">
            <v>ESTERILIZACIÓN</v>
          </cell>
          <cell r="AA50" t="str">
            <v>CENTRO CLINICO MILITAR ARICA</v>
          </cell>
        </row>
        <row r="51">
          <cell r="Z51" t="str">
            <v>ESTERILIZACIÓN</v>
          </cell>
          <cell r="AA51" t="str">
            <v xml:space="preserve">CESFAM CONSTITUCIÓN </v>
          </cell>
        </row>
        <row r="52">
          <cell r="Z52" t="str">
            <v>ESTERILIZACIÓN</v>
          </cell>
          <cell r="AA52" t="str">
            <v>EJERCITO DE CHILE CENTRAL ODONTOLOGICA D</v>
          </cell>
        </row>
        <row r="53">
          <cell r="Z53" t="str">
            <v>ESTERILIZACIÓN</v>
          </cell>
          <cell r="AA53" t="str">
            <v>I.MUNICIPALIDAD DE LA UNION</v>
          </cell>
        </row>
        <row r="54">
          <cell r="Z54" t="str">
            <v>ESTERILIZACIÓN</v>
          </cell>
          <cell r="AA54" t="str">
            <v>I. MUNICIPALIDAD DE PUCON</v>
          </cell>
        </row>
        <row r="55">
          <cell r="Z55" t="str">
            <v>ESTERILIZACIÓN</v>
          </cell>
          <cell r="AA55" t="str">
            <v>I. MUNICIPALIDAD DE PUCON</v>
          </cell>
        </row>
        <row r="56">
          <cell r="Z56" t="str">
            <v>ESTERILIZACIÓN</v>
          </cell>
        </row>
        <row r="57">
          <cell r="Z57" t="str">
            <v>ESTERILIZACIÓN</v>
          </cell>
          <cell r="AA57" t="str">
            <v>CESFAM MARTA UGARTE QUILICURA</v>
          </cell>
        </row>
        <row r="58">
          <cell r="Z58" t="str">
            <v>ESTERILIZACIÓN</v>
          </cell>
          <cell r="AA58" t="str">
            <v>CESFAM VICTOR CASTRO</v>
          </cell>
        </row>
        <row r="59">
          <cell r="Z59" t="str">
            <v>ESTERILIZACIÓN</v>
          </cell>
          <cell r="AA59" t="str">
            <v>HOSPITAL COLLIPULLI</v>
          </cell>
        </row>
        <row r="60">
          <cell r="Z60" t="str">
            <v>ESTERILIZACIÓN</v>
          </cell>
          <cell r="AA60" t="str">
            <v>HOSPITAL RIO NEGRO</v>
          </cell>
        </row>
        <row r="61">
          <cell r="Z61" t="str">
            <v>ESTERILIZACIÓN</v>
          </cell>
          <cell r="AA61" t="str">
            <v>HOSPITAL RIO NEGRO</v>
          </cell>
        </row>
        <row r="62">
          <cell r="Z62" t="str">
            <v>ESTERILIZACIÓN</v>
          </cell>
        </row>
        <row r="63">
          <cell r="Z63" t="str">
            <v>ESTERILIZACIÓN</v>
          </cell>
        </row>
        <row r="64">
          <cell r="Z64" t="str">
            <v>ESTERILIZACIÓN</v>
          </cell>
          <cell r="AA64" t="str">
            <v>CESFAM ALERCE</v>
          </cell>
        </row>
        <row r="65">
          <cell r="Z65" t="str">
            <v>ESTERILIZACIÓN</v>
          </cell>
        </row>
        <row r="66">
          <cell r="Z66" t="str">
            <v>ESTERILIZACIÓN</v>
          </cell>
        </row>
        <row r="67">
          <cell r="Z67" t="str">
            <v>ESTERILIZACIÓN</v>
          </cell>
          <cell r="AA67" t="str">
            <v>HOSPITAL VICTORIA</v>
          </cell>
        </row>
        <row r="68">
          <cell r="Z68" t="str">
            <v>ESTERILIZACIÓN</v>
          </cell>
        </row>
        <row r="69">
          <cell r="Z69" t="str">
            <v>ESTERILIZACIÓN</v>
          </cell>
          <cell r="AA69" t="str">
            <v xml:space="preserve">CESFAM CONSTITUCIÓN </v>
          </cell>
        </row>
        <row r="70">
          <cell r="Z70" t="str">
            <v>ESTERILIZACIÓN</v>
          </cell>
        </row>
        <row r="71">
          <cell r="Z71" t="str">
            <v>ESTERILIZACIÓN</v>
          </cell>
          <cell r="AA71" t="str">
            <v>HOSPITAL DE PUERTO OCTAY</v>
          </cell>
        </row>
        <row r="72">
          <cell r="Z72" t="str">
            <v>ESTERILIZACIÓN</v>
          </cell>
          <cell r="AA72" t="str">
            <v>HOSPITAL DE PUERTO OCTAY</v>
          </cell>
        </row>
        <row r="73">
          <cell r="Z73" t="str">
            <v>ESTERILIZACIÓN</v>
          </cell>
          <cell r="AA73" t="str">
            <v>CESFAM LONGAVI</v>
          </cell>
        </row>
        <row r="74">
          <cell r="Z74" t="str">
            <v>ESTERILIZACIÓN</v>
          </cell>
          <cell r="AA74" t="str">
            <v>CESFAM LONGAVI</v>
          </cell>
        </row>
        <row r="75">
          <cell r="Z75" t="str">
            <v>ESTERILIZACIÓN</v>
          </cell>
          <cell r="AA75" t="str">
            <v>DIPRECA FONDO HOSPITAL</v>
          </cell>
        </row>
        <row r="76">
          <cell r="Z76" t="str">
            <v>ESTERILIZACIÓN</v>
          </cell>
        </row>
        <row r="77">
          <cell r="Z77" t="str">
            <v>ESTERILIZACIÓN</v>
          </cell>
          <cell r="AA77" t="str">
            <v>UNIVERSIDAD DE CHILE</v>
          </cell>
        </row>
        <row r="78">
          <cell r="Z78" t="str">
            <v>ESTERILIZACIÓN</v>
          </cell>
          <cell r="AA78" t="str">
            <v>INSTITUTO OFTALMOLÓGICO PUERTA DEL SOL S.A.</v>
          </cell>
        </row>
        <row r="79">
          <cell r="Z79" t="str">
            <v>ESTERILIZACIÓN</v>
          </cell>
          <cell r="AA79" t="str">
            <v>I.MUNICIPALIDAD DE LA UNION</v>
          </cell>
        </row>
        <row r="80">
          <cell r="Z80" t="str">
            <v>ESTERILIZACIÓN</v>
          </cell>
          <cell r="AA80" t="str">
            <v>HOSPITAL NAVAL ALMIRANTE ADRIAZOLA</v>
          </cell>
        </row>
        <row r="81">
          <cell r="Z81" t="str">
            <v>ESTERILIZACIÓN</v>
          </cell>
        </row>
        <row r="82">
          <cell r="Z82" t="str">
            <v>ESTERILIZACIÓN</v>
          </cell>
        </row>
        <row r="83">
          <cell r="Z83" t="str">
            <v>ESTERILIZACIÓN</v>
          </cell>
          <cell r="AA83" t="str">
            <v>HOSPITAL DE TRAIGUEN</v>
          </cell>
        </row>
        <row r="84">
          <cell r="Z84" t="str">
            <v>ESTERILIZACIÓN</v>
          </cell>
          <cell r="AA84" t="str">
            <v>HOSPITAL DE TRAIGUEN</v>
          </cell>
        </row>
        <row r="85">
          <cell r="Z85" t="str">
            <v>ESTERILIZACIÓN</v>
          </cell>
          <cell r="AA85" t="str">
            <v>CESFAM YERBAS BUENAS</v>
          </cell>
        </row>
        <row r="86">
          <cell r="Z86" t="str">
            <v>ESTERILIZACIÓN</v>
          </cell>
        </row>
        <row r="87">
          <cell r="Z87" t="str">
            <v>ESTERILIZACIÓN</v>
          </cell>
          <cell r="AA87" t="str">
            <v>HOSPITAL COLLIPULLI</v>
          </cell>
        </row>
        <row r="88">
          <cell r="Z88" t="str">
            <v>ESTERILIZACIÓN</v>
          </cell>
          <cell r="AA88" t="str">
            <v>CESFAM LOS CERROS</v>
          </cell>
        </row>
        <row r="89">
          <cell r="Z89" t="str">
            <v>ESTERILIZACIÓN</v>
          </cell>
          <cell r="AA89" t="str">
            <v>UNIVERSIDAD DE CONCEPCION</v>
          </cell>
        </row>
        <row r="90">
          <cell r="Z90" t="str">
            <v>ESTERILIZACIÓN</v>
          </cell>
          <cell r="AA90" t="str">
            <v>CESFAM ARRAU MENDEZ PARRAL</v>
          </cell>
        </row>
        <row r="91">
          <cell r="Z91" t="str">
            <v>ESTERILIZACIÓN</v>
          </cell>
          <cell r="AA91" t="str">
            <v>HOSPITAL SANTA JUANA</v>
          </cell>
        </row>
        <row r="92">
          <cell r="Z92" t="str">
            <v>ESTERILIZACIÓN</v>
          </cell>
        </row>
        <row r="93">
          <cell r="Z93" t="str">
            <v>ESTERILIZACIÓN</v>
          </cell>
        </row>
        <row r="94">
          <cell r="Z94" t="str">
            <v>ESTERILIZACIÓN</v>
          </cell>
          <cell r="AA94" t="str">
            <v>SOCIEDAD CMA-COSTANERA S.A.</v>
          </cell>
        </row>
        <row r="95">
          <cell r="Z95" t="str">
            <v>ESTERILIZACIÓN</v>
          </cell>
          <cell r="AA95" t="str">
            <v>INTEGRAMEDICA LA SERENA</v>
          </cell>
        </row>
        <row r="96">
          <cell r="Z96" t="str">
            <v>ESTERILIZACIÓN</v>
          </cell>
          <cell r="AA96" t="str">
            <v>HOSPITAL COMPLEJO ASISTENCIAL PADRE LAS CASAS</v>
          </cell>
        </row>
        <row r="97">
          <cell r="Z97" t="str">
            <v>ESTERILIZACIÓN</v>
          </cell>
        </row>
        <row r="98">
          <cell r="Z98" t="str">
            <v>ESTERILIZACIÓN</v>
          </cell>
          <cell r="AA98" t="str">
            <v>INTEGRAMEDICA LA SERENA</v>
          </cell>
        </row>
        <row r="99">
          <cell r="Z99" t="str">
            <v>ESTERILIZACIÓN</v>
          </cell>
        </row>
        <row r="100">
          <cell r="Z100" t="str">
            <v>ESTERILIZACIÓN</v>
          </cell>
        </row>
        <row r="101">
          <cell r="Z101" t="str">
            <v>ESTERILIZACIÓN</v>
          </cell>
        </row>
        <row r="102">
          <cell r="Z102" t="str">
            <v>ESTERILIZACIÓN</v>
          </cell>
          <cell r="AA102" t="str">
            <v>CLINICA WLK SA</v>
          </cell>
        </row>
        <row r="103">
          <cell r="Z103" t="str">
            <v>ESTERILIZACIÓN</v>
          </cell>
          <cell r="AA103" t="str">
            <v>CESFAM ALERCE</v>
          </cell>
        </row>
        <row r="104">
          <cell r="Z104" t="str">
            <v>ESTERILIZACIÓN</v>
          </cell>
        </row>
        <row r="105">
          <cell r="Z105" t="str">
            <v>ESTERILIZACIÓN</v>
          </cell>
        </row>
        <row r="106">
          <cell r="Z106" t="str">
            <v>ESTERILIZACIÓN</v>
          </cell>
          <cell r="AA106" t="str">
            <v>HOSPITAL NAVAL ALMIRANTE ADRIAZOLA</v>
          </cell>
        </row>
        <row r="107">
          <cell r="Z107" t="str">
            <v>ESTERILIZACIÓN</v>
          </cell>
        </row>
        <row r="108">
          <cell r="Z108" t="str">
            <v>ESTERILIZACIÓN</v>
          </cell>
        </row>
        <row r="109">
          <cell r="Z109" t="str">
            <v>ESTERILIZACIÓN</v>
          </cell>
        </row>
        <row r="110">
          <cell r="Z110" t="str">
            <v>ESTERILIZACIÓN</v>
          </cell>
          <cell r="AA110" t="str">
            <v>CENTRAL ODONTOLOGICA PRIMERA ZONA NAVAL VIÑA</v>
          </cell>
        </row>
        <row r="111">
          <cell r="Z111" t="str">
            <v>ESTERILIZACIÓN</v>
          </cell>
          <cell r="AA111" t="str">
            <v>HOSPITAL NAVAL ALMIRANTE ADRIAZOLA</v>
          </cell>
        </row>
        <row r="112">
          <cell r="Z112" t="str">
            <v>ESTERILIZACIÓN</v>
          </cell>
        </row>
        <row r="113">
          <cell r="Z113" t="str">
            <v>ESTERILIZACIÓN</v>
          </cell>
        </row>
        <row r="114">
          <cell r="Z114" t="str">
            <v>ESTERILIZACIÓN</v>
          </cell>
          <cell r="AA114" t="str">
            <v>HOSPITAL DE LANCO</v>
          </cell>
        </row>
        <row r="115">
          <cell r="Z115" t="str">
            <v>ESTERILIZACIÓN</v>
          </cell>
        </row>
        <row r="116">
          <cell r="Z116" t="str">
            <v>ESTERILIZACIÓN</v>
          </cell>
        </row>
        <row r="117">
          <cell r="Z117" t="str">
            <v>ESTERILIZACIÓN</v>
          </cell>
          <cell r="AA117" t="str">
            <v>HOSPITAL NAVAL ALMIRANTE ADRIAZOLA</v>
          </cell>
        </row>
        <row r="118">
          <cell r="Z118" t="str">
            <v>ESTERILIZACIÓN</v>
          </cell>
        </row>
        <row r="119">
          <cell r="Z119" t="str">
            <v>ESTERILIZACIÓN</v>
          </cell>
          <cell r="AA119" t="str">
            <v>GEMCO GENERAL MACHINERY S.A.</v>
          </cell>
        </row>
        <row r="120">
          <cell r="Z120" t="str">
            <v>ESTERILIZACIÓN</v>
          </cell>
        </row>
        <row r="121">
          <cell r="Z121" t="str">
            <v>ESTERILIZACIÓN</v>
          </cell>
        </row>
        <row r="122">
          <cell r="Z122" t="str">
            <v>ESTERILIZACIÓN</v>
          </cell>
          <cell r="AA122" t="str">
            <v>CENTRAL ODONTOLOGICA PRIMERA ZONA NAVAL VIÑA</v>
          </cell>
        </row>
        <row r="123">
          <cell r="Z123" t="str">
            <v>ESTERILIZACIÓN</v>
          </cell>
          <cell r="AA123" t="str">
            <v>CENTRAL ODONTOLOGICA PRIMERA ZONA NAVAL VIÑA</v>
          </cell>
        </row>
        <row r="124">
          <cell r="Z124" t="str">
            <v>ESTERILIZACIÓN</v>
          </cell>
        </row>
        <row r="125">
          <cell r="Z125" t="str">
            <v>ESTERILIZACIÓN</v>
          </cell>
          <cell r="AA125" t="str">
            <v>NORDEN NEW YORK</v>
          </cell>
        </row>
        <row r="126">
          <cell r="Z126" t="str">
            <v>ESTERILIZACIÓN</v>
          </cell>
        </row>
        <row r="127">
          <cell r="Z127" t="str">
            <v>ESTERILIZACIÓN</v>
          </cell>
        </row>
        <row r="128">
          <cell r="Z128" t="str">
            <v>ESTERILIZACIÓN</v>
          </cell>
        </row>
        <row r="129">
          <cell r="Z129" t="str">
            <v>ESTERILIZACIÓN</v>
          </cell>
        </row>
        <row r="130">
          <cell r="Z130" t="str">
            <v>ESTERILIZACIÓN</v>
          </cell>
        </row>
        <row r="131">
          <cell r="Z131" t="str">
            <v>ESTERILIZACIÓN</v>
          </cell>
        </row>
        <row r="132">
          <cell r="Z132" t="str">
            <v>ESTERILIZACIÓN</v>
          </cell>
        </row>
        <row r="133">
          <cell r="Z133" t="str">
            <v>ESTERILIZACIÓN</v>
          </cell>
        </row>
        <row r="134">
          <cell r="Z134" t="str">
            <v>ESTERILIZACIÓN</v>
          </cell>
        </row>
        <row r="135">
          <cell r="Z135" t="str">
            <v>ESTERILIZACIÓN</v>
          </cell>
        </row>
        <row r="136">
          <cell r="Z136" t="str">
            <v>ESTERILIZACIÓN</v>
          </cell>
        </row>
        <row r="137">
          <cell r="Z137" t="str">
            <v>ESTERILIZACIÓN</v>
          </cell>
        </row>
        <row r="138">
          <cell r="Z138" t="str">
            <v>ESTERILIZACIÓN</v>
          </cell>
        </row>
        <row r="139">
          <cell r="Z139" t="str">
            <v>ESTERILIZACIÓN</v>
          </cell>
        </row>
        <row r="140">
          <cell r="Z140" t="str">
            <v>ESTERILIZACIÓN</v>
          </cell>
        </row>
        <row r="141">
          <cell r="Z141" t="str">
            <v>ESTERILIZACIÓN</v>
          </cell>
        </row>
        <row r="142">
          <cell r="Z142" t="str">
            <v>ESTERILIZACIÓN</v>
          </cell>
        </row>
        <row r="143">
          <cell r="Z143" t="str">
            <v>ESTERILIZACIÓN</v>
          </cell>
        </row>
        <row r="144">
          <cell r="Z144" t="str">
            <v>ESTERILIZACIÓN</v>
          </cell>
        </row>
        <row r="145">
          <cell r="Z145" t="str">
            <v>ESTERILIZACIÓN</v>
          </cell>
        </row>
        <row r="146">
          <cell r="Z146" t="str">
            <v>ESTERILIZACIÓN</v>
          </cell>
        </row>
        <row r="147">
          <cell r="Z147" t="str">
            <v>ESTERILIZACIÓN</v>
          </cell>
        </row>
        <row r="148">
          <cell r="Z148" t="str">
            <v>ESTERILIZACIÓN</v>
          </cell>
        </row>
        <row r="149">
          <cell r="Z149" t="str">
            <v>ESTERILIZACIÓN</v>
          </cell>
        </row>
        <row r="150">
          <cell r="Z150" t="str">
            <v>ESTERILIZACIÓN</v>
          </cell>
        </row>
        <row r="151">
          <cell r="Z151" t="str">
            <v>ESTERILIZACIÓN</v>
          </cell>
        </row>
        <row r="152">
          <cell r="Z152" t="str">
            <v>ESTERILIZACIÓN</v>
          </cell>
        </row>
        <row r="153">
          <cell r="Z153" t="str">
            <v>ESTERILIZACIÓN</v>
          </cell>
        </row>
        <row r="154">
          <cell r="Z154" t="str">
            <v>ESTERILIZACIÓN</v>
          </cell>
          <cell r="AA154" t="str">
            <v>DR. FRANCISCO ASTURIAS PEREZ</v>
          </cell>
        </row>
        <row r="155">
          <cell r="Z155" t="str">
            <v>ESTERILIZACIÓN</v>
          </cell>
        </row>
        <row r="156">
          <cell r="Z156" t="str">
            <v>ESTERILIZACIÓN</v>
          </cell>
        </row>
        <row r="157">
          <cell r="Z157" t="str">
            <v>ESTERILIZACIÓN</v>
          </cell>
        </row>
        <row r="158">
          <cell r="Z158" t="str">
            <v>ESTERILIZACIÓN</v>
          </cell>
          <cell r="AA158" t="str">
            <v>CESFAM STEGGER</v>
          </cell>
        </row>
        <row r="159">
          <cell r="Z159" t="str">
            <v>ESTERILIZACIÓN</v>
          </cell>
        </row>
        <row r="160">
          <cell r="Z160" t="str">
            <v>ESTERILIZACIÓN</v>
          </cell>
        </row>
        <row r="161">
          <cell r="Z161" t="str">
            <v>ESTERILIZACIÓN</v>
          </cell>
          <cell r="AA161" t="str">
            <v>CENTRO ODONTOLOGICO SUECIA</v>
          </cell>
        </row>
        <row r="162">
          <cell r="Z162" t="str">
            <v>ESTERILIZACIÓN</v>
          </cell>
          <cell r="AA162" t="str">
            <v>CENTRO ODONTOLOGICO SUECIA</v>
          </cell>
        </row>
        <row r="163">
          <cell r="Z163" t="str">
            <v>ESTERILIZACIÓN</v>
          </cell>
          <cell r="AA163" t="str">
            <v>CENTRO ODONTOLOGICO SUECIA</v>
          </cell>
        </row>
        <row r="164">
          <cell r="Z164" t="str">
            <v>ESTERILIZACIÓN</v>
          </cell>
        </row>
        <row r="165">
          <cell r="Z165" t="str">
            <v>ESTERILIZACIÓN</v>
          </cell>
        </row>
        <row r="166">
          <cell r="Z166" t="str">
            <v>ESTERILIZACIÓN</v>
          </cell>
        </row>
        <row r="167">
          <cell r="Z167" t="str">
            <v>ESTERILIZACIÓN</v>
          </cell>
          <cell r="AA167" t="str">
            <v>NORDEN</v>
          </cell>
        </row>
        <row r="168">
          <cell r="Z168" t="str">
            <v>ESTERILIZACIÓN</v>
          </cell>
        </row>
        <row r="169">
          <cell r="Z169" t="str">
            <v>ESTERILIZACIÓN</v>
          </cell>
        </row>
        <row r="170">
          <cell r="Z170" t="str">
            <v>ESTERILIZACIÓN</v>
          </cell>
        </row>
        <row r="171">
          <cell r="Z171" t="str">
            <v>ESTERILIZACIÓN</v>
          </cell>
        </row>
        <row r="172">
          <cell r="Z172" t="str">
            <v>ESTERILIZACIÓN</v>
          </cell>
        </row>
        <row r="173">
          <cell r="Z173" t="str">
            <v>ESTERILIZACIÓN</v>
          </cell>
          <cell r="AA173" t="str">
            <v>CESFAM STEGGER</v>
          </cell>
        </row>
        <row r="174">
          <cell r="Z174" t="str">
            <v>ESTERILIZACIÓN</v>
          </cell>
        </row>
        <row r="175">
          <cell r="Z175" t="str">
            <v>ESTERILIZACIÓN</v>
          </cell>
        </row>
        <row r="176">
          <cell r="Z176" t="str">
            <v>ESTERILIZACIÓN</v>
          </cell>
        </row>
        <row r="177">
          <cell r="Z177" t="str">
            <v>ESTERILIZACIÓN</v>
          </cell>
        </row>
        <row r="178">
          <cell r="Z178" t="str">
            <v>ESTERILIZACIÓN</v>
          </cell>
        </row>
        <row r="179">
          <cell r="Z179" t="str">
            <v>ESTERILIZACIÓN</v>
          </cell>
        </row>
        <row r="180">
          <cell r="Z180" t="str">
            <v>ESTERILIZACIÓN</v>
          </cell>
          <cell r="AA180" t="str">
            <v>CENTRO NORDEN AGUSTINAS 640</v>
          </cell>
        </row>
        <row r="181">
          <cell r="Z181" t="str">
            <v>ESTERILIZACIÓN</v>
          </cell>
          <cell r="AA181" t="str">
            <v>UNIVERSIDAD DE CONCEPCION</v>
          </cell>
        </row>
        <row r="182">
          <cell r="Z182" t="str">
            <v>ESTERILIZACIÓN</v>
          </cell>
        </row>
        <row r="183">
          <cell r="Z183" t="str">
            <v>ESTERILIZACIÓN</v>
          </cell>
          <cell r="AA183" t="str">
            <v>CENTRO NORDEN AGUSTINAS 640</v>
          </cell>
        </row>
        <row r="184">
          <cell r="Z184" t="str">
            <v>ESTERILIZACIÓN</v>
          </cell>
          <cell r="AA184" t="str">
            <v>CENTRO CLINICO MILITAR ARICA</v>
          </cell>
        </row>
        <row r="185">
          <cell r="Z185" t="str">
            <v>ESTERILIZACIÓN</v>
          </cell>
        </row>
        <row r="186">
          <cell r="Z186" t="str">
            <v>ESTERILIZACIÓN</v>
          </cell>
          <cell r="AA186" t="str">
            <v>CESFAM STEGGER</v>
          </cell>
        </row>
        <row r="187">
          <cell r="Z187" t="str">
            <v>ESTERILIZACIÓN</v>
          </cell>
        </row>
        <row r="188">
          <cell r="Z188" t="str">
            <v>ESTERILIZACIÓN</v>
          </cell>
        </row>
        <row r="189">
          <cell r="Z189" t="str">
            <v>ESTERILIZACIÓN</v>
          </cell>
          <cell r="AA189" t="str">
            <v>CESFAM STEGGER</v>
          </cell>
        </row>
        <row r="190">
          <cell r="Z190" t="str">
            <v>ESTERILIZACIÓN</v>
          </cell>
        </row>
        <row r="191">
          <cell r="Z191" t="str">
            <v>ESTERILIZACIÓN</v>
          </cell>
        </row>
        <row r="192">
          <cell r="Z192" t="str">
            <v>ESTERILIZACIÓN</v>
          </cell>
        </row>
        <row r="193">
          <cell r="Z193" t="str">
            <v>ESTERILIZACIÓN</v>
          </cell>
        </row>
        <row r="194">
          <cell r="Z194" t="str">
            <v>ESTERILIZACIÓN</v>
          </cell>
        </row>
        <row r="195">
          <cell r="Z195" t="str">
            <v>ESTERILIZACIÓN</v>
          </cell>
        </row>
        <row r="196">
          <cell r="Z196" t="str">
            <v>ESTERILIZACIÓN</v>
          </cell>
        </row>
        <row r="197">
          <cell r="Z197" t="str">
            <v>ESTERILIZACIÓN</v>
          </cell>
          <cell r="AA197" t="str">
            <v>DR. CLAUDIO ARROYO</v>
          </cell>
        </row>
        <row r="198">
          <cell r="Z198" t="str">
            <v>ESTERILIZACIÓN</v>
          </cell>
          <cell r="AA198" t="str">
            <v>NORDEN</v>
          </cell>
        </row>
        <row r="199">
          <cell r="Z199" t="str">
            <v>ESTERILIZACIÓN</v>
          </cell>
        </row>
        <row r="200">
          <cell r="Z200" t="str">
            <v>ESTERILIZACIÓN</v>
          </cell>
        </row>
        <row r="201">
          <cell r="Z201" t="str">
            <v>ESTERILIZACIÓN</v>
          </cell>
        </row>
        <row r="202">
          <cell r="Z202" t="str">
            <v>ESTERILIZACIÓN</v>
          </cell>
        </row>
        <row r="203">
          <cell r="Z203" t="str">
            <v>ESTERILIZACIÓN</v>
          </cell>
        </row>
        <row r="204">
          <cell r="Z204" t="str">
            <v>ESTERILIZACIÓN</v>
          </cell>
          <cell r="AA204" t="str">
            <v>CLINICA MOVIL CENTINELA</v>
          </cell>
        </row>
        <row r="205">
          <cell r="Z205" t="str">
            <v>ESTERILIZACIÓN</v>
          </cell>
        </row>
        <row r="206">
          <cell r="Z206" t="str">
            <v>ESTERILIZACIÓN</v>
          </cell>
        </row>
        <row r="207">
          <cell r="Z207" t="str">
            <v>ESTERILIZACIÓN</v>
          </cell>
          <cell r="AA207" t="str">
            <v>UNIVERSIDAD DE CHILE</v>
          </cell>
        </row>
        <row r="208">
          <cell r="Z208" t="str">
            <v>ESTERILIZACIÓN</v>
          </cell>
        </row>
        <row r="209">
          <cell r="Z209" t="str">
            <v>ESTERILIZACIÓN</v>
          </cell>
          <cell r="AA209" t="str">
            <v>UNIVERSIDAD DE CONCEPCION</v>
          </cell>
        </row>
        <row r="210">
          <cell r="Z210" t="str">
            <v>ESTERILIZACIÓN</v>
          </cell>
        </row>
        <row r="211">
          <cell r="Z211" t="str">
            <v>ESTERILIZACIÓN</v>
          </cell>
          <cell r="AA211" t="str">
            <v>CLINICA MOVIL CENTINELA</v>
          </cell>
        </row>
        <row r="212">
          <cell r="Z212" t="str">
            <v>ESTERILIZACIÓN</v>
          </cell>
          <cell r="AA212" t="str">
            <v>CLINICA MOVIL CENTINELA</v>
          </cell>
        </row>
        <row r="213">
          <cell r="Z213" t="str">
            <v>ESTERILIZACIÓN</v>
          </cell>
        </row>
        <row r="214">
          <cell r="Z214" t="str">
            <v>ESTERILIZACIÓN</v>
          </cell>
        </row>
        <row r="215">
          <cell r="Z215" t="str">
            <v>ESTERILIZACIÓN</v>
          </cell>
        </row>
        <row r="216">
          <cell r="Z216" t="str">
            <v>ESTERILIZACIÓN</v>
          </cell>
        </row>
        <row r="217">
          <cell r="Z217" t="str">
            <v>ESTERILIZACIÓN</v>
          </cell>
        </row>
        <row r="218">
          <cell r="Z218" t="str">
            <v>ESTERILIZACIÓN</v>
          </cell>
          <cell r="AA218" t="str">
            <v>CLINICA MOVIL CENTINELA</v>
          </cell>
        </row>
        <row r="219">
          <cell r="Z219" t="str">
            <v>ESTERILIZACIÓN</v>
          </cell>
        </row>
        <row r="220">
          <cell r="Z220" t="str">
            <v>ESTERILIZACIÓN</v>
          </cell>
        </row>
        <row r="221">
          <cell r="Z221" t="str">
            <v>ESTERILIZACIÓN</v>
          </cell>
        </row>
        <row r="222">
          <cell r="Z222" t="str">
            <v>ESTERILIZACIÓN</v>
          </cell>
        </row>
        <row r="223">
          <cell r="Z223" t="str">
            <v>ESTERILIZACIÓN</v>
          </cell>
        </row>
        <row r="224">
          <cell r="Z224" t="str">
            <v>ESTERILIZACIÓN</v>
          </cell>
          <cell r="AA224" t="str">
            <v>CLINICA MUC SPA</v>
          </cell>
        </row>
        <row r="225">
          <cell r="Z225" t="str">
            <v>ESTERILIZACIÓN</v>
          </cell>
          <cell r="AA225" t="str">
            <v>CLINICA MOVIL CENTINELA</v>
          </cell>
        </row>
        <row r="226">
          <cell r="Z226" t="str">
            <v>ESTERILIZACIÓN</v>
          </cell>
          <cell r="AA226" t="str">
            <v>CLINICA MOVIL CENTINELA</v>
          </cell>
        </row>
        <row r="227">
          <cell r="Z227" t="str">
            <v>ESTERILIZACIÓN</v>
          </cell>
          <cell r="AA227" t="str">
            <v>CLINICA MOVIL CENTINELA</v>
          </cell>
        </row>
        <row r="228">
          <cell r="Z228" t="str">
            <v>ESTERILIZACIÓN</v>
          </cell>
          <cell r="AA228" t="str">
            <v>CLINICA MOVIL CENTINELA</v>
          </cell>
        </row>
        <row r="229">
          <cell r="Z229" t="str">
            <v>ESTERILIZACIÓN</v>
          </cell>
          <cell r="AA229" t="str">
            <v>CLINICA MOVIL CENTINELA</v>
          </cell>
        </row>
        <row r="230">
          <cell r="Z230" t="str">
            <v>ESTERILIZACIÓN</v>
          </cell>
          <cell r="AA230" t="str">
            <v>CLINICA MOVIL CENTINELA</v>
          </cell>
        </row>
        <row r="231">
          <cell r="Z231" t="str">
            <v>ESTERILIZACIÓN</v>
          </cell>
        </row>
        <row r="232">
          <cell r="Z232" t="str">
            <v>ESTERILIZACIÓN</v>
          </cell>
          <cell r="AA232" t="str">
            <v>CLINICA MOVIL CENTINELA</v>
          </cell>
        </row>
        <row r="233">
          <cell r="Z233" t="str">
            <v>ESTERILIZACIÓN</v>
          </cell>
          <cell r="AA233" t="str">
            <v>CLINICA MOVIL CENTINELA</v>
          </cell>
        </row>
        <row r="234">
          <cell r="Z234" t="str">
            <v>ESTERILIZACIÓN</v>
          </cell>
          <cell r="AA234" t="str">
            <v>CLINICA MOVIL CENTINELA</v>
          </cell>
        </row>
        <row r="235">
          <cell r="Z235" t="str">
            <v>ESTERILIZACIÓN</v>
          </cell>
          <cell r="AA235" t="str">
            <v>CLINICA MOVIL CENTINELA</v>
          </cell>
        </row>
        <row r="236">
          <cell r="Z236" t="str">
            <v>ESTERILIZACIÓN</v>
          </cell>
          <cell r="AA236" t="str">
            <v>CLINICA MOVIL CENTINELA</v>
          </cell>
        </row>
        <row r="237">
          <cell r="Z237" t="str">
            <v>ESTERILIZACIÓN</v>
          </cell>
          <cell r="AA237" t="str">
            <v>CLINICA MOVIL CENTINELA</v>
          </cell>
        </row>
        <row r="238">
          <cell r="Z238" t="str">
            <v>ESTERILIZACIÓN</v>
          </cell>
          <cell r="AA238" t="str">
            <v>CLINICA MOVIL CENTINELA</v>
          </cell>
        </row>
        <row r="239">
          <cell r="Z239" t="str">
            <v>ESTERILIZACIÓN</v>
          </cell>
          <cell r="AA239" t="str">
            <v>CLINICA MOVIL CENTINELA</v>
          </cell>
        </row>
        <row r="240">
          <cell r="Z240" t="str">
            <v>ESTERILIZACIÓN</v>
          </cell>
          <cell r="AA240" t="str">
            <v>CLINICA MOVIL CENTINELA</v>
          </cell>
        </row>
        <row r="241">
          <cell r="Z241" t="str">
            <v>ESTERILIZACIÓN</v>
          </cell>
          <cell r="AA241" t="str">
            <v>CLINICA MOVIL CENTINELA</v>
          </cell>
        </row>
        <row r="242">
          <cell r="Z242" t="str">
            <v>ESTERILIZACIÓN</v>
          </cell>
          <cell r="AA242" t="str">
            <v>CLINICA MOVIL CENTINELA</v>
          </cell>
        </row>
        <row r="243">
          <cell r="Z243" t="str">
            <v>ESTERILIZACIÓN</v>
          </cell>
          <cell r="AA243" t="str">
            <v>CLINICA MOVIL CENTINELA</v>
          </cell>
        </row>
        <row r="244">
          <cell r="Z244" t="str">
            <v>ESTERILIZACIÓN</v>
          </cell>
          <cell r="AA244" t="str">
            <v>CLINICA MOVIL CENTINELA</v>
          </cell>
        </row>
        <row r="245">
          <cell r="Z245" t="str">
            <v>ESTERILIZACIÓN</v>
          </cell>
          <cell r="AA245" t="str">
            <v>CLINICA MOVIL CENTINELA</v>
          </cell>
        </row>
        <row r="246">
          <cell r="Z246" t="str">
            <v>ESTERILIZACIÓN</v>
          </cell>
          <cell r="AA246" t="str">
            <v>CLINICA MOVIL CENTINELA</v>
          </cell>
        </row>
        <row r="247">
          <cell r="Z247" t="str">
            <v>ESTERILIZACIÓN</v>
          </cell>
          <cell r="AA247" t="str">
            <v>CLINICA MOVIL CENTINELA</v>
          </cell>
        </row>
        <row r="248">
          <cell r="Z248" t="str">
            <v>ESTERILIZACIÓN</v>
          </cell>
          <cell r="AA248" t="str">
            <v>I.MUNICIPALIDAD DE INDEPENDENCIA</v>
          </cell>
        </row>
        <row r="249">
          <cell r="Z249" t="str">
            <v>ESTERILIZACIÓN</v>
          </cell>
          <cell r="AA249" t="str">
            <v>JUNAEB ESCUELA VICTOR DOMINGO SILVA</v>
          </cell>
        </row>
        <row r="250">
          <cell r="Z250" t="str">
            <v>ESTERILIZACIÓN</v>
          </cell>
          <cell r="AA250" t="str">
            <v>CLINICA MOVIL CENTINELA</v>
          </cell>
        </row>
        <row r="251">
          <cell r="Z251" t="str">
            <v>ESTERILIZACIÓN</v>
          </cell>
          <cell r="AA251" t="str">
            <v>CLINICA MOVIL CENTINELA</v>
          </cell>
        </row>
        <row r="252">
          <cell r="Z252" t="str">
            <v>ESTERILIZACIÓN</v>
          </cell>
          <cell r="AA252" t="str">
            <v>CLINICA MOVIL CENTINELA</v>
          </cell>
        </row>
        <row r="253">
          <cell r="Z253" t="str">
            <v>ESTERILIZACIÓN</v>
          </cell>
          <cell r="AA253" t="str">
            <v>CLINICA MOVIL CENTINELA</v>
          </cell>
        </row>
        <row r="254">
          <cell r="Z254" t="str">
            <v>ESTERILIZACIÓN</v>
          </cell>
          <cell r="AA254" t="str">
            <v>JUNAEB ESCUELA NUEVA ZELANDIA</v>
          </cell>
        </row>
        <row r="255">
          <cell r="Z255" t="str">
            <v>ESTERILIZACIÓN</v>
          </cell>
          <cell r="AA255" t="str">
            <v>I.MUNICIPALIDAD DE INDEPENDENCIA</v>
          </cell>
        </row>
        <row r="256">
          <cell r="Z256" t="str">
            <v>ESTERILIZACIÓN</v>
          </cell>
          <cell r="AA256" t="str">
            <v>JUNAEB MODULO FRUTILLAR</v>
          </cell>
        </row>
        <row r="257">
          <cell r="Z257" t="str">
            <v>ESTERILIZACIÓN</v>
          </cell>
          <cell r="AA257" t="str">
            <v>CLINICA MOVIL CENTINELA</v>
          </cell>
        </row>
        <row r="258">
          <cell r="Z258" t="str">
            <v>ESTERILIZACIÓN</v>
          </cell>
        </row>
        <row r="259">
          <cell r="Z259" t="str">
            <v>ESTERILIZACIÓN</v>
          </cell>
        </row>
        <row r="260">
          <cell r="Z260" t="str">
            <v>ESTERILIZACIÓN</v>
          </cell>
        </row>
        <row r="261">
          <cell r="Z261" t="str">
            <v>ESTERILIZACIÓN</v>
          </cell>
        </row>
        <row r="262">
          <cell r="Z262" t="str">
            <v>ESTERILIZACIÓN</v>
          </cell>
        </row>
        <row r="263">
          <cell r="Z263" t="str">
            <v>ESTERILIZACIÓN</v>
          </cell>
          <cell r="AA263" t="str">
            <v>JUNAEB ALTOBIOBIO</v>
          </cell>
        </row>
        <row r="264">
          <cell r="Z264" t="str">
            <v>ESTERILIZACIÓN</v>
          </cell>
          <cell r="AA264" t="str">
            <v>HOSPITAL SAN LUIS BUIN</v>
          </cell>
        </row>
        <row r="265">
          <cell r="Z265" t="str">
            <v>ESTERILIZACIÓN</v>
          </cell>
          <cell r="AA265" t="str">
            <v>CESFAM ARRAU MENDEZ PARRAL</v>
          </cell>
        </row>
        <row r="266">
          <cell r="Z266" t="str">
            <v>ESTERILIZACIÓN</v>
          </cell>
        </row>
        <row r="267">
          <cell r="Z267" t="str">
            <v>ESTERILIZACIÓN</v>
          </cell>
          <cell r="AA267" t="str">
            <v>I.MUNICIPALIDAD DE CURICO DPTO. SALUD</v>
          </cell>
        </row>
        <row r="268">
          <cell r="Z268" t="str">
            <v>ESTERILIZACIÓN</v>
          </cell>
        </row>
        <row r="269">
          <cell r="Z269" t="str">
            <v>ESTERILIZACIÓN</v>
          </cell>
        </row>
        <row r="270">
          <cell r="Z270" t="str">
            <v>ESTERILIZACIÓN</v>
          </cell>
        </row>
        <row r="271">
          <cell r="Z271" t="str">
            <v>ESTERILIZACIÓN</v>
          </cell>
        </row>
        <row r="272">
          <cell r="Z272" t="str">
            <v>ESTERILIZACIÓN</v>
          </cell>
        </row>
        <row r="273">
          <cell r="Z273" t="str">
            <v>ESTERILIZACIÓN</v>
          </cell>
          <cell r="AA273" t="str">
            <v>UNIVERSIDAD DE CONCEPCION</v>
          </cell>
        </row>
        <row r="274">
          <cell r="Z274" t="str">
            <v>ESTERILIZACIÓN</v>
          </cell>
        </row>
        <row r="275">
          <cell r="Z275" t="str">
            <v>ESTERILIZACIÓN</v>
          </cell>
        </row>
        <row r="276">
          <cell r="Z276" t="str">
            <v>ESTERILIZACIÓN</v>
          </cell>
        </row>
        <row r="277">
          <cell r="Z277" t="str">
            <v>ESTERILIZACIÓN</v>
          </cell>
        </row>
        <row r="278">
          <cell r="Z278" t="str">
            <v>ESTERILIZACIÓN</v>
          </cell>
        </row>
        <row r="279">
          <cell r="Z279" t="str">
            <v>ESTERILIZACIÓN</v>
          </cell>
        </row>
        <row r="280">
          <cell r="Z280" t="str">
            <v>ESTERILIZACIÓN</v>
          </cell>
          <cell r="AA280" t="str">
            <v>UNIVERSIDAD DE VALPARAISO</v>
          </cell>
        </row>
        <row r="281">
          <cell r="Z281" t="str">
            <v>ESTERILIZACIÓN</v>
          </cell>
          <cell r="AA281" t="str">
            <v>UNIVERSIDAD DE VALPARAISO</v>
          </cell>
        </row>
        <row r="282">
          <cell r="Z282" t="str">
            <v>ESTERILIZACIÓN</v>
          </cell>
          <cell r="AA282" t="str">
            <v>UNIVERSIDAD DE VALPARAISO</v>
          </cell>
        </row>
        <row r="283">
          <cell r="Z283" t="str">
            <v>ESTERILIZACIÓN</v>
          </cell>
        </row>
        <row r="284">
          <cell r="Z284" t="str">
            <v>ESTERILIZACIÓN</v>
          </cell>
          <cell r="AA284" t="str">
            <v>CESFAM COLINA</v>
          </cell>
        </row>
        <row r="285">
          <cell r="Z285" t="str">
            <v>ESTERILIZACIÓN</v>
          </cell>
          <cell r="AA285" t="str">
            <v>CESFAM LAS AMERICAS</v>
          </cell>
        </row>
        <row r="286">
          <cell r="Z286" t="str">
            <v>ESTERILIZACIÓN</v>
          </cell>
          <cell r="AA286" t="str">
            <v>CESFAM JULIO CONTARDO URZUA DE TALCA</v>
          </cell>
        </row>
        <row r="287">
          <cell r="Z287" t="str">
            <v>ESTERILIZACIÓN</v>
          </cell>
        </row>
        <row r="288">
          <cell r="Z288" t="str">
            <v>ESTERILIZACIÓN</v>
          </cell>
          <cell r="AA288" t="str">
            <v>I.MUNICIPALIDAD DE INDEPENDENCIA</v>
          </cell>
        </row>
        <row r="289">
          <cell r="Z289" t="str">
            <v>ESTERILIZACIÓN</v>
          </cell>
          <cell r="AA289" t="str">
            <v>CESFAM MAGISTERIO, TALCA</v>
          </cell>
        </row>
        <row r="290">
          <cell r="Z290" t="str">
            <v>ESTERILIZACIÓN</v>
          </cell>
          <cell r="AA290" t="str">
            <v>I.MUNICIPALIDAD DE INDEPENDENCIA</v>
          </cell>
        </row>
        <row r="291">
          <cell r="Z291" t="str">
            <v>ESTERILIZACIÓN</v>
          </cell>
        </row>
        <row r="292">
          <cell r="Z292" t="str">
            <v>ESTERILIZACIÓN</v>
          </cell>
        </row>
        <row r="293">
          <cell r="Z293" t="str">
            <v>ESTERILIZACIÓN</v>
          </cell>
        </row>
        <row r="294">
          <cell r="Z294" t="str">
            <v>ESTERILIZACIÓN</v>
          </cell>
        </row>
        <row r="295">
          <cell r="Z295" t="str">
            <v>ESTERILIZACIÓN</v>
          </cell>
        </row>
        <row r="296">
          <cell r="Z296" t="str">
            <v>ESTERILIZACIÓN</v>
          </cell>
        </row>
        <row r="297">
          <cell r="Z297" t="str">
            <v>ESTERILIZACIÓN</v>
          </cell>
        </row>
        <row r="298">
          <cell r="Z298" t="str">
            <v>ESTERILIZACIÓN</v>
          </cell>
        </row>
        <row r="299">
          <cell r="Z299" t="str">
            <v>ESTERILIZACIÓN</v>
          </cell>
          <cell r="AA299" t="str">
            <v>CESFAM RIO CLARO</v>
          </cell>
        </row>
        <row r="300">
          <cell r="Z300" t="str">
            <v>ESTERILIZACIÓN</v>
          </cell>
        </row>
        <row r="301">
          <cell r="Z301" t="str">
            <v>ESTERILIZACIÓN</v>
          </cell>
        </row>
        <row r="302">
          <cell r="Z302" t="str">
            <v>ESTERILIZACIÓN</v>
          </cell>
        </row>
        <row r="303">
          <cell r="Z303" t="str">
            <v>ESTERILIZACIÓN</v>
          </cell>
        </row>
        <row r="304">
          <cell r="Z304" t="str">
            <v>ESTERILIZACIÓN</v>
          </cell>
        </row>
        <row r="305">
          <cell r="Z305" t="str">
            <v>ESTERILIZACIÓN</v>
          </cell>
        </row>
        <row r="306">
          <cell r="Z306" t="str">
            <v>ESTERILIZACIÓN</v>
          </cell>
          <cell r="AA306" t="str">
            <v>CESFAM EL SAUCE COQUIMBO</v>
          </cell>
        </row>
        <row r="307">
          <cell r="Z307" t="str">
            <v>ESTERILIZACIÓN</v>
          </cell>
        </row>
        <row r="308">
          <cell r="Z308" t="str">
            <v>ESTERILIZACIÓN</v>
          </cell>
        </row>
        <row r="309">
          <cell r="Z309" t="str">
            <v>ESTERILIZACIÓN</v>
          </cell>
        </row>
        <row r="310">
          <cell r="Z310" t="str">
            <v>ESTERILIZACIÓN</v>
          </cell>
        </row>
        <row r="311">
          <cell r="Z311" t="str">
            <v>ESTERILIZACIÓN</v>
          </cell>
        </row>
        <row r="312">
          <cell r="Z312" t="str">
            <v>ESTERILIZACIÓN</v>
          </cell>
        </row>
        <row r="313">
          <cell r="Z313" t="str">
            <v>ESTERILIZACIÓN</v>
          </cell>
        </row>
        <row r="314">
          <cell r="Z314" t="str">
            <v>ESTERILIZACIÓN</v>
          </cell>
        </row>
        <row r="315">
          <cell r="Z315" t="str">
            <v>ESTERILIZACIÓN</v>
          </cell>
        </row>
        <row r="316">
          <cell r="Z316" t="str">
            <v>ESTERILIZACIÓN</v>
          </cell>
        </row>
        <row r="317">
          <cell r="Z317" t="str">
            <v>ESTERILIZACIÓN</v>
          </cell>
        </row>
        <row r="318">
          <cell r="Z318" t="str">
            <v>ESTERILIZACIÓN</v>
          </cell>
        </row>
        <row r="319">
          <cell r="Z319" t="str">
            <v>ESTERILIZACIÓN</v>
          </cell>
        </row>
        <row r="320">
          <cell r="Z320" t="str">
            <v>ESTERILIZACIÓN</v>
          </cell>
        </row>
        <row r="321">
          <cell r="Z321" t="str">
            <v>ESTERILIZACIÓN</v>
          </cell>
        </row>
        <row r="322">
          <cell r="Z322" t="str">
            <v>ESTERILIZACIÓN</v>
          </cell>
        </row>
        <row r="323">
          <cell r="Z323" t="str">
            <v>ESTERILIZACIÓN</v>
          </cell>
        </row>
        <row r="324">
          <cell r="Z324" t="str">
            <v>ESTERILIZACIÓN</v>
          </cell>
          <cell r="AA324" t="str">
            <v>GEMCO GENERAL MACHINERY S.A.</v>
          </cell>
        </row>
        <row r="325">
          <cell r="Z325" t="str">
            <v>ESTERILIZACIÓN</v>
          </cell>
          <cell r="AA325" t="str">
            <v>ODONTOLOGIA PROVIDENCIA SPA</v>
          </cell>
        </row>
        <row r="326">
          <cell r="Z326" t="str">
            <v>ESTERILIZACIÓN</v>
          </cell>
        </row>
        <row r="327">
          <cell r="Z327" t="str">
            <v>ESTERILIZACIÓN</v>
          </cell>
        </row>
        <row r="328">
          <cell r="Z328" t="str">
            <v>ESTERILIZACIÓN</v>
          </cell>
        </row>
        <row r="329">
          <cell r="Z329" t="str">
            <v>ESTERILIZACIÓN</v>
          </cell>
        </row>
        <row r="330">
          <cell r="Z330" t="str">
            <v>ESTERILIZACIÓN</v>
          </cell>
          <cell r="AA330" t="str">
            <v>GEMCO GENERAL MACHINERY S.A.</v>
          </cell>
        </row>
        <row r="331">
          <cell r="Z331" t="str">
            <v>ESTERILIZACIÓN</v>
          </cell>
        </row>
        <row r="332">
          <cell r="Z332" t="str">
            <v>ESTERILIZACIÓN</v>
          </cell>
        </row>
        <row r="333">
          <cell r="Z333" t="str">
            <v>ESTERILIZACIÓN</v>
          </cell>
        </row>
        <row r="334">
          <cell r="Z334" t="str">
            <v>ESTERILIZACIÓN</v>
          </cell>
          <cell r="AA334" t="str">
            <v>HOSPITAL DE LAUTARO</v>
          </cell>
        </row>
        <row r="335">
          <cell r="Z335" t="str">
            <v>ESTERILIZACIÓN</v>
          </cell>
        </row>
        <row r="336">
          <cell r="Z336" t="str">
            <v>ESTERILIZACIÓN</v>
          </cell>
        </row>
        <row r="337">
          <cell r="Z337" t="str">
            <v>ESTERILIZACIÓN</v>
          </cell>
          <cell r="AA337" t="str">
            <v>HOSPITAL DE LAUTARO</v>
          </cell>
        </row>
        <row r="338">
          <cell r="Z338" t="str">
            <v>ESTERILIZACIÓN</v>
          </cell>
        </row>
        <row r="339">
          <cell r="Z339" t="str">
            <v>ESTERILIZACIÓN</v>
          </cell>
        </row>
        <row r="340">
          <cell r="Z340" t="str">
            <v>ESTERILIZACIÓN</v>
          </cell>
        </row>
        <row r="341">
          <cell r="Z341" t="str">
            <v>ESTERILIZACIÓN</v>
          </cell>
        </row>
        <row r="342">
          <cell r="Z342" t="str">
            <v>ESTERILIZACIÓN</v>
          </cell>
        </row>
        <row r="343">
          <cell r="Z343" t="str">
            <v>ESTERILIZACIÓN</v>
          </cell>
        </row>
        <row r="344">
          <cell r="Z344" t="str">
            <v>ESTERILIZACIÓN</v>
          </cell>
        </row>
        <row r="345">
          <cell r="Z345" t="str">
            <v>ESTERILIZACIÓN</v>
          </cell>
        </row>
        <row r="346">
          <cell r="Z346" t="str">
            <v>ESTERILIZACIÓN</v>
          </cell>
        </row>
        <row r="347">
          <cell r="Z347" t="str">
            <v>ESTERILIZACIÓN</v>
          </cell>
        </row>
        <row r="348">
          <cell r="Z348" t="str">
            <v>ESTERILIZACIÓN</v>
          </cell>
        </row>
        <row r="349">
          <cell r="Z349" t="str">
            <v>ESTERILIZACIÓN</v>
          </cell>
          <cell r="AA349" t="str">
            <v>INTEGRAMEDICA S.A (Las Condes)</v>
          </cell>
        </row>
        <row r="350">
          <cell r="Z350" t="str">
            <v>ESTERILIZACIÓN</v>
          </cell>
          <cell r="AA350" t="str">
            <v>INTEGRAMEDICA S.A (Las Condes)</v>
          </cell>
        </row>
        <row r="351">
          <cell r="Z351" t="str">
            <v>ESTERILIZACIÓN</v>
          </cell>
          <cell r="AA351" t="str">
            <v>FUNDACIÓN OFTALMOLÓGICA LOS ANDES</v>
          </cell>
        </row>
        <row r="352">
          <cell r="Z352" t="str">
            <v>ESTERILIZACIÓN</v>
          </cell>
          <cell r="AA352" t="str">
            <v>FUNDACIÓN OFTALMOLÓGICA LOS ANDES</v>
          </cell>
        </row>
        <row r="353">
          <cell r="Z353" t="str">
            <v>ESTERILIZACIÓN</v>
          </cell>
        </row>
        <row r="354">
          <cell r="Z354" t="str">
            <v>ESTERILIZACIÓN</v>
          </cell>
        </row>
        <row r="355">
          <cell r="Z355" t="str">
            <v>ESTERILIZACIÓN</v>
          </cell>
        </row>
        <row r="356">
          <cell r="Z356" t="str">
            <v>ESTERILIZACIÓN</v>
          </cell>
        </row>
        <row r="357">
          <cell r="Z357" t="str">
            <v>ESTERILIZACIÓN</v>
          </cell>
        </row>
        <row r="358">
          <cell r="Z358" t="str">
            <v>ESTERILIZACIÓN</v>
          </cell>
          <cell r="AA358" t="str">
            <v>COMPLEJO ASISTENCIAL DR.SOTERO DEL RIO</v>
          </cell>
        </row>
        <row r="359">
          <cell r="Z359" t="str">
            <v>ESTERILIZACIÓN</v>
          </cell>
          <cell r="AA359" t="str">
            <v>COMPLEJO ASISTENCIAL DR.SOTERO DEL RIO</v>
          </cell>
        </row>
        <row r="360">
          <cell r="Z360" t="str">
            <v>ESTERILIZACIÓN</v>
          </cell>
        </row>
        <row r="361">
          <cell r="Z361" t="str">
            <v>ESTERILIZACIÓN</v>
          </cell>
        </row>
        <row r="362">
          <cell r="Z362" t="str">
            <v>ESTERILIZACIÓN</v>
          </cell>
        </row>
        <row r="363">
          <cell r="Z363" t="str">
            <v>ESTERILIZACIÓN</v>
          </cell>
        </row>
        <row r="364">
          <cell r="Z364" t="str">
            <v>ESTERILIZACIÓN</v>
          </cell>
          <cell r="AA364" t="str">
            <v>GEMCO GENERAL MACHINERY S.A.</v>
          </cell>
        </row>
        <row r="365">
          <cell r="Z365" t="str">
            <v>ESTERILIZACIÓN</v>
          </cell>
          <cell r="AA365" t="str">
            <v>GEMCO GENERAL MACHINERY S.A.</v>
          </cell>
        </row>
        <row r="366">
          <cell r="Z366" t="str">
            <v>ESTERILIZACIÓN</v>
          </cell>
          <cell r="AA366" t="str">
            <v>HOSPITAL DE PURRANQUE</v>
          </cell>
        </row>
        <row r="367">
          <cell r="Z367" t="str">
            <v>ESTERILIZACIÓN</v>
          </cell>
        </row>
        <row r="368">
          <cell r="Z368" t="str">
            <v>ESTERILIZACIÓN</v>
          </cell>
        </row>
        <row r="369">
          <cell r="Z369" t="str">
            <v>ESTERILIZACIÓN</v>
          </cell>
          <cell r="AA369" t="str">
            <v>COMPLEJO ASISTENCIAL DR.SOTERO DEL RIO</v>
          </cell>
        </row>
        <row r="370">
          <cell r="Z370" t="str">
            <v>ESTERILIZACIÓN</v>
          </cell>
          <cell r="AA370" t="str">
            <v>COMPLEJO ASISTENCIAL DR.SOTERO DEL RIO</v>
          </cell>
        </row>
        <row r="371">
          <cell r="Z371" t="str">
            <v>ESTERILIZACIÓN</v>
          </cell>
        </row>
        <row r="372">
          <cell r="Z372" t="str">
            <v>ESTERILIZACIÓN</v>
          </cell>
        </row>
        <row r="373">
          <cell r="Z373" t="str">
            <v>ESTERILIZACIÓN</v>
          </cell>
        </row>
        <row r="374">
          <cell r="Z374" t="str">
            <v>ESTERILIZACIÓN</v>
          </cell>
          <cell r="AA374" t="str">
            <v>CESFAM VIOLETA PARRA (PUDAHUEL)</v>
          </cell>
        </row>
        <row r="375">
          <cell r="Z375" t="str">
            <v>ESTERILIZACIÓN</v>
          </cell>
          <cell r="AA375" t="str">
            <v>CESFAM VIOLETA PARRA (PUDAHUEL)</v>
          </cell>
        </row>
        <row r="376">
          <cell r="Z376" t="str">
            <v>ESTERILIZACIÓN</v>
          </cell>
        </row>
        <row r="377">
          <cell r="Z377" t="str">
            <v>ESTERILIZACIÓN</v>
          </cell>
        </row>
        <row r="378">
          <cell r="Z378" t="str">
            <v>ESTERILIZACIÓN</v>
          </cell>
          <cell r="AA378" t="str">
            <v>CENTRAL ODONTOLOGICA PRIMERA ZONA NAVAL VIÑA</v>
          </cell>
        </row>
        <row r="379">
          <cell r="Z379" t="str">
            <v>ESTERILIZACIÓN</v>
          </cell>
        </row>
        <row r="380">
          <cell r="Z380" t="str">
            <v>ESTERILIZACIÓN</v>
          </cell>
        </row>
        <row r="381">
          <cell r="Z381" t="str">
            <v>ESTERILIZACIÓN</v>
          </cell>
          <cell r="AA381" t="str">
            <v>CENTRO DE OFTALMOLOGIA DR.DAVID BITRAN S.A.</v>
          </cell>
        </row>
        <row r="382">
          <cell r="Z382" t="str">
            <v>ESTERILIZACIÓN</v>
          </cell>
        </row>
        <row r="383">
          <cell r="Z383" t="str">
            <v>ESTERILIZACIÓN</v>
          </cell>
        </row>
        <row r="384">
          <cell r="Z384" t="str">
            <v>ESTERILIZACIÓN</v>
          </cell>
        </row>
        <row r="385">
          <cell r="Z385" t="str">
            <v>ESTERILIZACIÓN</v>
          </cell>
        </row>
        <row r="386">
          <cell r="Z386" t="str">
            <v>ESTERILIZACIÓN</v>
          </cell>
        </row>
        <row r="387">
          <cell r="Z387" t="str">
            <v>ESTERILIZACIÓN</v>
          </cell>
          <cell r="AA387" t="str">
            <v>HOSPITAL FUTALEUFU</v>
          </cell>
        </row>
        <row r="388">
          <cell r="Z388" t="str">
            <v>ESTERILIZACIÓN</v>
          </cell>
          <cell r="AA388" t="str">
            <v>HOSPITAL FUTALEUFU</v>
          </cell>
        </row>
        <row r="389">
          <cell r="Z389" t="str">
            <v>ESTERILIZACIÓN</v>
          </cell>
          <cell r="AA389" t="str">
            <v>HOSPITAL DE FRUTILLAR</v>
          </cell>
        </row>
        <row r="390">
          <cell r="Z390" t="str">
            <v>ESTERILIZACIÓN</v>
          </cell>
        </row>
        <row r="391">
          <cell r="Z391" t="str">
            <v>ESTERILIZACIÓN</v>
          </cell>
          <cell r="AA391" t="str">
            <v>HOSPITAL DE MISION SAN JUAN DE LA COSTA</v>
          </cell>
        </row>
        <row r="392">
          <cell r="Z392" t="str">
            <v>ESTERILIZACIÓN</v>
          </cell>
          <cell r="AA392" t="str">
            <v>HOSPITAL DE QUILACAHUIN</v>
          </cell>
        </row>
        <row r="393">
          <cell r="Z393" t="str">
            <v>ESTERILIZACIÓN</v>
          </cell>
        </row>
        <row r="394">
          <cell r="Z394" t="str">
            <v>ESTERILIZACIÓN</v>
          </cell>
        </row>
        <row r="395">
          <cell r="Z395" t="str">
            <v>ESTERILIZACIÓN</v>
          </cell>
        </row>
        <row r="396">
          <cell r="Z396" t="str">
            <v>ESTERILIZACIÓN</v>
          </cell>
        </row>
        <row r="397">
          <cell r="Z397" t="str">
            <v>ESTERILIZACIÓN</v>
          </cell>
        </row>
        <row r="398">
          <cell r="Z398" t="str">
            <v>ESTERILIZACIÓN</v>
          </cell>
        </row>
        <row r="399">
          <cell r="Z399" t="str">
            <v>ESTERILIZACIÓN</v>
          </cell>
        </row>
        <row r="400">
          <cell r="Z400" t="str">
            <v>ESTERILIZACIÓN</v>
          </cell>
        </row>
        <row r="401">
          <cell r="Z401" t="str">
            <v>ESTERILIZACIÓN</v>
          </cell>
        </row>
        <row r="402">
          <cell r="Z402" t="str">
            <v>ESTERILIZACIÓN</v>
          </cell>
          <cell r="AA402" t="str">
            <v>CENTRO DE OFTALMOLOGIA DR.DAVID BITRAN S.A.</v>
          </cell>
        </row>
        <row r="403">
          <cell r="Z403" t="str">
            <v>ESTERILIZACIÓN</v>
          </cell>
          <cell r="AA403" t="str">
            <v>CLINICA MUC SPA</v>
          </cell>
        </row>
        <row r="404">
          <cell r="Z404" t="str">
            <v>ESTERILIZACIÓN</v>
          </cell>
        </row>
        <row r="405">
          <cell r="Z405" t="str">
            <v>ESTERILIZACIÓN</v>
          </cell>
          <cell r="AA405" t="str">
            <v>CESFAM ALERCE</v>
          </cell>
        </row>
        <row r="406">
          <cell r="Z406" t="str">
            <v>ESTERILIZACIÓN</v>
          </cell>
        </row>
        <row r="407">
          <cell r="Z407" t="str">
            <v>ESTERILIZACIÓN</v>
          </cell>
          <cell r="AA407" t="str">
            <v>CENTRO DE OFTALMOLOGIA DR.DAVID BITRAN S.A.</v>
          </cell>
        </row>
        <row r="408">
          <cell r="Z408" t="str">
            <v>ESTERILIZACIÓN</v>
          </cell>
        </row>
        <row r="409">
          <cell r="Z409" t="str">
            <v>ESTERILIZACIÓN</v>
          </cell>
        </row>
        <row r="410">
          <cell r="Z410" t="str">
            <v>ESTERILIZACIÓN</v>
          </cell>
        </row>
        <row r="411">
          <cell r="Z411" t="str">
            <v>ESTERILIZACIÓN</v>
          </cell>
          <cell r="AA411" t="str">
            <v>REDLASER CONCEPCION SPA</v>
          </cell>
        </row>
        <row r="412">
          <cell r="Z412" t="str">
            <v>ESTERILIZACIÓN</v>
          </cell>
          <cell r="AA412" t="str">
            <v>GEMCO GENERAL MACHINERY S.A.</v>
          </cell>
        </row>
        <row r="413">
          <cell r="Z413" t="str">
            <v>ESTERILIZACIÓN</v>
          </cell>
        </row>
        <row r="414">
          <cell r="Z414" t="str">
            <v>ESTERILIZACIÓN</v>
          </cell>
        </row>
        <row r="415">
          <cell r="Z415" t="str">
            <v>ESTERILIZACIÓN</v>
          </cell>
        </row>
        <row r="416">
          <cell r="Z416" t="str">
            <v>ENDOSCOPÍA</v>
          </cell>
          <cell r="AA416" t="str">
            <v>INSUMOS Y SERVICIOS MEDICOS S.A.</v>
          </cell>
        </row>
        <row r="417">
          <cell r="Z417" t="str">
            <v>ENDOSCOPÍA</v>
          </cell>
          <cell r="AA417" t="str">
            <v>INSUMOS Y SERVICIOS MEDICOS S.A.</v>
          </cell>
        </row>
        <row r="418">
          <cell r="Z418" t="str">
            <v>ENDOSCOPÍA</v>
          </cell>
          <cell r="AA418" t="str">
            <v>INSUMOS Y SERVICIOS MEDICOS S.A.</v>
          </cell>
        </row>
        <row r="419">
          <cell r="Z419" t="str">
            <v>ESTERILIZACIÓN</v>
          </cell>
          <cell r="AA419" t="str">
            <v>HOSPITAL VICTORIA</v>
          </cell>
        </row>
        <row r="420">
          <cell r="Z420" t="str">
            <v>ESTERILIZACIÓN</v>
          </cell>
          <cell r="AA420" t="str">
            <v>HOSPITAL VICTORIA</v>
          </cell>
        </row>
        <row r="421">
          <cell r="Z421" t="str">
            <v>ESTERILIZACIÓN</v>
          </cell>
          <cell r="AA421" t="str">
            <v>GEMCO GENERAL MACHINERY S.A.</v>
          </cell>
        </row>
        <row r="422">
          <cell r="Z422" t="str">
            <v>ESTERILIZACIÓN</v>
          </cell>
          <cell r="AA422" t="str">
            <v>CESFAM SAN VICENTE TALCAHUANO</v>
          </cell>
        </row>
        <row r="423">
          <cell r="Z423" t="str">
            <v>ESTERILIZACIÓN</v>
          </cell>
        </row>
        <row r="424">
          <cell r="Z424" t="str">
            <v>ESTERILIZACIÓN</v>
          </cell>
          <cell r="AA424" t="str">
            <v>CESFAM EL SAUCE COQUIMBO</v>
          </cell>
        </row>
        <row r="425">
          <cell r="Z425" t="str">
            <v>ESTERILIZACIÓN</v>
          </cell>
          <cell r="AA425" t="str">
            <v>HOSPITAL DE SALAMANCA</v>
          </cell>
        </row>
        <row r="426">
          <cell r="Z426" t="str">
            <v>ESTERILIZACIÓN</v>
          </cell>
          <cell r="AA426" t="str">
            <v>CESFAM EL SAUCE COQUIMBO</v>
          </cell>
        </row>
        <row r="427">
          <cell r="Z427" t="str">
            <v>ESTERILIZACIÓN</v>
          </cell>
          <cell r="AA427" t="str">
            <v>HOSPITAL  PITRUFQUEN</v>
          </cell>
        </row>
        <row r="428">
          <cell r="Z428" t="str">
            <v>ESTERILIZACIÓN</v>
          </cell>
          <cell r="AA428" t="str">
            <v>HOSPITAL  PITRUFQUEN</v>
          </cell>
        </row>
        <row r="429">
          <cell r="Z429" t="str">
            <v>ESTERILIZACIÓN</v>
          </cell>
          <cell r="AA429" t="str">
            <v>UNIVERSIDAD DE VALPARAISO</v>
          </cell>
        </row>
        <row r="430">
          <cell r="Z430" t="str">
            <v>ESTERILIZACIÓN</v>
          </cell>
          <cell r="AA430" t="str">
            <v>UNIVERSIDAD DE VALPARAISO</v>
          </cell>
        </row>
        <row r="431">
          <cell r="Z431" t="str">
            <v>ESTERILIZACIÓN</v>
          </cell>
          <cell r="AA431" t="str">
            <v>INSUMOS Y SERVICIOS MEDICOS S.A.</v>
          </cell>
        </row>
        <row r="432">
          <cell r="Z432" t="str">
            <v>ESTERILIZACIÓN</v>
          </cell>
        </row>
        <row r="433">
          <cell r="Z433" t="str">
            <v>ESTERILIZACIÓN</v>
          </cell>
          <cell r="AA433" t="str">
            <v>HOSPITAL  PITRUFQUEN</v>
          </cell>
        </row>
        <row r="434">
          <cell r="Z434" t="str">
            <v>ESTERILIZACIÓN</v>
          </cell>
          <cell r="AA434" t="str">
            <v>SOCIEDAD CONCESIONARIA METROPOLITANA DE SALUD S.A.</v>
          </cell>
        </row>
        <row r="435">
          <cell r="Z435" t="str">
            <v>ESTERILIZACIÓN</v>
          </cell>
          <cell r="AA435" t="str">
            <v>SOCIEDAD CONCESIONARIA METROPOLITANA DE SALUD S.A.</v>
          </cell>
        </row>
        <row r="436">
          <cell r="Z436" t="str">
            <v>ESTERILIZACIÓN</v>
          </cell>
          <cell r="AA436" t="str">
            <v>HOSPITAL EXEQUIEL GONZALEZ CORTES</v>
          </cell>
        </row>
        <row r="437">
          <cell r="Z437" t="str">
            <v>ESTERILIZACIÓN</v>
          </cell>
          <cell r="AA437" t="str">
            <v>HOSPITAL NAVAL ALMIRANTE ADRIAZOLA</v>
          </cell>
        </row>
        <row r="438">
          <cell r="Z438" t="str">
            <v>ESTERILIZACIÓN</v>
          </cell>
          <cell r="AA438" t="str">
            <v>HOSPITAL EXEQUIEL GONZALEZ CORTES</v>
          </cell>
        </row>
        <row r="439">
          <cell r="Z439" t="str">
            <v>ESTERILIZACIÓN</v>
          </cell>
          <cell r="AA439" t="str">
            <v>COMPLEJO ASISTENCIAL DR.SOTERO DEL RIO</v>
          </cell>
        </row>
        <row r="440">
          <cell r="Z440" t="str">
            <v>ESTERILIZACIÓN</v>
          </cell>
          <cell r="AA440" t="str">
            <v>SOCIEDAD CONCESIONARIA METROPOLITANA DE SALUD S.A.</v>
          </cell>
        </row>
        <row r="441">
          <cell r="Z441" t="str">
            <v>ESTERILIZACIÓN</v>
          </cell>
          <cell r="AA441" t="str">
            <v>SOCIEDAD CONCESIONARIA METROPOLITANA DE SALUD S.A.</v>
          </cell>
        </row>
        <row r="442">
          <cell r="Z442" t="str">
            <v>ESTERILIZACIÓN</v>
          </cell>
          <cell r="AA442" t="str">
            <v>HOSPITAL CARLOS VAN BUREN</v>
          </cell>
        </row>
        <row r="443">
          <cell r="Z443" t="str">
            <v>ESTERILIZACIÓN</v>
          </cell>
          <cell r="AA443" t="str">
            <v>SOCIEDAD CONCESIONARIA METROPOLITANA DE SALUD S.A.</v>
          </cell>
        </row>
        <row r="444">
          <cell r="Z444" t="str">
            <v>ESTERILIZACIÓN</v>
          </cell>
          <cell r="AA444" t="str">
            <v>HOSPITAL SAN JOSÉ</v>
          </cell>
        </row>
        <row r="445">
          <cell r="Z445" t="str">
            <v>ESTERILIZACIÓN</v>
          </cell>
        </row>
        <row r="446">
          <cell r="Z446" t="str">
            <v>ESTERILIZACIÓN</v>
          </cell>
          <cell r="AA446" t="str">
            <v>INSUMOS Y SERVICIOS MEDICOS S.A.</v>
          </cell>
        </row>
        <row r="447">
          <cell r="Z447" t="str">
            <v>ESTERILIZACIÓN</v>
          </cell>
          <cell r="AA447" t="str">
            <v>INSTITUTO DE DIAGNOSTICO S.A.</v>
          </cell>
        </row>
        <row r="448">
          <cell r="Z448" t="str">
            <v>ESTERILIZACIÓN</v>
          </cell>
          <cell r="AA448" t="str">
            <v>HOSPITAL SAN JOSÉ</v>
          </cell>
        </row>
        <row r="449">
          <cell r="Z449" t="str">
            <v>ESTERILIZACIÓN</v>
          </cell>
          <cell r="AA449" t="str">
            <v>HOSPITAL SAN JOSÉ</v>
          </cell>
        </row>
        <row r="450">
          <cell r="Z450" t="str">
            <v>ESTERILIZACIÓN</v>
          </cell>
          <cell r="AA450" t="str">
            <v>HOSPITAL SAN JOSÉ</v>
          </cell>
        </row>
        <row r="451">
          <cell r="Z451" t="str">
            <v>ESTERILIZACIÓN</v>
          </cell>
          <cell r="AA451" t="str">
            <v>HOSPITAL DEL SALVADOR</v>
          </cell>
        </row>
        <row r="452">
          <cell r="Z452" t="str">
            <v>ESTERILIZACIÓN</v>
          </cell>
          <cell r="AA452" t="str">
            <v>HOSPITAL CLINICO SAN BORJA-ARRIARAN</v>
          </cell>
        </row>
        <row r="453">
          <cell r="Z453" t="str">
            <v>ESTERILIZACIÓN</v>
          </cell>
          <cell r="AA453" t="str">
            <v>HOSPITAL CLINICO SAN BORJA-ARRIARAN</v>
          </cell>
        </row>
        <row r="454">
          <cell r="Z454" t="str">
            <v>ESTERILIZACIÓN</v>
          </cell>
          <cell r="AA454" t="str">
            <v>COMPLEJO ASISTENCIAL DR.SOTERO DEL RIO</v>
          </cell>
        </row>
        <row r="455">
          <cell r="Z455" t="str">
            <v>ESTERILIZACIÓN</v>
          </cell>
          <cell r="AA455" t="str">
            <v>COMPLEJO ASISTENCIAL DR.SOTERO DEL RIO</v>
          </cell>
        </row>
        <row r="456">
          <cell r="Z456" t="str">
            <v>ESTERILIZACIÓN</v>
          </cell>
          <cell r="AA456" t="str">
            <v>INSUMOS Y SERVICIOS MEDICOS S.A.</v>
          </cell>
        </row>
        <row r="457">
          <cell r="Z457" t="str">
            <v>ESTERILIZACIÓN</v>
          </cell>
          <cell r="AA457" t="str">
            <v>CLINICA BUPA ANTOFAGASTA SA</v>
          </cell>
        </row>
        <row r="458">
          <cell r="Z458" t="str">
            <v>ESTERILIZACIÓN</v>
          </cell>
          <cell r="AA458" t="str">
            <v>INSUMOS Y SERVICIOS MEDICOS S.A.</v>
          </cell>
        </row>
        <row r="459">
          <cell r="Z459" t="str">
            <v>ESTERILIZACIÓN</v>
          </cell>
          <cell r="AA459" t="str">
            <v>INSUMOS Y SERVICIOS MEDICOS S.A.</v>
          </cell>
        </row>
        <row r="460">
          <cell r="Z460" t="str">
            <v>ESTERILIZACIÓN</v>
          </cell>
          <cell r="AA460" t="str">
            <v>HOSPITAL DE IQUIQUE</v>
          </cell>
        </row>
        <row r="461">
          <cell r="Z461" t="str">
            <v>ESTERILIZACIÓN</v>
          </cell>
          <cell r="AA461" t="str">
            <v>HOSPITAL DEL SALVADOR</v>
          </cell>
        </row>
        <row r="462">
          <cell r="Z462" t="str">
            <v>ESTERILIZACIÓN</v>
          </cell>
          <cell r="AA462" t="str">
            <v>HOSPITAL CLINICO DE LA FUERZA AEREA FACH GRAL DR RAUL YAZIGI JAUREGUI</v>
          </cell>
        </row>
        <row r="463">
          <cell r="Z463" t="str">
            <v>ESTERILIZACIÓN</v>
          </cell>
          <cell r="AA463" t="str">
            <v>HOSPITAL DEL SALVADOR</v>
          </cell>
        </row>
        <row r="464">
          <cell r="Z464" t="str">
            <v>ESTERILIZACIÓN</v>
          </cell>
          <cell r="AA464" t="str">
            <v>HOSPITAL DE PURRANQUE</v>
          </cell>
        </row>
        <row r="465">
          <cell r="Z465" t="str">
            <v>ESTERILIZACIÓN</v>
          </cell>
        </row>
        <row r="466">
          <cell r="Z466" t="str">
            <v>ESTERILIZACIÓN</v>
          </cell>
          <cell r="AA466" t="str">
            <v>CLINICA SANATORIO ALEMAN</v>
          </cell>
        </row>
        <row r="467">
          <cell r="Z467" t="str">
            <v>ESTERILIZACIÓN</v>
          </cell>
          <cell r="AA467" t="str">
            <v>I MUNICIPALIDAD DE VICUÑA</v>
          </cell>
        </row>
        <row r="468">
          <cell r="Z468" t="str">
            <v>ESTERILIZACIÓN</v>
          </cell>
          <cell r="AA468" t="str">
            <v>I MUNICIPALIDAD DE VICUÑA</v>
          </cell>
        </row>
        <row r="469">
          <cell r="Z469" t="str">
            <v>ESTERILIZACIÓN</v>
          </cell>
          <cell r="AA469" t="str">
            <v>SERVICIO DE SALUD OSORNO</v>
          </cell>
        </row>
        <row r="470">
          <cell r="Z470" t="str">
            <v>ESTERILIZACIÓN</v>
          </cell>
          <cell r="AA470" t="str">
            <v>SERVICIO DE SALUD OSORNO</v>
          </cell>
        </row>
        <row r="471">
          <cell r="Z471" t="str">
            <v>ESTERILIZACIÓN</v>
          </cell>
          <cell r="AA471" t="str">
            <v>INSUMOS Y SERVICIOS MEDICOS S.A.</v>
          </cell>
        </row>
        <row r="472">
          <cell r="Z472" t="str">
            <v>ESTERILIZACIÓN</v>
          </cell>
          <cell r="AA472" t="str">
            <v>HOSPITAL DR. GUSTAVO FRICKE</v>
          </cell>
        </row>
        <row r="473">
          <cell r="Z473" t="str">
            <v>ESTERILIZACIÓN</v>
          </cell>
          <cell r="AA473" t="str">
            <v>HOSPITAL DR. GUSTAVO FRICKE</v>
          </cell>
        </row>
        <row r="474">
          <cell r="Z474" t="str">
            <v>ESTERILIZACIÓN</v>
          </cell>
          <cell r="AA474" t="str">
            <v>HOSPITAL DE ANDACOLLO</v>
          </cell>
        </row>
        <row r="475">
          <cell r="Z475" t="str">
            <v>ESTERILIZACIÓN</v>
          </cell>
          <cell r="AA475" t="str">
            <v>CORPORACION DE AYUDA AL NIÑO QUEMADO</v>
          </cell>
        </row>
        <row r="476">
          <cell r="Z476" t="str">
            <v>ESTERILIZACIÓN</v>
          </cell>
          <cell r="AA476" t="str">
            <v>CESFAM VIOLETA PARRA (PUDAHUEL)</v>
          </cell>
        </row>
        <row r="477">
          <cell r="Z477" t="str">
            <v>ESTERILIZACIÓN</v>
          </cell>
          <cell r="AA477" t="str">
            <v>SERV DE SALUD BÍO BÍO - HOSPITAL DE HUEPIL</v>
          </cell>
        </row>
        <row r="478">
          <cell r="Z478" t="str">
            <v>ESTERILIZACIÓN</v>
          </cell>
          <cell r="AA478" t="str">
            <v>HOSPITAL DE SANTA BARBARA</v>
          </cell>
        </row>
        <row r="479">
          <cell r="Z479" t="str">
            <v>ESTERILIZACIÓN</v>
          </cell>
          <cell r="AA479" t="str">
            <v>HOSPITAL DE YUMBEL</v>
          </cell>
        </row>
        <row r="480">
          <cell r="Z480" t="str">
            <v>ESTERILIZACIÓN</v>
          </cell>
          <cell r="AA480" t="str">
            <v>HOSPITAL NACIMIENTO</v>
          </cell>
        </row>
        <row r="481">
          <cell r="Z481" t="str">
            <v>ESTERILIZACIÓN</v>
          </cell>
          <cell r="AA481" t="str">
            <v>HOSPITAL DE PURRANQUE</v>
          </cell>
        </row>
        <row r="482">
          <cell r="Z482" t="str">
            <v>ESTERILIZACIÓN</v>
          </cell>
          <cell r="AA482" t="str">
            <v>HOSPITAL DE CURANILAHUE DR. RAFAEL AVARIA</v>
          </cell>
        </row>
        <row r="483">
          <cell r="Z483" t="str">
            <v>ESTERILIZACIÓN</v>
          </cell>
          <cell r="AA483" t="str">
            <v>HOSPITAL LA LIGUA</v>
          </cell>
        </row>
        <row r="484">
          <cell r="Z484" t="str">
            <v>ESTERILIZACIÓN</v>
          </cell>
          <cell r="AA484" t="str">
            <v>INSUMOS Y SERVICIOS MEDICOS S.A.</v>
          </cell>
        </row>
        <row r="485">
          <cell r="Z485" t="str">
            <v>ESTERILIZACIÓN</v>
          </cell>
          <cell r="AA485" t="str">
            <v>HOSPITAL SAN LUIS BUIN</v>
          </cell>
        </row>
        <row r="486">
          <cell r="Z486" t="str">
            <v>ESTERILIZACIÓN</v>
          </cell>
          <cell r="AA486" t="str">
            <v>HOSPITAL  PITRUFQUEN</v>
          </cell>
        </row>
        <row r="487">
          <cell r="Z487" t="str">
            <v>ESTERILIZACIÓN</v>
          </cell>
          <cell r="AA487" t="str">
            <v>UNIVERSIDAD FINIS TERRAE</v>
          </cell>
        </row>
        <row r="488">
          <cell r="Z488" t="str">
            <v>ESTERILIZACIÓN</v>
          </cell>
          <cell r="AA488" t="str">
            <v>HOSPITAL DE QUELLON</v>
          </cell>
        </row>
        <row r="489">
          <cell r="Z489" t="str">
            <v>ESTERILIZACIÓN</v>
          </cell>
          <cell r="AA489" t="str">
            <v>HOSPITAL DE PARRAL</v>
          </cell>
        </row>
        <row r="490">
          <cell r="Z490" t="str">
            <v>ESTERILIZACIÓN</v>
          </cell>
          <cell r="AA490" t="str">
            <v>HOSPITAL SANTO TOMAS DE LIMACHE</v>
          </cell>
        </row>
        <row r="491">
          <cell r="Z491" t="str">
            <v>ESTERILIZACIÓN</v>
          </cell>
        </row>
        <row r="492">
          <cell r="Z492" t="str">
            <v>ESTERILIZACIÓN</v>
          </cell>
          <cell r="AA492" t="str">
            <v>HOSPITAL CARLOS VAN BUREN</v>
          </cell>
        </row>
        <row r="493">
          <cell r="Z493" t="str">
            <v>ESTERILIZACIÓN</v>
          </cell>
          <cell r="AA493" t="str">
            <v>HOSPITAL DE PUERTO AYSEN</v>
          </cell>
        </row>
        <row r="494">
          <cell r="Z494" t="str">
            <v>ESTERILIZACIÓN</v>
          </cell>
          <cell r="AA494" t="str">
            <v>HOSPITAL DE PUERTO AYSEN</v>
          </cell>
        </row>
        <row r="495">
          <cell r="Z495" t="str">
            <v>ESTERILIZACIÓN</v>
          </cell>
          <cell r="AA495" t="str">
            <v>UNIVERSIDAD DEL DESARROLLO CONCEPCION</v>
          </cell>
        </row>
        <row r="496">
          <cell r="Z496" t="str">
            <v>ESTERILIZACIÓN</v>
          </cell>
          <cell r="AA496" t="str">
            <v>HOSPITAL DE ANGOL</v>
          </cell>
        </row>
        <row r="497">
          <cell r="Z497" t="str">
            <v>ESTERILIZACIÓN</v>
          </cell>
          <cell r="AA497" t="str">
            <v>HOSPITAL DE QUELLON</v>
          </cell>
        </row>
        <row r="498">
          <cell r="Z498" t="str">
            <v>ESTERILIZACIÓN</v>
          </cell>
          <cell r="AA498" t="str">
            <v>HOSPITAL DE ANGOL</v>
          </cell>
        </row>
        <row r="499">
          <cell r="Z499" t="str">
            <v>ESTERILIZACIÓN</v>
          </cell>
          <cell r="AA499" t="str">
            <v>HOSPITAL DE QUILLOTA</v>
          </cell>
        </row>
        <row r="500">
          <cell r="Z500" t="str">
            <v>ESTERILIZACIÓN</v>
          </cell>
          <cell r="AA500" t="str">
            <v>HOSPITAL DE QUILLOTA</v>
          </cell>
        </row>
        <row r="501">
          <cell r="Z501" t="str">
            <v>ESTERILIZACIÓN</v>
          </cell>
          <cell r="AA501" t="str">
            <v>CONSULTORIO NORTE</v>
          </cell>
        </row>
        <row r="502">
          <cell r="Z502" t="str">
            <v>ESTERILIZACIÓN</v>
          </cell>
          <cell r="AA502" t="str">
            <v>CONSULTORIO NORTE</v>
          </cell>
        </row>
        <row r="503">
          <cell r="Z503" t="str">
            <v>ESTERILIZACIÓN</v>
          </cell>
          <cell r="AA503" t="str">
            <v>CLINICA SANATORIO ALEMAN</v>
          </cell>
        </row>
        <row r="504">
          <cell r="Z504" t="str">
            <v>ESTERILIZACIÓN</v>
          </cell>
          <cell r="AA504" t="str">
            <v>HOSPITAL EXEQUIEL GONZALEZ CORTES</v>
          </cell>
        </row>
        <row r="505">
          <cell r="Z505" t="str">
            <v>ESTERILIZACIÓN</v>
          </cell>
          <cell r="AA505" t="str">
            <v>HOSPITAL VICTORIA</v>
          </cell>
        </row>
        <row r="506">
          <cell r="Z506" t="str">
            <v>ESTERILIZACIÓN</v>
          </cell>
          <cell r="AA506" t="str">
            <v>CLINICA UNIVERSITARIA CONCEPCION</v>
          </cell>
        </row>
        <row r="507">
          <cell r="Z507" t="str">
            <v>ESTERILIZACIÓN</v>
          </cell>
          <cell r="AA507" t="str">
            <v>CLINICA HOGAR BUENA SALUD S.P.A</v>
          </cell>
        </row>
        <row r="508">
          <cell r="Z508" t="str">
            <v>ESTERILIZACIÓN</v>
          </cell>
          <cell r="AA508" t="str">
            <v>INSUMOS Y SERVICIOS MEDICOS S.A.</v>
          </cell>
        </row>
        <row r="509">
          <cell r="Z509" t="str">
            <v>ESTERILIZACIÓN</v>
          </cell>
          <cell r="AA509" t="str">
            <v>HOSPITAL EXEQUIEL GONZALEZ CORTES</v>
          </cell>
        </row>
        <row r="510">
          <cell r="Z510" t="str">
            <v>ESTERILIZACIÓN</v>
          </cell>
          <cell r="AA510" t="str">
            <v>INSUMOS Y SERVICIOS MEDICOS S.A.</v>
          </cell>
        </row>
        <row r="511">
          <cell r="Z511" t="str">
            <v>ESTERILIZACIÓN</v>
          </cell>
          <cell r="AA511" t="str">
            <v>SOCIEDAD CONCESIONARIA METROPOLITANA DE SALUD S.A.</v>
          </cell>
        </row>
        <row r="512">
          <cell r="Z512" t="str">
            <v>ESTERILIZACIÓN</v>
          </cell>
          <cell r="AA512" t="str">
            <v>CLINICA SANATORIO ALEMAN</v>
          </cell>
        </row>
        <row r="513">
          <cell r="Z513" t="str">
            <v>ESTERILIZACIÓN</v>
          </cell>
          <cell r="AA513" t="str">
            <v>HOSPITAL CLINICO DE LA FUERZA AEREA FACH GRAL DR RAUL YAZIGI JAUREGUI</v>
          </cell>
        </row>
        <row r="514">
          <cell r="Z514" t="str">
            <v>ESTERILIZACIÓN</v>
          </cell>
          <cell r="AA514" t="str">
            <v>HOSPITAL VICTORIA</v>
          </cell>
        </row>
        <row r="515">
          <cell r="Z515" t="str">
            <v>ESTERILIZACIÓN</v>
          </cell>
          <cell r="AA515" t="str">
            <v>CLINICA ANDES SALUD CONCEPCIÓN S.A.</v>
          </cell>
        </row>
        <row r="516">
          <cell r="Z516" t="str">
            <v>ESTERILIZACIÓN</v>
          </cell>
          <cell r="AA516" t="str">
            <v>UNIVERSIDAD DE LA FRONTERA</v>
          </cell>
        </row>
        <row r="517">
          <cell r="Z517" t="str">
            <v>ESTERILIZACIÓN</v>
          </cell>
          <cell r="AA517" t="str">
            <v>UNIVERSIDAD DE LA FRONTERA</v>
          </cell>
        </row>
        <row r="518">
          <cell r="Z518" t="str">
            <v>ESTERILIZACIÓN</v>
          </cell>
          <cell r="AA518" t="str">
            <v>INSUMOS Y SERVICIOS MEDICOS S.A.</v>
          </cell>
        </row>
        <row r="519">
          <cell r="Z519" t="str">
            <v>ESTERILIZACIÓN</v>
          </cell>
          <cell r="AA519" t="str">
            <v>INSUMOS Y SERVICIOS MEDICOS S.A.</v>
          </cell>
        </row>
        <row r="520">
          <cell r="Z520" t="str">
            <v>ESTERILIZACIÓN</v>
          </cell>
          <cell r="AA520" t="str">
            <v>CE LOS TILOS</v>
          </cell>
        </row>
        <row r="521">
          <cell r="Z521" t="str">
            <v>ESTERILIZACIÓN</v>
          </cell>
          <cell r="AA521" t="str">
            <v>UNIVERSIDAD DE VALPARAISO</v>
          </cell>
        </row>
        <row r="522">
          <cell r="Z522" t="str">
            <v>ESTERILIZACIÓN</v>
          </cell>
          <cell r="AA522" t="str">
            <v>UNIVERSIDAD DE VALPARAISO</v>
          </cell>
        </row>
        <row r="523">
          <cell r="Z523" t="str">
            <v>ESTERILIZACIÓN</v>
          </cell>
          <cell r="AA523" t="str">
            <v>HOSPITAL CARLOS VAN BUREN</v>
          </cell>
        </row>
        <row r="524">
          <cell r="Z524" t="str">
            <v>ESTERILIZACIÓN</v>
          </cell>
          <cell r="AA524" t="str">
            <v>CLINICA SANATORIO ALEMAN</v>
          </cell>
        </row>
        <row r="525">
          <cell r="Z525" t="str">
            <v>ESTERILIZACIÓN</v>
          </cell>
          <cell r="AA525" t="str">
            <v>SERVICIO DE SALUD OSORNO</v>
          </cell>
        </row>
        <row r="526">
          <cell r="Z526" t="str">
            <v>ESTERILIZACIÓN</v>
          </cell>
          <cell r="AA526" t="str">
            <v>HOSPITAL DE ANGOL</v>
          </cell>
        </row>
        <row r="527">
          <cell r="Z527" t="str">
            <v>ESTERILIZACIÓN</v>
          </cell>
          <cell r="AA527" t="str">
            <v>CLINICA SANATORIO ALEMAN</v>
          </cell>
        </row>
        <row r="528">
          <cell r="Z528" t="str">
            <v>ESTERILIZACIÓN</v>
          </cell>
          <cell r="AA528" t="str">
            <v>HOSPITAL REGIONAL DE ARICA DR. JUAN NOÉ CREVANI</v>
          </cell>
        </row>
        <row r="529">
          <cell r="Z529" t="str">
            <v>ESTERILIZACIÓN</v>
          </cell>
          <cell r="AA529" t="str">
            <v>HOSPITAL DR. LUIS TISNE B.</v>
          </cell>
        </row>
        <row r="530">
          <cell r="Z530" t="str">
            <v>ESTERILIZACIÓN</v>
          </cell>
          <cell r="AA530" t="str">
            <v>INSUMOS Y SERVICIOS MEDICOS S.A.</v>
          </cell>
        </row>
        <row r="531">
          <cell r="Z531" t="str">
            <v>ESTERILIZACIÓN</v>
          </cell>
          <cell r="AA531" t="str">
            <v>HOSPITAL DR. LUIS TISNE B.</v>
          </cell>
        </row>
        <row r="532">
          <cell r="Z532" t="str">
            <v>ESTERILIZACIÓN</v>
          </cell>
          <cell r="AA532" t="str">
            <v>HOSPITAL DE ANGOL</v>
          </cell>
        </row>
        <row r="533">
          <cell r="Z533" t="str">
            <v>ESTERILIZACIÓN</v>
          </cell>
          <cell r="AA533" t="str">
            <v>CE LOS TILOS</v>
          </cell>
        </row>
        <row r="534">
          <cell r="Z534" t="str">
            <v>ESTERILIZACIÓN</v>
          </cell>
        </row>
        <row r="535">
          <cell r="Z535" t="str">
            <v>ESTERILIZACIÓN</v>
          </cell>
          <cell r="AA535" t="str">
            <v>HOSPITAL DE CASTRO</v>
          </cell>
        </row>
        <row r="536">
          <cell r="Z536" t="str">
            <v>ESTERILIZACIÓN</v>
          </cell>
          <cell r="AA536" t="str">
            <v>SOCIEDAD CONCESIONARIA METROPOLITANA DE SALUD S.A.</v>
          </cell>
        </row>
        <row r="537">
          <cell r="Z537" t="str">
            <v>ESTERILIZACIÓN</v>
          </cell>
          <cell r="AA537" t="str">
            <v>HOSPITAL DE URGENCIA ASISTENCIA PUBLICA DR. ALEJ</v>
          </cell>
        </row>
        <row r="538">
          <cell r="Z538" t="str">
            <v>ESTERILIZACIÓN</v>
          </cell>
          <cell r="AA538" t="str">
            <v>HOSPITAL LA SERENA</v>
          </cell>
        </row>
        <row r="539">
          <cell r="Z539" t="str">
            <v>ESTERILIZACIÓN</v>
          </cell>
          <cell r="AA539" t="str">
            <v>HOSPITAL DE URGENCIA ASISTENCIA PUBLICA DR. ALEJ</v>
          </cell>
        </row>
        <row r="540">
          <cell r="Z540" t="str">
            <v>ESTERILIZACIÓN</v>
          </cell>
          <cell r="AA540" t="str">
            <v>HOSPITAL DE URGENCIA ASISTENCIA PUBLICA DR. ALEJ</v>
          </cell>
        </row>
        <row r="541">
          <cell r="Z541" t="str">
            <v>ESTERILIZACIÓN</v>
          </cell>
          <cell r="AA541" t="str">
            <v>SOCIEDAD CONCESIONARIA METROPOLITANA DE SALUD S.A.</v>
          </cell>
        </row>
        <row r="542">
          <cell r="Z542" t="str">
            <v>ESTERILIZACIÓN</v>
          </cell>
          <cell r="AA542" t="str">
            <v>COMPLEJO ASISTENCIAL DR.SOTERO DEL RIO</v>
          </cell>
        </row>
        <row r="543">
          <cell r="Z543" t="str">
            <v>ESTERILIZACIÓN</v>
          </cell>
        </row>
        <row r="544">
          <cell r="Z544" t="str">
            <v>ESTERILIZACIÓN</v>
          </cell>
          <cell r="AA544" t="str">
            <v>CLINICA LAS CONDES S.A.</v>
          </cell>
        </row>
        <row r="545">
          <cell r="Z545" t="str">
            <v>ESTERILIZACIÓN</v>
          </cell>
          <cell r="AA545" t="str">
            <v>CLINICA LAS CONDES S.A.</v>
          </cell>
        </row>
        <row r="546">
          <cell r="Z546" t="str">
            <v>ESTERILIZACIÓN</v>
          </cell>
          <cell r="AA546" t="str">
            <v>CLINICA LAS CONDES S.A.</v>
          </cell>
        </row>
        <row r="547">
          <cell r="Z547" t="str">
            <v>ESTERILIZACIÓN</v>
          </cell>
          <cell r="AA547" t="str">
            <v>CLINICA BIO-BIO S.A.</v>
          </cell>
        </row>
        <row r="548">
          <cell r="Z548" t="str">
            <v>ESTERILIZACIÓN</v>
          </cell>
        </row>
        <row r="549">
          <cell r="Z549" t="str">
            <v>ESTERILIZACIÓN</v>
          </cell>
          <cell r="AA549" t="str">
            <v>CLINICA BIO-BIO S.A.</v>
          </cell>
        </row>
        <row r="550">
          <cell r="Z550" t="str">
            <v>ESTERILIZACIÓN</v>
          </cell>
        </row>
        <row r="551">
          <cell r="Z551" t="str">
            <v>ESTERILIZACIÓN</v>
          </cell>
          <cell r="AA551" t="str">
            <v>POLICIA DE INVESTIGACIONES DE CHILE</v>
          </cell>
        </row>
        <row r="552">
          <cell r="Z552" t="str">
            <v>ESTERILIZACIÓN</v>
          </cell>
        </row>
        <row r="553">
          <cell r="Z553" t="str">
            <v>ESTERILIZACIÓN</v>
          </cell>
        </row>
        <row r="554">
          <cell r="Z554" t="str">
            <v>ESTERILIZACIÓN</v>
          </cell>
          <cell r="AA554" t="str">
            <v>COMPLEJO ASISTENCIAL DR.SOTERO DEL RIO</v>
          </cell>
        </row>
        <row r="555">
          <cell r="Z555" t="str">
            <v>ESTERILIZACIÓN</v>
          </cell>
        </row>
        <row r="556">
          <cell r="Z556" t="str">
            <v>ESTERILIZACIÓN</v>
          </cell>
          <cell r="AA556" t="str">
            <v>HOSPITAL LUIS CALVO MACKENNA</v>
          </cell>
        </row>
        <row r="557">
          <cell r="Z557" t="str">
            <v>ESTERILIZACIÓN</v>
          </cell>
        </row>
        <row r="558">
          <cell r="Z558" t="str">
            <v>ESTERILIZACIÓN</v>
          </cell>
          <cell r="AA558" t="str">
            <v>ODONTOESTETICA</v>
          </cell>
        </row>
        <row r="559">
          <cell r="Z559" t="str">
            <v>ESTERILIZACIÓN</v>
          </cell>
        </row>
        <row r="560">
          <cell r="Z560" t="str">
            <v>ESTERILIZACIÓN</v>
          </cell>
          <cell r="AA560" t="str">
            <v>LA ARAUCANA SALUD S.A.</v>
          </cell>
        </row>
        <row r="561">
          <cell r="Z561" t="str">
            <v>ESTERILIZACIÓN</v>
          </cell>
          <cell r="AA561" t="str">
            <v>GOBIERNO REGIONAL LIBERTADOR BDO. O'HIGGINS</v>
          </cell>
        </row>
        <row r="562">
          <cell r="Z562" t="str">
            <v>ESTERILIZACIÓN</v>
          </cell>
        </row>
        <row r="563">
          <cell r="Z563" t="str">
            <v>ESTERILIZACIÓN</v>
          </cell>
          <cell r="AA563" t="str">
            <v>SERVICIO DE SALUD ÑUBLE</v>
          </cell>
        </row>
        <row r="564">
          <cell r="Z564" t="str">
            <v>ESTERILIZACIÓN</v>
          </cell>
        </row>
        <row r="565">
          <cell r="Z565" t="str">
            <v>ESTERILIZACIÓN</v>
          </cell>
        </row>
        <row r="566">
          <cell r="Z566" t="str">
            <v>ESTERILIZACIÓN</v>
          </cell>
          <cell r="AA566" t="str">
            <v>GEMCO GENERAL MACHINERY S.A.</v>
          </cell>
        </row>
        <row r="567">
          <cell r="Z567" t="str">
            <v>ESTERILIZACIÓN</v>
          </cell>
        </row>
        <row r="568">
          <cell r="Z568" t="str">
            <v>ESTERILIZACIÓN</v>
          </cell>
        </row>
        <row r="569">
          <cell r="Z569" t="str">
            <v>ESTERILIZACIÓN</v>
          </cell>
          <cell r="AA569" t="str">
            <v>GEMCO GENERAL MACHINERY S.A.</v>
          </cell>
        </row>
        <row r="570">
          <cell r="Z570" t="str">
            <v>ESTERILIZACIÓN</v>
          </cell>
          <cell r="AA570" t="str">
            <v>GEMCO GENERAL MACHINERY S.A.</v>
          </cell>
        </row>
        <row r="571">
          <cell r="Z571" t="str">
            <v>ESTERILIZACIÓN</v>
          </cell>
        </row>
        <row r="572">
          <cell r="Z572" t="str">
            <v>ESTERILIZACIÓN</v>
          </cell>
        </row>
        <row r="573">
          <cell r="Z573" t="str">
            <v>ESTERILIZACIÓN</v>
          </cell>
        </row>
        <row r="574">
          <cell r="Z574" t="str">
            <v>ESTERILIZACIÓN</v>
          </cell>
        </row>
        <row r="575">
          <cell r="Z575" t="str">
            <v>ESTERILIZACIÓN</v>
          </cell>
        </row>
        <row r="576">
          <cell r="Z576" t="str">
            <v>ESTERILIZACIÓN</v>
          </cell>
        </row>
        <row r="577">
          <cell r="Z577" t="str">
            <v>ESTERILIZACIÓN</v>
          </cell>
        </row>
        <row r="578">
          <cell r="Z578" t="str">
            <v>ESTERILIZACIÓN</v>
          </cell>
        </row>
        <row r="579">
          <cell r="Z579" t="str">
            <v>ESTERILIZACIÓN</v>
          </cell>
        </row>
        <row r="580">
          <cell r="Z580" t="str">
            <v>ESTERILIZACIÓN</v>
          </cell>
        </row>
        <row r="581">
          <cell r="Z581" t="str">
            <v>ESTERILIZACIÓN</v>
          </cell>
        </row>
        <row r="582">
          <cell r="Z582" t="str">
            <v>ESTERILIZACIÓN</v>
          </cell>
          <cell r="AA582" t="str">
            <v>ODONTOLOGIA GARCIA TOMASSOVICH S.A.</v>
          </cell>
        </row>
        <row r="583">
          <cell r="Z583" t="str">
            <v>ESTERILIZACIÓN</v>
          </cell>
          <cell r="AA583" t="str">
            <v>INSTITUTO DE SALUD PUBLICA</v>
          </cell>
        </row>
        <row r="584">
          <cell r="Z584" t="str">
            <v>ESTERILIZACIÓN</v>
          </cell>
        </row>
        <row r="585">
          <cell r="Z585" t="str">
            <v>ESTERILIZACIÓN</v>
          </cell>
        </row>
        <row r="586">
          <cell r="Z586" t="str">
            <v>ESTERILIZACIÓN</v>
          </cell>
        </row>
        <row r="587">
          <cell r="Z587" t="str">
            <v>ESTERILIZACIÓN</v>
          </cell>
        </row>
        <row r="588">
          <cell r="Z588" t="str">
            <v>ESTERILIZACIÓN</v>
          </cell>
        </row>
        <row r="589">
          <cell r="Z589" t="str">
            <v>ESTERILIZACIÓN</v>
          </cell>
        </row>
        <row r="590">
          <cell r="Z590" t="str">
            <v>ESTERILIZACIÓN</v>
          </cell>
        </row>
        <row r="591">
          <cell r="Z591" t="str">
            <v>ESTERILIZACIÓN</v>
          </cell>
        </row>
        <row r="592">
          <cell r="Z592" t="str">
            <v>ESTERILIZACIÓN</v>
          </cell>
        </row>
        <row r="593">
          <cell r="Z593" t="str">
            <v>ESTERILIZACIÓN</v>
          </cell>
        </row>
        <row r="594">
          <cell r="Z594" t="str">
            <v>ESTERILIZACIÓN</v>
          </cell>
          <cell r="AA594" t="str">
            <v>HOSPITAL DE TOME</v>
          </cell>
        </row>
        <row r="595">
          <cell r="Z595" t="str">
            <v>ESTERILIZACIÓN</v>
          </cell>
          <cell r="AA595" t="str">
            <v>GEMCO GENERAL MACHINERY S.A.</v>
          </cell>
        </row>
        <row r="596">
          <cell r="Z596" t="str">
            <v>ESTERILIZACIÓN</v>
          </cell>
          <cell r="AA596" t="str">
            <v>ODONTOLOGIA GARCIA TOMASSOVICH S.A.</v>
          </cell>
        </row>
        <row r="597">
          <cell r="Z597" t="str">
            <v>ESTERILIZACIÓN</v>
          </cell>
        </row>
        <row r="598">
          <cell r="Z598" t="str">
            <v>ESTERILIZACIÓN</v>
          </cell>
        </row>
        <row r="599">
          <cell r="Z599" t="str">
            <v>ESTERILIZACIÓN</v>
          </cell>
        </row>
        <row r="600">
          <cell r="Z600" t="str">
            <v>ESTERILIZACIÓN</v>
          </cell>
        </row>
        <row r="601">
          <cell r="Z601" t="str">
            <v>ESTERILIZACIÓN</v>
          </cell>
          <cell r="AA601" t="str">
            <v>FUND. DE DESARROLLO EDUC. Y TECN. LA ARAUCARIA</v>
          </cell>
        </row>
        <row r="602">
          <cell r="Z602" t="str">
            <v>ESTERILIZACIÓN</v>
          </cell>
        </row>
        <row r="603">
          <cell r="Z603" t="str">
            <v>ESTERILIZACIÓN</v>
          </cell>
          <cell r="AA603" t="str">
            <v>INTEGRAMEDICA EL TREBOL</v>
          </cell>
        </row>
        <row r="604">
          <cell r="Z604" t="str">
            <v>ESTERILIZACIÓN</v>
          </cell>
          <cell r="AA604" t="str">
            <v>INTEGRAMEDICA EL TREBOL</v>
          </cell>
        </row>
        <row r="605">
          <cell r="Z605" t="str">
            <v>ESTERILIZACIÓN</v>
          </cell>
        </row>
        <row r="606">
          <cell r="Z606" t="str">
            <v>ESTERILIZACIÓN</v>
          </cell>
        </row>
        <row r="607">
          <cell r="Z607" t="str">
            <v>ESTERILIZACIÓN</v>
          </cell>
          <cell r="AA607" t="str">
            <v>NORDEN  SEDE PEÑALOLEN</v>
          </cell>
        </row>
        <row r="608">
          <cell r="Z608" t="str">
            <v>ESTERILIZACIÓN</v>
          </cell>
        </row>
        <row r="609">
          <cell r="Z609" t="str">
            <v>ESTERILIZACIÓN</v>
          </cell>
        </row>
        <row r="610">
          <cell r="Z610" t="str">
            <v>ESTERILIZACIÓN</v>
          </cell>
          <cell r="AA610" t="str">
            <v>INGENIERIA Y CONSTRUCCION COPAYAPU LIMITADA</v>
          </cell>
        </row>
        <row r="611">
          <cell r="Z611" t="str">
            <v>ESTERILIZACIÓN</v>
          </cell>
          <cell r="AA611" t="str">
            <v>UNIVERSIDAD SAN SEBASTIAN</v>
          </cell>
        </row>
        <row r="612">
          <cell r="Z612" t="str">
            <v>ESTERILIZACIÓN</v>
          </cell>
        </row>
        <row r="613">
          <cell r="Z613" t="str">
            <v>ESTERILIZACIÓN</v>
          </cell>
        </row>
        <row r="614">
          <cell r="Z614" t="str">
            <v>ESTERILIZACIÓN</v>
          </cell>
          <cell r="AA614" t="str">
            <v>POLICIA DE INVESTIGACIONES DE CHILE</v>
          </cell>
        </row>
        <row r="615">
          <cell r="Z615" t="str">
            <v>ESTERILIZACIÓN</v>
          </cell>
        </row>
        <row r="616">
          <cell r="Z616" t="str">
            <v>ESTERILIZACIÓN</v>
          </cell>
        </row>
        <row r="617">
          <cell r="Z617" t="str">
            <v>ESTERILIZACIÓN</v>
          </cell>
        </row>
        <row r="618">
          <cell r="Z618" t="str">
            <v>ESTERILIZACIÓN</v>
          </cell>
        </row>
        <row r="619">
          <cell r="Z619" t="str">
            <v>ESTERILIZACIÓN</v>
          </cell>
        </row>
        <row r="620">
          <cell r="Z620" t="str">
            <v>ESTERILIZACIÓN</v>
          </cell>
        </row>
        <row r="621">
          <cell r="Z621" t="str">
            <v>ESTERILIZACIÓN</v>
          </cell>
        </row>
        <row r="622">
          <cell r="Z622" t="str">
            <v>ESTERILIZACIÓN</v>
          </cell>
        </row>
        <row r="623">
          <cell r="Z623" t="str">
            <v>ESTERILIZACIÓN</v>
          </cell>
        </row>
        <row r="624">
          <cell r="Z624" t="str">
            <v>ESTERILIZACIÓN</v>
          </cell>
        </row>
        <row r="625">
          <cell r="Z625" t="str">
            <v>ESTERILIZACIÓN</v>
          </cell>
        </row>
        <row r="626">
          <cell r="Z626" t="str">
            <v>ESTERILIZACIÓN</v>
          </cell>
        </row>
        <row r="627">
          <cell r="Z627" t="str">
            <v>ESTERILIZACIÓN</v>
          </cell>
        </row>
        <row r="628">
          <cell r="Z628" t="str">
            <v>ESTERILIZACIÓN</v>
          </cell>
          <cell r="AA628" t="str">
            <v>GOBIERNO REGIONAL LIBERTADOR BDO. O'HIGGINS</v>
          </cell>
        </row>
        <row r="629">
          <cell r="Z629" t="str">
            <v>ESTERILIZACIÓN</v>
          </cell>
          <cell r="AA629" t="str">
            <v>SERVICIO DE SALUD DEL MAULE</v>
          </cell>
        </row>
        <row r="630">
          <cell r="Z630" t="str">
            <v>ESTERILIZACIÓN</v>
          </cell>
          <cell r="AA630" t="str">
            <v>SERVICIO DE SALUD DEL MAULE</v>
          </cell>
        </row>
        <row r="631">
          <cell r="Z631" t="str">
            <v>ESTERILIZACIÓN</v>
          </cell>
          <cell r="AA631" t="str">
            <v>GOBIERNO REGIONAL LIBERTADOR BDO. O'HIGGINS</v>
          </cell>
        </row>
        <row r="632">
          <cell r="Z632" t="str">
            <v>ESTERILIZACIÓN</v>
          </cell>
          <cell r="AA632" t="str">
            <v>UNIVERSIDAD SAN SEBASTIAN</v>
          </cell>
        </row>
        <row r="633">
          <cell r="Z633" t="str">
            <v>ESTERILIZACIÓN</v>
          </cell>
        </row>
        <row r="634">
          <cell r="Z634" t="str">
            <v>ESTERILIZACIÓN</v>
          </cell>
          <cell r="AA634" t="str">
            <v>GEMCO GENERAL MACHINERY S.A.</v>
          </cell>
        </row>
        <row r="635">
          <cell r="Z635" t="str">
            <v>ESTERILIZACIÓN</v>
          </cell>
        </row>
        <row r="636">
          <cell r="Z636" t="str">
            <v>ESTERILIZACIÓN</v>
          </cell>
          <cell r="AA636" t="str">
            <v>GEMCO GENERAL MACHINERY S.A.</v>
          </cell>
        </row>
        <row r="637">
          <cell r="Z637" t="str">
            <v>ESTERILIZACIÓN</v>
          </cell>
          <cell r="AA637" t="str">
            <v>GEMCO GENERAL MACHINERY S.A.</v>
          </cell>
        </row>
        <row r="638">
          <cell r="Z638" t="str">
            <v>ESTERILIZACIÓN</v>
          </cell>
          <cell r="AA638" t="str">
            <v>GEMCO GENERAL MACHINERY S.A.</v>
          </cell>
        </row>
        <row r="639">
          <cell r="Z639" t="str">
            <v>ESTERILIZACIÓN</v>
          </cell>
        </row>
        <row r="640">
          <cell r="Z640" t="str">
            <v>ESTERILIZACIÓN</v>
          </cell>
          <cell r="AA640" t="str">
            <v>POLICIA DE INVESTIGACIONES DE CHILE</v>
          </cell>
        </row>
        <row r="641">
          <cell r="Z641" t="str">
            <v>ESTERILIZACIÓN</v>
          </cell>
        </row>
        <row r="642">
          <cell r="Z642" t="str">
            <v>ESTERILIZACIÓN</v>
          </cell>
        </row>
        <row r="643">
          <cell r="Z643" t="str">
            <v>ESTERILIZACIÓN</v>
          </cell>
        </row>
        <row r="644">
          <cell r="Z644" t="str">
            <v>ESTERILIZACIÓN</v>
          </cell>
        </row>
        <row r="645">
          <cell r="Z645" t="str">
            <v>ESTERILIZACIÓN</v>
          </cell>
          <cell r="AA645" t="str">
            <v>GEMCO GENERAL MACHINERY S.A.</v>
          </cell>
        </row>
        <row r="646">
          <cell r="Z646" t="str">
            <v>ESTERILIZACIÓN</v>
          </cell>
        </row>
        <row r="647">
          <cell r="Z647" t="str">
            <v>ESTERILIZACIÓN</v>
          </cell>
        </row>
        <row r="648">
          <cell r="Z648" t="str">
            <v>ESTERILIZACIÓN</v>
          </cell>
        </row>
        <row r="649">
          <cell r="Z649" t="str">
            <v>ESTERILIZACIÓN</v>
          </cell>
          <cell r="AA649" t="str">
            <v>GEMCO GENERAL MACHINERY S.A.</v>
          </cell>
        </row>
        <row r="650">
          <cell r="Z650" t="str">
            <v>ESTERILIZACIÓN</v>
          </cell>
        </row>
        <row r="651">
          <cell r="Z651" t="str">
            <v>ESTERILIZACIÓN</v>
          </cell>
          <cell r="AA651" t="str">
            <v>GEMCO GENERAL MACHINERY S.A.</v>
          </cell>
        </row>
        <row r="652">
          <cell r="Z652" t="str">
            <v>ESTERILIZACIÓN</v>
          </cell>
        </row>
        <row r="653">
          <cell r="Z653" t="str">
            <v>ESTERILIZACIÓN</v>
          </cell>
        </row>
        <row r="654">
          <cell r="Z654" t="str">
            <v>ESTERILIZACIÓN</v>
          </cell>
        </row>
        <row r="655">
          <cell r="Z655" t="str">
            <v>ESTERILIZACIÓN</v>
          </cell>
          <cell r="AA655" t="str">
            <v>VICTOR PATRICIO CANALES BURGOS</v>
          </cell>
        </row>
        <row r="656">
          <cell r="Z656" t="str">
            <v>ESTERILIZACIÓN</v>
          </cell>
        </row>
        <row r="657">
          <cell r="Z657" t="str">
            <v>ESTERILIZACIÓN</v>
          </cell>
        </row>
        <row r="658">
          <cell r="Z658" t="str">
            <v>ESTERILIZACIÓN</v>
          </cell>
        </row>
        <row r="659">
          <cell r="Z659" t="str">
            <v>ESTERILIZACIÓN</v>
          </cell>
        </row>
        <row r="660">
          <cell r="Z660" t="str">
            <v>ESTERILIZACIÓN</v>
          </cell>
          <cell r="AA660" t="str">
            <v>POLICIA DE INVESTIGACIONES ANTOFAGASTA</v>
          </cell>
        </row>
        <row r="661">
          <cell r="Z661" t="str">
            <v>ESTERILIZACIÓN</v>
          </cell>
          <cell r="AA661" t="str">
            <v>CESFAM PEDRO PULGAR MELGAREJO</v>
          </cell>
        </row>
        <row r="662">
          <cell r="Z662" t="str">
            <v>ESTERILIZACIÓN</v>
          </cell>
        </row>
        <row r="663">
          <cell r="Z663" t="str">
            <v>ESTERILIZACIÓN</v>
          </cell>
        </row>
        <row r="664">
          <cell r="Z664" t="str">
            <v>ESTERILIZACIÓN</v>
          </cell>
        </row>
        <row r="665">
          <cell r="Z665" t="str">
            <v>ESTERILIZACIÓN</v>
          </cell>
        </row>
        <row r="666">
          <cell r="Z666" t="str">
            <v>ESTERILIZACIÓN</v>
          </cell>
          <cell r="AA666" t="str">
            <v>HOSPITAL DE HUASCO</v>
          </cell>
        </row>
        <row r="667">
          <cell r="Z667" t="str">
            <v>ESTERILIZACIÓN</v>
          </cell>
        </row>
        <row r="668">
          <cell r="Z668" t="str">
            <v>ESTERILIZACIÓN</v>
          </cell>
        </row>
        <row r="669">
          <cell r="Z669" t="str">
            <v>ESTERILIZACIÓN</v>
          </cell>
          <cell r="AA669" t="str">
            <v>CLINICA ORTHODENT</v>
          </cell>
        </row>
        <row r="670">
          <cell r="Z670" t="str">
            <v>ESTERILIZACIÓN</v>
          </cell>
        </row>
        <row r="671">
          <cell r="Z671" t="str">
            <v>ESTERILIZACIÓN</v>
          </cell>
        </row>
        <row r="672">
          <cell r="Z672" t="str">
            <v>ESTERILIZACIÓN</v>
          </cell>
          <cell r="AA672" t="str">
            <v>GEMCO GENERAL MACHINERY S.A.</v>
          </cell>
        </row>
        <row r="673">
          <cell r="Z673" t="str">
            <v>ESTERILIZACIÓN</v>
          </cell>
          <cell r="AA673" t="str">
            <v>NORDEN</v>
          </cell>
        </row>
        <row r="674">
          <cell r="Z674" t="str">
            <v>ESTERILIZACIÓN</v>
          </cell>
        </row>
        <row r="675">
          <cell r="Z675" t="str">
            <v>ESTERILIZACIÓN</v>
          </cell>
        </row>
        <row r="676">
          <cell r="Z676" t="str">
            <v>ESTERILIZACIÓN</v>
          </cell>
        </row>
        <row r="677">
          <cell r="Z677" t="str">
            <v>ESTERILIZACIÓN</v>
          </cell>
          <cell r="AA677" t="str">
            <v>LABORATORIO CLINICO CENTRAL KOJCHEN Y COMPANIA LIMITADA</v>
          </cell>
        </row>
        <row r="678">
          <cell r="Z678" t="str">
            <v>ESTERILIZACIÓN</v>
          </cell>
          <cell r="AA678" t="str">
            <v>CESFAM PEDRO PULGAR MELGAREJO</v>
          </cell>
        </row>
        <row r="679">
          <cell r="Z679" t="str">
            <v>ESTERILIZACIÓN</v>
          </cell>
          <cell r="AA679" t="str">
            <v>CESFAM PEDRO PULGAR MELGAREJO</v>
          </cell>
        </row>
        <row r="680">
          <cell r="Z680" t="str">
            <v>ESTERILIZACIÓN</v>
          </cell>
          <cell r="AA680" t="str">
            <v>CESFAM PEDRO PULGAR MELGAREJO</v>
          </cell>
        </row>
        <row r="681">
          <cell r="Z681" t="str">
            <v>ESTERILIZACIÓN</v>
          </cell>
        </row>
        <row r="682">
          <cell r="Z682" t="str">
            <v>ESTERILIZACIÓN</v>
          </cell>
          <cell r="AA682" t="str">
            <v>CESFAM PEDRO PULGAR MELGAREJO</v>
          </cell>
        </row>
        <row r="683">
          <cell r="Z683" t="str">
            <v>ESTERILIZACIÓN</v>
          </cell>
        </row>
        <row r="684">
          <cell r="Z684" t="str">
            <v>ESTERILIZACIÓN</v>
          </cell>
        </row>
        <row r="685">
          <cell r="Z685" t="str">
            <v>ESTERILIZACIÓN</v>
          </cell>
          <cell r="AA685" t="str">
            <v>CESFAM PEDRO PULGAR MELGAREJO</v>
          </cell>
        </row>
        <row r="686">
          <cell r="Z686" t="str">
            <v>ESTERILIZACIÓN</v>
          </cell>
          <cell r="AA686" t="str">
            <v>CESFAM PEDRO PULGAR MELGAREJO</v>
          </cell>
        </row>
        <row r="687">
          <cell r="Z687" t="str">
            <v>ESTERILIZACIÓN</v>
          </cell>
        </row>
        <row r="688">
          <cell r="Z688" t="str">
            <v>ESTERILIZACIÓN</v>
          </cell>
        </row>
        <row r="689">
          <cell r="Z689" t="str">
            <v>ESTERILIZACIÓN</v>
          </cell>
        </row>
        <row r="690">
          <cell r="Z690" t="str">
            <v>ESTERILIZACIÓN</v>
          </cell>
        </row>
        <row r="691">
          <cell r="Z691" t="str">
            <v>ESTERILIZACIÓN</v>
          </cell>
        </row>
        <row r="692">
          <cell r="Z692" t="str">
            <v>ESTERILIZACIÓN</v>
          </cell>
        </row>
        <row r="693">
          <cell r="Z693" t="str">
            <v>ESTERILIZACIÓN</v>
          </cell>
        </row>
        <row r="694">
          <cell r="Z694" t="str">
            <v>ESTERILIZACIÓN</v>
          </cell>
        </row>
        <row r="695">
          <cell r="Z695" t="str">
            <v>ESTERILIZACIÓN</v>
          </cell>
        </row>
        <row r="696">
          <cell r="Z696" t="str">
            <v>ESTERILIZACIÓN</v>
          </cell>
          <cell r="AA696" t="str">
            <v>FUND. DE DESARROLLO EDUC. Y TECN. LA ARAUCARIA</v>
          </cell>
        </row>
        <row r="697">
          <cell r="Z697" t="str">
            <v>ESTERILIZACIÓN</v>
          </cell>
        </row>
        <row r="698">
          <cell r="Z698" t="str">
            <v>ESTERILIZACIÓN</v>
          </cell>
        </row>
        <row r="699">
          <cell r="Z699" t="str">
            <v>ESTERILIZACIÓN</v>
          </cell>
        </row>
        <row r="700">
          <cell r="Z700" t="str">
            <v>ESTERILIZACIÓN</v>
          </cell>
        </row>
        <row r="701">
          <cell r="Z701" t="str">
            <v>ESTERILIZACIÓN</v>
          </cell>
        </row>
        <row r="702">
          <cell r="Z702" t="str">
            <v>ESTERILIZACIÓN</v>
          </cell>
        </row>
        <row r="703">
          <cell r="Z703" t="str">
            <v>ESTERILIZACIÓN</v>
          </cell>
        </row>
        <row r="704">
          <cell r="Z704" t="str">
            <v>ESTERILIZACIÓN</v>
          </cell>
        </row>
        <row r="705">
          <cell r="Z705" t="str">
            <v>ESTERILIZACIÓN</v>
          </cell>
          <cell r="AA705" t="str">
            <v>SERVICIOS ODONTOLOGICOS BRIDENT LTDA</v>
          </cell>
        </row>
        <row r="706">
          <cell r="Z706" t="str">
            <v>ESTERILIZACIÓN</v>
          </cell>
          <cell r="AA706" t="str">
            <v>HOSPITAL REGIONAL DE ARICA DR. JUAN NOÉ CREVANI</v>
          </cell>
        </row>
        <row r="707">
          <cell r="Z707" t="str">
            <v>ESTERILIZACIÓN</v>
          </cell>
          <cell r="AA707" t="str">
            <v>NORDEN</v>
          </cell>
        </row>
        <row r="708">
          <cell r="Z708" t="str">
            <v>ESTERILIZACIÓN</v>
          </cell>
        </row>
        <row r="709">
          <cell r="Z709" t="str">
            <v>ESTERILIZACIÓN</v>
          </cell>
          <cell r="AA709" t="str">
            <v>DIPRECA FONDO HOSPITAL</v>
          </cell>
        </row>
        <row r="710">
          <cell r="Z710" t="str">
            <v>ESTERILIZACIÓN</v>
          </cell>
        </row>
        <row r="711">
          <cell r="Z711" t="str">
            <v>ESTERILIZACIÓN</v>
          </cell>
        </row>
        <row r="712">
          <cell r="Z712" t="str">
            <v>ESTERILIZACIÓN</v>
          </cell>
          <cell r="AA712" t="str">
            <v>DIRECCION DE PREVISION DE CARABINEROS D.CHILE</v>
          </cell>
        </row>
        <row r="713">
          <cell r="Z713" t="str">
            <v>ESTERILIZACIÓN</v>
          </cell>
        </row>
        <row r="714">
          <cell r="Z714" t="str">
            <v>ESTERILIZACIÓN</v>
          </cell>
        </row>
        <row r="715">
          <cell r="Z715" t="str">
            <v>ESTERILIZACIÓN</v>
          </cell>
          <cell r="AA715" t="str">
            <v>DIPRECA FONDO HOSPITAL</v>
          </cell>
        </row>
        <row r="716">
          <cell r="Z716" t="str">
            <v>ESTERILIZACIÓN</v>
          </cell>
          <cell r="AA716" t="str">
            <v>DIPRECA FONDO HOSPITAL</v>
          </cell>
        </row>
        <row r="717">
          <cell r="Z717" t="str">
            <v>ESTERILIZACIÓN</v>
          </cell>
        </row>
        <row r="718">
          <cell r="Z718" t="str">
            <v>ESTERILIZACIÓN</v>
          </cell>
          <cell r="AA718" t="str">
            <v>DIPRECA FONDO HOSPITAL</v>
          </cell>
        </row>
        <row r="719">
          <cell r="Z719" t="str">
            <v>ESTERILIZACIÓN</v>
          </cell>
          <cell r="AA719" t="str">
            <v>DIPRECA FONDO HOSPITAL</v>
          </cell>
        </row>
        <row r="720">
          <cell r="Z720" t="str">
            <v>ESTERILIZACIÓN</v>
          </cell>
          <cell r="AA720" t="str">
            <v>DIPRECA FONDO HOSPITAL</v>
          </cell>
        </row>
        <row r="721">
          <cell r="Z721" t="str">
            <v>ESTERILIZACIÓN</v>
          </cell>
          <cell r="AA721" t="str">
            <v>CARABINEROS CHILLAN</v>
          </cell>
        </row>
        <row r="722">
          <cell r="Z722" t="str">
            <v>ESTERILIZACIÓN</v>
          </cell>
          <cell r="AA722" t="str">
            <v>DIPRECA FONDO HOSPITAL</v>
          </cell>
        </row>
        <row r="723">
          <cell r="Z723" t="str">
            <v>ESTERILIZACIÓN</v>
          </cell>
          <cell r="AA723" t="str">
            <v>DIPRECA FONDO HOSPITAL</v>
          </cell>
        </row>
        <row r="724">
          <cell r="Z724" t="str">
            <v>ESTERILIZACIÓN</v>
          </cell>
          <cell r="AA724" t="str">
            <v>DIPRECA FONDO HOSPITAL</v>
          </cell>
        </row>
        <row r="725">
          <cell r="Z725" t="str">
            <v>ESTERILIZACIÓN</v>
          </cell>
          <cell r="AA725" t="str">
            <v>DIPRECA FONDO HOSPITAL</v>
          </cell>
        </row>
        <row r="726">
          <cell r="Z726" t="str">
            <v>ESTERILIZACIÓN</v>
          </cell>
        </row>
        <row r="727">
          <cell r="Z727" t="str">
            <v>ESTERILIZACIÓN</v>
          </cell>
          <cell r="AA727" t="str">
            <v>DIPRECA FONDO HOSPITAL</v>
          </cell>
        </row>
        <row r="728">
          <cell r="Z728" t="str">
            <v>ESTERILIZACIÓN</v>
          </cell>
        </row>
        <row r="729">
          <cell r="Z729" t="str">
            <v>ESTERILIZACIÓN</v>
          </cell>
        </row>
        <row r="730">
          <cell r="Z730" t="str">
            <v>ESTERILIZACIÓN</v>
          </cell>
          <cell r="AA730" t="str">
            <v>DIPRECA FONDO HOSPITAL</v>
          </cell>
        </row>
        <row r="731">
          <cell r="Z731" t="str">
            <v>ESTERILIZACIÓN</v>
          </cell>
          <cell r="AA731" t="str">
            <v>DIPRECA FONDO HOSPITAL</v>
          </cell>
        </row>
        <row r="732">
          <cell r="Z732" t="str">
            <v>ESTERILIZACIÓN</v>
          </cell>
          <cell r="AA732" t="str">
            <v>DIPRECA FONDO HOSPITAL</v>
          </cell>
        </row>
        <row r="733">
          <cell r="Z733" t="str">
            <v>ESTERILIZACIÓN</v>
          </cell>
          <cell r="AA733" t="str">
            <v>DIPRECA FONDO HOSPITAL</v>
          </cell>
        </row>
        <row r="734">
          <cell r="Z734" t="str">
            <v>ESTERILIZACIÓN</v>
          </cell>
          <cell r="AA734" t="str">
            <v>DIPRECA FONDO HOSPITAL</v>
          </cell>
        </row>
        <row r="735">
          <cell r="Z735" t="str">
            <v>ESTERILIZACIÓN</v>
          </cell>
        </row>
        <row r="736">
          <cell r="Z736" t="str">
            <v>ESTERILIZACIÓN</v>
          </cell>
          <cell r="AA736" t="str">
            <v>GEMCO GENERAL MACHINERY S.A.</v>
          </cell>
        </row>
        <row r="737">
          <cell r="Z737" t="str">
            <v>ESTERILIZACIÓN</v>
          </cell>
        </row>
        <row r="738">
          <cell r="Z738" t="str">
            <v>ESTERILIZACIÓN</v>
          </cell>
        </row>
        <row r="739">
          <cell r="Z739" t="str">
            <v>ESTERILIZACIÓN</v>
          </cell>
        </row>
        <row r="740">
          <cell r="Z740" t="str">
            <v>ESTERILIZACIÓN</v>
          </cell>
          <cell r="AA740" t="str">
            <v>HOSPITAL COMPLEJO ASISTENCIAL PADRE LAS CASAS</v>
          </cell>
        </row>
        <row r="741">
          <cell r="Z741" t="str">
            <v>ESTERILIZACIÓN</v>
          </cell>
        </row>
        <row r="742">
          <cell r="Z742" t="str">
            <v>ESTERILIZACIÓN</v>
          </cell>
        </row>
        <row r="743">
          <cell r="Z743" t="str">
            <v>ESTERILIZACIÓN</v>
          </cell>
        </row>
        <row r="744">
          <cell r="Z744" t="str">
            <v>ESTERILIZACIÓN</v>
          </cell>
        </row>
        <row r="745">
          <cell r="Z745" t="str">
            <v>ESTERILIZACIÓN</v>
          </cell>
        </row>
        <row r="746">
          <cell r="Z746" t="str">
            <v>ESTERILIZACIÓN</v>
          </cell>
          <cell r="AA746" t="str">
            <v>CLINICA ORTHODENT</v>
          </cell>
        </row>
        <row r="747">
          <cell r="Z747" t="str">
            <v>ESTERILIZACIÓN</v>
          </cell>
        </row>
        <row r="748">
          <cell r="Z748" t="str">
            <v>ESTERILIZACIÓN</v>
          </cell>
        </row>
        <row r="749">
          <cell r="Z749" t="str">
            <v>ESTERILIZACIÓN</v>
          </cell>
          <cell r="AA749" t="str">
            <v>I.MUNICIPALIDAD DE CURICO DPTO. SALUD</v>
          </cell>
        </row>
        <row r="750">
          <cell r="Z750" t="str">
            <v>ESTERILIZACIÓN</v>
          </cell>
        </row>
        <row r="751">
          <cell r="Z751" t="str">
            <v>ESTERILIZACIÓN</v>
          </cell>
        </row>
        <row r="752">
          <cell r="Z752" t="str">
            <v>ESTERILIZACIÓN</v>
          </cell>
        </row>
        <row r="753">
          <cell r="Z753" t="str">
            <v>ESTERILIZACIÓN</v>
          </cell>
        </row>
        <row r="754">
          <cell r="Z754" t="str">
            <v>ESTERILIZACIÓN</v>
          </cell>
        </row>
        <row r="755">
          <cell r="Z755" t="str">
            <v>ESTERILIZACIÓN</v>
          </cell>
          <cell r="AA755" t="str">
            <v>HOSPITAL DE IQUIQUE</v>
          </cell>
        </row>
        <row r="756">
          <cell r="Z756" t="str">
            <v>ESTERILIZACIÓN</v>
          </cell>
        </row>
        <row r="757">
          <cell r="Z757" t="str">
            <v>ESTERILIZACIÓN</v>
          </cell>
          <cell r="AA757" t="str">
            <v>GENDARMERIA DE CHILE</v>
          </cell>
        </row>
        <row r="758">
          <cell r="Z758" t="str">
            <v>ESTERILIZACIÓN</v>
          </cell>
          <cell r="AA758" t="str">
            <v>GENDARMERIA DE CHILE</v>
          </cell>
        </row>
        <row r="759">
          <cell r="Z759" t="str">
            <v>ESTERILIZACIÓN</v>
          </cell>
          <cell r="AA759" t="str">
            <v>GENDARMERIA DE CHILE</v>
          </cell>
        </row>
        <row r="760">
          <cell r="Z760" t="str">
            <v>ESTERILIZACIÓN</v>
          </cell>
          <cell r="AA760" t="str">
            <v>GENDARMERIA DE CHILE</v>
          </cell>
        </row>
        <row r="761">
          <cell r="Z761" t="str">
            <v>ESTERILIZACIÓN</v>
          </cell>
          <cell r="AA761" t="str">
            <v>GENDARMERIA DE CHILE</v>
          </cell>
        </row>
        <row r="762">
          <cell r="Z762" t="str">
            <v>ESTERILIZACIÓN</v>
          </cell>
          <cell r="AA762" t="str">
            <v>GENDARMERIA DE CHILE</v>
          </cell>
        </row>
        <row r="763">
          <cell r="Z763" t="str">
            <v>ESTERILIZACIÓN</v>
          </cell>
          <cell r="AA763" t="str">
            <v>GENDARMERIA DE CHILE</v>
          </cell>
        </row>
        <row r="764">
          <cell r="Z764" t="str">
            <v>ESTERILIZACIÓN</v>
          </cell>
          <cell r="AA764" t="str">
            <v>GENDARMERIA DE CHILE</v>
          </cell>
        </row>
        <row r="765">
          <cell r="Z765" t="str">
            <v>ESTERILIZACIÓN</v>
          </cell>
          <cell r="AA765" t="str">
            <v>GENDARMERIA DE CHILE</v>
          </cell>
        </row>
        <row r="766">
          <cell r="Z766" t="str">
            <v>ESTERILIZACIÓN</v>
          </cell>
          <cell r="AA766" t="str">
            <v>GENDARMERIA DE CHILE</v>
          </cell>
        </row>
        <row r="767">
          <cell r="Z767" t="str">
            <v>ESTERILIZACIÓN</v>
          </cell>
          <cell r="AA767" t="str">
            <v>GENDARMERIA DE CHILE</v>
          </cell>
        </row>
        <row r="768">
          <cell r="Z768" t="str">
            <v>ESTERILIZACIÓN</v>
          </cell>
          <cell r="AA768" t="str">
            <v>GENDARMERIA DE CHILE</v>
          </cell>
        </row>
        <row r="769">
          <cell r="Z769" t="str">
            <v>ESTERILIZACIÓN</v>
          </cell>
        </row>
        <row r="770">
          <cell r="Z770" t="str">
            <v>ESTERILIZACIÓN</v>
          </cell>
          <cell r="AA770" t="str">
            <v>I. MUNICIPALIDAD DE PAINE</v>
          </cell>
        </row>
        <row r="771">
          <cell r="Z771" t="str">
            <v>ESTERILIZACIÓN</v>
          </cell>
          <cell r="AA771" t="str">
            <v>GENDARMERIA DE CHILE</v>
          </cell>
        </row>
        <row r="772">
          <cell r="Z772" t="str">
            <v>ESTERILIZACIÓN</v>
          </cell>
          <cell r="AA772" t="str">
            <v>GENDARMERIA DE CHILE</v>
          </cell>
        </row>
        <row r="773">
          <cell r="Z773" t="str">
            <v>ESTERILIZACIÓN</v>
          </cell>
          <cell r="AA773" t="str">
            <v>GENDARMERIA DE CHILE</v>
          </cell>
        </row>
        <row r="774">
          <cell r="Z774" t="str">
            <v>ESTERILIZACIÓN</v>
          </cell>
        </row>
        <row r="775">
          <cell r="Z775" t="str">
            <v>ESTERILIZACIÓN</v>
          </cell>
          <cell r="AA775" t="str">
            <v>GENDARMERIA DE CHILE</v>
          </cell>
        </row>
        <row r="776">
          <cell r="Z776" t="str">
            <v>ESTERILIZACIÓN</v>
          </cell>
          <cell r="AA776" t="str">
            <v>GENDARMERIA DE CHILE</v>
          </cell>
        </row>
        <row r="777">
          <cell r="Z777" t="str">
            <v>ESTERILIZACIÓN</v>
          </cell>
          <cell r="AA777" t="str">
            <v>GENDARMERIA DE CHILE</v>
          </cell>
        </row>
        <row r="778">
          <cell r="Z778" t="str">
            <v>ESTERILIZACIÓN</v>
          </cell>
        </row>
        <row r="779">
          <cell r="Z779" t="str">
            <v>ESTERILIZACIÓN</v>
          </cell>
        </row>
        <row r="780">
          <cell r="Z780" t="str">
            <v>ESTERILIZACIÓN</v>
          </cell>
        </row>
        <row r="781">
          <cell r="Z781" t="str">
            <v>ESTERILIZACIÓN</v>
          </cell>
        </row>
        <row r="782">
          <cell r="Z782" t="str">
            <v>ESTERILIZACIÓN</v>
          </cell>
        </row>
        <row r="783">
          <cell r="Z783" t="str">
            <v>ESTERILIZACIÓN</v>
          </cell>
          <cell r="AA783" t="str">
            <v>HOSPITAL NAVAL ALMIRANTE ADRIAZOLA</v>
          </cell>
        </row>
        <row r="784">
          <cell r="Z784" t="str">
            <v>ESTERILIZACIÓN</v>
          </cell>
          <cell r="AA784" t="str">
            <v>GEMCO GENERAL MACHINERY S.A.</v>
          </cell>
        </row>
        <row r="785">
          <cell r="Z785" t="str">
            <v>ESTERILIZACIÓN</v>
          </cell>
          <cell r="AA785" t="str">
            <v>GEMCO GENERAL MACHINERY S.A.</v>
          </cell>
        </row>
        <row r="786">
          <cell r="Z786" t="str">
            <v>ESTERILIZACIÓN</v>
          </cell>
          <cell r="AA786" t="str">
            <v>CESFAM ALEMANIA</v>
          </cell>
        </row>
        <row r="787">
          <cell r="Z787" t="str">
            <v>ESTERILIZACIÓN</v>
          </cell>
        </row>
        <row r="788">
          <cell r="Z788" t="str">
            <v>ESTERILIZACIÓN</v>
          </cell>
        </row>
        <row r="789">
          <cell r="Z789" t="str">
            <v>ESTERILIZACIÓN</v>
          </cell>
        </row>
        <row r="790">
          <cell r="Z790" t="str">
            <v>ESTERILIZACIÓN</v>
          </cell>
        </row>
        <row r="791">
          <cell r="Z791" t="str">
            <v>ESTERILIZACIÓN</v>
          </cell>
        </row>
        <row r="792">
          <cell r="Z792" t="str">
            <v>ESTERILIZACIÓN</v>
          </cell>
        </row>
        <row r="793">
          <cell r="Z793" t="str">
            <v>ESTERILIZACIÓN</v>
          </cell>
        </row>
        <row r="794">
          <cell r="Z794" t="str">
            <v>ESTERILIZACIÓN</v>
          </cell>
        </row>
        <row r="795">
          <cell r="Z795" t="str">
            <v>ESTERILIZACIÓN</v>
          </cell>
        </row>
        <row r="796">
          <cell r="Z796" t="str">
            <v>ESTERILIZACIÓN</v>
          </cell>
        </row>
        <row r="797">
          <cell r="Z797" t="str">
            <v>ESTERILIZACIÓN</v>
          </cell>
        </row>
        <row r="798">
          <cell r="Z798" t="str">
            <v>ESTERILIZACIÓN</v>
          </cell>
        </row>
        <row r="799">
          <cell r="Z799" t="str">
            <v>ESTERILIZACIÓN</v>
          </cell>
        </row>
        <row r="800">
          <cell r="Z800" t="str">
            <v>ESTERILIZACIÓN</v>
          </cell>
          <cell r="AA800" t="str">
            <v>CESFAM ALEMANIA</v>
          </cell>
        </row>
        <row r="801">
          <cell r="Z801" t="str">
            <v>ESTERILIZACIÓN</v>
          </cell>
          <cell r="AA801" t="str">
            <v>CESFAM ALEMANIA</v>
          </cell>
        </row>
        <row r="802">
          <cell r="Z802" t="str">
            <v>ESTERILIZACIÓN</v>
          </cell>
        </row>
        <row r="803">
          <cell r="Z803" t="str">
            <v>ESTERILIZACIÓN</v>
          </cell>
        </row>
        <row r="804">
          <cell r="Z804" t="str">
            <v>ESTERILIZACIÓN</v>
          </cell>
        </row>
        <row r="805">
          <cell r="Z805" t="str">
            <v>ESTERILIZACIÓN</v>
          </cell>
          <cell r="AA805" t="str">
            <v>CESFAM ALEMANIA</v>
          </cell>
        </row>
        <row r="806">
          <cell r="Z806" t="str">
            <v>ESTERILIZACIÓN</v>
          </cell>
        </row>
        <row r="807">
          <cell r="Z807" t="str">
            <v>ESTERILIZACIÓN</v>
          </cell>
        </row>
        <row r="808">
          <cell r="Z808" t="str">
            <v>ESTERILIZACIÓN</v>
          </cell>
        </row>
        <row r="809">
          <cell r="Z809" t="str">
            <v>ESTERILIZACIÓN</v>
          </cell>
        </row>
        <row r="810">
          <cell r="Z810" t="str">
            <v>ESTERILIZACIÓN</v>
          </cell>
        </row>
        <row r="811">
          <cell r="Z811" t="str">
            <v>ESTERILIZACIÓN</v>
          </cell>
        </row>
        <row r="812">
          <cell r="Z812" t="str">
            <v>ESTERILIZACIÓN</v>
          </cell>
          <cell r="AA812" t="str">
            <v>GEMCO GENERAL MACHINERY S.A.</v>
          </cell>
        </row>
        <row r="813">
          <cell r="Z813" t="str">
            <v>ESTERILIZACIÓN</v>
          </cell>
          <cell r="AA813" t="str">
            <v>GEMCO GENERAL MACHINERY S.A.</v>
          </cell>
        </row>
        <row r="814">
          <cell r="Z814" t="str">
            <v>ESTERILIZACIÓN</v>
          </cell>
        </row>
        <row r="815">
          <cell r="Z815" t="str">
            <v>ESTERILIZACIÓN</v>
          </cell>
        </row>
        <row r="816">
          <cell r="Z816" t="str">
            <v>ESTERILIZACIÓN</v>
          </cell>
          <cell r="AA816" t="str">
            <v>CESFAM SAN RAFAEL</v>
          </cell>
        </row>
        <row r="817">
          <cell r="Z817" t="str">
            <v>ESTERILIZACIÓN</v>
          </cell>
        </row>
        <row r="818">
          <cell r="Z818" t="str">
            <v>ESTERILIZACIÓN</v>
          </cell>
          <cell r="AA818" t="str">
            <v>GEMCO GENERAL MACHINERY S.A.</v>
          </cell>
        </row>
        <row r="819">
          <cell r="Z819" t="str">
            <v>ESTERILIZACIÓN</v>
          </cell>
          <cell r="AA819" t="str">
            <v>CESFAM FAUSTINO GONZALEZ</v>
          </cell>
        </row>
        <row r="820">
          <cell r="Z820" t="str">
            <v>ESTERILIZACIÓN</v>
          </cell>
          <cell r="AA820" t="str">
            <v>CLINICA ORTHODENT</v>
          </cell>
        </row>
        <row r="821">
          <cell r="Z821" t="str">
            <v>ESTERILIZACIÓN</v>
          </cell>
          <cell r="AA821" t="str">
            <v>CLINICA ORTHODENT</v>
          </cell>
        </row>
        <row r="822">
          <cell r="Z822" t="str">
            <v>ESTERILIZACIÓN</v>
          </cell>
        </row>
        <row r="823">
          <cell r="Z823" t="str">
            <v>ESTERILIZACIÓN</v>
          </cell>
        </row>
        <row r="824">
          <cell r="Z824" t="str">
            <v>ESTERILIZACIÓN</v>
          </cell>
        </row>
        <row r="825">
          <cell r="Z825" t="str">
            <v>ESTERILIZACIÓN</v>
          </cell>
        </row>
        <row r="826">
          <cell r="Z826" t="str">
            <v>ESTERILIZACIÓN</v>
          </cell>
        </row>
        <row r="827">
          <cell r="Z827" t="str">
            <v>ESTERILIZACIÓN</v>
          </cell>
        </row>
        <row r="828">
          <cell r="Z828" t="str">
            <v>ESTERILIZACIÓN</v>
          </cell>
        </row>
        <row r="829">
          <cell r="Z829" t="str">
            <v>ESTERILIZACIÓN</v>
          </cell>
        </row>
        <row r="830">
          <cell r="Z830" t="str">
            <v>ESTERILIZACIÓN</v>
          </cell>
        </row>
        <row r="831">
          <cell r="Z831" t="str">
            <v>ESTERILIZACIÓN</v>
          </cell>
          <cell r="AA831" t="str">
            <v>FUND. DE DESARROLLO EDUC. Y TECN. LA ARAUCARIA</v>
          </cell>
        </row>
        <row r="832">
          <cell r="Z832" t="str">
            <v>ESTERILIZACIÓN</v>
          </cell>
          <cell r="AA832" t="str">
            <v>CLINICA LAS CONDES S.A.</v>
          </cell>
        </row>
        <row r="833">
          <cell r="Z833" t="str">
            <v>ESTERILIZACIÓN</v>
          </cell>
        </row>
        <row r="834">
          <cell r="Z834" t="str">
            <v>ESTERILIZACIÓN</v>
          </cell>
          <cell r="AA834" t="str">
            <v>SERVICIOS CLINICOS DEL DESARROLLO S.A</v>
          </cell>
        </row>
        <row r="835">
          <cell r="Z835" t="str">
            <v>ESTERILIZACIÓN</v>
          </cell>
          <cell r="AA835" t="str">
            <v>EJERCITO DE CHILE CENTRAL ODONTOLOGICA D</v>
          </cell>
        </row>
        <row r="836">
          <cell r="Z836" t="str">
            <v>ESTERILIZACIÓN</v>
          </cell>
          <cell r="AA836" t="str">
            <v>FUND. DE DESARROLLO EDUC. Y TECN. LA ARAUCARIA</v>
          </cell>
        </row>
        <row r="837">
          <cell r="Z837" t="str">
            <v>ESTERILIZACIÓN</v>
          </cell>
        </row>
        <row r="838">
          <cell r="Z838" t="str">
            <v>ESTERILIZACIÓN</v>
          </cell>
        </row>
        <row r="839">
          <cell r="Z839" t="str">
            <v>ESTERILIZACIÓN</v>
          </cell>
          <cell r="AA839" t="str">
            <v>GEMCO GENERAL MACHINERY S.A.</v>
          </cell>
        </row>
        <row r="840">
          <cell r="Z840" t="str">
            <v>ESTERILIZACIÓN</v>
          </cell>
        </row>
        <row r="841">
          <cell r="Z841" t="str">
            <v>ESTERILIZACIÓN</v>
          </cell>
        </row>
        <row r="842">
          <cell r="Z842" t="str">
            <v>ESTERILIZACIÓN</v>
          </cell>
        </row>
        <row r="843">
          <cell r="Z843" t="str">
            <v>ESTERILIZACIÓN</v>
          </cell>
          <cell r="AA843" t="str">
            <v>I.MUNICIPALIDAD DE LA UNION</v>
          </cell>
        </row>
        <row r="844">
          <cell r="Z844" t="str">
            <v>ESTERILIZACIÓN</v>
          </cell>
        </row>
        <row r="845">
          <cell r="Z845" t="str">
            <v>ESTERILIZACIÓN</v>
          </cell>
        </row>
        <row r="846">
          <cell r="Z846" t="str">
            <v>ESTERILIZACIÓN</v>
          </cell>
        </row>
        <row r="847">
          <cell r="Z847" t="str">
            <v>ESTERILIZACIÓN</v>
          </cell>
        </row>
        <row r="848">
          <cell r="Z848" t="str">
            <v>ESTERILIZACIÓN</v>
          </cell>
          <cell r="AA848" t="str">
            <v>INSUMOS Y SERVICIOS MEDICOS S.A.</v>
          </cell>
        </row>
        <row r="849">
          <cell r="Z849" t="str">
            <v>ESTERILIZACIÓN</v>
          </cell>
        </row>
        <row r="850">
          <cell r="Z850" t="str">
            <v>ESTERILIZACIÓN</v>
          </cell>
          <cell r="AA850" t="str">
            <v>I.MUNICIPALIDAD DE LA UNION</v>
          </cell>
        </row>
        <row r="851">
          <cell r="Z851" t="str">
            <v>ESTERILIZACIÓN</v>
          </cell>
        </row>
        <row r="852">
          <cell r="Z852" t="str">
            <v>ESTERILIZACIÓN</v>
          </cell>
        </row>
        <row r="853">
          <cell r="Z853" t="str">
            <v>ESTERILIZACIÓN</v>
          </cell>
        </row>
        <row r="854">
          <cell r="Z854" t="str">
            <v>ESTERILIZACIÓN</v>
          </cell>
        </row>
        <row r="855">
          <cell r="Z855" t="str">
            <v>ESTERILIZACIÓN</v>
          </cell>
        </row>
        <row r="856">
          <cell r="Z856" t="str">
            <v>ESTERILIZACIÓN</v>
          </cell>
        </row>
        <row r="857">
          <cell r="Z857" t="str">
            <v>ESTERILIZACIÓN</v>
          </cell>
          <cell r="AA857" t="str">
            <v>UNIVERSIDAD SAN SEBASTIAN</v>
          </cell>
        </row>
        <row r="858">
          <cell r="Z858" t="str">
            <v>ESTERILIZACIÓN</v>
          </cell>
        </row>
        <row r="859">
          <cell r="Z859" t="str">
            <v>ESTERILIZACIÓN</v>
          </cell>
        </row>
        <row r="860">
          <cell r="Z860" t="str">
            <v>ESTERILIZACIÓN</v>
          </cell>
        </row>
        <row r="861">
          <cell r="Z861" t="str">
            <v>ESTERILIZACIÓN</v>
          </cell>
        </row>
        <row r="862">
          <cell r="Z862" t="str">
            <v>ESTERILIZACIÓN</v>
          </cell>
          <cell r="AA862" t="str">
            <v>ILUSTRE MUNICIPALIDAD DE LOS ALAMOS - DEPTO. SALUD</v>
          </cell>
        </row>
        <row r="863">
          <cell r="Z863" t="str">
            <v>ESTERILIZACIÓN</v>
          </cell>
        </row>
        <row r="864">
          <cell r="Z864" t="str">
            <v>ESTERILIZACIÓN</v>
          </cell>
          <cell r="AA864" t="str">
            <v>I. MUNICIPALIDAD DE QUILLOTA DPTO. SALUD</v>
          </cell>
        </row>
        <row r="865">
          <cell r="Z865" t="str">
            <v>ESTERILIZACIÓN</v>
          </cell>
          <cell r="AA865" t="str">
            <v>UNIVERSIDAD SAN SEBASTIAN</v>
          </cell>
        </row>
        <row r="866">
          <cell r="Z866" t="str">
            <v>ESTERILIZACIÓN</v>
          </cell>
          <cell r="AA866" t="str">
            <v>FUND. DE DESARROLLO EDUC. Y TECN. LA ARAUCARIA</v>
          </cell>
        </row>
        <row r="867">
          <cell r="Z867" t="str">
            <v>ESTERILIZACIÓN</v>
          </cell>
        </row>
        <row r="868">
          <cell r="Z868" t="str">
            <v>ESTERILIZACIÓN</v>
          </cell>
        </row>
        <row r="869">
          <cell r="Z869" t="str">
            <v>ESTERILIZACIÓN</v>
          </cell>
        </row>
        <row r="870">
          <cell r="Z870" t="str">
            <v>ESTERILIZACIÓN</v>
          </cell>
        </row>
        <row r="871">
          <cell r="Z871" t="str">
            <v>ESTERILIZACIÓN</v>
          </cell>
        </row>
        <row r="872">
          <cell r="Z872" t="str">
            <v>ESTERILIZACIÓN</v>
          </cell>
        </row>
        <row r="873">
          <cell r="Z873" t="str">
            <v>ESTERILIZACIÓN</v>
          </cell>
          <cell r="AA873" t="str">
            <v>UNIVERSIDAD DE VALPARAISO</v>
          </cell>
        </row>
        <row r="874">
          <cell r="Z874" t="str">
            <v>ESTERILIZACIÓN</v>
          </cell>
          <cell r="AA874" t="str">
            <v>GEMCO GENERAL MACHINERY S.A.</v>
          </cell>
        </row>
        <row r="875">
          <cell r="Z875" t="str">
            <v>ESTERILIZACIÓN</v>
          </cell>
        </row>
        <row r="876">
          <cell r="Z876" t="str">
            <v>ESTERILIZACIÓN</v>
          </cell>
          <cell r="AA876" t="str">
            <v>GEMCO GENERAL MACHINERY S.A.</v>
          </cell>
        </row>
        <row r="877">
          <cell r="Z877" t="str">
            <v>ESTERILIZACIÓN</v>
          </cell>
          <cell r="AA877" t="str">
            <v>GEMCO GENERAL MACHINERY S.A.</v>
          </cell>
        </row>
        <row r="878">
          <cell r="Z878" t="str">
            <v>ESTERILIZACIÓN</v>
          </cell>
        </row>
        <row r="879">
          <cell r="Z879" t="str">
            <v>ESTERILIZACIÓN</v>
          </cell>
        </row>
        <row r="880">
          <cell r="Z880" t="str">
            <v>ESTERILIZACIÓN</v>
          </cell>
          <cell r="AA880" t="str">
            <v>GEMCO GENERAL MACHINERY S.A.</v>
          </cell>
        </row>
        <row r="881">
          <cell r="Z881" t="str">
            <v>ESTERILIZACIÓN</v>
          </cell>
        </row>
        <row r="882">
          <cell r="Z882" t="str">
            <v>ESTERILIZACIÓN</v>
          </cell>
        </row>
        <row r="883">
          <cell r="Z883" t="str">
            <v>ESTERILIZACIÓN</v>
          </cell>
          <cell r="AA883" t="str">
            <v>EJERCITO DE CHILE CENTRAL ODONTOLOGICA D</v>
          </cell>
        </row>
        <row r="884">
          <cell r="Z884" t="str">
            <v>ESTERILIZACIÓN</v>
          </cell>
        </row>
        <row r="885">
          <cell r="Z885" t="str">
            <v>ESTERILIZACIÓN</v>
          </cell>
        </row>
        <row r="886">
          <cell r="Z886" t="str">
            <v>ESTERILIZACIÓN</v>
          </cell>
          <cell r="AA886" t="str">
            <v>GEMCO GENERAL MACHINERY S.A.</v>
          </cell>
        </row>
        <row r="887">
          <cell r="Z887" t="str">
            <v>ESTERILIZACIÓN</v>
          </cell>
          <cell r="AA887" t="str">
            <v>GEMCO GENERAL MACHINERY S.A.</v>
          </cell>
        </row>
        <row r="888">
          <cell r="Z888" t="str">
            <v>ESTERILIZACIÓN</v>
          </cell>
          <cell r="AA888" t="str">
            <v>CESFAM N° 2 RANCAGUA</v>
          </cell>
        </row>
        <row r="889">
          <cell r="Z889" t="str">
            <v>ESTERILIZACIÓN</v>
          </cell>
        </row>
        <row r="890">
          <cell r="Z890" t="str">
            <v>ESTERILIZACIÓN</v>
          </cell>
          <cell r="AA890" t="str">
            <v>HOSPITAL BARROS LUCO TRUDEAU</v>
          </cell>
        </row>
        <row r="891">
          <cell r="Z891" t="str">
            <v>ESTERILIZACIÓN</v>
          </cell>
        </row>
        <row r="892">
          <cell r="Z892" t="str">
            <v>ESTERILIZACIÓN</v>
          </cell>
          <cell r="AA892" t="str">
            <v>UNIVERSIDAD SAN SEBASTIAN</v>
          </cell>
        </row>
        <row r="893">
          <cell r="Z893" t="str">
            <v>ESTERILIZACIÓN</v>
          </cell>
        </row>
        <row r="894">
          <cell r="Z894" t="str">
            <v>ESTERILIZACIÓN</v>
          </cell>
          <cell r="AA894" t="str">
            <v>UNIVERSIDAD SAN SEBASTIAN</v>
          </cell>
        </row>
        <row r="895">
          <cell r="Z895" t="str">
            <v>ESTERILIZACIÓN</v>
          </cell>
        </row>
        <row r="896">
          <cell r="Z896" t="str">
            <v>ESTERILIZACIÓN</v>
          </cell>
          <cell r="AA896" t="str">
            <v>UNIVERSIDAD SAN SEBASTIAN</v>
          </cell>
        </row>
        <row r="897">
          <cell r="Z897" t="str">
            <v>ESTERILIZACIÓN</v>
          </cell>
        </row>
        <row r="898">
          <cell r="Z898" t="str">
            <v>ESTERILIZACIÓN</v>
          </cell>
        </row>
        <row r="899">
          <cell r="Z899" t="str">
            <v>ESTERILIZACIÓN</v>
          </cell>
        </row>
        <row r="900">
          <cell r="Z900" t="str">
            <v>ESTERILIZACIÓN</v>
          </cell>
        </row>
        <row r="901">
          <cell r="Z901" t="str">
            <v>ESTERILIZACIÓN</v>
          </cell>
        </row>
        <row r="902">
          <cell r="Z902" t="str">
            <v>ESTERILIZACIÓN</v>
          </cell>
        </row>
        <row r="903">
          <cell r="Z903" t="str">
            <v>ESTERILIZACIÓN</v>
          </cell>
        </row>
        <row r="904">
          <cell r="Z904" t="str">
            <v>ESTERILIZACIÓN</v>
          </cell>
          <cell r="AA904" t="str">
            <v>UNIVERSIDAD ARTURO PRAT</v>
          </cell>
        </row>
        <row r="905">
          <cell r="Z905" t="str">
            <v>ESTERILIZACIÓN</v>
          </cell>
        </row>
        <row r="906">
          <cell r="Z906" t="str">
            <v>ESTERILIZACIÓN</v>
          </cell>
        </row>
        <row r="907">
          <cell r="Z907" t="str">
            <v>ESTERILIZACIÓN</v>
          </cell>
          <cell r="AA907" t="str">
            <v>CESFAM YERBAS BUENAS</v>
          </cell>
        </row>
        <row r="908">
          <cell r="Z908" t="str">
            <v>ESTERILIZACIÓN</v>
          </cell>
        </row>
        <row r="909">
          <cell r="Z909" t="str">
            <v>ESTERILIZACIÓN</v>
          </cell>
        </row>
        <row r="910">
          <cell r="Z910" t="str">
            <v>ESTERILIZACIÓN</v>
          </cell>
          <cell r="AA910" t="str">
            <v>GEMCO GENERAL MACHINERY S.A.</v>
          </cell>
        </row>
        <row r="911">
          <cell r="Z911" t="str">
            <v>ESTERILIZACIÓN</v>
          </cell>
          <cell r="AA911" t="str">
            <v>UNIVERSIDAD DEL DESARROLLO CONCEPCION</v>
          </cell>
        </row>
        <row r="912">
          <cell r="Z912" t="str">
            <v>ESTERILIZACIÓN</v>
          </cell>
        </row>
        <row r="913">
          <cell r="Z913" t="str">
            <v>ESTERILIZACIÓN</v>
          </cell>
          <cell r="AA913" t="str">
            <v>HOSPITAL DR. HERNAN HENRIQUEZ ARAVENA</v>
          </cell>
        </row>
        <row r="914">
          <cell r="Z914" t="str">
            <v>ESTERILIZACIÓN</v>
          </cell>
        </row>
        <row r="915">
          <cell r="Z915" t="str">
            <v>ESTERILIZACIÓN</v>
          </cell>
        </row>
        <row r="916">
          <cell r="Z916" t="str">
            <v>ESTERILIZACIÓN</v>
          </cell>
          <cell r="AA916" t="str">
            <v>HOSPITAL DE TOME</v>
          </cell>
        </row>
        <row r="917">
          <cell r="Z917" t="str">
            <v>ESTERILIZACIÓN</v>
          </cell>
          <cell r="AA917" t="str">
            <v>GEMCO GENERAL MACHINERY S.A.</v>
          </cell>
        </row>
        <row r="918">
          <cell r="Z918" t="str">
            <v>ESTERILIZACIÓN</v>
          </cell>
          <cell r="AA918" t="str">
            <v>SERVICIO DE SALUD OSORNO</v>
          </cell>
        </row>
        <row r="919">
          <cell r="Z919" t="str">
            <v>ESTERILIZACIÓN</v>
          </cell>
        </row>
        <row r="920">
          <cell r="Z920" t="str">
            <v>ESTERILIZACIÓN</v>
          </cell>
        </row>
        <row r="921">
          <cell r="Z921" t="str">
            <v>ESTERILIZACIÓN</v>
          </cell>
          <cell r="AA921" t="str">
            <v>HOSPITAL CLINICO DE MAGALLANES</v>
          </cell>
        </row>
        <row r="922">
          <cell r="Z922" t="str">
            <v>ESTERILIZACIÓN</v>
          </cell>
          <cell r="AA922" t="str">
            <v>HOSPITAL CLINICO DE MAGALLANES</v>
          </cell>
        </row>
        <row r="923">
          <cell r="Z923" t="str">
            <v>ESTERILIZACIÓN</v>
          </cell>
        </row>
        <row r="924">
          <cell r="Z924" t="str">
            <v>ESTERILIZACIÓN</v>
          </cell>
        </row>
        <row r="925">
          <cell r="Z925" t="str">
            <v>ESTERILIZACIÓN</v>
          </cell>
        </row>
        <row r="926">
          <cell r="Z926" t="str">
            <v>ESTERILIZACIÓN</v>
          </cell>
        </row>
        <row r="927">
          <cell r="Z927" t="str">
            <v>ESTERILIZACIÓN</v>
          </cell>
        </row>
        <row r="928">
          <cell r="Z928" t="str">
            <v>ESTERILIZACIÓN</v>
          </cell>
          <cell r="AA928" t="str">
            <v>CESFAM NORPONIENTE DE CALAMA</v>
          </cell>
        </row>
        <row r="929">
          <cell r="Z929" t="str">
            <v>ESTERILIZACIÓN</v>
          </cell>
        </row>
        <row r="930">
          <cell r="Z930" t="str">
            <v>ESTERILIZACIÓN</v>
          </cell>
          <cell r="AA930" t="str">
            <v>CESFAM BOCA SUR</v>
          </cell>
        </row>
        <row r="931">
          <cell r="Z931" t="str">
            <v>ESTERILIZACIÓN</v>
          </cell>
        </row>
        <row r="932">
          <cell r="Z932" t="str">
            <v>ESTERILIZACIÓN</v>
          </cell>
        </row>
        <row r="933">
          <cell r="Z933" t="str">
            <v>ESTERILIZACIÓN</v>
          </cell>
        </row>
        <row r="934">
          <cell r="Z934" t="str">
            <v>ESTERILIZACIÓN</v>
          </cell>
        </row>
        <row r="935">
          <cell r="Z935" t="str">
            <v>ESTERILIZACIÓN</v>
          </cell>
          <cell r="AA935" t="str">
            <v>CESFAM LOS CERROS</v>
          </cell>
        </row>
        <row r="936">
          <cell r="Z936" t="str">
            <v>ESTERILIZACIÓN</v>
          </cell>
          <cell r="AA936" t="str">
            <v>CESFAM MAGISTERIO, TALCA</v>
          </cell>
        </row>
        <row r="937">
          <cell r="Z937" t="str">
            <v>ESTERILIZACIÓN</v>
          </cell>
        </row>
        <row r="938">
          <cell r="Z938" t="str">
            <v>ESTERILIZACIÓN</v>
          </cell>
        </row>
        <row r="939">
          <cell r="Z939" t="str">
            <v>ESTERILIZACIÓN</v>
          </cell>
        </row>
        <row r="940">
          <cell r="Z940" t="str">
            <v>ESTERILIZACIÓN</v>
          </cell>
        </row>
        <row r="941">
          <cell r="Z941" t="str">
            <v>ESTERILIZACIÓN</v>
          </cell>
        </row>
        <row r="942">
          <cell r="Z942" t="str">
            <v>ESTERILIZACIÓN</v>
          </cell>
        </row>
        <row r="943">
          <cell r="Z943" t="str">
            <v>ESTERILIZACIÓN</v>
          </cell>
          <cell r="AA943" t="str">
            <v>EJERCITO DE CHILE CENTRAL ODONTOLOGICA D</v>
          </cell>
        </row>
        <row r="944">
          <cell r="Z944" t="str">
            <v>ESTERILIZACIÓN</v>
          </cell>
        </row>
        <row r="945">
          <cell r="Z945" t="str">
            <v>ESTERILIZACIÓN</v>
          </cell>
          <cell r="AA945" t="str">
            <v>HOSPITAL DE PARRAL</v>
          </cell>
        </row>
        <row r="946">
          <cell r="Z946" t="str">
            <v>ESTERILIZACIÓN</v>
          </cell>
          <cell r="AA946" t="str">
            <v>HOSPITAL DE PARRAL</v>
          </cell>
        </row>
        <row r="947">
          <cell r="Z947" t="str">
            <v>ESTERILIZACIÓN</v>
          </cell>
          <cell r="AA947" t="str">
            <v>HOSPITAL DE CAUQUENES</v>
          </cell>
        </row>
        <row r="948">
          <cell r="Z948" t="str">
            <v>ESTERILIZACIÓN</v>
          </cell>
          <cell r="AA948" t="str">
            <v>CLINICA LAS CONDES S.A.</v>
          </cell>
        </row>
        <row r="949">
          <cell r="Z949" t="str">
            <v>ESTERILIZACIÓN</v>
          </cell>
        </row>
        <row r="950">
          <cell r="Z950" t="str">
            <v>ESTERILIZACIÓN</v>
          </cell>
        </row>
        <row r="951">
          <cell r="Z951" t="str">
            <v>ESTERILIZACIÓN</v>
          </cell>
          <cell r="AA951" t="str">
            <v>HOSPITAL DEL PROFESOR</v>
          </cell>
        </row>
        <row r="952">
          <cell r="Z952" t="str">
            <v>ESTERILIZACIÓN</v>
          </cell>
          <cell r="AA952" t="str">
            <v>HOSPITAL VICTOR RIOS RUIZ</v>
          </cell>
        </row>
        <row r="953">
          <cell r="Z953" t="str">
            <v>ESTERILIZACIÓN</v>
          </cell>
        </row>
        <row r="954">
          <cell r="Z954" t="str">
            <v>ESTERILIZACIÓN</v>
          </cell>
          <cell r="AA954" t="str">
            <v>HOSPITAL VICTOR RIOS RUIZ</v>
          </cell>
        </row>
        <row r="955">
          <cell r="Z955" t="str">
            <v>ESTERILIZACIÓN</v>
          </cell>
        </row>
        <row r="956">
          <cell r="Z956" t="str">
            <v>ESTERILIZACIÓN</v>
          </cell>
        </row>
        <row r="957">
          <cell r="Z957" t="str">
            <v>ESTERILIZACIÓN</v>
          </cell>
        </row>
        <row r="958">
          <cell r="Z958" t="str">
            <v>ESTERILIZACIÓN</v>
          </cell>
        </row>
        <row r="959">
          <cell r="Z959" t="str">
            <v>ESTERILIZACIÓN</v>
          </cell>
          <cell r="AA959" t="str">
            <v>FUNDACION JOSEFINA MARTINEZ DE FERRARI</v>
          </cell>
        </row>
        <row r="960">
          <cell r="Z960" t="str">
            <v>ESTERILIZACIÓN</v>
          </cell>
        </row>
        <row r="961">
          <cell r="Z961" t="str">
            <v>ESTERILIZACIÓN</v>
          </cell>
        </row>
        <row r="962">
          <cell r="Z962" t="str">
            <v>ESTERILIZACIÓN</v>
          </cell>
          <cell r="AA962" t="str">
            <v>HOSPITAL DE HUALAÑE</v>
          </cell>
        </row>
        <row r="963">
          <cell r="Z963" t="str">
            <v>ESTERILIZACIÓN</v>
          </cell>
        </row>
        <row r="964">
          <cell r="Z964" t="str">
            <v>ESTERILIZACIÓN</v>
          </cell>
        </row>
        <row r="965">
          <cell r="Z965" t="str">
            <v>ESTERILIZACIÓN</v>
          </cell>
          <cell r="AA965" t="str">
            <v>CESFAM CORDILLERA ANDINA</v>
          </cell>
        </row>
        <row r="966">
          <cell r="Z966" t="str">
            <v>ESTERILIZACIÓN</v>
          </cell>
          <cell r="AA966" t="str">
            <v>INSTITUTO OFTALMOLÓGICO PUERTA DEL SOL S.A.</v>
          </cell>
        </row>
        <row r="967">
          <cell r="Z967" t="str">
            <v>ESTERILIZACIÓN</v>
          </cell>
        </row>
        <row r="968">
          <cell r="Z968" t="str">
            <v>ESTERILIZACIÓN</v>
          </cell>
        </row>
        <row r="969">
          <cell r="Z969" t="str">
            <v>ESTERILIZACIÓN</v>
          </cell>
        </row>
        <row r="970">
          <cell r="Z970" t="str">
            <v>ESTERILIZACIÓN</v>
          </cell>
          <cell r="AA970" t="str">
            <v>UNIVERSIDAD DE CHILE</v>
          </cell>
        </row>
        <row r="971">
          <cell r="Z971" t="str">
            <v>ESTERILIZACIÓN</v>
          </cell>
        </row>
        <row r="972">
          <cell r="Z972" t="str">
            <v>ESTERILIZACIÓN</v>
          </cell>
        </row>
        <row r="973">
          <cell r="Z973" t="str">
            <v>ESTERILIZACIÓN</v>
          </cell>
        </row>
        <row r="974">
          <cell r="Z974" t="str">
            <v>ESTERILIZACIÓN</v>
          </cell>
        </row>
        <row r="975">
          <cell r="Z975" t="str">
            <v>ESTERILIZACIÓN</v>
          </cell>
          <cell r="AA975" t="str">
            <v>CESFAM FUTRONO</v>
          </cell>
        </row>
        <row r="976">
          <cell r="Z976" t="str">
            <v>ESTERILIZACIÓN</v>
          </cell>
        </row>
        <row r="977">
          <cell r="Z977" t="str">
            <v>ESTERILIZACIÓN</v>
          </cell>
        </row>
        <row r="978">
          <cell r="Z978" t="str">
            <v>ESTERILIZACIÓN</v>
          </cell>
        </row>
        <row r="979">
          <cell r="Z979" t="str">
            <v>ESTERILIZACIÓN</v>
          </cell>
          <cell r="AA979" t="str">
            <v>HOSPITAL DR. HERNAN HENRIQUEZ ARAVENA</v>
          </cell>
        </row>
        <row r="980">
          <cell r="Z980" t="str">
            <v>ESTERILIZACIÓN</v>
          </cell>
        </row>
        <row r="981">
          <cell r="Z981" t="str">
            <v>ESTERILIZACIÓN</v>
          </cell>
          <cell r="AA981" t="str">
            <v>HOSPITAL DE OVALLE</v>
          </cell>
        </row>
        <row r="982">
          <cell r="Z982" t="str">
            <v>ESTERILIZACIÓN</v>
          </cell>
          <cell r="AA982" t="str">
            <v>HOSPITAL DE OVALLE</v>
          </cell>
        </row>
        <row r="983">
          <cell r="Z983" t="str">
            <v>ESTERILIZACIÓN</v>
          </cell>
          <cell r="AA983" t="str">
            <v>HOSPITAL DE ILLAPEL</v>
          </cell>
        </row>
        <row r="984">
          <cell r="Z984" t="str">
            <v>ESTERILIZACIÓN</v>
          </cell>
          <cell r="AA984" t="str">
            <v>HOSPITAL DE CASTRO</v>
          </cell>
        </row>
        <row r="985">
          <cell r="Z985" t="str">
            <v>ESTERILIZACIÓN</v>
          </cell>
          <cell r="AA985" t="str">
            <v>HOSPITAL DE CASTRO</v>
          </cell>
        </row>
        <row r="986">
          <cell r="Z986" t="str">
            <v>ESTERILIZACIÓN</v>
          </cell>
        </row>
        <row r="987">
          <cell r="Z987" t="str">
            <v>ESTERILIZACIÓN</v>
          </cell>
          <cell r="AA987" t="str">
            <v>HOSPITAL DE ANGOL</v>
          </cell>
        </row>
        <row r="988">
          <cell r="Z988" t="str">
            <v>ESTERILIZACIÓN</v>
          </cell>
        </row>
        <row r="989">
          <cell r="Z989" t="str">
            <v>ESTERILIZACIÓN</v>
          </cell>
          <cell r="AA989" t="str">
            <v>SERV DE SALUD BÍO BÍO - HOSPITAL DE HUEPIL</v>
          </cell>
        </row>
        <row r="990">
          <cell r="Z990" t="str">
            <v>ESTERILIZACIÓN</v>
          </cell>
        </row>
        <row r="991">
          <cell r="Z991" t="str">
            <v>ESTERILIZACIÓN</v>
          </cell>
          <cell r="AA991" t="str">
            <v>HOSPITAL DE SANTA BARBARA</v>
          </cell>
        </row>
        <row r="992">
          <cell r="Z992" t="str">
            <v>ESTERILIZACIÓN</v>
          </cell>
          <cell r="AA992" t="str">
            <v>HOSPITAL DE MULCHEN</v>
          </cell>
        </row>
        <row r="993">
          <cell r="Z993" t="str">
            <v>ESTERILIZACIÓN</v>
          </cell>
          <cell r="AA993" t="str">
            <v>HOSPITAL NACIMIENTO</v>
          </cell>
        </row>
        <row r="994">
          <cell r="Z994" t="str">
            <v>ESTERILIZACIÓN</v>
          </cell>
          <cell r="AA994" t="str">
            <v>INSUMOS Y SERVICIOS MEDICOS S.A.</v>
          </cell>
        </row>
        <row r="995">
          <cell r="Z995" t="str">
            <v>ESTERILIZACIÓN</v>
          </cell>
          <cell r="AA995" t="str">
            <v>INSUMOS Y SERVICIOS MEDICOS S.A.</v>
          </cell>
        </row>
        <row r="996">
          <cell r="Z996" t="str">
            <v>ESTERILIZACIÓN</v>
          </cell>
          <cell r="AA996" t="str">
            <v>INSTITUTO NACIONAL DEL CANCER</v>
          </cell>
        </row>
        <row r="997">
          <cell r="Z997" t="str">
            <v>ESTERILIZACIÓN</v>
          </cell>
        </row>
        <row r="998">
          <cell r="Z998" t="str">
            <v>ESTERILIZACIÓN</v>
          </cell>
        </row>
        <row r="999">
          <cell r="Z999" t="str">
            <v>ESTERILIZACIÓN</v>
          </cell>
        </row>
        <row r="1000">
          <cell r="Z1000" t="str">
            <v>ESTERILIZACIÓN</v>
          </cell>
          <cell r="AA1000" t="str">
            <v>DIPRECA FONDO HOSPITAL</v>
          </cell>
        </row>
        <row r="1001">
          <cell r="Z1001" t="str">
            <v>ESTERILIZACIÓN</v>
          </cell>
          <cell r="AA1001" t="str">
            <v>GEMCO GENERAL MACHINERY S.A.</v>
          </cell>
        </row>
        <row r="1002">
          <cell r="Z1002" t="str">
            <v>ESTERILIZACIÓN</v>
          </cell>
        </row>
        <row r="1003">
          <cell r="Z1003" t="str">
            <v>ESTERILIZACIÓN</v>
          </cell>
          <cell r="AA1003" t="str">
            <v>GEMCO GENERAL MACHINERY S.A.</v>
          </cell>
        </row>
        <row r="1004">
          <cell r="Z1004" t="str">
            <v>ESTERILIZACIÓN</v>
          </cell>
        </row>
        <row r="1005">
          <cell r="Z1005" t="str">
            <v>ESTERILIZACIÓN</v>
          </cell>
        </row>
        <row r="1006">
          <cell r="Z1006" t="str">
            <v>ESTERILIZACIÓN</v>
          </cell>
        </row>
        <row r="1007">
          <cell r="Z1007" t="str">
            <v>ESTERILIZACIÓN</v>
          </cell>
          <cell r="AA1007" t="str">
            <v>MUNICIPALIDAD DE STA.  JUANA</v>
          </cell>
        </row>
        <row r="1008">
          <cell r="Z1008" t="str">
            <v>ESTERILIZACIÓN</v>
          </cell>
        </row>
        <row r="1009">
          <cell r="Z1009" t="str">
            <v>ESTERILIZACIÓN</v>
          </cell>
        </row>
        <row r="1010">
          <cell r="Z1010" t="str">
            <v>ESTERILIZACIÓN</v>
          </cell>
          <cell r="AA1010" t="str">
            <v>MUNICIPALIDAD DE STA.  JUANA</v>
          </cell>
        </row>
        <row r="1011">
          <cell r="Z1011" t="str">
            <v>ESTERILIZACIÓN</v>
          </cell>
          <cell r="AA1011" t="str">
            <v>MUNICIPALIDAD DE STA.  JUANA</v>
          </cell>
        </row>
        <row r="1012">
          <cell r="Z1012" t="str">
            <v>ESTERILIZACIÓN</v>
          </cell>
          <cell r="AA1012" t="str">
            <v>MUNICIPALIDAD DE STA.  JUANA</v>
          </cell>
        </row>
        <row r="1013">
          <cell r="Z1013" t="str">
            <v>ESTERILIZACIÓN</v>
          </cell>
          <cell r="AA1013" t="str">
            <v>MUNICIPALIDAD DE STA.  JUANA</v>
          </cell>
        </row>
        <row r="1014">
          <cell r="Z1014" t="str">
            <v>ESTERILIZACIÓN</v>
          </cell>
          <cell r="AA1014" t="str">
            <v>MUNICIPALIDAD DE STA.  JUANA</v>
          </cell>
        </row>
        <row r="1015">
          <cell r="Z1015" t="str">
            <v>ESTERILIZACIÓN</v>
          </cell>
          <cell r="AA1015" t="str">
            <v>MUNICIPALIDAD DE STA.  JUANA</v>
          </cell>
        </row>
        <row r="1016">
          <cell r="Z1016" t="str">
            <v>ESTERILIZACIÓN</v>
          </cell>
        </row>
        <row r="1017">
          <cell r="Z1017" t="str">
            <v>ESTERILIZACIÓN</v>
          </cell>
          <cell r="AA1017" t="str">
            <v>CESFAM MIRAFLORES</v>
          </cell>
        </row>
        <row r="1018">
          <cell r="Z1018" t="str">
            <v>ESTERILIZACIÓN</v>
          </cell>
          <cell r="AA1018" t="str">
            <v>NORDEN</v>
          </cell>
        </row>
        <row r="1019">
          <cell r="Z1019" t="str">
            <v>ESTERILIZACIÓN</v>
          </cell>
          <cell r="AA1019" t="str">
            <v>CENTRO DE OFTALMOLOGIA DR.DAVID BITRAN S.A.</v>
          </cell>
        </row>
        <row r="1020">
          <cell r="Z1020" t="str">
            <v>ESTERILIZACIÓN</v>
          </cell>
          <cell r="AA1020" t="str">
            <v>GEMCO GENERAL MACHINERY S.A.</v>
          </cell>
        </row>
        <row r="1021">
          <cell r="Z1021" t="str">
            <v>ESTERILIZACIÓN</v>
          </cell>
        </row>
        <row r="1022">
          <cell r="Z1022" t="str">
            <v>ESTERILIZACIÓN</v>
          </cell>
        </row>
        <row r="1023">
          <cell r="Z1023" t="str">
            <v>ESTERILIZACIÓN</v>
          </cell>
        </row>
        <row r="1024">
          <cell r="Z1024" t="str">
            <v>ESTERILIZACIÓN</v>
          </cell>
        </row>
        <row r="1025">
          <cell r="Z1025" t="str">
            <v>ESTERILIZACIÓN</v>
          </cell>
          <cell r="AA1025" t="str">
            <v>GEMCO GENERAL MACHINERY S.A.</v>
          </cell>
        </row>
        <row r="1026">
          <cell r="Z1026" t="str">
            <v>ESTERILIZACIÓN</v>
          </cell>
        </row>
        <row r="1027">
          <cell r="Z1027" t="str">
            <v>ESTERILIZACIÓN</v>
          </cell>
        </row>
        <row r="1028">
          <cell r="Z1028" t="str">
            <v>ESTERILIZACIÓN</v>
          </cell>
          <cell r="AA1028" t="str">
            <v>HOSPITAL EDUARDO PEREIRA</v>
          </cell>
        </row>
        <row r="1029">
          <cell r="Z1029" t="str">
            <v>ESTERILIZACIÓN</v>
          </cell>
          <cell r="AA1029" t="str">
            <v>GEMCO GENERAL MACHINERY S.A.</v>
          </cell>
        </row>
        <row r="1030">
          <cell r="Z1030" t="str">
            <v>ESTERILIZACIÓN</v>
          </cell>
        </row>
        <row r="1031">
          <cell r="Z1031" t="str">
            <v>ESTERILIZACIÓN</v>
          </cell>
          <cell r="AA1031" t="str">
            <v>HOSPITAL DE COYHAIQUE</v>
          </cell>
        </row>
        <row r="1032">
          <cell r="Z1032" t="str">
            <v>ESTERILIZACIÓN</v>
          </cell>
        </row>
        <row r="1033">
          <cell r="Z1033" t="str">
            <v>ESTERILIZACIÓN</v>
          </cell>
          <cell r="AA1033" t="str">
            <v>HOSPITAL DE OVALLE</v>
          </cell>
        </row>
        <row r="1034">
          <cell r="Z1034" t="str">
            <v>ESTERILIZACIÓN</v>
          </cell>
        </row>
        <row r="1035">
          <cell r="Z1035" t="str">
            <v>ESTERILIZACIÓN</v>
          </cell>
        </row>
        <row r="1036">
          <cell r="Z1036" t="str">
            <v>DENTAL</v>
          </cell>
        </row>
        <row r="1037">
          <cell r="Z1037" t="str">
            <v>DENTAL</v>
          </cell>
        </row>
        <row r="1038">
          <cell r="Z1038" t="str">
            <v>DENTAL</v>
          </cell>
        </row>
        <row r="1039">
          <cell r="Z1039" t="str">
            <v>DENTAL</v>
          </cell>
          <cell r="AA1039" t="str">
            <v>VICTOR PATRICIO CANALES BURGOS</v>
          </cell>
        </row>
        <row r="1040">
          <cell r="Z1040" t="str">
            <v>DENTAL</v>
          </cell>
        </row>
        <row r="1041">
          <cell r="Z1041" t="str">
            <v>DENTAL</v>
          </cell>
          <cell r="AA1041" t="str">
            <v>GEMCO GENERAL MACHINERY S.A.</v>
          </cell>
        </row>
        <row r="1042">
          <cell r="Z1042" t="str">
            <v>DENTAL</v>
          </cell>
          <cell r="AA1042" t="str">
            <v>GEMCO GENERAL MACHINERY S.A.</v>
          </cell>
        </row>
        <row r="1043">
          <cell r="Z1043" t="str">
            <v>DENTAL</v>
          </cell>
          <cell r="AA1043" t="str">
            <v>GEMCO GENERAL MACHINERY S.A.</v>
          </cell>
        </row>
        <row r="1044">
          <cell r="Z1044" t="str">
            <v>DENTAL</v>
          </cell>
          <cell r="AA1044" t="str">
            <v>GEMCO GENERAL MACHINERY S.A.</v>
          </cell>
        </row>
        <row r="1045">
          <cell r="Z1045" t="str">
            <v>DENTAL</v>
          </cell>
          <cell r="AA1045" t="str">
            <v>GEMCO GENERAL MACHINERY S.A.</v>
          </cell>
        </row>
        <row r="1046">
          <cell r="Z1046" t="str">
            <v>DENTAL</v>
          </cell>
          <cell r="AA1046" t="str">
            <v>GEMCO GENERAL MACHINERY S.A.</v>
          </cell>
        </row>
        <row r="1047">
          <cell r="Z1047" t="str">
            <v>DENTAL</v>
          </cell>
          <cell r="AA1047" t="str">
            <v>CESFAM MAGISTERIO, TALCA</v>
          </cell>
        </row>
        <row r="1048">
          <cell r="Z1048" t="str">
            <v>DENTAL</v>
          </cell>
          <cell r="AA1048" t="str">
            <v>GEMCO GENERAL MACHINERY S.A.</v>
          </cell>
        </row>
        <row r="1049">
          <cell r="Z1049" t="str">
            <v>DENTAL</v>
          </cell>
          <cell r="AA1049" t="str">
            <v>GEMCO GENERAL MACHINERY S.A.</v>
          </cell>
        </row>
        <row r="1050">
          <cell r="Z1050" t="str">
            <v>DENTAL</v>
          </cell>
          <cell r="AA1050" t="str">
            <v>GEMCO GENERAL MACHINERY S.A.</v>
          </cell>
        </row>
        <row r="1051">
          <cell r="Z1051" t="str">
            <v>DENTAL</v>
          </cell>
          <cell r="AA1051" t="str">
            <v>GEMCO GENERAL MACHINERY S.A.</v>
          </cell>
        </row>
        <row r="1052">
          <cell r="Z1052" t="str">
            <v>DENTAL</v>
          </cell>
          <cell r="AA1052" t="str">
            <v>GEMCO GENERAL MACHINERY S.A.</v>
          </cell>
        </row>
        <row r="1053">
          <cell r="Z1053" t="str">
            <v>DENTAL</v>
          </cell>
          <cell r="AA1053" t="str">
            <v>GEMCO GENERAL MACHINERY S.A.</v>
          </cell>
        </row>
        <row r="1054">
          <cell r="Z1054" t="str">
            <v>DENTAL</v>
          </cell>
          <cell r="AA1054" t="str">
            <v>GEMCO GENERAL MACHINERY S.A.</v>
          </cell>
        </row>
        <row r="1055">
          <cell r="Z1055" t="str">
            <v>DENTAL</v>
          </cell>
          <cell r="AA1055" t="str">
            <v>GEMCO GENERAL MACHINERY S.A.</v>
          </cell>
        </row>
        <row r="1056">
          <cell r="Z1056" t="str">
            <v>DENTAL</v>
          </cell>
          <cell r="AA1056" t="str">
            <v>GEMCO GENERAL MACHINERY S.A.</v>
          </cell>
        </row>
        <row r="1057">
          <cell r="Z1057" t="str">
            <v>DENTAL</v>
          </cell>
          <cell r="AA1057" t="str">
            <v>GEMCO GENERAL MACHINERY S.A.</v>
          </cell>
        </row>
        <row r="1058">
          <cell r="Z1058" t="str">
            <v>DENTAL</v>
          </cell>
          <cell r="AA1058" t="str">
            <v>GEMCO GENERAL MACHINERY S.A.</v>
          </cell>
        </row>
        <row r="1059">
          <cell r="Z1059" t="str">
            <v>DENTAL</v>
          </cell>
          <cell r="AA1059" t="str">
            <v>CESFAM SAN RAFAEL</v>
          </cell>
        </row>
        <row r="1060">
          <cell r="Z1060" t="str">
            <v>DENTAL</v>
          </cell>
          <cell r="AA1060" t="str">
            <v>SERVICIO DE SALUD DEL MAULE</v>
          </cell>
        </row>
        <row r="1061">
          <cell r="Z1061" t="str">
            <v>ENDOSCOPÍA</v>
          </cell>
        </row>
        <row r="1062">
          <cell r="Z1062" t="str">
            <v>MMQ</v>
          </cell>
          <cell r="AA1062" t="str">
            <v>GEMCO GENERAL MACHINERY S.A.</v>
          </cell>
        </row>
        <row r="1063">
          <cell r="Z1063" t="str">
            <v>MMQ</v>
          </cell>
          <cell r="AA1063" t="str">
            <v>GEMCO GENERAL MACHINERY S.A.</v>
          </cell>
        </row>
        <row r="1064">
          <cell r="Z1064" t="str">
            <v>MMQ</v>
          </cell>
          <cell r="AA1064" t="str">
            <v>GEMCO GENERAL MACHINERY S.A.</v>
          </cell>
        </row>
        <row r="1065">
          <cell r="Z1065" t="str">
            <v>MMQ</v>
          </cell>
          <cell r="AA1065" t="str">
            <v>GEMCO GENERAL MACHINERY S.A.</v>
          </cell>
        </row>
        <row r="1066">
          <cell r="Z1066" t="str">
            <v>ESTERILIZACIÓN</v>
          </cell>
          <cell r="AA1066" t="str">
            <v>COMPLEJO ASISTENCIAL DR.SOTERO DEL RIO</v>
          </cell>
        </row>
        <row r="1067">
          <cell r="Z1067" t="str">
            <v>ESTERILIZACIÓN</v>
          </cell>
          <cell r="AA1067" t="str">
            <v>ONCOMED</v>
          </cell>
        </row>
        <row r="1068">
          <cell r="Z1068" t="str">
            <v>ESTERILIZACIÓN</v>
          </cell>
          <cell r="AA1068" t="str">
            <v>ONCOMED</v>
          </cell>
        </row>
        <row r="1069">
          <cell r="Z1069" t="str">
            <v>ESTERILIZACIÓN</v>
          </cell>
          <cell r="AA1069" t="str">
            <v>ONCOMED</v>
          </cell>
        </row>
        <row r="1070">
          <cell r="Z1070" t="str">
            <v>ESTERILIZACIÓN</v>
          </cell>
          <cell r="AA1070" t="str">
            <v>ONCOMED</v>
          </cell>
        </row>
        <row r="1071">
          <cell r="Z1071" t="str">
            <v>ESTERILIZACIÓN</v>
          </cell>
          <cell r="AA1071" t="str">
            <v>ONCOMED</v>
          </cell>
        </row>
        <row r="1072">
          <cell r="Z1072" t="str">
            <v>ESTERILIZACIÓN</v>
          </cell>
          <cell r="AA1072" t="str">
            <v>ONCOMED</v>
          </cell>
        </row>
        <row r="1073">
          <cell r="Z1073" t="str">
            <v>ESTERILIZACIÓN</v>
          </cell>
          <cell r="AA1073" t="str">
            <v>ONCOMED</v>
          </cell>
        </row>
        <row r="1074">
          <cell r="Z1074" t="str">
            <v>ESTERILIZACIÓN</v>
          </cell>
          <cell r="AA1074" t="str">
            <v>ONCOMED</v>
          </cell>
        </row>
        <row r="1075">
          <cell r="Z1075" t="str">
            <v>ESTERILIZACIÓN</v>
          </cell>
          <cell r="AA1075" t="str">
            <v>ONCOMED</v>
          </cell>
        </row>
        <row r="1076">
          <cell r="Z1076" t="str">
            <v>ESTERILIZACIÓN</v>
          </cell>
          <cell r="AA1076" t="str">
            <v>HOSPITAL DE FRUTILLAR</v>
          </cell>
        </row>
        <row r="1077">
          <cell r="Z1077" t="str">
            <v>ESTERILIZACIÓN</v>
          </cell>
          <cell r="AA1077" t="str">
            <v>ONCOMED</v>
          </cell>
        </row>
        <row r="1078">
          <cell r="Z1078" t="str">
            <v>ESTERILIZACIÓN</v>
          </cell>
          <cell r="AA1078" t="str">
            <v>ONCOMED</v>
          </cell>
        </row>
        <row r="1079">
          <cell r="Z1079" t="str">
            <v>ESTERILIZACIÓN</v>
          </cell>
          <cell r="AA1079" t="str">
            <v>ONCOMED</v>
          </cell>
        </row>
        <row r="1080">
          <cell r="Z1080" t="str">
            <v>ESTERILIZACIÓN</v>
          </cell>
          <cell r="AA1080" t="str">
            <v>ONCOMED</v>
          </cell>
        </row>
        <row r="1081">
          <cell r="Z1081" t="str">
            <v>ESTERILIZACIÓN</v>
          </cell>
          <cell r="AA1081" t="str">
            <v>ONCOMED</v>
          </cell>
        </row>
        <row r="1082">
          <cell r="Z1082" t="str">
            <v>ESTERILIZACIÓN</v>
          </cell>
          <cell r="AA1082" t="str">
            <v>ONCOMED</v>
          </cell>
        </row>
        <row r="1083">
          <cell r="Z1083" t="str">
            <v>ESTERILIZACIÓN</v>
          </cell>
          <cell r="AA1083" t="str">
            <v>ONCOMED</v>
          </cell>
        </row>
        <row r="1084">
          <cell r="Z1084" t="str">
            <v>ESTERILIZACIÓN</v>
          </cell>
          <cell r="AA1084" t="str">
            <v>GEMCO GENERAL MACHINERY S.A.</v>
          </cell>
        </row>
        <row r="1085">
          <cell r="Z1085" t="str">
            <v>ESTERILIZACIÓN</v>
          </cell>
          <cell r="AA1085" t="str">
            <v>GEMCO GENERAL MACHINERY S.A.</v>
          </cell>
        </row>
        <row r="1086">
          <cell r="Z1086" t="str">
            <v>ESTERILIZACIÓN</v>
          </cell>
          <cell r="AA1086" t="str">
            <v>GEMCO GENERAL MACHINERY S.A.</v>
          </cell>
        </row>
        <row r="1087">
          <cell r="Z1087" t="str">
            <v>ESTERILIZACIÓN</v>
          </cell>
          <cell r="AA1087" t="str">
            <v>GEMCO GENERAL MACHINERY S.A.</v>
          </cell>
        </row>
        <row r="1088">
          <cell r="Z1088" t="str">
            <v>ESTERILIZACIÓN</v>
          </cell>
          <cell r="AA1088" t="str">
            <v>HOSPITAL DE FRESIA</v>
          </cell>
        </row>
        <row r="1089">
          <cell r="Z1089" t="str">
            <v>ESTERILIZACIÓN</v>
          </cell>
          <cell r="AA1089" t="str">
            <v>HOSPITAL DE FRESIA</v>
          </cell>
        </row>
        <row r="1090">
          <cell r="Z1090" t="str">
            <v>ESTERILIZACIÓN</v>
          </cell>
          <cell r="AA1090" t="str">
            <v>GEMCO GENERAL MACHINERY S.A.</v>
          </cell>
        </row>
        <row r="1091">
          <cell r="Z1091" t="str">
            <v>ESTERILIZACIÓN</v>
          </cell>
          <cell r="AA1091" t="str">
            <v>GEMCO GENERAL MACHINERY S.A.</v>
          </cell>
        </row>
        <row r="1092">
          <cell r="Z1092" t="str">
            <v>ESTERILIZACIÓN</v>
          </cell>
          <cell r="AA1092" t="str">
            <v>GEMCO GENERAL MACHINERY S.A.</v>
          </cell>
        </row>
        <row r="1093">
          <cell r="Z1093" t="str">
            <v>ESTERILIZACIÓN</v>
          </cell>
          <cell r="AA1093" t="str">
            <v>GEMCO GENERAL MACHINERY S.A.</v>
          </cell>
        </row>
        <row r="1094">
          <cell r="Z1094" t="str">
            <v>ESTERILIZACIÓN</v>
          </cell>
          <cell r="AA1094" t="str">
            <v>GEMCO GENERAL MACHINERY S.A.</v>
          </cell>
        </row>
        <row r="1095">
          <cell r="Z1095" t="str">
            <v>ESTERILIZACIÓN</v>
          </cell>
          <cell r="AA1095" t="str">
            <v>GEMCO GENERAL MACHINERY S.A.</v>
          </cell>
        </row>
        <row r="1096">
          <cell r="Z1096" t="str">
            <v>ESTERILIZACIÓN</v>
          </cell>
          <cell r="AA1096" t="str">
            <v>HOSPITAL DE FRESIA</v>
          </cell>
        </row>
        <row r="1097">
          <cell r="Z1097" t="str">
            <v>ESTERILIZACIÓN</v>
          </cell>
          <cell r="AA1097" t="str">
            <v>HOSPITAL DE FRESIA</v>
          </cell>
        </row>
        <row r="1098">
          <cell r="Z1098" t="str">
            <v>ESTERILIZACIÓN</v>
          </cell>
          <cell r="AA1098" t="str">
            <v>HOSPITAL DE FRUTILLAR</v>
          </cell>
        </row>
        <row r="1099">
          <cell r="Z1099" t="str">
            <v>ESTERILIZACIÓN</v>
          </cell>
          <cell r="AA1099" t="str">
            <v>HOSPITAL DE FRUTILLAR</v>
          </cell>
        </row>
        <row r="1100">
          <cell r="Z1100" t="str">
            <v>ESTERILIZACIÓN</v>
          </cell>
          <cell r="AA1100" t="str">
            <v>HOSPITAL DE FRESIA</v>
          </cell>
        </row>
        <row r="1101">
          <cell r="Z1101" t="str">
            <v>ESTERILIZACIÓN</v>
          </cell>
          <cell r="AA1101" t="str">
            <v>HOSPITAL DE FRESIA</v>
          </cell>
        </row>
        <row r="1102">
          <cell r="Z1102" t="str">
            <v>ESTERILIZACIÓN</v>
          </cell>
          <cell r="AA1102" t="str">
            <v>HOSPITAL DE FRESIA</v>
          </cell>
        </row>
        <row r="1103">
          <cell r="Z1103" t="str">
            <v>ESTERILIZACIÓN</v>
          </cell>
          <cell r="AA1103" t="str">
            <v>HOSPITAL DE FRESIA</v>
          </cell>
        </row>
        <row r="1104">
          <cell r="Z1104" t="str">
            <v>ESTERILIZACIÓN</v>
          </cell>
          <cell r="AA1104" t="str">
            <v>HOSPITAL DE FRESIA</v>
          </cell>
        </row>
        <row r="1105">
          <cell r="Z1105" t="str">
            <v>ESTERILIZACIÓN</v>
          </cell>
          <cell r="AA1105" t="str">
            <v>SERVICIO DE SALUD OSORNO</v>
          </cell>
        </row>
        <row r="1106">
          <cell r="Z1106" t="str">
            <v>ESTERILIZACIÓN</v>
          </cell>
          <cell r="AA1106" t="str">
            <v>SERVICIO DE SALUD OSORNO</v>
          </cell>
        </row>
        <row r="1107">
          <cell r="Z1107" t="str">
            <v>ESTERILIZACIÓN</v>
          </cell>
          <cell r="AA1107" t="str">
            <v>HOSPITAL DE FRUTILLAR</v>
          </cell>
        </row>
        <row r="1108">
          <cell r="Z1108" t="str">
            <v>ESTERILIZACIÓN</v>
          </cell>
          <cell r="AA1108" t="str">
            <v>HOSPITAL DE FRUTILLAR</v>
          </cell>
        </row>
        <row r="1109">
          <cell r="Z1109" t="str">
            <v>ESTERILIZACIÓN</v>
          </cell>
          <cell r="AA1109" t="str">
            <v>SERVICIO DE SALUD OSORNO</v>
          </cell>
        </row>
        <row r="1110">
          <cell r="Z1110" t="str">
            <v>ESTERILIZACIÓN</v>
          </cell>
          <cell r="AA1110" t="str">
            <v>COMPLEJO ASISTENCIAL DR.SOTERO DEL RIO</v>
          </cell>
        </row>
        <row r="1111">
          <cell r="Z1111" t="str">
            <v>ESTERILIZACIÓN</v>
          </cell>
          <cell r="AA1111" t="str">
            <v>COMPLEJO ASISTENCIAL DR.SOTERO DEL RIO</v>
          </cell>
        </row>
        <row r="1112">
          <cell r="Z1112" t="str">
            <v>ESTERILIZACIÓN</v>
          </cell>
          <cell r="AA1112" t="str">
            <v>COMPLEJO ASISTENCIAL DR.SOTERO DEL RIO</v>
          </cell>
        </row>
        <row r="1113">
          <cell r="Z1113" t="str">
            <v>ESTERILIZACIÓN</v>
          </cell>
          <cell r="AA1113" t="str">
            <v>COMPLEJO ASISTENCIAL DR.SOTERO DEL RIO</v>
          </cell>
        </row>
        <row r="1114">
          <cell r="Z1114" t="str">
            <v>ESTERILIZACIÓN</v>
          </cell>
          <cell r="AA1114" t="str">
            <v>COMPLEJO ASISTENCIAL DR.SOTERO DEL RIO</v>
          </cell>
        </row>
        <row r="1115">
          <cell r="Z1115" t="str">
            <v>ESTERILIZACIÓN</v>
          </cell>
          <cell r="AA1115" t="str">
            <v>COMPLEJO ASISTENCIAL DR.SOTERO DEL RIO</v>
          </cell>
        </row>
        <row r="1116">
          <cell r="Z1116" t="str">
            <v>ESTERILIZACIÓN</v>
          </cell>
          <cell r="AA1116" t="str">
            <v>COMPLEJO ASISTENCIAL DR.SOTERO DEL RIO</v>
          </cell>
        </row>
        <row r="1117">
          <cell r="Z1117" t="str">
            <v>ESTERILIZACIÓN</v>
          </cell>
          <cell r="AA1117" t="str">
            <v>COMPLEJO ASISTENCIAL DR.SOTERO DEL RIO</v>
          </cell>
        </row>
        <row r="1118">
          <cell r="Z1118" t="str">
            <v>ESTERILIZACIÓN</v>
          </cell>
          <cell r="AA1118" t="str">
            <v>COMPLEJO ASISTENCIAL DR.SOTERO DEL RIO</v>
          </cell>
        </row>
        <row r="1119">
          <cell r="Z1119" t="str">
            <v>ESTERILIZACIÓN</v>
          </cell>
          <cell r="AA1119" t="str">
            <v>COMPLEJO ASISTENCIAL DR.SOTERO DEL RIO</v>
          </cell>
        </row>
        <row r="1120">
          <cell r="Z1120" t="str">
            <v>ESTERILIZACIÓN</v>
          </cell>
          <cell r="AA1120" t="str">
            <v>COMPLEJO ASISTENCIAL DR.SOTERO DEL RIO</v>
          </cell>
        </row>
        <row r="1121">
          <cell r="Z1121" t="str">
            <v>ESTERILIZACIÓN</v>
          </cell>
          <cell r="AA1121" t="str">
            <v>COMPLEJO ASISTENCIAL DR.SOTERO DEL RIO</v>
          </cell>
        </row>
        <row r="1122">
          <cell r="Z1122" t="str">
            <v>ESTERILIZACIÓN</v>
          </cell>
          <cell r="AA1122" t="str">
            <v>GEMCO GENERAL MACHINERY S.A.</v>
          </cell>
        </row>
        <row r="1123">
          <cell r="Z1123" t="str">
            <v>ESTERILIZACIÓN</v>
          </cell>
          <cell r="AA1123" t="str">
            <v>ONCOMED</v>
          </cell>
        </row>
        <row r="1124">
          <cell r="Z1124" t="str">
            <v>ESTERILIZACIÓN</v>
          </cell>
          <cell r="AA1124" t="str">
            <v>ONCOMED</v>
          </cell>
        </row>
        <row r="1125">
          <cell r="Z1125" t="str">
            <v>ESTERILIZACIÓN</v>
          </cell>
          <cell r="AA1125" t="str">
            <v>ONCOMED</v>
          </cell>
        </row>
        <row r="1126">
          <cell r="Z1126" t="str">
            <v>ESTERILIZACIÓN</v>
          </cell>
          <cell r="AA1126" t="str">
            <v>GEMCO GENERAL MACHINERY S.A.</v>
          </cell>
        </row>
        <row r="1127">
          <cell r="Z1127" t="str">
            <v>ESTERILIZACIÓN</v>
          </cell>
          <cell r="AA1127" t="str">
            <v>ONCOMED</v>
          </cell>
        </row>
        <row r="1128">
          <cell r="Z1128" t="str">
            <v>ESTERILIZACIÓN</v>
          </cell>
          <cell r="AA1128" t="str">
            <v>ONCOMED</v>
          </cell>
        </row>
        <row r="1129">
          <cell r="Z1129" t="str">
            <v>ESTERILIZACIÓN</v>
          </cell>
          <cell r="AA1129" t="str">
            <v>ONCOMED</v>
          </cell>
        </row>
        <row r="1130">
          <cell r="Z1130" t="str">
            <v>ESTERILIZACIÓN</v>
          </cell>
          <cell r="AA1130" t="str">
            <v>ONCOMED</v>
          </cell>
        </row>
        <row r="1131">
          <cell r="Z1131" t="str">
            <v>ESTERILIZACIÓN</v>
          </cell>
          <cell r="AA1131" t="str">
            <v>ONCOMED</v>
          </cell>
        </row>
        <row r="1132">
          <cell r="Z1132" t="str">
            <v>ESTERILIZACIÓN</v>
          </cell>
          <cell r="AA1132" t="str">
            <v>ONCOMED</v>
          </cell>
        </row>
        <row r="1133">
          <cell r="Z1133" t="str">
            <v>ESTERILIZACIÓN</v>
          </cell>
          <cell r="AA1133" t="str">
            <v>ONCOMED</v>
          </cell>
        </row>
        <row r="1134">
          <cell r="Z1134" t="str">
            <v>ESTERILIZACIÓN</v>
          </cell>
          <cell r="AA1134" t="str">
            <v>GEMCO GENERAL MACHINERY S.A.</v>
          </cell>
        </row>
        <row r="1135">
          <cell r="Z1135" t="str">
            <v>ESTERILIZACIÓN</v>
          </cell>
          <cell r="AA1135" t="str">
            <v>ONCOMED</v>
          </cell>
        </row>
        <row r="1136">
          <cell r="Z1136" t="str">
            <v>ESTERILIZACIÓN</v>
          </cell>
          <cell r="AA1136" t="str">
            <v>ONCOMED</v>
          </cell>
        </row>
        <row r="1137">
          <cell r="Z1137" t="str">
            <v>ESTERILIZACIÓN</v>
          </cell>
          <cell r="AA1137" t="str">
            <v>ONCOMED</v>
          </cell>
        </row>
        <row r="1138">
          <cell r="Z1138" t="str">
            <v>ESTERILIZACIÓN</v>
          </cell>
          <cell r="AA1138" t="str">
            <v>ONCOMED</v>
          </cell>
        </row>
        <row r="1139">
          <cell r="Z1139" t="str">
            <v>ESTERILIZACIÓN</v>
          </cell>
          <cell r="AA1139" t="str">
            <v>GEMCO GENERAL MACHINERY S.A.</v>
          </cell>
        </row>
        <row r="1140">
          <cell r="Z1140" t="str">
            <v>ESTERILIZACIÓN</v>
          </cell>
          <cell r="AA1140" t="str">
            <v>GEMCO GENERAL MACHINERY S.A.</v>
          </cell>
        </row>
        <row r="1141">
          <cell r="Z1141" t="str">
            <v>ESTERILIZACIÓN</v>
          </cell>
          <cell r="AA1141" t="str">
            <v>HOSPITAL LA LIGUA</v>
          </cell>
        </row>
        <row r="1142">
          <cell r="Z1142" t="str">
            <v>ESTERILIZACIÓN</v>
          </cell>
          <cell r="AA1142" t="str">
            <v>HOSPITAL LA LIGUA</v>
          </cell>
        </row>
        <row r="1143">
          <cell r="Z1143" t="str">
            <v>ESTERILIZACIÓN</v>
          </cell>
          <cell r="AA1143" t="str">
            <v>HOSPITAL LA LIGUA</v>
          </cell>
        </row>
        <row r="1144">
          <cell r="Z1144" t="str">
            <v>ESTERILIZACIÓN</v>
          </cell>
          <cell r="AA1144" t="str">
            <v>HOSPITAL LA LIGUA</v>
          </cell>
        </row>
        <row r="1145">
          <cell r="Z1145" t="str">
            <v>ESTERILIZACIÓN</v>
          </cell>
          <cell r="AA1145" t="str">
            <v>HOSPITAL LA LIGUA</v>
          </cell>
        </row>
        <row r="1146">
          <cell r="Z1146" t="str">
            <v>ESTERILIZACIÓN</v>
          </cell>
          <cell r="AA1146" t="str">
            <v>HOSPITAL LA LIGUA</v>
          </cell>
        </row>
        <row r="1147">
          <cell r="Z1147" t="str">
            <v>ESTERILIZACIÓN</v>
          </cell>
          <cell r="AA1147" t="str">
            <v>HOSPITAL LA LIGUA</v>
          </cell>
        </row>
        <row r="1148">
          <cell r="Z1148" t="str">
            <v>ESTERILIZACIÓN</v>
          </cell>
          <cell r="AA1148" t="str">
            <v>HOSPITAL LA LIGUA</v>
          </cell>
        </row>
        <row r="1149">
          <cell r="Z1149" t="str">
            <v>ESTERILIZACIÓN</v>
          </cell>
          <cell r="AA1149" t="str">
            <v>HOSPITAL LA LIGUA</v>
          </cell>
        </row>
        <row r="1150">
          <cell r="Z1150" t="str">
            <v>ESTERILIZACIÓN</v>
          </cell>
          <cell r="AA1150" t="str">
            <v>HOSPITAL LA LIGUA</v>
          </cell>
        </row>
        <row r="1151">
          <cell r="Z1151" t="str">
            <v>ESTERILIZACIÓN</v>
          </cell>
          <cell r="AA1151" t="str">
            <v>GEMCO GENERAL MACHINERY S.A.</v>
          </cell>
        </row>
        <row r="1152">
          <cell r="Z1152" t="str">
            <v>ESTERILIZACIÓN</v>
          </cell>
          <cell r="AA1152" t="str">
            <v>HOSPITAL LA LIGUA</v>
          </cell>
        </row>
        <row r="1153">
          <cell r="Z1153" t="str">
            <v>ESTERILIZACIÓN</v>
          </cell>
          <cell r="AA1153" t="str">
            <v>HOSPITAL SAN LUIS BUIN</v>
          </cell>
        </row>
        <row r="1154">
          <cell r="Z1154" t="str">
            <v>ESTERILIZACIÓN</v>
          </cell>
          <cell r="AA1154" t="str">
            <v>HOSPITAL SAN LUIS BUIN</v>
          </cell>
        </row>
        <row r="1155">
          <cell r="Z1155" t="str">
            <v>ESTERILIZACIÓN</v>
          </cell>
          <cell r="AA1155" t="str">
            <v>HOSPITAL SAN LUIS BUIN</v>
          </cell>
        </row>
        <row r="1156">
          <cell r="Z1156" t="str">
            <v>ESTERILIZACIÓN</v>
          </cell>
          <cell r="AA1156" t="str">
            <v>HOSPITAL SAN LUIS BUIN</v>
          </cell>
        </row>
        <row r="1157">
          <cell r="Z1157" t="str">
            <v>ESTERILIZACIÓN</v>
          </cell>
          <cell r="AA1157" t="str">
            <v>HOSPITAL SAN LUIS BUIN</v>
          </cell>
        </row>
        <row r="1158">
          <cell r="Z1158" t="str">
            <v>ESTERILIZACIÓN</v>
          </cell>
          <cell r="AA1158" t="str">
            <v>COMPLEJO ASISTENCIAL DR.SOTERO DEL RIO</v>
          </cell>
        </row>
        <row r="1159">
          <cell r="Z1159" t="str">
            <v>ESTERILIZACIÓN</v>
          </cell>
          <cell r="AA1159" t="str">
            <v>SERVICIO DE SALUD VALPARAISO SN ANTONIO</v>
          </cell>
        </row>
        <row r="1160">
          <cell r="Z1160" t="str">
            <v>ESTERILIZACIÓN</v>
          </cell>
          <cell r="AA1160" t="str">
            <v>SERVICIO DE SALUD VALPARAISO SN ANTONIO</v>
          </cell>
        </row>
        <row r="1161">
          <cell r="Z1161" t="str">
            <v>ESTERILIZACIÓN</v>
          </cell>
          <cell r="AA1161" t="str">
            <v>GEMCO GENERAL MACHINERY S.A.</v>
          </cell>
        </row>
        <row r="1162">
          <cell r="Z1162" t="str">
            <v>ESTERILIZACIÓN</v>
          </cell>
          <cell r="AA1162" t="str">
            <v>HOSPITAL DE QUILPUE</v>
          </cell>
        </row>
        <row r="1163">
          <cell r="Z1163" t="str">
            <v>MMQ</v>
          </cell>
          <cell r="AA1163" t="str">
            <v>FUNDACION JOSEFINA MARTINEZ DE FERRARI</v>
          </cell>
        </row>
        <row r="1164">
          <cell r="Z1164" t="str">
            <v>MMQ</v>
          </cell>
          <cell r="AA1164" t="str">
            <v>FUNDACION JOSEFINA MARTINEZ DE FERRARI</v>
          </cell>
        </row>
        <row r="1165">
          <cell r="Z1165" t="str">
            <v>MMQ</v>
          </cell>
        </row>
        <row r="1166">
          <cell r="Z1166" t="str">
            <v>MMQ</v>
          </cell>
          <cell r="AA1166" t="str">
            <v>GEMCO GENERAL MACHINERY S.A.</v>
          </cell>
        </row>
        <row r="1167">
          <cell r="Z1167" t="str">
            <v>MMQ</v>
          </cell>
          <cell r="AA1167" t="str">
            <v>GEMCO GENERAL MACHINERY S.A.</v>
          </cell>
        </row>
        <row r="1168">
          <cell r="Z1168" t="str">
            <v>ENDOSCOPÍA</v>
          </cell>
          <cell r="AA1168" t="str">
            <v>GEMCO GENERAL MACHINERY S.A.</v>
          </cell>
        </row>
        <row r="1169">
          <cell r="Z1169" t="str">
            <v>ENDOSCOPÍA</v>
          </cell>
          <cell r="AA1169" t="str">
            <v>GEMCO GENERAL MACHINERY S.A.</v>
          </cell>
        </row>
        <row r="1170">
          <cell r="Z1170" t="str">
            <v>ENDOSCOPÍA</v>
          </cell>
        </row>
        <row r="1171">
          <cell r="Z1171" t="str">
            <v>ENDOSCOPÍA</v>
          </cell>
        </row>
        <row r="1172">
          <cell r="Z1172" t="str">
            <v>DENTAL</v>
          </cell>
        </row>
        <row r="1173">
          <cell r="Z1173" t="str">
            <v>DENTAL</v>
          </cell>
        </row>
        <row r="1174">
          <cell r="Z1174" t="str">
            <v>DENTAL</v>
          </cell>
          <cell r="AA1174" t="str">
            <v>INTEGRAMEDICA S.A (Las Condes)</v>
          </cell>
        </row>
        <row r="1175">
          <cell r="Z1175" t="str">
            <v>DENTAL</v>
          </cell>
          <cell r="AA1175" t="str">
            <v>INTEGRAMEDICA S.A (Las Condes)</v>
          </cell>
        </row>
        <row r="1176">
          <cell r="Z1176" t="str">
            <v>DENTAL</v>
          </cell>
          <cell r="AA1176" t="str">
            <v>INTEGRAMEDICA S.A (Las Condes)</v>
          </cell>
        </row>
        <row r="1177">
          <cell r="Z1177" t="str">
            <v>DENTAL</v>
          </cell>
          <cell r="AA1177" t="str">
            <v>INTEGRAMEDICA S.A (Las Condes)</v>
          </cell>
        </row>
        <row r="1178">
          <cell r="Z1178" t="str">
            <v>DENTAL</v>
          </cell>
          <cell r="AA1178" t="str">
            <v>INTEGRAMEDICA S.A (Las Condes)</v>
          </cell>
        </row>
        <row r="1179">
          <cell r="Z1179" t="str">
            <v>DENTAL</v>
          </cell>
          <cell r="AA1179" t="str">
            <v>INTEGRAMEDICA S.A (Las Condes)</v>
          </cell>
        </row>
        <row r="1180">
          <cell r="Z1180" t="str">
            <v>DENTAL</v>
          </cell>
        </row>
        <row r="1181">
          <cell r="Z1181" t="str">
            <v>DENTAL</v>
          </cell>
        </row>
        <row r="1182">
          <cell r="Z1182" t="str">
            <v>DENTAL</v>
          </cell>
          <cell r="AA1182" t="str">
            <v>CESFAM SAN FELIPE DEL REAL</v>
          </cell>
        </row>
        <row r="1183">
          <cell r="Z1183" t="str">
            <v>DENTAL</v>
          </cell>
        </row>
        <row r="1184">
          <cell r="Z1184" t="str">
            <v>DENTAL</v>
          </cell>
        </row>
        <row r="1185">
          <cell r="Z1185" t="str">
            <v>DENTAL</v>
          </cell>
          <cell r="AA1185" t="str">
            <v>INTEGRAMEDICA TALCA</v>
          </cell>
        </row>
        <row r="1186">
          <cell r="Z1186" t="str">
            <v>DENTAL</v>
          </cell>
          <cell r="AA1186" t="str">
            <v>UC CHRISTUS SERVICIOS AMBULATORIOS SPA</v>
          </cell>
        </row>
        <row r="1187">
          <cell r="Z1187" t="str">
            <v>MOBILIARIO CLINICO</v>
          </cell>
          <cell r="AA1187" t="str">
            <v>POLICENTER</v>
          </cell>
        </row>
        <row r="1188">
          <cell r="Z1188" t="str">
            <v>MOBILIARIO CLINICO</v>
          </cell>
          <cell r="AA1188" t="str">
            <v>HOSPITAL DR. LUIS TISNE B.</v>
          </cell>
        </row>
        <row r="1189">
          <cell r="Z1189" t="str">
            <v>MOBILIARIO CLINICO</v>
          </cell>
          <cell r="AA1189" t="str">
            <v>COMPLEJO ASISTENCIAL DR.SOTERO DEL RIO</v>
          </cell>
        </row>
        <row r="1190">
          <cell r="Z1190" t="str">
            <v>MOBILIARIO CLINICO</v>
          </cell>
          <cell r="AA1190" t="str">
            <v>COMPLEJO ASISTENCIAL DR.SOTERO DEL RIO</v>
          </cell>
        </row>
        <row r="1191">
          <cell r="Z1191" t="str">
            <v>MOBILIARIO CLINICO</v>
          </cell>
          <cell r="AA1191" t="str">
            <v>COMPLEJO ASISTENCIAL DR.SOTERO DEL RIO</v>
          </cell>
        </row>
        <row r="1192">
          <cell r="Z1192" t="str">
            <v>MOBILIARIO CLINICO</v>
          </cell>
          <cell r="AA1192" t="str">
            <v>COMPLEJO ASISTENCIAL DR.SOTERO DEL RIO</v>
          </cell>
        </row>
        <row r="1193">
          <cell r="Z1193" t="str">
            <v>MOBILIARIO CLINICO</v>
          </cell>
          <cell r="AA1193" t="str">
            <v>SERVICIO DE SALUD DEL MAULE</v>
          </cell>
        </row>
        <row r="1194">
          <cell r="Z1194" t="str">
            <v>MOBILIARIO CLINICO</v>
          </cell>
          <cell r="AA1194" t="str">
            <v>SERVICIO DE SALUD DEL MAULE</v>
          </cell>
        </row>
        <row r="1195">
          <cell r="Z1195" t="str">
            <v>MOBILIARIO CLINICO</v>
          </cell>
          <cell r="AA1195" t="str">
            <v>SERVICIO DE SALUD DEL MAULE</v>
          </cell>
        </row>
        <row r="1196">
          <cell r="Z1196" t="str">
            <v>MOBILIARIO CLINICO</v>
          </cell>
          <cell r="AA1196" t="str">
            <v>SERVICIO DE SALUD DEL MAULE</v>
          </cell>
        </row>
        <row r="1197">
          <cell r="Z1197" t="str">
            <v>MOBILIARIO CLINICO</v>
          </cell>
          <cell r="AA1197" t="str">
            <v>SERVICIO DE SALUD DEL MAULE</v>
          </cell>
        </row>
        <row r="1198">
          <cell r="Z1198" t="str">
            <v>MOBILIARIO CLINICO</v>
          </cell>
          <cell r="AA1198" t="str">
            <v>SERVICIO DE SALUD DEL MAULE</v>
          </cell>
        </row>
        <row r="1199">
          <cell r="Z1199" t="str">
            <v>MOBILIARIO CLINICO</v>
          </cell>
          <cell r="AA1199" t="str">
            <v>SERVICIO DE SALUD DEL MAULE</v>
          </cell>
        </row>
        <row r="1200">
          <cell r="Z1200" t="str">
            <v>MOBILIARIO CLINICO</v>
          </cell>
          <cell r="AA1200" t="str">
            <v>HOSPITAL CLINICO SAN BORJA-ARRIARAN</v>
          </cell>
        </row>
        <row r="1201">
          <cell r="Z1201" t="str">
            <v>MOBILIARIO CLINICO</v>
          </cell>
          <cell r="AA1201" t="str">
            <v>HOSPITAL CLINICO SAN BORJA-ARRIARAN</v>
          </cell>
        </row>
        <row r="1202">
          <cell r="Z1202" t="str">
            <v>MOBILIARIO CLINICO</v>
          </cell>
          <cell r="AA1202" t="str">
            <v>HOSPITAL CLINICO SAN BORJA-ARRIARAN</v>
          </cell>
        </row>
        <row r="1203">
          <cell r="Z1203" t="str">
            <v>MOBILIARIO CLINICO</v>
          </cell>
          <cell r="AA1203" t="str">
            <v>HOSPITAL CLINICO SAN BORJA-ARRIARAN</v>
          </cell>
        </row>
        <row r="1204">
          <cell r="Z1204" t="str">
            <v>MOBILIARIO CLINICO</v>
          </cell>
          <cell r="AA1204" t="str">
            <v>HOSPITAL CLINICO SAN BORJA-ARRIARAN</v>
          </cell>
        </row>
        <row r="1205">
          <cell r="Z1205" t="str">
            <v>MOBILIARIO CLINICO</v>
          </cell>
          <cell r="AA1205" t="str">
            <v>HOSPITAL CLINICO SAN BORJA-ARRIARAN</v>
          </cell>
        </row>
        <row r="1206">
          <cell r="Z1206" t="str">
            <v>MOBILIARIO CLINICO</v>
          </cell>
          <cell r="AA1206" t="str">
            <v>HOSPITAL CLINICO SAN BORJA-ARRIARAN</v>
          </cell>
        </row>
        <row r="1207">
          <cell r="Z1207" t="str">
            <v>MOBILIARIO CLINICO</v>
          </cell>
          <cell r="AA1207" t="str">
            <v>HOSPITAL CLINICO SAN BORJA-ARRIARAN</v>
          </cell>
        </row>
        <row r="1208">
          <cell r="Z1208" t="str">
            <v>MOBILIARIO CLINICO</v>
          </cell>
          <cell r="AA1208" t="str">
            <v>HOSPITAL CLINICO SAN BORJA-ARRIARAN</v>
          </cell>
        </row>
        <row r="1209">
          <cell r="Z1209" t="str">
            <v>MOBILIARIO CLINICO</v>
          </cell>
          <cell r="AA1209" t="str">
            <v>HOSPITAL CLINICO SAN BORJA-ARRIARAN</v>
          </cell>
        </row>
        <row r="1210">
          <cell r="Z1210" t="str">
            <v>MOBILIARIO CLINICO</v>
          </cell>
          <cell r="AA1210" t="str">
            <v>HOSPITAL CLINICO SAN BORJA-ARRIARAN</v>
          </cell>
        </row>
        <row r="1211">
          <cell r="Z1211" t="str">
            <v>MOBILIARIO CLINICO</v>
          </cell>
          <cell r="AA1211" t="str">
            <v>HOSPITAL CLINICO SAN BORJA-ARRIARAN</v>
          </cell>
        </row>
        <row r="1212">
          <cell r="Z1212" t="str">
            <v>MOBILIARIO CLINICO</v>
          </cell>
          <cell r="AA1212" t="str">
            <v>HOSPITAL CLINICO SAN BORJA-ARRIARAN</v>
          </cell>
        </row>
        <row r="1213">
          <cell r="Z1213" t="str">
            <v>MOBILIARIO CLINICO</v>
          </cell>
          <cell r="AA1213" t="str">
            <v>HOSPITAL CLINICO SAN BORJA-ARRIARAN</v>
          </cell>
        </row>
        <row r="1214">
          <cell r="Z1214" t="str">
            <v>MOBILIARIO CLINICO</v>
          </cell>
          <cell r="AA1214" t="str">
            <v>HOSPITAL CLINICO SAN BORJA-ARRIARAN</v>
          </cell>
        </row>
        <row r="1215">
          <cell r="Z1215" t="str">
            <v>MOBILIARIO CLINICO</v>
          </cell>
          <cell r="AA1215" t="str">
            <v>HOSPITAL CLINICO SAN BORJA-ARRIARAN</v>
          </cell>
        </row>
        <row r="1216">
          <cell r="Z1216" t="str">
            <v>MOBILIARIO CLINICO</v>
          </cell>
          <cell r="AA1216" t="str">
            <v>HOSPITAL CLINICO SAN BORJA-ARRIARAN</v>
          </cell>
        </row>
        <row r="1217">
          <cell r="Z1217" t="str">
            <v>MOBILIARIO CLINICO</v>
          </cell>
          <cell r="AA1217" t="str">
            <v>HOSPITAL CLINICO SAN BORJA-ARRIARAN</v>
          </cell>
        </row>
        <row r="1218">
          <cell r="Z1218" t="str">
            <v>MOBILIARIO CLINICO</v>
          </cell>
          <cell r="AA1218" t="str">
            <v>HOSPITAL CLINICO SAN BORJA-ARRIARAN</v>
          </cell>
        </row>
        <row r="1219">
          <cell r="Z1219" t="str">
            <v>MOBILIARIO CLINICO</v>
          </cell>
          <cell r="AA1219" t="str">
            <v>HOSPITAL CLINICO SAN BORJA-ARRIARAN</v>
          </cell>
        </row>
        <row r="1220">
          <cell r="Z1220" t="str">
            <v>MOBILIARIO CLINICO</v>
          </cell>
          <cell r="AA1220" t="str">
            <v>HOSPITAL CLINICO SAN BORJA-ARRIARAN</v>
          </cell>
        </row>
        <row r="1221">
          <cell r="Z1221" t="str">
            <v>MOBILIARIO CLINICO</v>
          </cell>
          <cell r="AA1221" t="str">
            <v>HOSPITAL CLINICO SAN BORJA-ARRIARAN</v>
          </cell>
        </row>
        <row r="1222">
          <cell r="Z1222" t="str">
            <v>MOBILIARIO CLINICO</v>
          </cell>
          <cell r="AA1222" t="str">
            <v>HOSPITAL CLINICO SAN BORJA-ARRIARAN</v>
          </cell>
        </row>
        <row r="1223">
          <cell r="Z1223" t="str">
            <v>MOBILIARIO CLINICO</v>
          </cell>
          <cell r="AA1223" t="str">
            <v>HOSPITAL CLINICO SAN BORJA-ARRIARAN</v>
          </cell>
        </row>
        <row r="1224">
          <cell r="Z1224" t="str">
            <v>MOBILIARIO CLINICO</v>
          </cell>
          <cell r="AA1224" t="str">
            <v>HOSPITAL CLINICO SAN BORJA-ARRIARAN</v>
          </cell>
        </row>
        <row r="1225">
          <cell r="Z1225" t="str">
            <v>MOBILIARIO CLINICO</v>
          </cell>
          <cell r="AA1225" t="str">
            <v>HOSPITAL CLINICO SAN BORJA-ARRIARAN</v>
          </cell>
        </row>
        <row r="1226">
          <cell r="Z1226" t="str">
            <v>MOBILIARIO CLINICO</v>
          </cell>
          <cell r="AA1226" t="str">
            <v>HOSPITAL CLINICO SAN BORJA-ARRIARAN</v>
          </cell>
        </row>
        <row r="1227">
          <cell r="Z1227" t="str">
            <v>MOBILIARIO CLINICO</v>
          </cell>
          <cell r="AA1227" t="str">
            <v>HOSPITAL CLINICO SAN BORJA-ARRIARAN</v>
          </cell>
        </row>
        <row r="1228">
          <cell r="Z1228" t="str">
            <v>MOBILIARIO CLINICO</v>
          </cell>
          <cell r="AA1228" t="str">
            <v>HOSPITAL CLINICO SAN BORJA-ARRIARAN</v>
          </cell>
        </row>
        <row r="1229">
          <cell r="Z1229" t="str">
            <v>MOBILIARIO CLINICO</v>
          </cell>
          <cell r="AA1229" t="str">
            <v>HOSPITAL CLINICO SAN BORJA-ARRIARAN</v>
          </cell>
        </row>
        <row r="1230">
          <cell r="Z1230" t="str">
            <v>MOBILIARIO CLINICO</v>
          </cell>
          <cell r="AA1230" t="str">
            <v>HOSPITAL CLINICO SAN BORJA-ARRIARAN</v>
          </cell>
        </row>
        <row r="1231">
          <cell r="Z1231" t="str">
            <v>MOBILIARIO CLINICO</v>
          </cell>
          <cell r="AA1231" t="str">
            <v>HOSPITAL CLINICO SAN BORJA-ARRIARAN</v>
          </cell>
        </row>
        <row r="1232">
          <cell r="Z1232" t="str">
            <v>MOBILIARIO CLINICO</v>
          </cell>
          <cell r="AA1232" t="str">
            <v>HOSPITAL CLINICO SAN BORJA-ARRIARAN</v>
          </cell>
        </row>
        <row r="1233">
          <cell r="Z1233" t="str">
            <v>MOBILIARIO CLINICO</v>
          </cell>
          <cell r="AA1233" t="str">
            <v>HOSPITAL CLINICO SAN BORJA-ARRIARAN</v>
          </cell>
        </row>
        <row r="1234">
          <cell r="Z1234" t="str">
            <v>MOBILIARIO CLINICO</v>
          </cell>
          <cell r="AA1234" t="str">
            <v>HOSPITAL CLINICO SAN BORJA-ARRIARAN</v>
          </cell>
        </row>
        <row r="1235">
          <cell r="Z1235" t="str">
            <v>MOBILIARIO CLINICO</v>
          </cell>
          <cell r="AA1235" t="str">
            <v>HOSPITAL CLINICO SAN BORJA-ARRIARAN</v>
          </cell>
        </row>
        <row r="1236">
          <cell r="Z1236" t="str">
            <v>MOBILIARIO CLINICO</v>
          </cell>
          <cell r="AA1236" t="str">
            <v>HOSPITAL CLINICO SAN BORJA-ARRIARAN</v>
          </cell>
        </row>
        <row r="1237">
          <cell r="Z1237" t="str">
            <v>MOBILIARIO CLINICO</v>
          </cell>
          <cell r="AA1237" t="str">
            <v>HOSPITAL CLINICO SAN BORJA-ARRIARAN</v>
          </cell>
        </row>
        <row r="1238">
          <cell r="Z1238" t="str">
            <v>MOBILIARIO CLINICO</v>
          </cell>
          <cell r="AA1238" t="str">
            <v>HOSPITAL CLINICO SAN BORJA-ARRIARAN</v>
          </cell>
        </row>
        <row r="1239">
          <cell r="Z1239" t="str">
            <v>MOBILIARIO CLINICO</v>
          </cell>
          <cell r="AA1239" t="str">
            <v>HOSPITAL CLINICO SAN BORJA-ARRIARAN</v>
          </cell>
        </row>
        <row r="1240">
          <cell r="Z1240" t="str">
            <v>MOBILIARIO CLINICO</v>
          </cell>
          <cell r="AA1240" t="str">
            <v>HOSPITAL CLINICO SAN BORJA-ARRIARAN</v>
          </cell>
        </row>
        <row r="1241">
          <cell r="Z1241" t="str">
            <v>MOBILIARIO CLINICO</v>
          </cell>
          <cell r="AA1241" t="str">
            <v>HOSPITAL CLINICO SAN BORJA-ARRIARAN</v>
          </cell>
        </row>
        <row r="1242">
          <cell r="Z1242" t="str">
            <v>MOBILIARIO CLINICO</v>
          </cell>
          <cell r="AA1242" t="str">
            <v>HOSPITAL CLINICO SAN BORJA-ARRIARAN</v>
          </cell>
        </row>
        <row r="1243">
          <cell r="Z1243" t="str">
            <v>MOBILIARIO CLINICO</v>
          </cell>
          <cell r="AA1243" t="str">
            <v>HOSPITAL CLINICO SAN BORJA-ARRIARAN</v>
          </cell>
        </row>
        <row r="1244">
          <cell r="Z1244" t="str">
            <v>MOBILIARIO CLINICO</v>
          </cell>
          <cell r="AA1244" t="str">
            <v>HOSPITAL CLINICO SAN BORJA-ARRIARAN</v>
          </cell>
        </row>
        <row r="1245">
          <cell r="Z1245" t="str">
            <v>MOBILIARIO CLINICO</v>
          </cell>
          <cell r="AA1245" t="str">
            <v>HOSPITAL CLINICO SAN BORJA-ARRIARAN</v>
          </cell>
        </row>
        <row r="1246">
          <cell r="Z1246" t="str">
            <v>MOBILIARIO CLINICO</v>
          </cell>
          <cell r="AA1246" t="str">
            <v>HOSPITAL CLINICO SAN BORJA-ARRIARAN</v>
          </cell>
        </row>
        <row r="1247">
          <cell r="Z1247" t="str">
            <v>MOBILIARIO CLINICO</v>
          </cell>
          <cell r="AA1247" t="str">
            <v>HOSPITAL CLINICO SAN BORJA-ARRIARAN</v>
          </cell>
        </row>
        <row r="1248">
          <cell r="Z1248" t="str">
            <v>MOBILIARIO CLINICO</v>
          </cell>
          <cell r="AA1248" t="str">
            <v>HOSPITAL CLINICO SAN BORJA-ARRIARAN</v>
          </cell>
        </row>
        <row r="1249">
          <cell r="Z1249" t="str">
            <v>MOBILIARIO CLINICO</v>
          </cell>
          <cell r="AA1249" t="str">
            <v>HOSPITAL CLINICO SAN BORJA-ARRIARAN</v>
          </cell>
        </row>
        <row r="1250">
          <cell r="Z1250" t="str">
            <v>MOBILIARIO CLINICO</v>
          </cell>
          <cell r="AA1250" t="str">
            <v>HOSPITAL DR. LUIS TISNE B.</v>
          </cell>
        </row>
        <row r="1251">
          <cell r="Z1251" t="str">
            <v>MOBILIARIO CLINICO</v>
          </cell>
          <cell r="AA1251" t="str">
            <v>HOSPITAL DR. LUIS TISNE B.</v>
          </cell>
        </row>
        <row r="1252">
          <cell r="Z1252" t="str">
            <v>MOBILIARIO CLINICO</v>
          </cell>
          <cell r="AA1252" t="str">
            <v>HOSPITAL DR. LUIS TISNE B.</v>
          </cell>
        </row>
        <row r="1253">
          <cell r="Z1253" t="str">
            <v>MOBILIARIO CLINICO</v>
          </cell>
          <cell r="AA1253" t="str">
            <v>HOSPITAL DR. LUIS TISNE B.</v>
          </cell>
        </row>
        <row r="1254">
          <cell r="Z1254" t="str">
            <v>MOBILIARIO CLINICO</v>
          </cell>
          <cell r="AA1254" t="str">
            <v>HOSPITAL DR. LUIS TISNE B.</v>
          </cell>
        </row>
        <row r="1255">
          <cell r="Z1255" t="str">
            <v>MOBILIARIO CLINICO</v>
          </cell>
          <cell r="AA1255" t="str">
            <v>HOSPITAL DR. LUIS TISNE B.</v>
          </cell>
        </row>
        <row r="1256">
          <cell r="Z1256" t="str">
            <v>MOBILIARIO CLINICO</v>
          </cell>
          <cell r="AA1256" t="str">
            <v>HOSPITAL DR. LUIS TISNE B.</v>
          </cell>
        </row>
        <row r="1257">
          <cell r="Z1257" t="str">
            <v>MOBILIARIO CLINICO</v>
          </cell>
          <cell r="AA1257" t="str">
            <v>HOSPITAL DR. LUIS TISNE B.</v>
          </cell>
        </row>
        <row r="1258">
          <cell r="Z1258" t="str">
            <v>MOBILIARIO CLINICO</v>
          </cell>
          <cell r="AA1258" t="str">
            <v>HOSPITAL DR. LUIS TISNE B.</v>
          </cell>
        </row>
        <row r="1259">
          <cell r="Z1259" t="str">
            <v>MOBILIARIO CLINICO</v>
          </cell>
          <cell r="AA1259" t="str">
            <v>HOSPITAL DR. LUIS TISNE B.</v>
          </cell>
        </row>
        <row r="1260">
          <cell r="Z1260" t="str">
            <v>MOBILIARIO CLINICO</v>
          </cell>
          <cell r="AA1260" t="str">
            <v>HOSPITAL DR. LUIS TISNE B.</v>
          </cell>
        </row>
        <row r="1261">
          <cell r="Z1261" t="str">
            <v>MOBILIARIO CLINICO</v>
          </cell>
          <cell r="AA1261" t="str">
            <v>HOSPITAL DR. LUIS TISNE B.</v>
          </cell>
        </row>
        <row r="1262">
          <cell r="Z1262" t="str">
            <v>MOBILIARIO CLINICO</v>
          </cell>
          <cell r="AA1262" t="str">
            <v>HOSPITAL DR. LUIS TISNE B.</v>
          </cell>
        </row>
        <row r="1263">
          <cell r="Z1263" t="str">
            <v>MOBILIARIO CLINICO</v>
          </cell>
          <cell r="AA1263" t="str">
            <v>HOSPITAL DR. LUIS TISNE B.</v>
          </cell>
        </row>
        <row r="1264">
          <cell r="Z1264" t="str">
            <v>MOBILIARIO CLINICO</v>
          </cell>
          <cell r="AA1264" t="str">
            <v>INSTITUTO NACIONAL DEL TORAX</v>
          </cell>
        </row>
        <row r="1265">
          <cell r="Z1265" t="str">
            <v>MOBILIARIO CLINICO</v>
          </cell>
          <cell r="AA1265" t="str">
            <v>INSTITUTO NACIONAL DEL TORAX</v>
          </cell>
        </row>
        <row r="1266">
          <cell r="Z1266" t="str">
            <v>MOBILIARIO CLINICO</v>
          </cell>
          <cell r="AA1266" t="str">
            <v>ACHS</v>
          </cell>
        </row>
        <row r="1267">
          <cell r="Z1267" t="str">
            <v>MOBILIARIO CLINICO</v>
          </cell>
          <cell r="AA1267" t="str">
            <v>HOSPITAL NAVAL ALMIRANTE ADRIAZOLA</v>
          </cell>
        </row>
        <row r="1268">
          <cell r="Z1268" t="str">
            <v>MOBILIARIO CLINICO</v>
          </cell>
          <cell r="AA1268" t="str">
            <v>HOSPITAL NAVAL ALMIRANTE ADRIAZOLA</v>
          </cell>
        </row>
        <row r="1269">
          <cell r="Z1269" t="str">
            <v>MOBILIARIO CLINICO</v>
          </cell>
          <cell r="AA1269" t="str">
            <v>HOSPITAL NAVAL ALMIRANTE ADRIAZOLA</v>
          </cell>
        </row>
        <row r="1270">
          <cell r="Z1270" t="str">
            <v>MOBILIARIO CLINICO</v>
          </cell>
          <cell r="AA1270" t="str">
            <v>HOSPITAL NAVAL ALMIRANTE ADRIAZOLA</v>
          </cell>
        </row>
        <row r="1271">
          <cell r="Z1271" t="str">
            <v>MOBILIARIO CLINICO</v>
          </cell>
          <cell r="AA1271" t="str">
            <v>HOSPITAL NAVAL ALMIRANTE ADRIAZOLA</v>
          </cell>
        </row>
        <row r="1272">
          <cell r="Z1272" t="str">
            <v>MOBILIARIO CLINICO</v>
          </cell>
          <cell r="AA1272" t="str">
            <v>HOSPITAL NAVAL ALMIRANTE ADRIAZOLA</v>
          </cell>
        </row>
        <row r="1273">
          <cell r="Z1273" t="str">
            <v>MOBILIARIO CLINICO</v>
          </cell>
          <cell r="AA1273" t="str">
            <v>HOSPITAL NAVAL ALMIRANTE ADRIAZOLA</v>
          </cell>
        </row>
        <row r="1274">
          <cell r="Z1274" t="str">
            <v>MOBILIARIO CLINICO</v>
          </cell>
          <cell r="AA1274" t="str">
            <v>HOSPITAL NAVAL ALMIRANTE ADRIAZOLA</v>
          </cell>
        </row>
        <row r="1275">
          <cell r="Z1275" t="str">
            <v>MOBILIARIO CLINICO</v>
          </cell>
          <cell r="AA1275" t="str">
            <v>HOSPITAL NAVAL ALMIRANTE ADRIAZOLA</v>
          </cell>
        </row>
        <row r="1276">
          <cell r="Z1276" t="str">
            <v>MOBILIARIO CLINICO</v>
          </cell>
          <cell r="AA1276" t="str">
            <v>HOSPITAL NAVAL ALMIRANTE ADRIAZOLA</v>
          </cell>
        </row>
        <row r="1277">
          <cell r="Z1277" t="str">
            <v>MOBILIARIO CLINICO</v>
          </cell>
          <cell r="AA1277" t="str">
            <v>HOSPITAL NAVAL ALMIRANTE ADRIAZOLA</v>
          </cell>
        </row>
        <row r="1278">
          <cell r="Z1278" t="str">
            <v>MOBILIARIO CLINICO</v>
          </cell>
          <cell r="AA1278" t="str">
            <v>HOSPITAL NAVAL ALMIRANTE ADRIAZOLA</v>
          </cell>
        </row>
        <row r="1279">
          <cell r="Z1279" t="str">
            <v>MOBILIARIO CLINICO</v>
          </cell>
          <cell r="AA1279" t="str">
            <v>HOSPITAL NAVAL ALMIRANTE ADRIAZOLA</v>
          </cell>
        </row>
        <row r="1280">
          <cell r="Z1280" t="str">
            <v>MOBILIARIO CLINICO</v>
          </cell>
          <cell r="AA1280" t="str">
            <v>HOSPITAL NAVAL ALMIRANTE ADRIAZOLA</v>
          </cell>
        </row>
        <row r="1281">
          <cell r="Z1281" t="str">
            <v>MOBILIARIO CLINICO</v>
          </cell>
          <cell r="AA1281" t="str">
            <v>HOSPITAL NAVAL ALMIRANTE ADRIAZOLA</v>
          </cell>
        </row>
        <row r="1282">
          <cell r="Z1282" t="str">
            <v>MOBILIARIO CLINICO</v>
          </cell>
          <cell r="AA1282" t="str">
            <v>HOSPITAL NAVAL ALMIRANTE ADRIAZOLA</v>
          </cell>
        </row>
        <row r="1283">
          <cell r="Z1283" t="str">
            <v>MOBILIARIO CLINICO</v>
          </cell>
          <cell r="AA1283" t="str">
            <v>HOSPITAL NAVAL ALMIRANTE ADRIAZOLA</v>
          </cell>
        </row>
        <row r="1284">
          <cell r="Z1284" t="str">
            <v>MOBILIARIO CLINICO</v>
          </cell>
          <cell r="AA1284" t="str">
            <v>HOSPITAL NAVAL ALMIRANTE ADRIAZOLA</v>
          </cell>
        </row>
        <row r="1285">
          <cell r="Z1285" t="str">
            <v>MOBILIARIO CLINICO</v>
          </cell>
          <cell r="AA1285" t="str">
            <v>HOSPITAL NAVAL ALMIRANTE ADRIAZOLA</v>
          </cell>
        </row>
        <row r="1286">
          <cell r="Z1286" t="str">
            <v>MOBILIARIO CLINICO</v>
          </cell>
          <cell r="AA1286" t="str">
            <v>HOSPITAL NAVAL ALMIRANTE ADRIAZOLA</v>
          </cell>
        </row>
        <row r="1287">
          <cell r="Z1287" t="str">
            <v>MOBILIARIO CLINICO</v>
          </cell>
          <cell r="AA1287" t="str">
            <v>HOSPITAL NAVAL ALMIRANTE ADRIAZOLA</v>
          </cell>
        </row>
        <row r="1288">
          <cell r="Z1288" t="str">
            <v>MOBILIARIO CLINICO</v>
          </cell>
          <cell r="AA1288" t="str">
            <v>HOSPITAL NAVAL ALMIRANTE ADRIAZOLA</v>
          </cell>
        </row>
        <row r="1289">
          <cell r="Z1289" t="str">
            <v>MOBILIARIO CLINICO</v>
          </cell>
          <cell r="AA1289" t="str">
            <v>HOSPITAL NAVAL ALMIRANTE ADRIAZOLA</v>
          </cell>
        </row>
        <row r="1290">
          <cell r="Z1290" t="str">
            <v>MOBILIARIO CLINICO</v>
          </cell>
          <cell r="AA1290" t="str">
            <v>HOSPITAL NAVAL ALMIRANTE ADRIAZOLA</v>
          </cell>
        </row>
        <row r="1291">
          <cell r="Z1291" t="str">
            <v>MOBILIARIO CLINICO</v>
          </cell>
          <cell r="AA1291" t="str">
            <v>HOSPITAL NAVAL ALMIRANTE ADRIAZOLA</v>
          </cell>
        </row>
        <row r="1292">
          <cell r="Z1292" t="str">
            <v>MOBILIARIO CLINICO</v>
          </cell>
          <cell r="AA1292" t="str">
            <v>HOSPITAL NAVAL ALMIRANTE ADRIAZOLA</v>
          </cell>
        </row>
        <row r="1293">
          <cell r="Z1293" t="str">
            <v>MOBILIARIO CLINICO</v>
          </cell>
          <cell r="AA1293" t="str">
            <v>HOSPITAL NAVAL ALMIRANTE ADRIAZOLA</v>
          </cell>
        </row>
        <row r="1294">
          <cell r="Z1294" t="str">
            <v>MOBILIARIO CLINICO</v>
          </cell>
          <cell r="AA1294" t="str">
            <v>HOSPITAL NAVAL ALMIRANTE ADRIAZOLA</v>
          </cell>
        </row>
        <row r="1295">
          <cell r="Z1295" t="str">
            <v>MOBILIARIO CLINICO</v>
          </cell>
          <cell r="AA1295" t="str">
            <v>HOSPITAL NAVAL ALMIRANTE ADRIAZOLA</v>
          </cell>
        </row>
        <row r="1296">
          <cell r="Z1296" t="str">
            <v>MOBILIARIO CLINICO</v>
          </cell>
          <cell r="AA1296" t="str">
            <v>HOSPITAL NAVAL ALMIRANTE ADRIAZOLA</v>
          </cell>
        </row>
        <row r="1297">
          <cell r="Z1297" t="str">
            <v>MOBILIARIO CLINICO</v>
          </cell>
          <cell r="AA1297" t="str">
            <v>HOSPITAL NAVAL ALMIRANTE ADRIAZOLA</v>
          </cell>
        </row>
        <row r="1298">
          <cell r="Z1298" t="str">
            <v>MOBILIARIO CLINICO</v>
          </cell>
          <cell r="AA1298" t="str">
            <v>HOSPITAL NAVAL ALMIRANTE ADRIAZOLA</v>
          </cell>
        </row>
        <row r="1299">
          <cell r="Z1299" t="str">
            <v>MOBILIARIO CLINICO</v>
          </cell>
          <cell r="AA1299" t="str">
            <v>HOSPITAL NAVAL ALMIRANTE ADRIAZOLA</v>
          </cell>
        </row>
        <row r="1300">
          <cell r="Z1300" t="str">
            <v>MOBILIARIO CLINICO</v>
          </cell>
          <cell r="AA1300" t="str">
            <v>HOSPITAL NAVAL ALMIRANTE ADRIAZOLA</v>
          </cell>
        </row>
        <row r="1301">
          <cell r="Z1301" t="str">
            <v>MOBILIARIO CLINICO</v>
          </cell>
          <cell r="AA1301" t="str">
            <v>HOSPITAL NAVAL ALMIRANTE ADRIAZOLA</v>
          </cell>
        </row>
        <row r="1302">
          <cell r="Z1302" t="str">
            <v>MOBILIARIO CLINICO</v>
          </cell>
          <cell r="AA1302" t="str">
            <v>HOSPITAL NAVAL ALMIRANTE ADRIAZOLA</v>
          </cell>
        </row>
        <row r="1303">
          <cell r="Z1303" t="str">
            <v>MOBILIARIO CLINICO</v>
          </cell>
          <cell r="AA1303" t="str">
            <v>HOSPITAL NAVAL ALMIRANTE ADRIAZOLA</v>
          </cell>
        </row>
        <row r="1304">
          <cell r="Z1304" t="str">
            <v>MOBILIARIO CLINICO</v>
          </cell>
          <cell r="AA1304" t="str">
            <v>HOSPITAL NAVAL ALMIRANTE ADRIAZOLA</v>
          </cell>
        </row>
        <row r="1305">
          <cell r="Z1305" t="str">
            <v>MOBILIARIO CLINICO</v>
          </cell>
          <cell r="AA1305" t="str">
            <v>HOSPITAL NAVAL ALMIRANTE ADRIAZOLA</v>
          </cell>
        </row>
        <row r="1306">
          <cell r="Z1306" t="str">
            <v>MOBILIARIO CLINICO</v>
          </cell>
          <cell r="AA1306" t="str">
            <v>HOSPITAL NAVAL ALMIRANTE ADRIAZOLA</v>
          </cell>
        </row>
        <row r="1307">
          <cell r="Z1307" t="str">
            <v>MOBILIARIO CLINICO</v>
          </cell>
          <cell r="AA1307" t="str">
            <v>HOSPITAL NAVAL ALMIRANTE ADRIAZOLA</v>
          </cell>
        </row>
        <row r="1308">
          <cell r="Z1308" t="str">
            <v>MOBILIARIO CLINICO</v>
          </cell>
          <cell r="AA1308" t="str">
            <v>HOSPITAL DE CONSTITUCION</v>
          </cell>
        </row>
        <row r="1309">
          <cell r="Z1309" t="str">
            <v>MOBILIARIO CLINICO</v>
          </cell>
          <cell r="AA1309" t="str">
            <v>HOSPITAL NAVAL ALMIRANTE ADRIAZOLA</v>
          </cell>
        </row>
        <row r="1310">
          <cell r="Z1310" t="str">
            <v>MOBILIARIO CLINICO</v>
          </cell>
          <cell r="AA1310" t="str">
            <v>HOSPITAL NAVAL ALMIRANTE ADRIAZOLA</v>
          </cell>
        </row>
        <row r="1311">
          <cell r="Z1311" t="str">
            <v>MOBILIARIO CLINICO</v>
          </cell>
          <cell r="AA1311" t="str">
            <v>HOSPITAL NAVAL ALMIRANTE ADRIAZOLA</v>
          </cell>
        </row>
        <row r="1312">
          <cell r="Z1312" t="str">
            <v>MOBILIARIO CLINICO</v>
          </cell>
          <cell r="AA1312" t="str">
            <v>HOSPITAL NAVAL ALMIRANTE ADRIAZOLA</v>
          </cell>
        </row>
        <row r="1313">
          <cell r="Z1313" t="str">
            <v>MOBILIARIO CLINICO</v>
          </cell>
          <cell r="AA1313" t="str">
            <v>HOSPITAL NAVAL ALMIRANTE ADRIAZOLA</v>
          </cell>
        </row>
        <row r="1314">
          <cell r="Z1314" t="str">
            <v>MOBILIARIO CLINICO</v>
          </cell>
          <cell r="AA1314" t="str">
            <v>HOSPITAL NAVAL ALMIRANTE ADRIAZOLA</v>
          </cell>
        </row>
        <row r="1315">
          <cell r="Z1315" t="str">
            <v>MOBILIARIO CLINICO</v>
          </cell>
          <cell r="AA1315" t="str">
            <v>HOSPITAL NAVAL ALMIRANTE ADRIAZOLA</v>
          </cell>
        </row>
        <row r="1316">
          <cell r="Z1316" t="str">
            <v>MOBILIARIO CLINICO</v>
          </cell>
          <cell r="AA1316" t="str">
            <v>HOSPITAL NAVAL ALMIRANTE ADRIAZOLA</v>
          </cell>
        </row>
        <row r="1317">
          <cell r="Z1317" t="str">
            <v>MOBILIARIO CLINICO</v>
          </cell>
          <cell r="AA1317" t="str">
            <v>HOSPITAL NAVAL ALMIRANTE ADRIAZOLA</v>
          </cell>
        </row>
        <row r="1318">
          <cell r="Z1318" t="str">
            <v>MOBILIARIO CLINICO</v>
          </cell>
          <cell r="AA1318" t="str">
            <v>HOSPITAL NAVAL ALMIRANTE ADRIAZOLA</v>
          </cell>
        </row>
        <row r="1319">
          <cell r="Z1319" t="str">
            <v>MOBILIARIO CLINICO</v>
          </cell>
          <cell r="AA1319" t="str">
            <v>HOSPITAL NAVAL ALMIRANTE ADRIAZOLA</v>
          </cell>
        </row>
        <row r="1320">
          <cell r="Z1320" t="str">
            <v>MOBILIARIO CLINICO</v>
          </cell>
          <cell r="AA1320" t="str">
            <v>HOSPITAL NAVAL ALMIRANTE ADRIAZOLA</v>
          </cell>
        </row>
        <row r="1321">
          <cell r="Z1321" t="str">
            <v>MOBILIARIO CLINICO</v>
          </cell>
          <cell r="AA1321" t="str">
            <v>HOSPITAL NAVAL ALMIRANTE ADRIAZOLA</v>
          </cell>
        </row>
        <row r="1322">
          <cell r="Z1322" t="str">
            <v>MOBILIARIO CLINICO</v>
          </cell>
          <cell r="AA1322" t="str">
            <v>HOSPITAL NAVAL ALMIRANTE ADRIAZOLA</v>
          </cell>
        </row>
        <row r="1323">
          <cell r="Z1323" t="str">
            <v>MOBILIARIO CLINICO</v>
          </cell>
        </row>
        <row r="1324">
          <cell r="Z1324" t="str">
            <v>MOBILIARIO CLINICO</v>
          </cell>
          <cell r="AA1324" t="str">
            <v>HOSPITAL NAVAL ALMIRANTE ADRIAZOLA</v>
          </cell>
        </row>
        <row r="1325">
          <cell r="Z1325" t="str">
            <v>MOBILIARIO CLINICO</v>
          </cell>
          <cell r="AA1325" t="str">
            <v>HOSPITAL NAVAL ALMIRANTE ADRIAZOLA</v>
          </cell>
        </row>
        <row r="1326">
          <cell r="Z1326" t="str">
            <v>MOBILIARIO CLINICO</v>
          </cell>
        </row>
        <row r="1327">
          <cell r="Z1327" t="str">
            <v>MOBILIARIO CLINICO</v>
          </cell>
        </row>
        <row r="1328">
          <cell r="Z1328" t="str">
            <v>MOBILIARIO CLINICO</v>
          </cell>
        </row>
        <row r="1329">
          <cell r="Z1329" t="str">
            <v>MOBILIARIO CLINICO</v>
          </cell>
        </row>
        <row r="1330">
          <cell r="Z1330" t="str">
            <v>MOBILIARIO CLINICO</v>
          </cell>
        </row>
        <row r="1331">
          <cell r="Z1331" t="str">
            <v>MOBILIARIO CLINICO</v>
          </cell>
        </row>
        <row r="1332">
          <cell r="Z1332" t="str">
            <v>MOBILIARIO CLINICO</v>
          </cell>
          <cell r="AA1332" t="str">
            <v>HOSPITAL REGIONAL DE ARICA DR. JUAN NOÉ CREVANI</v>
          </cell>
        </row>
        <row r="1333">
          <cell r="Z1333" t="str">
            <v>MOBILIARIO CLINICO</v>
          </cell>
          <cell r="AA1333" t="str">
            <v>SERVICIO DE SALUD RELONCAVI</v>
          </cell>
        </row>
        <row r="1334">
          <cell r="Z1334" t="str">
            <v>MOBILIARIO CLINICO</v>
          </cell>
          <cell r="AA1334" t="str">
            <v>SERVICIO DE SALUD RELONCAVI</v>
          </cell>
        </row>
        <row r="1335">
          <cell r="Z1335" t="str">
            <v>MOBILIARIO CLINICO</v>
          </cell>
          <cell r="AA1335" t="str">
            <v>SERVICIO DE SALUD RELONCAVI</v>
          </cell>
        </row>
        <row r="1336">
          <cell r="Z1336" t="str">
            <v>MOBILIARIO CLINICO</v>
          </cell>
          <cell r="AA1336" t="str">
            <v>SERVICIO DE SALUD RELONCAVI</v>
          </cell>
        </row>
        <row r="1337">
          <cell r="Z1337" t="str">
            <v>MOBILIARIO CLINICO</v>
          </cell>
          <cell r="AA1337" t="str">
            <v>SERVICIO DE SALUD RELONCAVI</v>
          </cell>
        </row>
        <row r="1338">
          <cell r="Z1338" t="str">
            <v>MOBILIARIO CLINICO</v>
          </cell>
          <cell r="AA1338" t="str">
            <v>SERVICIO DE SALUD RELONCAVI</v>
          </cell>
        </row>
        <row r="1339">
          <cell r="Z1339" t="str">
            <v>MOBILIARIO CLINICO</v>
          </cell>
          <cell r="AA1339" t="str">
            <v>SERVICIO DE SALUD RELONCAVI</v>
          </cell>
        </row>
        <row r="1340">
          <cell r="Z1340" t="str">
            <v>MOBILIARIO CLINICO</v>
          </cell>
          <cell r="AA1340" t="str">
            <v>SERVICIO DE SALUD RELONCAVI</v>
          </cell>
        </row>
        <row r="1341">
          <cell r="Z1341" t="str">
            <v>MOBILIARIO CLINICO</v>
          </cell>
          <cell r="AA1341" t="str">
            <v>SERVICIO DE SALUD RELONCAVI</v>
          </cell>
        </row>
        <row r="1342">
          <cell r="Z1342" t="str">
            <v>MOBILIARIO CLINICO</v>
          </cell>
          <cell r="AA1342" t="str">
            <v>HOSPITAL DR. LUIS TISNE B.</v>
          </cell>
        </row>
        <row r="1343">
          <cell r="Z1343" t="str">
            <v>MOBILIARIO CLINICO</v>
          </cell>
          <cell r="AA1343" t="str">
            <v>HOSPITAL DR. LUIS TISNE B.</v>
          </cell>
        </row>
        <row r="1344">
          <cell r="Z1344" t="str">
            <v>MOBILIARIO CLINICO</v>
          </cell>
          <cell r="AA1344" t="str">
            <v>HOSPITAL DR. LUIS TISNE B.</v>
          </cell>
        </row>
        <row r="1345">
          <cell r="Z1345" t="str">
            <v>MOBILIARIO CLINICO</v>
          </cell>
          <cell r="AA1345" t="str">
            <v>HOSPITAL DR. LUIS TISNE B.</v>
          </cell>
        </row>
        <row r="1346">
          <cell r="Z1346" t="str">
            <v>MOBILIARIO CLINICO</v>
          </cell>
          <cell r="AA1346" t="str">
            <v>HOSPITAL DR. LUIS TISNE B.</v>
          </cell>
        </row>
        <row r="1347">
          <cell r="Z1347" t="str">
            <v>MOBILIARIO CLINICO</v>
          </cell>
          <cell r="AA1347" t="str">
            <v>HOSPITAL DR. LUIS TISNE B.</v>
          </cell>
        </row>
        <row r="1348">
          <cell r="Z1348" t="str">
            <v>MOBILIARIO CLINICO</v>
          </cell>
        </row>
        <row r="1349">
          <cell r="Z1349" t="str">
            <v>MOBILIARIO CLINICO</v>
          </cell>
          <cell r="AA1349" t="str">
            <v>HOSPITAL LA LIGUA</v>
          </cell>
        </row>
        <row r="1350">
          <cell r="Z1350" t="str">
            <v>MOBILIARIO CLINICO</v>
          </cell>
          <cell r="AA1350" t="str">
            <v>HOSPITAL LA LIGUA</v>
          </cell>
        </row>
        <row r="1351">
          <cell r="Z1351" t="str">
            <v>MOBILIARIO CLINICO</v>
          </cell>
          <cell r="AA1351" t="str">
            <v>HOSPITAL LA LIGUA</v>
          </cell>
        </row>
        <row r="1352">
          <cell r="Z1352" t="str">
            <v>MOBILIARIO CLINICO</v>
          </cell>
          <cell r="AA1352" t="str">
            <v>SOCIEDAD MEDICA E IMAGENEOLOGICA ANCUD LTDA</v>
          </cell>
        </row>
        <row r="1353">
          <cell r="Z1353" t="str">
            <v>MOBILIARIO CLINICO</v>
          </cell>
          <cell r="AA1353" t="str">
            <v>SOCIEDAD MEDICA E IMAGENEOLOGICA ANCUD LTDA</v>
          </cell>
        </row>
        <row r="1354">
          <cell r="Z1354" t="str">
            <v>MOBILIARIO CLINICO</v>
          </cell>
          <cell r="AA1354" t="str">
            <v>SOCIEDAD MEDICA E IMAGENEOLOGICA ANCUD LTDA</v>
          </cell>
        </row>
        <row r="1355">
          <cell r="Z1355" t="str">
            <v>MOBILIARIO CLINICO</v>
          </cell>
          <cell r="AA1355" t="str">
            <v>SOCIEDAD MEDICA E IMAGENEOLOGICA ANCUD LTDA</v>
          </cell>
        </row>
        <row r="1356">
          <cell r="Z1356" t="str">
            <v>MOBILIARIO CLINICO</v>
          </cell>
          <cell r="AA1356" t="str">
            <v>SOCIEDAD MEDICA E IMAGENEOLOGICA ANCUD LTDA</v>
          </cell>
        </row>
        <row r="1357">
          <cell r="Z1357" t="str">
            <v>MOBILIARIO CLINICO</v>
          </cell>
          <cell r="AA1357" t="str">
            <v>SOCIEDAD MEDICA E IMAGENEOLOGICA ANCUD LTDA</v>
          </cell>
        </row>
        <row r="1358">
          <cell r="Z1358" t="str">
            <v>MOBILIARIO CLINICO</v>
          </cell>
          <cell r="AA1358" t="str">
            <v>SOCIEDAD MEDICA E IMAGENEOLOGICA ANCUD LTDA</v>
          </cell>
        </row>
        <row r="1359">
          <cell r="Z1359" t="str">
            <v>MOBILIARIO CLINICO</v>
          </cell>
          <cell r="AA1359" t="str">
            <v>SOCIEDAD MEDICA E IMAGENEOLOGICA ANCUD LTDA</v>
          </cell>
        </row>
        <row r="1360">
          <cell r="Z1360" t="str">
            <v>MOBILIARIO CLINICO</v>
          </cell>
          <cell r="AA1360" t="str">
            <v>SOCIEDAD MEDICA E IMAGENEOLOGICA ANCUD LTDA</v>
          </cell>
        </row>
        <row r="1361">
          <cell r="Z1361" t="str">
            <v>MOBILIARIO CLINICO</v>
          </cell>
          <cell r="AA1361" t="str">
            <v>SOCIEDAD MEDICA E IMAGENEOLOGICA ANCUD LTDA</v>
          </cell>
        </row>
        <row r="1362">
          <cell r="Z1362" t="str">
            <v>MOBILIARIO CLINICO</v>
          </cell>
          <cell r="AA1362" t="str">
            <v>SOCIEDAD MEDICA E IMAGENEOLOGICA ANCUD LTDA</v>
          </cell>
        </row>
        <row r="1363">
          <cell r="Z1363" t="str">
            <v>MOBILIARIO CLINICO</v>
          </cell>
          <cell r="AA1363" t="str">
            <v>SOCIEDAD MEDICA E IMAGENEOLOGICA ANCUD LTDA</v>
          </cell>
        </row>
        <row r="1364">
          <cell r="Z1364" t="str">
            <v>MOBILIARIO CLINICO</v>
          </cell>
          <cell r="AA1364" t="str">
            <v>SOCIEDAD MEDICA E IMAGENEOLOGICA ANCUD LTDA</v>
          </cell>
        </row>
        <row r="1365">
          <cell r="Z1365" t="str">
            <v>MOBILIARIO CLINICO</v>
          </cell>
          <cell r="AA1365" t="str">
            <v>SOCIEDAD MEDICA E IMAGENEOLOGICA ANCUD LTDA</v>
          </cell>
        </row>
        <row r="1366">
          <cell r="Z1366" t="str">
            <v>MOBILIARIO CLINICO</v>
          </cell>
          <cell r="AA1366" t="str">
            <v>SOCIEDAD MEDICA E IMAGENEOLOGICA ANCUD LTDA</v>
          </cell>
        </row>
        <row r="1367">
          <cell r="Z1367" t="str">
            <v>MOBILIARIO CLINICO</v>
          </cell>
          <cell r="AA1367" t="str">
            <v>SOCIEDAD MEDICA E IMAGENEOLOGICA ANCUD LTDA</v>
          </cell>
        </row>
        <row r="1368">
          <cell r="Z1368" t="str">
            <v>MOBILIARIO CLINICO</v>
          </cell>
          <cell r="AA1368" t="str">
            <v>SOCIEDAD MEDICA E IMAGENEOLOGICA ANCUD LTDA</v>
          </cell>
        </row>
        <row r="1369">
          <cell r="Z1369" t="str">
            <v>MOBILIARIO CLINICO</v>
          </cell>
          <cell r="AA1369" t="str">
            <v>SOCIEDAD MEDICA E IMAGENEOLOGICA ANCUD LTDA</v>
          </cell>
        </row>
        <row r="1370">
          <cell r="Z1370" t="str">
            <v>MOBILIARIO CLINICO</v>
          </cell>
          <cell r="AA1370" t="str">
            <v>SOCIEDAD MEDICA E IMAGENEOLOGICA ANCUD LTDA</v>
          </cell>
        </row>
        <row r="1371">
          <cell r="Z1371" t="str">
            <v>MOBILIARIO CLINICO</v>
          </cell>
          <cell r="AA1371" t="str">
            <v>SOCIEDAD MEDICA E IMAGENEOLOGICA ANCUD LTDA</v>
          </cell>
        </row>
        <row r="1372">
          <cell r="Z1372" t="str">
            <v>MOBILIARIO CLINICO</v>
          </cell>
          <cell r="AA1372" t="str">
            <v>SOCIEDAD MEDICA E IMAGENEOLOGICA ANCUD LTDA</v>
          </cell>
        </row>
        <row r="1373">
          <cell r="Z1373" t="str">
            <v>MOBILIARIO CLINICO</v>
          </cell>
          <cell r="AA1373" t="str">
            <v>SOCIEDAD MEDICA E IMAGENEOLOGICA ANCUD LTDA</v>
          </cell>
        </row>
        <row r="1374">
          <cell r="Z1374" t="str">
            <v>MOBILIARIO CLINICO</v>
          </cell>
          <cell r="AA1374" t="str">
            <v>SOCIEDAD MEDICA E IMAGENEOLOGICA ANCUD LTDA</v>
          </cell>
        </row>
        <row r="1375">
          <cell r="Z1375" t="str">
            <v>MOBILIARIO CLINICO</v>
          </cell>
          <cell r="AA1375" t="str">
            <v>SOCIEDAD MEDICA E IMAGENEOLOGICA ANCUD LTDA</v>
          </cell>
        </row>
        <row r="1376">
          <cell r="Z1376" t="str">
            <v>MOBILIARIO CLINICO</v>
          </cell>
          <cell r="AA1376" t="str">
            <v>SOCIEDAD MEDICA E IMAGENEOLOGICA ANCUD LTDA</v>
          </cell>
        </row>
        <row r="1377">
          <cell r="Z1377" t="str">
            <v>MOBILIARIO CLINICO</v>
          </cell>
          <cell r="AA1377" t="str">
            <v>SOCIEDAD MEDICA E IMAGENEOLOGICA ANCUD LTDA</v>
          </cell>
        </row>
        <row r="1378">
          <cell r="Z1378" t="str">
            <v>MOBILIARIO CLINICO</v>
          </cell>
          <cell r="AA1378" t="str">
            <v>SOCIEDAD MEDICA E IMAGENEOLOGICA ANCUD LTDA</v>
          </cell>
        </row>
        <row r="1379">
          <cell r="Z1379" t="str">
            <v>MOBILIARIO CLINICO</v>
          </cell>
          <cell r="AA1379" t="str">
            <v>SOCIEDAD MEDICA E IMAGENEOLOGICA ANCUD LTDA</v>
          </cell>
        </row>
        <row r="1380">
          <cell r="Z1380" t="str">
            <v>MOBILIARIO CLINICO</v>
          </cell>
          <cell r="AA1380" t="str">
            <v>SOCIEDAD MEDICA E IMAGENEOLOGICA ANCUD LTDA</v>
          </cell>
        </row>
        <row r="1381">
          <cell r="Z1381" t="str">
            <v>MOBILIARIO CLINICO</v>
          </cell>
          <cell r="AA1381" t="str">
            <v>SOCIEDAD MEDICA E IMAGENEOLOGICA ANCUD LTDA</v>
          </cell>
        </row>
        <row r="1382">
          <cell r="Z1382" t="str">
            <v>MOBILIARIO CLINICO</v>
          </cell>
          <cell r="AA1382" t="str">
            <v>SOCIEDAD MEDICA E IMAGENEOLOGICA ANCUD LTDA</v>
          </cell>
        </row>
        <row r="1383">
          <cell r="Z1383" t="str">
            <v>MOBILIARIO CLINICO</v>
          </cell>
          <cell r="AA1383" t="str">
            <v>SOCIEDAD MEDICA E IMAGENEOLOGICA ANCUD LTDA</v>
          </cell>
        </row>
        <row r="1384">
          <cell r="Z1384" t="str">
            <v>MOBILIARIO CLINICO</v>
          </cell>
          <cell r="AA1384" t="str">
            <v>SOCIEDAD MEDICA E IMAGENEOLOGICA ANCUD LTDA</v>
          </cell>
        </row>
        <row r="1385">
          <cell r="Z1385" t="str">
            <v>MOBILIARIO CLINICO</v>
          </cell>
          <cell r="AA1385" t="str">
            <v>SOCIEDAD MEDICA E IMAGENEOLOGICA ANCUD LTDA</v>
          </cell>
        </row>
        <row r="1386">
          <cell r="Z1386" t="str">
            <v>MOBILIARIO CLINICO</v>
          </cell>
          <cell r="AA1386" t="str">
            <v>SOCIEDAD MEDICA E IMAGENEOLOGICA ANCUD LTDA</v>
          </cell>
        </row>
        <row r="1387">
          <cell r="Z1387" t="str">
            <v>MOBILIARIO CLINICO</v>
          </cell>
          <cell r="AA1387" t="str">
            <v>SOCIEDAD MEDICA E IMAGENEOLOGICA ANCUD LTDA</v>
          </cell>
        </row>
        <row r="1388">
          <cell r="Z1388" t="str">
            <v>MOBILIARIO CLINICO</v>
          </cell>
          <cell r="AA1388" t="str">
            <v>SOCIEDAD MEDICA E IMAGENEOLOGICA ANCUD LTDA</v>
          </cell>
        </row>
        <row r="1389">
          <cell r="Z1389" t="str">
            <v>MOBILIARIO CLINICO</v>
          </cell>
          <cell r="AA1389" t="str">
            <v>SOCIEDAD MEDICA E IMAGENEOLOGICA ANCUD LTDA</v>
          </cell>
        </row>
        <row r="1390">
          <cell r="Z1390" t="str">
            <v>MOBILIARIO CLINICO</v>
          </cell>
          <cell r="AA1390" t="str">
            <v>SOCIEDAD MEDICA E IMAGENEOLOGICA ANCUD LTDA</v>
          </cell>
        </row>
        <row r="1391">
          <cell r="Z1391" t="str">
            <v>MOBILIARIO CLINICO</v>
          </cell>
          <cell r="AA1391" t="str">
            <v>SOCIEDAD MEDICA E IMAGENEOLOGICA ANCUD LTDA</v>
          </cell>
        </row>
        <row r="1392">
          <cell r="Z1392" t="str">
            <v>MOBILIARIO CLINICO</v>
          </cell>
          <cell r="AA1392" t="str">
            <v>HOSPITAL METROPOLITANO DE SANTIAGO</v>
          </cell>
        </row>
        <row r="1393">
          <cell r="Z1393" t="str">
            <v>MOBILIARIO CLINICO</v>
          </cell>
          <cell r="AA1393" t="str">
            <v>HOSPITAL METROPOLITANO DE SANTIAGO</v>
          </cell>
        </row>
        <row r="1394">
          <cell r="Z1394" t="str">
            <v>MOBILIARIO CLINICO</v>
          </cell>
          <cell r="AA1394" t="str">
            <v>HOSPITAL METROPOLITANO DE SANTIAGO</v>
          </cell>
        </row>
        <row r="1395">
          <cell r="Z1395" t="str">
            <v>MOBILIARIO CLINICO</v>
          </cell>
          <cell r="AA1395" t="str">
            <v>HOSPITAL METROPOLITANO DE SANTIAGO</v>
          </cell>
        </row>
        <row r="1396">
          <cell r="Z1396" t="str">
            <v>MOBILIARIO CLINICO</v>
          </cell>
          <cell r="AA1396" t="str">
            <v>HOSPITAL DR. LUIS TISNE B.</v>
          </cell>
        </row>
        <row r="1397">
          <cell r="Z1397" t="str">
            <v>MOBILIARIO CLINICO</v>
          </cell>
          <cell r="AA1397" t="str">
            <v>HOSPITAL BASE DE VALDIVIA</v>
          </cell>
        </row>
        <row r="1398">
          <cell r="Z1398" t="str">
            <v>MOBILIARIO CLINICO</v>
          </cell>
          <cell r="AA1398" t="str">
            <v>HOSPITAL METROPOLITANO DE SANTIAGO</v>
          </cell>
        </row>
        <row r="1399">
          <cell r="Z1399" t="str">
            <v>MOBILIARIO CLINICO</v>
          </cell>
          <cell r="AA1399" t="str">
            <v>HOSPITAL DR. LUIS TISNE B.</v>
          </cell>
        </row>
        <row r="1400">
          <cell r="Z1400" t="str">
            <v>MOBILIARIO CLINICO</v>
          </cell>
          <cell r="AA1400" t="str">
            <v>HOSPITAL DR. LUIS TISNE B.</v>
          </cell>
        </row>
        <row r="1401">
          <cell r="Z1401" t="str">
            <v>MOBILIARIO CLINICO</v>
          </cell>
          <cell r="AA1401" t="str">
            <v>HOSPITAL DR. LUIS TISNE B.</v>
          </cell>
        </row>
        <row r="1402">
          <cell r="Z1402" t="str">
            <v>MOBILIARIO CLINICO</v>
          </cell>
          <cell r="AA1402" t="str">
            <v>HOSPITAL DR. LUIS TISNE B.</v>
          </cell>
        </row>
        <row r="1403">
          <cell r="Z1403" t="str">
            <v>MOBILIARIO CLINICO</v>
          </cell>
          <cell r="AA1403" t="str">
            <v>HOSPITAL DR. LUIS TISNE B.</v>
          </cell>
        </row>
        <row r="1404">
          <cell r="Z1404" t="str">
            <v>MOBILIARIO CLINICO</v>
          </cell>
          <cell r="AA1404" t="str">
            <v>HOSPITAL DR. LUIS TISNE B.</v>
          </cell>
        </row>
        <row r="1405">
          <cell r="Z1405" t="str">
            <v>MOBILIARIO CLINICO</v>
          </cell>
          <cell r="AA1405" t="str">
            <v>HOSPITAL DR. LUIS TISNE B.</v>
          </cell>
        </row>
        <row r="1406">
          <cell r="Z1406" t="str">
            <v>MOBILIARIO CLINICO</v>
          </cell>
          <cell r="AA1406" t="str">
            <v>HOSPITAL DR. LUIS TISNE B.</v>
          </cell>
        </row>
        <row r="1407">
          <cell r="Z1407" t="str">
            <v>MOBILIARIO CLINICO</v>
          </cell>
          <cell r="AA1407" t="str">
            <v>HOSPITAL DR. LUIS TISNE B.</v>
          </cell>
        </row>
        <row r="1408">
          <cell r="Z1408" t="str">
            <v>MOBILIARIO CLINICO</v>
          </cell>
          <cell r="AA1408" t="str">
            <v>HOSPITAL DR. LUIS TISNE B.</v>
          </cell>
        </row>
        <row r="1409">
          <cell r="Z1409" t="str">
            <v>MOBILIARIO CLINICO</v>
          </cell>
          <cell r="AA1409" t="str">
            <v>HOSPITAL DR. LUIS TISNE B.</v>
          </cell>
        </row>
        <row r="1410">
          <cell r="Z1410" t="str">
            <v>MOBILIARIO CLINICO</v>
          </cell>
          <cell r="AA1410" t="str">
            <v>HOSPITAL DR. LUIS TISNE B.</v>
          </cell>
        </row>
        <row r="1411">
          <cell r="Z1411" t="str">
            <v>MOBILIARIO CLINICO</v>
          </cell>
          <cell r="AA1411" t="str">
            <v>HOSPITAL DR. LUIS TISNE B.</v>
          </cell>
        </row>
        <row r="1412">
          <cell r="Z1412" t="str">
            <v>MOBILIARIO CLINICO</v>
          </cell>
          <cell r="AA1412" t="str">
            <v>HOSPITAL DR. LUIS TISNE B.</v>
          </cell>
        </row>
        <row r="1413">
          <cell r="Z1413" t="str">
            <v>MOBILIARIO CLINICO</v>
          </cell>
          <cell r="AA1413" t="str">
            <v>HOSPITAL DR. LUIS TISNE B.</v>
          </cell>
        </row>
        <row r="1414">
          <cell r="Z1414" t="str">
            <v>MOBILIARIO CLINICO</v>
          </cell>
          <cell r="AA1414" t="str">
            <v>HOSPITAL DR. LUIS TISNE B.</v>
          </cell>
        </row>
        <row r="1415">
          <cell r="Z1415" t="str">
            <v>MOBILIARIO CLINICO</v>
          </cell>
          <cell r="AA1415" t="str">
            <v>HOSPITAL DR. LUIS TISNE B.</v>
          </cell>
        </row>
        <row r="1416">
          <cell r="Z1416" t="str">
            <v>MOBILIARIO CLINICO</v>
          </cell>
          <cell r="AA1416" t="str">
            <v>HOSPITAL DR. LUIS TISNE B.</v>
          </cell>
        </row>
        <row r="1417">
          <cell r="Z1417" t="str">
            <v>MOBILIARIO CLINICO</v>
          </cell>
          <cell r="AA1417" t="str">
            <v>HOSPITAL DR. LUIS TISNE B.</v>
          </cell>
        </row>
        <row r="1418">
          <cell r="Z1418" t="str">
            <v>MOBILIARIO CLINICO</v>
          </cell>
          <cell r="AA1418" t="str">
            <v>HOSPITAL DR. LUIS TISNE B.</v>
          </cell>
        </row>
        <row r="1419">
          <cell r="Z1419" t="str">
            <v>MOBILIARIO CLINICO</v>
          </cell>
          <cell r="AA1419" t="str">
            <v>HOSPITAL DR. LUIS TISNE B.</v>
          </cell>
        </row>
        <row r="1420">
          <cell r="Z1420" t="str">
            <v>MOBILIARIO CLINICO</v>
          </cell>
          <cell r="AA1420" t="str">
            <v>HOSPITAL DR. LUIS TISNE B.</v>
          </cell>
        </row>
        <row r="1421">
          <cell r="Z1421" t="str">
            <v>MOBILIARIO CLINICO</v>
          </cell>
          <cell r="AA1421" t="str">
            <v>HOSPITAL DR. LUIS TISNE B.</v>
          </cell>
        </row>
        <row r="1422">
          <cell r="Z1422" t="str">
            <v>MOBILIARIO CLINICO</v>
          </cell>
          <cell r="AA1422" t="str">
            <v>HOSPITAL DR. LUIS TISNE B.</v>
          </cell>
        </row>
        <row r="1423">
          <cell r="Z1423" t="str">
            <v>MOBILIARIO CLINICO</v>
          </cell>
          <cell r="AA1423" t="str">
            <v>HOSPITAL DR. LUIS TISNE B.</v>
          </cell>
        </row>
        <row r="1424">
          <cell r="Z1424" t="str">
            <v>MOBILIARIO CLINICO</v>
          </cell>
          <cell r="AA1424" t="str">
            <v>HOSPITAL DR. LUIS TISNE B.</v>
          </cell>
        </row>
        <row r="1425">
          <cell r="Z1425" t="str">
            <v>MOBILIARIO CLINICO</v>
          </cell>
          <cell r="AA1425" t="str">
            <v>HOSPITAL DR. LUIS TISNE B.</v>
          </cell>
        </row>
        <row r="1426">
          <cell r="Z1426" t="str">
            <v>MOBILIARIO CLINICO</v>
          </cell>
          <cell r="AA1426" t="str">
            <v>HOSPITAL DR. LUIS TISNE B.</v>
          </cell>
        </row>
        <row r="1427">
          <cell r="Z1427" t="str">
            <v>MOBILIARIO CLINICO</v>
          </cell>
          <cell r="AA1427" t="str">
            <v>HOSPITAL DR. LUIS TISNE B.</v>
          </cell>
        </row>
        <row r="1428">
          <cell r="Z1428" t="str">
            <v>MOBILIARIO CLINICO</v>
          </cell>
          <cell r="AA1428" t="str">
            <v>HOSPITAL DR. LUIS TISNE B.</v>
          </cell>
        </row>
        <row r="1429">
          <cell r="Z1429" t="str">
            <v>MOBILIARIO CLINICO</v>
          </cell>
          <cell r="AA1429" t="str">
            <v>HOSPITAL DR. LUIS TISNE B.</v>
          </cell>
        </row>
        <row r="1430">
          <cell r="Z1430" t="str">
            <v>MOBILIARIO CLINICO</v>
          </cell>
          <cell r="AA1430" t="str">
            <v>HOSPITAL DR. LUIS TISNE B.</v>
          </cell>
        </row>
        <row r="1431">
          <cell r="Z1431" t="str">
            <v>MOBILIARIO CLINICO</v>
          </cell>
          <cell r="AA1431" t="str">
            <v>HOSPITAL DR. LUIS TISNE B.</v>
          </cell>
        </row>
        <row r="1432">
          <cell r="Z1432" t="str">
            <v>MOBILIARIO CLINICO</v>
          </cell>
          <cell r="AA1432" t="str">
            <v>HOSPITAL DR. LUIS TISNE B.</v>
          </cell>
        </row>
        <row r="1433">
          <cell r="Z1433" t="str">
            <v>MOBILIARIO CLINICO</v>
          </cell>
          <cell r="AA1433" t="str">
            <v>HOSPITAL DR. LUIS TISNE B.</v>
          </cell>
        </row>
        <row r="1434">
          <cell r="Z1434" t="str">
            <v>MOBILIARIO CLINICO</v>
          </cell>
          <cell r="AA1434" t="str">
            <v>HOSPITAL DR. LUIS TISNE B.</v>
          </cell>
        </row>
        <row r="1435">
          <cell r="Z1435" t="str">
            <v>MOBILIARIO CLINICO</v>
          </cell>
          <cell r="AA1435" t="str">
            <v>HOSPITAL DR. LUIS TISNE B.</v>
          </cell>
        </row>
        <row r="1436">
          <cell r="Z1436" t="str">
            <v>MOBILIARIO CLINICO</v>
          </cell>
          <cell r="AA1436" t="str">
            <v>HOSPITAL DR. LUIS TISNE B.</v>
          </cell>
        </row>
        <row r="1437">
          <cell r="Z1437" t="str">
            <v>MOBILIARIO CLINICO</v>
          </cell>
        </row>
        <row r="1438">
          <cell r="Z1438" t="str">
            <v>MOBILIARIO CLINICO</v>
          </cell>
          <cell r="AA1438" t="str">
            <v>INSTITUTO NACIONAL DEL CANCER</v>
          </cell>
        </row>
        <row r="1439">
          <cell r="Z1439" t="str">
            <v>MOBILIARIO CLINICO</v>
          </cell>
          <cell r="AA1439" t="str">
            <v>GENDARMERIA DE CHILE</v>
          </cell>
        </row>
        <row r="1440">
          <cell r="Z1440" t="str">
            <v>MOBILIARIO CLINICO</v>
          </cell>
          <cell r="AA1440" t="str">
            <v>GENDARMERIA DE CHILE</v>
          </cell>
        </row>
        <row r="1441">
          <cell r="Z1441" t="str">
            <v>MOBILIARIO CLINICO</v>
          </cell>
        </row>
        <row r="1442">
          <cell r="Z1442" t="str">
            <v>MOBILIARIO CLINICO</v>
          </cell>
        </row>
        <row r="1443">
          <cell r="Z1443" t="str">
            <v>MOBILIARIO CLINICO</v>
          </cell>
        </row>
        <row r="1444">
          <cell r="Z1444" t="str">
            <v>MOBILIARIO CLINICO</v>
          </cell>
        </row>
        <row r="1445">
          <cell r="Z1445" t="str">
            <v>MOBILIARIO CLINICO</v>
          </cell>
        </row>
        <row r="1446">
          <cell r="Z1446" t="str">
            <v>MOBILIARIO CLINICO</v>
          </cell>
        </row>
        <row r="1447">
          <cell r="Z1447" t="str">
            <v>MOBILIARIO CLINICO</v>
          </cell>
          <cell r="AA1447" t="str">
            <v>INSTITUTO NACIONAL DEL CANCER</v>
          </cell>
        </row>
        <row r="1448">
          <cell r="Z1448" t="str">
            <v>MOBILIARIO CLINICO</v>
          </cell>
          <cell r="AA1448" t="str">
            <v>INSTITUTO NACIONAL DEL CANCER</v>
          </cell>
        </row>
        <row r="1449">
          <cell r="Z1449" t="str">
            <v>MOBILIARIO CLINICO</v>
          </cell>
          <cell r="AA1449" t="str">
            <v>INSTITUTO NACIONAL DEL CANCER</v>
          </cell>
        </row>
        <row r="1450">
          <cell r="Z1450" t="str">
            <v>MOBILIARIO CLINICO</v>
          </cell>
          <cell r="AA1450" t="str">
            <v>INSTITUTO NACIONAL DEL CANCER</v>
          </cell>
        </row>
        <row r="1451">
          <cell r="Z1451" t="str">
            <v>MOBILIARIO CLINICO</v>
          </cell>
          <cell r="AA1451" t="str">
            <v>INSTITUTO NACIONAL DEL CANCER</v>
          </cell>
        </row>
        <row r="1452">
          <cell r="Z1452" t="str">
            <v>MOBILIARIO CLINICO</v>
          </cell>
          <cell r="AA1452" t="str">
            <v>INSTITUTO NACIONAL DEL CANCER</v>
          </cell>
        </row>
        <row r="1453">
          <cell r="Z1453" t="str">
            <v>MOBILIARIO CLINICO</v>
          </cell>
          <cell r="AA1453" t="str">
            <v>INSTITUTO NACIONAL DEL CANCER</v>
          </cell>
        </row>
        <row r="1454">
          <cell r="Z1454" t="str">
            <v>MOBILIARIO CLINICO</v>
          </cell>
          <cell r="AA1454" t="str">
            <v>INSTITUTO NACIONAL DEL CANCER</v>
          </cell>
        </row>
        <row r="1455">
          <cell r="Z1455" t="str">
            <v>MOBILIARIO CLINICO</v>
          </cell>
          <cell r="AA1455" t="str">
            <v>INSTITUTO NACIONAL DEL CANCER</v>
          </cell>
        </row>
        <row r="1456">
          <cell r="Z1456" t="str">
            <v>MOBILIARIO CLINICO</v>
          </cell>
          <cell r="AA1456" t="str">
            <v>INSTITUTO NACIONAL DEL CANCER</v>
          </cell>
        </row>
        <row r="1457">
          <cell r="Z1457" t="str">
            <v>MOBILIARIO CLINICO</v>
          </cell>
          <cell r="AA1457" t="str">
            <v>INSTITUTO NACIONAL DEL CANCER</v>
          </cell>
        </row>
        <row r="1458">
          <cell r="Z1458" t="str">
            <v>MOBILIARIO CLINICO</v>
          </cell>
          <cell r="AA1458" t="str">
            <v>INSTITUTO NACIONAL DEL CANCER</v>
          </cell>
        </row>
        <row r="1459">
          <cell r="Z1459" t="str">
            <v>MOBILIARIO CLINICO</v>
          </cell>
          <cell r="AA1459" t="str">
            <v>INSTITUTO NACIONAL DEL CANCER</v>
          </cell>
        </row>
        <row r="1460">
          <cell r="Z1460" t="str">
            <v>MOBILIARIO CLINICO</v>
          </cell>
          <cell r="AA1460" t="str">
            <v>INSTITUTO NACIONAL DEL CANCER</v>
          </cell>
        </row>
        <row r="1461">
          <cell r="Z1461" t="str">
            <v>MOBILIARIO CLINICO</v>
          </cell>
          <cell r="AA1461" t="str">
            <v>INSTITUTO NACIONAL DEL CANCER</v>
          </cell>
        </row>
        <row r="1462">
          <cell r="Z1462" t="str">
            <v>MOBILIARIO CLINICO</v>
          </cell>
          <cell r="AA1462" t="str">
            <v>INSTITUTO NACIONAL DEL CANCER</v>
          </cell>
        </row>
        <row r="1463">
          <cell r="Z1463" t="str">
            <v>MOBILIARIO CLINICO</v>
          </cell>
          <cell r="AA1463" t="str">
            <v>INSTITUTO NACIONAL DEL CANCER</v>
          </cell>
        </row>
        <row r="1464">
          <cell r="Z1464" t="str">
            <v>MOBILIARIO CLINICO</v>
          </cell>
          <cell r="AA1464" t="str">
            <v>INSTITUTO NACIONAL DEL CANCER</v>
          </cell>
        </row>
        <row r="1465">
          <cell r="Z1465" t="str">
            <v>MOBILIARIO CLINICO</v>
          </cell>
          <cell r="AA1465" t="str">
            <v>INSTITUTO NACIONAL DEL CANCER</v>
          </cell>
        </row>
        <row r="1466">
          <cell r="Z1466" t="str">
            <v>MOBILIARIO CLINICO</v>
          </cell>
          <cell r="AA1466" t="str">
            <v>INSTITUTO NACIONAL DEL CANCER</v>
          </cell>
        </row>
        <row r="1467">
          <cell r="Z1467" t="str">
            <v>MOBILIARIO CLINICO</v>
          </cell>
          <cell r="AA1467" t="str">
            <v>INSTITUTO NACIONAL DEL CANCER</v>
          </cell>
        </row>
        <row r="1468">
          <cell r="Z1468" t="str">
            <v>MOBILIARIO CLINICO</v>
          </cell>
          <cell r="AA1468" t="str">
            <v>INSTITUTO NACIONAL DEL CANCER</v>
          </cell>
        </row>
        <row r="1469">
          <cell r="Z1469" t="str">
            <v>MOBILIARIO CLINICO</v>
          </cell>
          <cell r="AA1469" t="str">
            <v>INSTITUTO NACIONAL DEL CANCER</v>
          </cell>
        </row>
        <row r="1470">
          <cell r="Z1470" t="str">
            <v>MOBILIARIO CLINICO</v>
          </cell>
          <cell r="AA1470" t="str">
            <v>INSTITUTO NACIONAL DEL CANCER</v>
          </cell>
        </row>
        <row r="1471">
          <cell r="Z1471" t="str">
            <v>MOBILIARIO CLINICO</v>
          </cell>
          <cell r="AA1471" t="str">
            <v>INSTITUTO NACIONAL DEL CANCER</v>
          </cell>
        </row>
        <row r="1472">
          <cell r="Z1472" t="str">
            <v>MOBILIARIO CLINICO</v>
          </cell>
          <cell r="AA1472" t="str">
            <v>INSTITUTO NACIONAL DEL CANCER</v>
          </cell>
        </row>
        <row r="1473">
          <cell r="Z1473" t="str">
            <v>MOBILIARIO CLINICO</v>
          </cell>
          <cell r="AA1473" t="str">
            <v>INSTITUTO NACIONAL DEL CANCER</v>
          </cell>
        </row>
        <row r="1474">
          <cell r="Z1474" t="str">
            <v>MOBILIARIO CLINICO</v>
          </cell>
          <cell r="AA1474" t="str">
            <v>INSTITUTO NACIONAL DEL CANCER</v>
          </cell>
        </row>
        <row r="1475">
          <cell r="Z1475" t="str">
            <v>MOBILIARIO CLINICO</v>
          </cell>
          <cell r="AA1475" t="str">
            <v>INSTITUTO NACIONAL DEL CANCER</v>
          </cell>
        </row>
        <row r="1476">
          <cell r="Z1476" t="str">
            <v>MOBILIARIO CLINICO</v>
          </cell>
          <cell r="AA1476" t="str">
            <v>INSTITUTO NACIONAL DEL CANCER</v>
          </cell>
        </row>
        <row r="1477">
          <cell r="Z1477" t="str">
            <v>MOBILIARIO CLINICO</v>
          </cell>
          <cell r="AA1477" t="str">
            <v>INSTITUTO NACIONAL DEL CANCER</v>
          </cell>
        </row>
        <row r="1478">
          <cell r="Z1478" t="str">
            <v>MOBILIARIO CLINICO</v>
          </cell>
        </row>
        <row r="1479">
          <cell r="Z1479" t="str">
            <v>MOBILIARIO CLINICO</v>
          </cell>
          <cell r="AA1479" t="str">
            <v>HOSPITAL DR. LUIS TISNE B.</v>
          </cell>
        </row>
        <row r="1480">
          <cell r="Z1480" t="str">
            <v>MOBILIARIO CLINICO</v>
          </cell>
          <cell r="AA1480" t="str">
            <v>HOSPITAL DR. LUIS TISNE B.</v>
          </cell>
        </row>
        <row r="1481">
          <cell r="Z1481" t="str">
            <v>MOBILIARIO CLINICO</v>
          </cell>
          <cell r="AA1481" t="str">
            <v>HOSPITAL DR. LUIS TISNE B.</v>
          </cell>
        </row>
        <row r="1482">
          <cell r="Z1482" t="str">
            <v>MOBILIARIO CLINICO</v>
          </cell>
          <cell r="AA1482" t="str">
            <v>HOSPITAL DR. LUIS TISNE B.</v>
          </cell>
        </row>
        <row r="1483">
          <cell r="Z1483" t="str">
            <v>MOBILIARIO CLINICO</v>
          </cell>
          <cell r="AA1483" t="str">
            <v>HOSPITAL DR. LUIS TISNE B.</v>
          </cell>
        </row>
        <row r="1484">
          <cell r="Z1484" t="str">
            <v>MOBILIARIO CLINICO</v>
          </cell>
          <cell r="AA1484" t="str">
            <v>HOSPITAL DR. LUIS TISNE B.</v>
          </cell>
        </row>
        <row r="1485">
          <cell r="Z1485" t="str">
            <v>MOBILIARIO CLINICO</v>
          </cell>
          <cell r="AA1485" t="str">
            <v>HOSPITAL DR. LUIS TISNE B.</v>
          </cell>
        </row>
        <row r="1486">
          <cell r="Z1486" t="str">
            <v>MOBILIARIO CLINICO</v>
          </cell>
          <cell r="AA1486" t="str">
            <v>HOSPITAL DR. LUIS TISNE B.</v>
          </cell>
        </row>
        <row r="1487">
          <cell r="Z1487" t="str">
            <v>MOBILIARIO CLINICO</v>
          </cell>
          <cell r="AA1487" t="str">
            <v>HOSPITAL DR. LUIS TISNE B.</v>
          </cell>
        </row>
        <row r="1488">
          <cell r="Z1488" t="str">
            <v>MOBILIARIO CLINICO</v>
          </cell>
          <cell r="AA1488" t="str">
            <v>HOSPITAL DR. LUIS TISNE B.</v>
          </cell>
        </row>
        <row r="1489">
          <cell r="Z1489" t="str">
            <v>MOBILIARIO CLINICO</v>
          </cell>
          <cell r="AA1489" t="str">
            <v>HOSPITAL DR. LUIS TISNE B.</v>
          </cell>
        </row>
        <row r="1490">
          <cell r="Z1490" t="str">
            <v>MOBILIARIO CLINICO</v>
          </cell>
          <cell r="AA1490" t="str">
            <v>HOSPITAL DR. LUIS TISNE B.</v>
          </cell>
        </row>
        <row r="1491">
          <cell r="Z1491" t="str">
            <v>MOBILIARIO CLINICO</v>
          </cell>
          <cell r="AA1491" t="str">
            <v>GEMCO GENERAL MACHINERY S.A.</v>
          </cell>
        </row>
        <row r="1492">
          <cell r="Z1492" t="str">
            <v>MOBILIARIO CLINICO</v>
          </cell>
          <cell r="AA1492" t="str">
            <v>HOSPITAL DR. LUIS TISNE B.</v>
          </cell>
        </row>
        <row r="1493">
          <cell r="Z1493" t="str">
            <v>MOBILIARIO CLINICO</v>
          </cell>
          <cell r="AA1493" t="str">
            <v>GEMCO GENERAL MACHINERY S.A.</v>
          </cell>
        </row>
        <row r="1494">
          <cell r="Z1494" t="str">
            <v>MOBILIARIO CLINICO</v>
          </cell>
          <cell r="AA1494" t="str">
            <v>HOSPITAL DR. LUIS TISNE B.</v>
          </cell>
        </row>
        <row r="1495">
          <cell r="Z1495" t="str">
            <v>MOBILIARIO CLINICO</v>
          </cell>
          <cell r="AA1495" t="str">
            <v>HOSPITAL DR. LUIS TISNE B.</v>
          </cell>
        </row>
        <row r="1496">
          <cell r="Z1496" t="str">
            <v>MOBILIARIO CLINICO</v>
          </cell>
          <cell r="AA1496" t="str">
            <v>HOSPITAL DR. LUIS TISNE B.</v>
          </cell>
        </row>
        <row r="1497">
          <cell r="Z1497" t="str">
            <v>MOBILIARIO CLINICO</v>
          </cell>
          <cell r="AA1497" t="str">
            <v>HOSPITAL DR. LUIS TISNE B.</v>
          </cell>
        </row>
        <row r="1498">
          <cell r="Z1498" t="str">
            <v>MOBILIARIO CLINICO</v>
          </cell>
        </row>
        <row r="1499">
          <cell r="Z1499" t="str">
            <v>MOBILIARIO CLINICO</v>
          </cell>
        </row>
        <row r="1500">
          <cell r="Z1500" t="str">
            <v>MOBILIARIO CLINICO</v>
          </cell>
          <cell r="AA1500" t="str">
            <v>HOSPITAL DR. LUIS TISNE B.</v>
          </cell>
        </row>
        <row r="1501">
          <cell r="Z1501" t="str">
            <v>MOBILIARIO CLINICO</v>
          </cell>
          <cell r="AA1501" t="str">
            <v>GEMCO GENERAL MACHINERY S.A.</v>
          </cell>
        </row>
        <row r="1502">
          <cell r="Z1502" t="str">
            <v>MOBILIARIO CLINICO</v>
          </cell>
          <cell r="AA1502" t="str">
            <v>GEMCO GENERAL MACHINERY S.A.</v>
          </cell>
        </row>
        <row r="1503">
          <cell r="Z1503" t="str">
            <v>MOBILIARIO CLINICO</v>
          </cell>
          <cell r="AA1503" t="str">
            <v>HOSPITAL DR. LUIS TISNE B.</v>
          </cell>
        </row>
        <row r="1504">
          <cell r="Z1504" t="str">
            <v>MOBILIARIO CLINICO</v>
          </cell>
          <cell r="AA1504" t="str">
            <v>HOSPITAL DR. LUIS TISNE B.</v>
          </cell>
        </row>
        <row r="1505">
          <cell r="Z1505" t="str">
            <v>MOBILIARIO CLINICO</v>
          </cell>
          <cell r="AA1505" t="str">
            <v>GEMCO GENERAL MACHINERY S.A.</v>
          </cell>
        </row>
        <row r="1506">
          <cell r="Z1506" t="str">
            <v>MOBILIARIO CLINICO</v>
          </cell>
          <cell r="AA1506" t="str">
            <v>HOSPITAL DR. LUIS TISNE B.</v>
          </cell>
        </row>
        <row r="1507">
          <cell r="Z1507" t="str">
            <v>MOBILIARIO CLINICO</v>
          </cell>
          <cell r="AA1507" t="str">
            <v>HOSPITAL LAS HIGUERAS</v>
          </cell>
        </row>
        <row r="1508">
          <cell r="Z1508" t="str">
            <v>MOBILIARIO CLINICO</v>
          </cell>
          <cell r="AA1508" t="str">
            <v>INSTITUTO NACIONAL DEL TORAX</v>
          </cell>
        </row>
        <row r="1509">
          <cell r="Z1509" t="str">
            <v>MOBILIARIO CLINICO</v>
          </cell>
          <cell r="AA1509" t="str">
            <v>INSTITUTO NACIONAL DEL TORAX</v>
          </cell>
        </row>
        <row r="1510">
          <cell r="Z1510" t="str">
            <v>MOBILIARIO CLINICO</v>
          </cell>
          <cell r="AA1510" t="str">
            <v>INSTITUTO NACIONAL DEL TORAX</v>
          </cell>
        </row>
        <row r="1511">
          <cell r="Z1511" t="str">
            <v>MOBILIARIO CLINICO</v>
          </cell>
          <cell r="AA1511" t="str">
            <v>INSTITUTO NACIONAL DEL TORAX</v>
          </cell>
        </row>
        <row r="1512">
          <cell r="Z1512" t="str">
            <v>MOBILIARIO CLINICO</v>
          </cell>
          <cell r="AA1512" t="str">
            <v>INSTITUTO NACIONAL DEL TORAX</v>
          </cell>
        </row>
        <row r="1513">
          <cell r="Z1513" t="str">
            <v>MOBILIARIO CLINICO</v>
          </cell>
          <cell r="AA1513" t="str">
            <v>INSTITUTO NACIONAL DEL TORAX</v>
          </cell>
        </row>
        <row r="1514">
          <cell r="Z1514" t="str">
            <v>MOBILIARIO CLINICO</v>
          </cell>
          <cell r="AA1514" t="str">
            <v>INSTITUTO NACIONAL DEL TORAX</v>
          </cell>
        </row>
        <row r="1515">
          <cell r="Z1515" t="str">
            <v>MOBILIARIO CLINICO</v>
          </cell>
          <cell r="AA1515" t="str">
            <v>INSTITUTO NACIONAL DEL TORAX</v>
          </cell>
        </row>
        <row r="1516">
          <cell r="Z1516" t="str">
            <v>MOBILIARIO CLINICO</v>
          </cell>
          <cell r="AA1516" t="str">
            <v>INSTITUTO NACIONAL DEL TORAX</v>
          </cell>
        </row>
        <row r="1517">
          <cell r="Z1517" t="str">
            <v>MOBILIARIO CLINICO</v>
          </cell>
          <cell r="AA1517" t="str">
            <v>INSTITUTO NACIONAL DEL TORAX</v>
          </cell>
        </row>
        <row r="1518">
          <cell r="Z1518" t="str">
            <v>MOBILIARIO CLINICO</v>
          </cell>
          <cell r="AA1518" t="str">
            <v>INSTITUTO NACIONAL DEL TORAX</v>
          </cell>
        </row>
        <row r="1519">
          <cell r="Z1519" t="str">
            <v>MOBILIARIO CLINICO</v>
          </cell>
          <cell r="AA1519" t="str">
            <v>INSTITUTO NACIONAL DEL TORAX</v>
          </cell>
        </row>
        <row r="1520">
          <cell r="Z1520" t="str">
            <v>MOBILIARIO CLINICO</v>
          </cell>
          <cell r="AA1520" t="str">
            <v>INSTITUTO NACIONAL DEL TORAX</v>
          </cell>
        </row>
        <row r="1521">
          <cell r="Z1521" t="str">
            <v>MOBILIARIO CLINICO</v>
          </cell>
          <cell r="AA1521" t="str">
            <v>INSTITUTO NACIONAL DEL TORAX</v>
          </cell>
        </row>
        <row r="1522">
          <cell r="Z1522" t="str">
            <v>MOBILIARIO CLINICO</v>
          </cell>
          <cell r="AA1522" t="str">
            <v>INSTITUTO NACIONAL DEL TORAX</v>
          </cell>
        </row>
        <row r="1523">
          <cell r="Z1523" t="str">
            <v>MOBILIARIO CLINICO</v>
          </cell>
          <cell r="AA1523" t="str">
            <v>INSTITUTO NACIONAL DEL TORAX</v>
          </cell>
        </row>
        <row r="1524">
          <cell r="Z1524" t="str">
            <v>MOBILIARIO CLINICO</v>
          </cell>
          <cell r="AA1524" t="str">
            <v>INSTITUTO NACIONAL DEL TORAX</v>
          </cell>
        </row>
        <row r="1525">
          <cell r="Z1525" t="str">
            <v>MOBILIARIO CLINICO</v>
          </cell>
          <cell r="AA1525" t="str">
            <v>GEMCO GENERAL MACHINERY S.A.</v>
          </cell>
        </row>
        <row r="1526">
          <cell r="Z1526" t="str">
            <v>MOBILIARIO CLINICO</v>
          </cell>
          <cell r="AA1526" t="str">
            <v>HOSPITAL DR. LUIS TISNE B.</v>
          </cell>
        </row>
        <row r="1527">
          <cell r="Z1527" t="str">
            <v>MOBILIARIO CLINICO</v>
          </cell>
          <cell r="AA1527" t="str">
            <v>HOSPITAL DR. LUIS TISNE B.</v>
          </cell>
        </row>
        <row r="1528">
          <cell r="Z1528" t="str">
            <v>MOBILIARIO CLINICO</v>
          </cell>
          <cell r="AA1528" t="str">
            <v>HOSPITAL DR. LUIS TISNE B.</v>
          </cell>
        </row>
        <row r="1529">
          <cell r="Z1529" t="str">
            <v>MOBILIARIO CLINICO</v>
          </cell>
          <cell r="AA1529" t="str">
            <v>GEMCO GENERAL MACHINERY S.A.</v>
          </cell>
        </row>
        <row r="1530">
          <cell r="Z1530" t="str">
            <v>MOBILIARIO CLINICO</v>
          </cell>
          <cell r="AA1530" t="str">
            <v>GEMCO GENERAL MACHINERY S.A.</v>
          </cell>
        </row>
        <row r="1531">
          <cell r="Z1531" t="str">
            <v>MOBILIARIO CLINICO</v>
          </cell>
          <cell r="AA1531" t="str">
            <v>GEMCO GENERAL MACHINERY S.A.</v>
          </cell>
        </row>
        <row r="1532">
          <cell r="Z1532" t="str">
            <v>MOBILIARIO CLINICO</v>
          </cell>
          <cell r="AA1532" t="str">
            <v>GEMCO GENERAL MACHINERY S.A.</v>
          </cell>
        </row>
        <row r="1533">
          <cell r="Z1533" t="str">
            <v>MOBILIARIO CLINICO</v>
          </cell>
          <cell r="AA1533" t="str">
            <v>INSTITUTO NACIONAL DEL TORAX</v>
          </cell>
        </row>
        <row r="1534">
          <cell r="Z1534" t="str">
            <v>MOBILIARIO CLINICO</v>
          </cell>
          <cell r="AA1534" t="str">
            <v>GEMCO GENERAL MACHINERY S.A.</v>
          </cell>
        </row>
        <row r="1535">
          <cell r="Z1535" t="str">
            <v>MOBILIARIO CLINICO</v>
          </cell>
        </row>
        <row r="1536">
          <cell r="Z1536" t="str">
            <v>MOBILIARIO CLINICO</v>
          </cell>
        </row>
        <row r="1537">
          <cell r="Z1537" t="str">
            <v>MOBILIARIO CLINICO</v>
          </cell>
        </row>
        <row r="1538">
          <cell r="Z1538" t="str">
            <v>MOBILIARIO CLINICO</v>
          </cell>
          <cell r="AA1538" t="str">
            <v>SERVICIO DE SALUD ÑUBLE</v>
          </cell>
        </row>
        <row r="1539">
          <cell r="Z1539" t="str">
            <v>MOBILIARIO CLINICO</v>
          </cell>
          <cell r="AA1539" t="str">
            <v>SERVICIO DE SALUD CONCEPCION</v>
          </cell>
        </row>
        <row r="1540">
          <cell r="Z1540" t="str">
            <v>MOBILIARIO CLINICO</v>
          </cell>
          <cell r="AA1540" t="str">
            <v>SERVICIO DE SALUD CONCEPCION</v>
          </cell>
        </row>
        <row r="1541">
          <cell r="Z1541" t="str">
            <v>MOBILIARIO CLINICO</v>
          </cell>
          <cell r="AA1541" t="str">
            <v>SERVICIO DE SALUD CONCEPCION</v>
          </cell>
        </row>
        <row r="1542">
          <cell r="Z1542" t="str">
            <v>MOBILIARIO CLINICO</v>
          </cell>
          <cell r="AA1542" t="str">
            <v>SERVICIO DE SALUD CONCEPCION</v>
          </cell>
        </row>
        <row r="1543">
          <cell r="Z1543" t="str">
            <v>MOBILIARIO CLINICO</v>
          </cell>
          <cell r="AA1543" t="str">
            <v>SERVICIO DE SALUD CONCEPCION</v>
          </cell>
        </row>
        <row r="1544">
          <cell r="Z1544" t="str">
            <v>MOBILIARIO CLINICO</v>
          </cell>
          <cell r="AA1544" t="str">
            <v>SERVICIO DE SALUD CONCEPCION</v>
          </cell>
        </row>
        <row r="1545">
          <cell r="Z1545" t="str">
            <v>MOBILIARIO CLINICO</v>
          </cell>
          <cell r="AA1545" t="str">
            <v>SERVICIO DE SALUD CONCEPCION</v>
          </cell>
        </row>
        <row r="1546">
          <cell r="Z1546" t="str">
            <v>MOBILIARIO CLINICO</v>
          </cell>
          <cell r="AA1546" t="str">
            <v>SERVICIO DE SALUD CONCEPCION</v>
          </cell>
        </row>
        <row r="1547">
          <cell r="Z1547" t="str">
            <v>MOBILIARIO CLINICO</v>
          </cell>
          <cell r="AA1547" t="str">
            <v>SERVICIO DE SALUD CONCEPCION</v>
          </cell>
        </row>
        <row r="1548">
          <cell r="Z1548" t="str">
            <v>MOBILIARIO CLINICO</v>
          </cell>
          <cell r="AA1548" t="str">
            <v>SERVICIO DE SALUD CONCEPCION</v>
          </cell>
        </row>
        <row r="1549">
          <cell r="Z1549" t="str">
            <v>MOBILIARIO CLINICO</v>
          </cell>
          <cell r="AA1549" t="str">
            <v>SERVICIO DE SALUD CONCEPCION</v>
          </cell>
        </row>
        <row r="1550">
          <cell r="Z1550" t="str">
            <v>MOBILIARIO CLINICO</v>
          </cell>
          <cell r="AA1550" t="str">
            <v>SERVICIO DE SALUD CONCEPCION</v>
          </cell>
        </row>
        <row r="1551">
          <cell r="Z1551" t="str">
            <v>MOBILIARIO CLINICO</v>
          </cell>
          <cell r="AA1551" t="str">
            <v>SERVICIO DE SALUD CONCEPCION</v>
          </cell>
        </row>
        <row r="1552">
          <cell r="Z1552" t="str">
            <v>MOBILIARIO CLINICO</v>
          </cell>
          <cell r="AA1552" t="str">
            <v>SERVICIO DE SALUD CONCEPCION</v>
          </cell>
        </row>
        <row r="1553">
          <cell r="Z1553" t="str">
            <v>MOBILIARIO CLINICO</v>
          </cell>
          <cell r="AA1553" t="str">
            <v>SERVICIO DE SALUD CONCEPCION</v>
          </cell>
        </row>
        <row r="1554">
          <cell r="Z1554" t="str">
            <v>MOBILIARIO CLINICO</v>
          </cell>
          <cell r="AA1554" t="str">
            <v>SERVICIO DE SALUD CONCEPCION</v>
          </cell>
        </row>
        <row r="1555">
          <cell r="Z1555" t="str">
            <v>MOBILIARIO CLINICO</v>
          </cell>
          <cell r="AA1555" t="str">
            <v>SERVICIO DE SALUD CONCEPCION</v>
          </cell>
        </row>
        <row r="1556">
          <cell r="Z1556" t="str">
            <v>MOBILIARIO CLINICO</v>
          </cell>
          <cell r="AA1556" t="str">
            <v>SERVICIO DE SALUD CONCEPCION</v>
          </cell>
        </row>
        <row r="1557">
          <cell r="Z1557" t="str">
            <v>MOBILIARIO CLINICO</v>
          </cell>
          <cell r="AA1557" t="str">
            <v>HOSPITAL DR. GUSTAVO FRICKE</v>
          </cell>
        </row>
        <row r="1558">
          <cell r="Z1558" t="str">
            <v>MOBILIARIO CLINICO</v>
          </cell>
          <cell r="AA1558" t="str">
            <v>HOSPITAL DR. GUSTAVO FRICKE</v>
          </cell>
        </row>
        <row r="1559">
          <cell r="Z1559" t="str">
            <v>MOBILIARIO CLINICO</v>
          </cell>
          <cell r="AA1559" t="str">
            <v>HOSPITAL DR. HERNAN HENRIQUEZ ARAVENA</v>
          </cell>
        </row>
        <row r="1560">
          <cell r="Z1560" t="str">
            <v>MOBILIARIO CLINICO</v>
          </cell>
        </row>
        <row r="1561">
          <cell r="Z1561" t="str">
            <v>MOBILIARIO CLINICO</v>
          </cell>
          <cell r="AA1561" t="str">
            <v>HOSPITAL DR. GUSTAVO FRICKE</v>
          </cell>
        </row>
        <row r="1562">
          <cell r="Z1562" t="str">
            <v>MOBILIARIO CLINICO</v>
          </cell>
          <cell r="AA1562" t="str">
            <v>SERVICIO DE SALUD RELONCAVI</v>
          </cell>
        </row>
        <row r="1563">
          <cell r="Z1563" t="str">
            <v>MOBILIARIO CLINICO</v>
          </cell>
          <cell r="AA1563" t="str">
            <v>SERVICIO DE SALUD RELONCAVI</v>
          </cell>
        </row>
        <row r="1564">
          <cell r="Z1564" t="str">
            <v>MOBILIARIO CLINICO</v>
          </cell>
          <cell r="AA1564" t="str">
            <v>SERVICIO DE SALUD RELONCAVI</v>
          </cell>
        </row>
        <row r="1565">
          <cell r="Z1565" t="str">
            <v>MOBILIARIO CLINICO</v>
          </cell>
          <cell r="AA1565" t="str">
            <v>SERVICIO DE SALUD RELONCAVI</v>
          </cell>
        </row>
        <row r="1566">
          <cell r="Z1566" t="str">
            <v>MOBILIARIO CLINICO</v>
          </cell>
          <cell r="AA1566" t="str">
            <v>SERVICIO DE SALUD RELONCAVI</v>
          </cell>
        </row>
        <row r="1567">
          <cell r="Z1567" t="str">
            <v>MOBILIARIO CLINICO</v>
          </cell>
          <cell r="AA1567" t="str">
            <v>SERVICIO DE SALUD RELONCAVI</v>
          </cell>
        </row>
        <row r="1568">
          <cell r="Z1568" t="str">
            <v>MOBILIARIO CLINICO</v>
          </cell>
          <cell r="AA1568" t="str">
            <v>SERVICIO DE SALUD RELONCAVI</v>
          </cell>
        </row>
        <row r="1569">
          <cell r="Z1569" t="str">
            <v>MOBILIARIO CLINICO</v>
          </cell>
          <cell r="AA1569" t="str">
            <v>SERVICIO DE SALUD RELONCAVI</v>
          </cell>
        </row>
        <row r="1570">
          <cell r="Z1570" t="str">
            <v>MOBILIARIO CLINICO</v>
          </cell>
          <cell r="AA1570" t="str">
            <v>SERVICIO DE SALUD RELONCAVI</v>
          </cell>
        </row>
        <row r="1571">
          <cell r="Z1571" t="str">
            <v>MOBILIARIO CLINICO</v>
          </cell>
          <cell r="AA1571" t="str">
            <v>SERVICIO DE SALUD RELONCAVI</v>
          </cell>
        </row>
        <row r="1572">
          <cell r="Z1572" t="str">
            <v>MOBILIARIO CLINICO</v>
          </cell>
          <cell r="AA1572" t="str">
            <v>SERVICIO DE SALUD RELONCAVI</v>
          </cell>
        </row>
        <row r="1573">
          <cell r="Z1573" t="str">
            <v>MOBILIARIO CLINICO</v>
          </cell>
          <cell r="AA1573" t="str">
            <v>SERVICIO DE SALUD RELONCAVI</v>
          </cell>
        </row>
        <row r="1574">
          <cell r="Z1574" t="str">
            <v>MOBILIARIO CLINICO</v>
          </cell>
          <cell r="AA1574" t="str">
            <v>SERVICIO DE SALUD RELONCAVI</v>
          </cell>
        </row>
        <row r="1575">
          <cell r="Z1575" t="str">
            <v>MOBILIARIO CLINICO</v>
          </cell>
          <cell r="AA1575" t="str">
            <v>SERVICIO DE SALUD RELONCAVI</v>
          </cell>
        </row>
        <row r="1576">
          <cell r="Z1576" t="str">
            <v>MOBILIARIO CLINICO</v>
          </cell>
          <cell r="AA1576" t="str">
            <v>SERVICIO DE SALUD RELONCAVI</v>
          </cell>
        </row>
        <row r="1577">
          <cell r="Z1577" t="str">
            <v>MOBILIARIO CLINICO</v>
          </cell>
          <cell r="AA1577" t="str">
            <v>SERVICIO DE SALUD RELONCAVI</v>
          </cell>
        </row>
        <row r="1578">
          <cell r="Z1578" t="str">
            <v>MOBILIARIO CLINICO</v>
          </cell>
          <cell r="AA1578" t="str">
            <v>SERVICIO DE SALUD RELONCAVI</v>
          </cell>
        </row>
        <row r="1579">
          <cell r="Z1579" t="str">
            <v>MOBILIARIO CLINICO</v>
          </cell>
          <cell r="AA1579" t="str">
            <v>SERVICIO DE SALUD RELONCAVI</v>
          </cell>
        </row>
        <row r="1580">
          <cell r="Z1580" t="str">
            <v>MOBILIARIO CLINICO</v>
          </cell>
          <cell r="AA1580" t="str">
            <v>SERVICIO DE SALUD RELONCAVI</v>
          </cell>
        </row>
        <row r="1581">
          <cell r="Z1581" t="str">
            <v>MOBILIARIO CLINICO</v>
          </cell>
          <cell r="AA1581" t="str">
            <v>SERVICIO DE SALUD RELONCAVI</v>
          </cell>
        </row>
        <row r="1582">
          <cell r="Z1582" t="str">
            <v>MOBILIARIO CLINICO</v>
          </cell>
          <cell r="AA1582" t="str">
            <v>SERVICIO DE SALUD RELONCAVI</v>
          </cell>
        </row>
        <row r="1583">
          <cell r="Z1583" t="str">
            <v>MOBILIARIO CLINICO</v>
          </cell>
          <cell r="AA1583" t="str">
            <v>SERVICIO DE SALUD RELONCAVI</v>
          </cell>
        </row>
        <row r="1584">
          <cell r="Z1584" t="str">
            <v>MOBILIARIO CLINICO</v>
          </cell>
        </row>
        <row r="1585">
          <cell r="Z1585" t="str">
            <v>MOBILIARIO CLINICO</v>
          </cell>
        </row>
        <row r="1586">
          <cell r="Z1586" t="str">
            <v>MOBILIARIO CLINICO</v>
          </cell>
        </row>
        <row r="1587">
          <cell r="Z1587" t="str">
            <v>MOBILIARIO CLINICO</v>
          </cell>
        </row>
        <row r="1588">
          <cell r="Z1588" t="str">
            <v>MOBILIARIO CLINICO</v>
          </cell>
        </row>
        <row r="1589">
          <cell r="Z1589" t="str">
            <v>MOBILIARIO CLINICO</v>
          </cell>
        </row>
        <row r="1590">
          <cell r="Z1590" t="str">
            <v>MOBILIARIO CLINICO</v>
          </cell>
        </row>
        <row r="1591">
          <cell r="Z1591" t="str">
            <v>MOBILIARIO CLINICO</v>
          </cell>
          <cell r="AA1591" t="str">
            <v>SERVICIO DE SALUD RELONCAVI</v>
          </cell>
        </row>
        <row r="1592">
          <cell r="Z1592" t="str">
            <v>MOBILIARIO CLINICO</v>
          </cell>
          <cell r="AA1592" t="str">
            <v>SERVICIO DE SALUD RELONCAVI</v>
          </cell>
        </row>
        <row r="1593">
          <cell r="Z1593" t="str">
            <v>MOBILIARIO CLINICO</v>
          </cell>
          <cell r="AA1593" t="str">
            <v>SERVICIO DE SALUD RELONCAVI</v>
          </cell>
        </row>
        <row r="1594">
          <cell r="Z1594" t="str">
            <v>MOBILIARIO CLINICO</v>
          </cell>
          <cell r="AA1594" t="str">
            <v>SERVICIO DE SALUD RELONCAVI</v>
          </cell>
        </row>
        <row r="1595">
          <cell r="Z1595" t="str">
            <v>MOBILIARIO CLINICO</v>
          </cell>
          <cell r="AA1595" t="str">
            <v>SERVICIO DE SALUD RELONCAVI</v>
          </cell>
        </row>
        <row r="1596">
          <cell r="Z1596" t="str">
            <v>MOBILIARIO CLINICO</v>
          </cell>
          <cell r="AA1596" t="str">
            <v>HOSPITAL CLAUDIO VICUÑA</v>
          </cell>
        </row>
        <row r="1597">
          <cell r="Z1597" t="str">
            <v>MOBILIARIO CLINICO</v>
          </cell>
          <cell r="AA1597" t="str">
            <v>HOSPITAL CLAUDIO VICUÑA</v>
          </cell>
        </row>
        <row r="1598">
          <cell r="Z1598" t="str">
            <v>MOBILIARIO CLINICO</v>
          </cell>
          <cell r="AA1598" t="str">
            <v>HOSPITAL CLAUDIO VICUÑA</v>
          </cell>
        </row>
        <row r="1599">
          <cell r="Z1599" t="str">
            <v>MOBILIARIO CLINICO</v>
          </cell>
          <cell r="AA1599" t="str">
            <v>HOSPITAL CLAUDIO VICUÑA</v>
          </cell>
        </row>
        <row r="1600">
          <cell r="Z1600" t="str">
            <v>MOBILIARIO CLINICO</v>
          </cell>
          <cell r="AA1600" t="str">
            <v>HOSPITAL CLAUDIO VICUÑA</v>
          </cell>
        </row>
        <row r="1601">
          <cell r="Z1601" t="str">
            <v>MOBILIARIO CLINICO</v>
          </cell>
          <cell r="AA1601" t="str">
            <v>SERVICIO DE SALUD RELONCAVI</v>
          </cell>
        </row>
        <row r="1602">
          <cell r="Z1602" t="str">
            <v>MOBILIARIO CLINICO</v>
          </cell>
          <cell r="AA1602" t="str">
            <v>SERVICIO DE SALUD RELONCAVI</v>
          </cell>
        </row>
        <row r="1603">
          <cell r="Z1603" t="str">
            <v>MOBILIARIO CLINICO</v>
          </cell>
          <cell r="AA1603" t="str">
            <v>SERVICIO DE SALUD RELONCAVI</v>
          </cell>
        </row>
        <row r="1604">
          <cell r="Z1604" t="str">
            <v>MOBILIARIO CLINICO</v>
          </cell>
          <cell r="AA1604" t="str">
            <v>SERVICIO DE SALUD RELONCAVI</v>
          </cell>
        </row>
        <row r="1605">
          <cell r="Z1605" t="str">
            <v>MOBILIARIO CLINICO</v>
          </cell>
          <cell r="AA1605" t="str">
            <v>SERVICIO DE SALUD RELONCAVI</v>
          </cell>
        </row>
        <row r="1606">
          <cell r="Z1606" t="str">
            <v>MOBILIARIO CLINICO</v>
          </cell>
          <cell r="AA1606" t="str">
            <v>SERVICIO DE SALUD RELONCAVI</v>
          </cell>
        </row>
        <row r="1607">
          <cell r="Z1607" t="str">
            <v>MOBILIARIO CLINICO</v>
          </cell>
          <cell r="AA1607" t="str">
            <v>SERVICIO DE SALUD RELONCAVI</v>
          </cell>
        </row>
        <row r="1608">
          <cell r="Z1608" t="str">
            <v>MOBILIARIO CLINICO</v>
          </cell>
          <cell r="AA1608" t="str">
            <v>HOSPITAL VICTORIA</v>
          </cell>
        </row>
        <row r="1609">
          <cell r="Z1609" t="str">
            <v>MOBILIARIO CLINICO</v>
          </cell>
          <cell r="AA1609" t="str">
            <v>HOSPITAL VICTORIA</v>
          </cell>
        </row>
        <row r="1610">
          <cell r="Z1610" t="str">
            <v>MOBILIARIO CLINICO</v>
          </cell>
        </row>
        <row r="1611">
          <cell r="Z1611" t="str">
            <v>MOBILIARIO CLINICO</v>
          </cell>
        </row>
        <row r="1612">
          <cell r="Z1612" t="str">
            <v>MOBILIARIO CLINICO</v>
          </cell>
          <cell r="AA1612" t="str">
            <v>HOSPITAL CLINICO SAN BORJA-ARRIARAN</v>
          </cell>
        </row>
        <row r="1613">
          <cell r="Z1613" t="str">
            <v>MOBILIARIO CLINICO</v>
          </cell>
          <cell r="AA1613" t="str">
            <v>HOSPITAL DE QUILLOTA</v>
          </cell>
        </row>
        <row r="1614">
          <cell r="Z1614" t="str">
            <v>MOBILIARIO CLINICO</v>
          </cell>
          <cell r="AA1614" t="str">
            <v>HOSPITAL CLAUDIO VICUÑA</v>
          </cell>
        </row>
        <row r="1615">
          <cell r="Z1615" t="str">
            <v>MOBILIARIO CLINICO</v>
          </cell>
          <cell r="AA1615" t="str">
            <v>HOSPITAL CLAUDIO VICUÑA</v>
          </cell>
        </row>
        <row r="1616">
          <cell r="Z1616" t="str">
            <v>MOBILIARIO CLINICO</v>
          </cell>
          <cell r="AA1616" t="str">
            <v>HOSPITAL CLAUDIO VICUÑA</v>
          </cell>
        </row>
        <row r="1617">
          <cell r="Z1617" t="str">
            <v>MOBILIARIO CLINICO</v>
          </cell>
          <cell r="AA1617" t="str">
            <v>HOSPITAL CLAUDIO VICUÑA</v>
          </cell>
        </row>
        <row r="1618">
          <cell r="Z1618" t="str">
            <v>MOBILIARIO CLINICO</v>
          </cell>
          <cell r="AA1618" t="str">
            <v>HOSPITAL CLAUDIO VICUÑA</v>
          </cell>
        </row>
        <row r="1619">
          <cell r="Z1619" t="str">
            <v>MOBILIARIO CLINICO</v>
          </cell>
          <cell r="AA1619" t="str">
            <v>HOSPITAL CLAUDIO VICUÑA</v>
          </cell>
        </row>
        <row r="1620">
          <cell r="Z1620" t="str">
            <v>MOBILIARIO CLINICO</v>
          </cell>
          <cell r="AA1620" t="str">
            <v>HOSPITAL CLAUDIO VICUÑA</v>
          </cell>
        </row>
        <row r="1621">
          <cell r="Z1621" t="str">
            <v>MOBILIARIO CLINICO</v>
          </cell>
          <cell r="AA1621" t="str">
            <v>HOSPITAL CLAUDIO VICUÑA</v>
          </cell>
        </row>
        <row r="1622">
          <cell r="Z1622" t="str">
            <v>MOBILIARIO CLINICO</v>
          </cell>
          <cell r="AA1622" t="str">
            <v>HOSPITAL CLAUDIO VICUÑA</v>
          </cell>
        </row>
        <row r="1623">
          <cell r="Z1623" t="str">
            <v>MOBILIARIO CLINICO</v>
          </cell>
          <cell r="AA1623" t="str">
            <v>HOSPITAL CLAUDIO VICUÑA</v>
          </cell>
        </row>
        <row r="1624">
          <cell r="Z1624" t="str">
            <v>MOBILIARIO CLINICO</v>
          </cell>
          <cell r="AA1624" t="str">
            <v>HOSPITAL CLAUDIO VICUÑA</v>
          </cell>
        </row>
        <row r="1625">
          <cell r="Z1625" t="str">
            <v>MOBILIARIO CLINICO</v>
          </cell>
          <cell r="AA1625" t="str">
            <v>HOSPITAL CLAUDIO VICUÑA</v>
          </cell>
        </row>
        <row r="1626">
          <cell r="Z1626" t="str">
            <v>MOBILIARIO CLINICO</v>
          </cell>
          <cell r="AA1626" t="str">
            <v>HOSPITAL CLAUDIO VICUÑA</v>
          </cell>
        </row>
        <row r="1627">
          <cell r="Z1627" t="str">
            <v>MOBILIARIO CLINICO</v>
          </cell>
          <cell r="AA1627" t="str">
            <v>HOSPITAL CLAUDIO VICUÑA</v>
          </cell>
        </row>
        <row r="1628">
          <cell r="Z1628" t="str">
            <v>MOBILIARIO CLINICO</v>
          </cell>
          <cell r="AA1628" t="str">
            <v>HOSPITAL CLAUDIO VICUÑA</v>
          </cell>
        </row>
        <row r="1629">
          <cell r="Z1629" t="str">
            <v>MOBILIARIO CLINICO</v>
          </cell>
          <cell r="AA1629" t="str">
            <v>HOSPITAL CLAUDIO VICUÑA</v>
          </cell>
        </row>
        <row r="1630">
          <cell r="Z1630" t="str">
            <v>MOBILIARIO CLINICO</v>
          </cell>
          <cell r="AA1630" t="str">
            <v>HOSPITAL CLAUDIO VICUÑA</v>
          </cell>
        </row>
        <row r="1631">
          <cell r="Z1631" t="str">
            <v>MOBILIARIO CLINICO</v>
          </cell>
          <cell r="AA1631" t="str">
            <v>HOSPITAL CLAUDIO VICUÑA</v>
          </cell>
        </row>
        <row r="1632">
          <cell r="Z1632" t="str">
            <v>MOBILIARIO CLINICO</v>
          </cell>
          <cell r="AA1632" t="str">
            <v>HOSPITAL CLAUDIO VICUÑA</v>
          </cell>
        </row>
        <row r="1633">
          <cell r="Z1633" t="str">
            <v>MOBILIARIO CLINICO</v>
          </cell>
          <cell r="AA1633" t="str">
            <v>HOSPITAL CLAUDIO VICUÑA</v>
          </cell>
        </row>
        <row r="1634">
          <cell r="Z1634" t="str">
            <v>MOBILIARIO CLINICO</v>
          </cell>
          <cell r="AA1634" t="str">
            <v>HOSPITAL CLAUDIO VICUÑA</v>
          </cell>
        </row>
        <row r="1635">
          <cell r="Z1635" t="str">
            <v>MOBILIARIO CLINICO</v>
          </cell>
          <cell r="AA1635" t="str">
            <v>HOSPITAL CLAUDIO VICUÑA</v>
          </cell>
        </row>
        <row r="1636">
          <cell r="Z1636" t="str">
            <v>MOBILIARIO CLINICO</v>
          </cell>
          <cell r="AA1636" t="str">
            <v>HOSPITAL CLAUDIO VICUÑA</v>
          </cell>
        </row>
        <row r="1637">
          <cell r="Z1637" t="str">
            <v>MOBILIARIO CLINICO</v>
          </cell>
          <cell r="AA1637" t="str">
            <v>HOSPITAL CLAUDIO VICUÑA</v>
          </cell>
        </row>
        <row r="1638">
          <cell r="Z1638" t="str">
            <v>MOBILIARIO CLINICO</v>
          </cell>
          <cell r="AA1638" t="str">
            <v>HOSPITAL CLAUDIO VICUÑA</v>
          </cell>
        </row>
        <row r="1639">
          <cell r="Z1639" t="str">
            <v>MOBILIARIO CLINICO</v>
          </cell>
          <cell r="AA1639" t="str">
            <v>HOSPITAL CLAUDIO VICUÑA</v>
          </cell>
        </row>
        <row r="1640">
          <cell r="Z1640" t="str">
            <v>MOBILIARIO CLINICO</v>
          </cell>
          <cell r="AA1640" t="str">
            <v>HOSPITAL CLAUDIO VICUÑA</v>
          </cell>
        </row>
        <row r="1641">
          <cell r="Z1641" t="str">
            <v>MOBILIARIO CLINICO</v>
          </cell>
          <cell r="AA1641" t="str">
            <v>HOSPITAL CLAUDIO VICUÑA</v>
          </cell>
        </row>
        <row r="1642">
          <cell r="Z1642" t="str">
            <v>MOBILIARIO CLINICO</v>
          </cell>
          <cell r="AA1642" t="str">
            <v>HOSPITAL CLAUDIO VICUÑA</v>
          </cell>
        </row>
        <row r="1643">
          <cell r="Z1643" t="str">
            <v>MOBILIARIO CLINICO</v>
          </cell>
          <cell r="AA1643" t="str">
            <v>HOSPITAL CLAUDIO VICUÑA</v>
          </cell>
        </row>
        <row r="1644">
          <cell r="Z1644" t="str">
            <v>MOBILIARIO CLINICO</v>
          </cell>
          <cell r="AA1644" t="str">
            <v>HOSPITAL CLAUDIO VICUÑA</v>
          </cell>
        </row>
        <row r="1645">
          <cell r="Z1645" t="str">
            <v>MOBILIARIO CLINICO</v>
          </cell>
          <cell r="AA1645" t="str">
            <v>HOSPITAL CLAUDIO VICUÑA</v>
          </cell>
        </row>
        <row r="1646">
          <cell r="Z1646" t="str">
            <v>MOBILIARIO CLINICO</v>
          </cell>
          <cell r="AA1646" t="str">
            <v>HOSPITAL CLAUDIO VICUÑA</v>
          </cell>
        </row>
        <row r="1647">
          <cell r="Z1647" t="str">
            <v>MOBILIARIO CLINICO</v>
          </cell>
          <cell r="AA1647" t="str">
            <v>HOSPITAL CLAUDIO VICUÑA</v>
          </cell>
        </row>
        <row r="1648">
          <cell r="Z1648" t="str">
            <v>MOBILIARIO CLINICO</v>
          </cell>
          <cell r="AA1648" t="str">
            <v>HOSPITAL CLAUDIO VICUÑA</v>
          </cell>
        </row>
        <row r="1649">
          <cell r="Z1649" t="str">
            <v>MOBILIARIO CLINICO</v>
          </cell>
          <cell r="AA1649" t="str">
            <v>HOSPITAL CLAUDIO VICUÑA</v>
          </cell>
        </row>
        <row r="1650">
          <cell r="Z1650" t="str">
            <v>MOBILIARIO CLINICO</v>
          </cell>
          <cell r="AA1650" t="str">
            <v>HOSPITAL CLAUDIO VICUÑA</v>
          </cell>
        </row>
        <row r="1651">
          <cell r="Z1651" t="str">
            <v>MOBILIARIO CLINICO</v>
          </cell>
          <cell r="AA1651" t="str">
            <v>HOSPITAL CLAUDIO VICUÑA</v>
          </cell>
        </row>
        <row r="1652">
          <cell r="Z1652" t="str">
            <v>MOBILIARIO CLINICO</v>
          </cell>
          <cell r="AA1652" t="str">
            <v>HOSPITAL CLAUDIO VICUÑA</v>
          </cell>
        </row>
        <row r="1653">
          <cell r="Z1653" t="str">
            <v>MOBILIARIO CLINICO</v>
          </cell>
          <cell r="AA1653" t="str">
            <v>HOSPITAL CLAUDIO VICUÑA</v>
          </cell>
        </row>
        <row r="1654">
          <cell r="Z1654" t="str">
            <v>MOBILIARIO CLINICO</v>
          </cell>
          <cell r="AA1654" t="str">
            <v>HOSPITAL CLAUDIO VICUÑA</v>
          </cell>
        </row>
        <row r="1655">
          <cell r="Z1655" t="str">
            <v>MOBILIARIO CLINICO</v>
          </cell>
          <cell r="AA1655" t="str">
            <v>HOSPITAL CLAUDIO VICUÑA</v>
          </cell>
        </row>
        <row r="1656">
          <cell r="Z1656" t="str">
            <v>MOBILIARIO CLINICO</v>
          </cell>
          <cell r="AA1656" t="str">
            <v>HOSPITAL CLAUDIO VICUÑA</v>
          </cell>
        </row>
        <row r="1657">
          <cell r="Z1657" t="str">
            <v>MOBILIARIO CLINICO</v>
          </cell>
          <cell r="AA1657" t="str">
            <v>HOSPITAL CLAUDIO VICUÑA</v>
          </cell>
        </row>
        <row r="1658">
          <cell r="Z1658" t="str">
            <v>MOBILIARIO CLINICO</v>
          </cell>
          <cell r="AA1658" t="str">
            <v>HOSPITAL CLAUDIO VICUÑA</v>
          </cell>
        </row>
        <row r="1659">
          <cell r="Z1659" t="str">
            <v>MOBILIARIO CLINICO</v>
          </cell>
          <cell r="AA1659" t="str">
            <v>HOSPITAL CLAUDIO VICUÑA</v>
          </cell>
        </row>
        <row r="1660">
          <cell r="Z1660" t="str">
            <v>MOBILIARIO CLINICO</v>
          </cell>
          <cell r="AA1660" t="str">
            <v>HOSPITAL CLAUDIO VICUÑA</v>
          </cell>
        </row>
        <row r="1661">
          <cell r="Z1661" t="str">
            <v>MOBILIARIO CLINICO</v>
          </cell>
          <cell r="AA1661" t="str">
            <v>HOSPITAL CLAUDIO VICUÑA</v>
          </cell>
        </row>
        <row r="1662">
          <cell r="Z1662" t="str">
            <v>MOBILIARIO CLINICO</v>
          </cell>
          <cell r="AA1662" t="str">
            <v>HOSPITAL CLAUDIO VICUÑA</v>
          </cell>
        </row>
        <row r="1663">
          <cell r="Z1663" t="str">
            <v>MOBILIARIO CLINICO</v>
          </cell>
          <cell r="AA1663" t="str">
            <v>HOSPITAL CLAUDIO VICUÑA</v>
          </cell>
        </row>
        <row r="1664">
          <cell r="Z1664" t="str">
            <v>MOBILIARIO CLINICO</v>
          </cell>
          <cell r="AA1664" t="str">
            <v>HOSPITAL CLAUDIO VICUÑA</v>
          </cell>
        </row>
        <row r="1665">
          <cell r="Z1665" t="str">
            <v>MOBILIARIO CLINICO</v>
          </cell>
          <cell r="AA1665" t="str">
            <v>HOSPITAL CLAUDIO VICUÑA</v>
          </cell>
        </row>
        <row r="1666">
          <cell r="Z1666" t="str">
            <v>MOBILIARIO CLINICO</v>
          </cell>
          <cell r="AA1666" t="str">
            <v>HOSPITAL CLAUDIO VICUÑA</v>
          </cell>
        </row>
        <row r="1667">
          <cell r="Z1667" t="str">
            <v>MOBILIARIO CLINICO</v>
          </cell>
          <cell r="AA1667" t="str">
            <v>HOSPITAL CLAUDIO VICUÑA</v>
          </cell>
        </row>
        <row r="1668">
          <cell r="Z1668" t="str">
            <v>MOBILIARIO CLINICO</v>
          </cell>
          <cell r="AA1668" t="str">
            <v>HOSPITAL CLAUDIO VICUÑA</v>
          </cell>
        </row>
        <row r="1669">
          <cell r="Z1669" t="str">
            <v>MOBILIARIO CLINICO</v>
          </cell>
          <cell r="AA1669" t="str">
            <v>HOSPITAL CLAUDIO VICUÑA</v>
          </cell>
        </row>
        <row r="1670">
          <cell r="Z1670" t="str">
            <v>MOBILIARIO CLINICO</v>
          </cell>
          <cell r="AA1670" t="str">
            <v>HOSPITAL CLAUDIO VICUÑA</v>
          </cell>
        </row>
        <row r="1671">
          <cell r="Z1671" t="str">
            <v>MOBILIARIO CLINICO</v>
          </cell>
          <cell r="AA1671" t="str">
            <v>HOSPITAL CLAUDIO VICUÑA</v>
          </cell>
        </row>
        <row r="1672">
          <cell r="Z1672" t="str">
            <v>MOBILIARIO CLINICO</v>
          </cell>
          <cell r="AA1672" t="str">
            <v>HOSPITAL CLAUDIO VICUÑA</v>
          </cell>
        </row>
        <row r="1673">
          <cell r="Z1673" t="str">
            <v>MOBILIARIO CLINICO</v>
          </cell>
          <cell r="AA1673" t="str">
            <v>HOSPITAL CLAUDIO VICUÑA</v>
          </cell>
        </row>
        <row r="1674">
          <cell r="Z1674" t="str">
            <v>MOBILIARIO CLINICO</v>
          </cell>
          <cell r="AA1674" t="str">
            <v>HOSPITAL CLAUDIO VICUÑA</v>
          </cell>
        </row>
        <row r="1675">
          <cell r="Z1675" t="str">
            <v>MOBILIARIO CLINICO</v>
          </cell>
          <cell r="AA1675" t="str">
            <v>HOSPITAL CLAUDIO VICUÑA</v>
          </cell>
        </row>
        <row r="1676">
          <cell r="Z1676" t="str">
            <v>MOBILIARIO CLINICO</v>
          </cell>
          <cell r="AA1676" t="str">
            <v>HOSPITAL CLAUDIO VICUÑA</v>
          </cell>
        </row>
        <row r="1677">
          <cell r="Z1677" t="str">
            <v>MOBILIARIO CLINICO</v>
          </cell>
          <cell r="AA1677" t="str">
            <v>HOSPITAL CLAUDIO VICUÑA</v>
          </cell>
        </row>
        <row r="1678">
          <cell r="Z1678" t="str">
            <v>MOBILIARIO CLINICO</v>
          </cell>
          <cell r="AA1678" t="str">
            <v>HOSPITAL CLAUDIO VICUÑA</v>
          </cell>
        </row>
        <row r="1679">
          <cell r="Z1679" t="str">
            <v>MOBILIARIO CLINICO</v>
          </cell>
          <cell r="AA1679" t="str">
            <v>HOSPITAL CLAUDIO VICUÑA</v>
          </cell>
        </row>
        <row r="1680">
          <cell r="Z1680" t="str">
            <v>MOBILIARIO CLINICO</v>
          </cell>
          <cell r="AA1680" t="str">
            <v>HOSPITAL CLAUDIO VICUÑA</v>
          </cell>
        </row>
        <row r="1681">
          <cell r="Z1681" t="str">
            <v>MOBILIARIO CLINICO</v>
          </cell>
          <cell r="AA1681" t="str">
            <v>HOSPITAL CLAUDIO VICUÑA</v>
          </cell>
        </row>
        <row r="1682">
          <cell r="Z1682" t="str">
            <v>MOBILIARIO CLINICO</v>
          </cell>
          <cell r="AA1682" t="str">
            <v>HOSPITAL CLAUDIO VICUÑA</v>
          </cell>
        </row>
        <row r="1683">
          <cell r="Z1683" t="str">
            <v>MOBILIARIO CLINICO</v>
          </cell>
          <cell r="AA1683" t="str">
            <v>HOSPITAL CLAUDIO VICUÑA</v>
          </cell>
        </row>
        <row r="1684">
          <cell r="Z1684" t="str">
            <v>MOBILIARIO CLINICO</v>
          </cell>
          <cell r="AA1684" t="str">
            <v>HOSPITAL CLAUDIO VICUÑA</v>
          </cell>
        </row>
        <row r="1685">
          <cell r="Z1685" t="str">
            <v>MOBILIARIO CLINICO</v>
          </cell>
          <cell r="AA1685" t="str">
            <v>HOSPITAL CLAUDIO VICUÑA</v>
          </cell>
        </row>
        <row r="1686">
          <cell r="Z1686" t="str">
            <v>MOBILIARIO CLINICO</v>
          </cell>
          <cell r="AA1686" t="str">
            <v>HOSPITAL CLAUDIO VICUÑA</v>
          </cell>
        </row>
        <row r="1687">
          <cell r="Z1687" t="str">
            <v>MOBILIARIO CLINICO</v>
          </cell>
          <cell r="AA1687" t="str">
            <v>HOSPITAL CLAUDIO VICUÑA</v>
          </cell>
        </row>
        <row r="1688">
          <cell r="Z1688" t="str">
            <v>MOBILIARIO CLINICO</v>
          </cell>
          <cell r="AA1688" t="str">
            <v>HOSPITAL CLAUDIO VICUÑA</v>
          </cell>
        </row>
        <row r="1689">
          <cell r="Z1689" t="str">
            <v>MOBILIARIO CLINICO</v>
          </cell>
          <cell r="AA1689" t="str">
            <v>HOSPITAL CLAUDIO VICUÑA</v>
          </cell>
        </row>
        <row r="1690">
          <cell r="Z1690" t="str">
            <v>MOBILIARIO CLINICO</v>
          </cell>
          <cell r="AA1690" t="str">
            <v>HOSPITAL CLAUDIO VICUÑA</v>
          </cell>
        </row>
        <row r="1691">
          <cell r="Z1691" t="str">
            <v>MOBILIARIO CLINICO</v>
          </cell>
          <cell r="AA1691" t="str">
            <v>HOSPITAL CLAUDIO VICUÑA</v>
          </cell>
        </row>
        <row r="1692">
          <cell r="Z1692" t="str">
            <v>MOBILIARIO CLINICO</v>
          </cell>
          <cell r="AA1692" t="str">
            <v>HOSPITAL CLAUDIO VICUÑA</v>
          </cell>
        </row>
        <row r="1693">
          <cell r="Z1693" t="str">
            <v>MOBILIARIO CLINICO</v>
          </cell>
          <cell r="AA1693" t="str">
            <v>HOSPITAL CLAUDIO VICUÑA</v>
          </cell>
        </row>
        <row r="1694">
          <cell r="Z1694" t="str">
            <v>MOBILIARIO CLINICO</v>
          </cell>
          <cell r="AA1694" t="str">
            <v>HOSPITAL CLAUDIO VICUÑA</v>
          </cell>
        </row>
        <row r="1695">
          <cell r="Z1695" t="str">
            <v>MOBILIARIO CLINICO</v>
          </cell>
          <cell r="AA1695" t="str">
            <v>HOSPITAL CLAUDIO VICUÑA</v>
          </cell>
        </row>
        <row r="1696">
          <cell r="Z1696" t="str">
            <v>MOBILIARIO CLINICO</v>
          </cell>
          <cell r="AA1696" t="str">
            <v>HOSPITAL CLAUDIO VICUÑA</v>
          </cell>
        </row>
        <row r="1697">
          <cell r="Z1697" t="str">
            <v>MOBILIARIO CLINICO</v>
          </cell>
          <cell r="AA1697" t="str">
            <v>HOSPITAL CLAUDIO VICUÑA</v>
          </cell>
        </row>
        <row r="1698">
          <cell r="Z1698" t="str">
            <v>MOBILIARIO CLINICO</v>
          </cell>
          <cell r="AA1698" t="str">
            <v>HOSPITAL CLAUDIO VICUÑA</v>
          </cell>
        </row>
        <row r="1699">
          <cell r="Z1699" t="str">
            <v>MOBILIARIO CLINICO</v>
          </cell>
          <cell r="AA1699" t="str">
            <v>HOSPITAL CLAUDIO VICUÑA</v>
          </cell>
        </row>
        <row r="1700">
          <cell r="Z1700" t="str">
            <v>MOBILIARIO CLINICO</v>
          </cell>
          <cell r="AA1700" t="str">
            <v>HOSPITAL CLAUDIO VICUÑA</v>
          </cell>
        </row>
        <row r="1701">
          <cell r="Z1701" t="str">
            <v>MOBILIARIO CLINICO</v>
          </cell>
          <cell r="AA1701" t="str">
            <v>HOSPITAL CLAUDIO VICUÑA</v>
          </cell>
        </row>
        <row r="1702">
          <cell r="Z1702" t="str">
            <v>MOBILIARIO CLINICO</v>
          </cell>
          <cell r="AA1702" t="str">
            <v>HOSPITAL CLAUDIO VICUÑA</v>
          </cell>
        </row>
        <row r="1703">
          <cell r="Z1703" t="str">
            <v>MOBILIARIO CLINICO</v>
          </cell>
          <cell r="AA1703" t="str">
            <v>HOSPITAL CLAUDIO VICUÑA</v>
          </cell>
        </row>
        <row r="1704">
          <cell r="Z1704" t="str">
            <v>MOBILIARIO CLINICO</v>
          </cell>
          <cell r="AA1704" t="str">
            <v>HOSPITAL CLAUDIO VICUÑA</v>
          </cell>
        </row>
        <row r="1705">
          <cell r="Z1705" t="str">
            <v>MOBILIARIO CLINICO</v>
          </cell>
          <cell r="AA1705" t="str">
            <v>HOSPITAL CLAUDIO VICUÑA</v>
          </cell>
        </row>
        <row r="1706">
          <cell r="Z1706" t="str">
            <v>MOBILIARIO CLINICO</v>
          </cell>
          <cell r="AA1706" t="str">
            <v>HOSPITAL COLLIPULLI</v>
          </cell>
        </row>
        <row r="1707">
          <cell r="Z1707" t="str">
            <v>MOBILIARIO CLINICO</v>
          </cell>
          <cell r="AA1707" t="str">
            <v>HOSPITAL COLLIPULLI</v>
          </cell>
        </row>
        <row r="1708">
          <cell r="Z1708" t="str">
            <v>MOBILIARIO CLINICO</v>
          </cell>
          <cell r="AA1708" t="str">
            <v>HOSPITAL COLLIPULLI</v>
          </cell>
        </row>
        <row r="1709">
          <cell r="Z1709" t="str">
            <v>MOBILIARIO CLINICO</v>
          </cell>
          <cell r="AA1709" t="str">
            <v>HOSPITAL COLLIPULLI</v>
          </cell>
        </row>
        <row r="1710">
          <cell r="Z1710" t="str">
            <v>MOBILIARIO CLINICO</v>
          </cell>
          <cell r="AA1710" t="str">
            <v>HOSPITAL COLLIPULLI</v>
          </cell>
        </row>
        <row r="1711">
          <cell r="Z1711" t="str">
            <v>MOBILIARIO CLINICO</v>
          </cell>
          <cell r="AA1711" t="str">
            <v>HOSPITAL COLLIPULLI</v>
          </cell>
        </row>
        <row r="1712">
          <cell r="Z1712" t="str">
            <v>MOBILIARIO CLINICO</v>
          </cell>
          <cell r="AA1712" t="str">
            <v>HOSPITAL COLLIPULLI</v>
          </cell>
        </row>
        <row r="1713">
          <cell r="Z1713" t="str">
            <v>MOBILIARIO CLINICO</v>
          </cell>
          <cell r="AA1713" t="str">
            <v>HOSPITAL COLLIPULLI</v>
          </cell>
        </row>
        <row r="1714">
          <cell r="Z1714" t="str">
            <v>MOBILIARIO CLINICO</v>
          </cell>
          <cell r="AA1714" t="str">
            <v>HOSPITAL COLLIPULLI</v>
          </cell>
        </row>
        <row r="1715">
          <cell r="Z1715" t="str">
            <v>MOBILIARIO CLINICO</v>
          </cell>
          <cell r="AA1715" t="str">
            <v>HOSPITAL COLLIPULLI</v>
          </cell>
        </row>
        <row r="1716">
          <cell r="Z1716" t="str">
            <v>MOBILIARIO CLINICO</v>
          </cell>
          <cell r="AA1716" t="str">
            <v>HOSPITAL COLLIPULLI</v>
          </cell>
        </row>
        <row r="1717">
          <cell r="Z1717" t="str">
            <v>MOBILIARIO CLINICO</v>
          </cell>
          <cell r="AA1717" t="str">
            <v>HOSPITAL COLLIPULLI</v>
          </cell>
        </row>
        <row r="1718">
          <cell r="Z1718" t="str">
            <v>MOBILIARIO CLINICO</v>
          </cell>
          <cell r="AA1718" t="str">
            <v>HOSPITAL COLLIPULLI</v>
          </cell>
        </row>
        <row r="1719">
          <cell r="Z1719" t="str">
            <v>MOBILIARIO CLINICO</v>
          </cell>
          <cell r="AA1719" t="str">
            <v>HOSPITAL COLLIPULLI</v>
          </cell>
        </row>
        <row r="1720">
          <cell r="Z1720" t="str">
            <v>MOBILIARIO CLINICO</v>
          </cell>
        </row>
        <row r="1721">
          <cell r="Z1721" t="str">
            <v>MOBILIARIO CLINICO</v>
          </cell>
        </row>
        <row r="1722">
          <cell r="Z1722" t="str">
            <v>MOBILIARIO CLINICO</v>
          </cell>
        </row>
        <row r="1723">
          <cell r="Z1723" t="str">
            <v>MOBILIARIO CLINICO</v>
          </cell>
        </row>
        <row r="1724">
          <cell r="Z1724" t="str">
            <v>MOBILIARIO CLINICO</v>
          </cell>
        </row>
        <row r="1725">
          <cell r="Z1725" t="str">
            <v>MOBILIARIO CLINICO</v>
          </cell>
        </row>
        <row r="1726">
          <cell r="Z1726" t="str">
            <v>MOBILIARIO CLINICO</v>
          </cell>
        </row>
        <row r="1727">
          <cell r="Z1727" t="str">
            <v>MOBILIARIO CLINICO</v>
          </cell>
        </row>
        <row r="1728">
          <cell r="Z1728" t="str">
            <v>MOBILIARIO CLINICO</v>
          </cell>
        </row>
        <row r="1729">
          <cell r="Z1729" t="str">
            <v>MOBILIARIO CLINICO</v>
          </cell>
        </row>
        <row r="1730">
          <cell r="Z1730" t="str">
            <v>MOBILIARIO CLINICO</v>
          </cell>
        </row>
        <row r="1731">
          <cell r="Z1731" t="str">
            <v>MOBILIARIO CLINICO</v>
          </cell>
        </row>
        <row r="1732">
          <cell r="Z1732" t="str">
            <v>MOBILIARIO CLINICO</v>
          </cell>
        </row>
        <row r="1733">
          <cell r="Z1733" t="str">
            <v>MOBILIARIO CLINICO</v>
          </cell>
        </row>
        <row r="1734">
          <cell r="Z1734" t="str">
            <v>MOBILIARIO CLINICO</v>
          </cell>
        </row>
        <row r="1735">
          <cell r="Z1735" t="str">
            <v>MOBILIARIO CLINICO</v>
          </cell>
        </row>
        <row r="1736">
          <cell r="Z1736" t="str">
            <v>MOBILIARIO CLINICO</v>
          </cell>
        </row>
        <row r="1737">
          <cell r="Z1737" t="str">
            <v>MOBILIARIO CLINICO</v>
          </cell>
        </row>
        <row r="1738">
          <cell r="Z1738" t="str">
            <v>MOBILIARIO CLINICO</v>
          </cell>
        </row>
        <row r="1739">
          <cell r="Z1739" t="str">
            <v>MOBILIARIO CLINICO</v>
          </cell>
        </row>
        <row r="1740">
          <cell r="Z1740" t="str">
            <v>MOBILIARIO CLINICO</v>
          </cell>
        </row>
        <row r="1741">
          <cell r="Z1741" t="str">
            <v>MOBILIARIO CLINICO</v>
          </cell>
        </row>
        <row r="1742">
          <cell r="Z1742" t="str">
            <v>MOBILIARIO CLINICO</v>
          </cell>
        </row>
        <row r="1743">
          <cell r="Z1743" t="str">
            <v>MOBILIARIO CLINICO</v>
          </cell>
        </row>
        <row r="1744">
          <cell r="Z1744" t="str">
            <v>MOBILIARIO CLINICO</v>
          </cell>
        </row>
        <row r="1745">
          <cell r="Z1745" t="str">
            <v>MOBILIARIO CLINICO</v>
          </cell>
        </row>
        <row r="1746">
          <cell r="Z1746" t="str">
            <v>MOBILIARIO CLINICO</v>
          </cell>
        </row>
        <row r="1747">
          <cell r="Z1747" t="str">
            <v>MOBILIARIO CLINICO</v>
          </cell>
        </row>
        <row r="1748">
          <cell r="Z1748" t="str">
            <v>MOBILIARIO CLINICO</v>
          </cell>
        </row>
        <row r="1749">
          <cell r="Z1749" t="str">
            <v>MOBILIARIO CLINICO</v>
          </cell>
        </row>
        <row r="1750">
          <cell r="Z1750" t="str">
            <v>MOBILIARIO CLINICO</v>
          </cell>
          <cell r="AA1750" t="str">
            <v>HOSPITAL DE TRAIGUEN</v>
          </cell>
        </row>
        <row r="1751">
          <cell r="Z1751" t="str">
            <v>MOBILIARIO CLINICO</v>
          </cell>
          <cell r="AA1751" t="str">
            <v>HOSPITAL DE TRAIGUEN</v>
          </cell>
        </row>
        <row r="1752">
          <cell r="Z1752" t="str">
            <v>MOBILIARIO CLINICO</v>
          </cell>
          <cell r="AA1752" t="str">
            <v>HOSPITAL DE TRAIGUEN</v>
          </cell>
        </row>
        <row r="1753">
          <cell r="Z1753" t="str">
            <v>MOBILIARIO CLINICO</v>
          </cell>
          <cell r="AA1753" t="str">
            <v>HOSPITAL DE TRAIGUEN</v>
          </cell>
        </row>
        <row r="1754">
          <cell r="Z1754" t="str">
            <v>MOBILIARIO CLINICO</v>
          </cell>
          <cell r="AA1754" t="str">
            <v>HOSPITAL DE TRAIGUEN</v>
          </cell>
        </row>
        <row r="1755">
          <cell r="Z1755" t="str">
            <v>MOBILIARIO CLINICO</v>
          </cell>
          <cell r="AA1755" t="str">
            <v>HOSPITAL DE TRAIGUEN</v>
          </cell>
        </row>
        <row r="1756">
          <cell r="Z1756" t="str">
            <v>MOBILIARIO CLINICO</v>
          </cell>
          <cell r="AA1756" t="str">
            <v>HOSPITAL DE TRAIGUEN</v>
          </cell>
        </row>
        <row r="1757">
          <cell r="Z1757" t="str">
            <v>MOBILIARIO CLINICO</v>
          </cell>
          <cell r="AA1757" t="str">
            <v>HOSPITAL DE TRAIGUEN</v>
          </cell>
        </row>
        <row r="1758">
          <cell r="Z1758" t="str">
            <v>MOBILIARIO CLINICO</v>
          </cell>
          <cell r="AA1758" t="str">
            <v>HOSPITAL DE TRAIGUEN</v>
          </cell>
        </row>
        <row r="1759">
          <cell r="Z1759" t="str">
            <v>MOBILIARIO CLINICO</v>
          </cell>
          <cell r="AA1759" t="str">
            <v>HOSPITAL DE TRAIGUEN</v>
          </cell>
        </row>
        <row r="1760">
          <cell r="Z1760" t="str">
            <v>MOBILIARIO CLINICO</v>
          </cell>
          <cell r="AA1760" t="str">
            <v>HOSPITAL DE TRAIGUEN</v>
          </cell>
        </row>
        <row r="1761">
          <cell r="Z1761" t="str">
            <v>MOBILIARIO CLINICO</v>
          </cell>
          <cell r="AA1761" t="str">
            <v>HOSPITAL DE TRAIGUEN</v>
          </cell>
        </row>
        <row r="1762">
          <cell r="Z1762" t="str">
            <v>MOBILIARIO CLINICO</v>
          </cell>
          <cell r="AA1762" t="str">
            <v>HOSPITAL DE TRAIGUEN</v>
          </cell>
        </row>
        <row r="1763">
          <cell r="Z1763" t="str">
            <v>MOBILIARIO CLINICO</v>
          </cell>
          <cell r="AA1763" t="str">
            <v>HOSPITAL DE TRAIGUEN</v>
          </cell>
        </row>
        <row r="1764">
          <cell r="Z1764" t="str">
            <v>MOBILIARIO CLINICO</v>
          </cell>
          <cell r="AA1764" t="str">
            <v>HOSPITAL DE TRAIGUEN</v>
          </cell>
        </row>
        <row r="1765">
          <cell r="Z1765" t="str">
            <v>MOBILIARIO CLINICO</v>
          </cell>
          <cell r="AA1765" t="str">
            <v>HOSPITAL DE TRAIGUEN</v>
          </cell>
        </row>
        <row r="1766">
          <cell r="Z1766" t="str">
            <v>MOBILIARIO CLINICO</v>
          </cell>
          <cell r="AA1766" t="str">
            <v>HOSPITAL DE TRAIGUEN</v>
          </cell>
        </row>
        <row r="1767">
          <cell r="Z1767" t="str">
            <v>MOBILIARIO CLINICO</v>
          </cell>
          <cell r="AA1767" t="str">
            <v>HOSPITAL DE TRAIGUEN</v>
          </cell>
        </row>
        <row r="1768">
          <cell r="Z1768" t="str">
            <v>MOBILIARIO CLINICO</v>
          </cell>
          <cell r="AA1768" t="str">
            <v>HOSPITAL DE TRAIGUEN</v>
          </cell>
        </row>
        <row r="1769">
          <cell r="Z1769" t="str">
            <v>MOBILIARIO CLINICO</v>
          </cell>
          <cell r="AA1769" t="str">
            <v>HOSPITAL DE TRAIGUEN</v>
          </cell>
        </row>
        <row r="1770">
          <cell r="Z1770" t="str">
            <v>MOBILIARIO CLINICO</v>
          </cell>
          <cell r="AA1770" t="str">
            <v>HOSPITAL DE TRAIGUEN</v>
          </cell>
        </row>
        <row r="1771">
          <cell r="Z1771" t="str">
            <v>MOBILIARIO CLINICO</v>
          </cell>
          <cell r="AA1771" t="str">
            <v>HOSPITAL DE TRAIGUEN</v>
          </cell>
        </row>
        <row r="1772">
          <cell r="Z1772" t="str">
            <v>MOBILIARIO CLINICO</v>
          </cell>
          <cell r="AA1772" t="str">
            <v>HOSPITAL DE TRAIGUEN</v>
          </cell>
        </row>
        <row r="1773">
          <cell r="Z1773" t="str">
            <v>MOBILIARIO CLINICO</v>
          </cell>
          <cell r="AA1773" t="str">
            <v>HOSPITAL DE TRAIGUEN</v>
          </cell>
        </row>
        <row r="1774">
          <cell r="Z1774" t="str">
            <v>MOBILIARIO CLINICO</v>
          </cell>
          <cell r="AA1774" t="str">
            <v>HOSPITAL DE TRAIGUEN</v>
          </cell>
        </row>
        <row r="1775">
          <cell r="Z1775" t="str">
            <v>MOBILIARIO CLINICO</v>
          </cell>
          <cell r="AA1775" t="str">
            <v>HOSPITAL DE TRAIGUEN</v>
          </cell>
        </row>
        <row r="1776">
          <cell r="Z1776" t="str">
            <v>MOBILIARIO CLINICO</v>
          </cell>
          <cell r="AA1776" t="str">
            <v>HOSPITAL DE TRAIGUEN</v>
          </cell>
        </row>
        <row r="1777">
          <cell r="Z1777" t="str">
            <v>MOBILIARIO CLINICO</v>
          </cell>
          <cell r="AA1777" t="str">
            <v>HOSPITAL DE TRAIGUEN</v>
          </cell>
        </row>
        <row r="1778">
          <cell r="Z1778" t="str">
            <v>MOBILIARIO CLINICO</v>
          </cell>
          <cell r="AA1778" t="str">
            <v>HOSPITAL DE TRAIGUEN</v>
          </cell>
        </row>
        <row r="1779">
          <cell r="Z1779" t="str">
            <v>MOBILIARIO CLINICO</v>
          </cell>
          <cell r="AA1779" t="str">
            <v>HOSPITAL DE TRAIGUEN</v>
          </cell>
        </row>
        <row r="1780">
          <cell r="Z1780" t="str">
            <v>MOBILIARIO CLINICO</v>
          </cell>
          <cell r="AA1780" t="str">
            <v>HOSPITAL DE TRAIGUEN</v>
          </cell>
        </row>
        <row r="1781">
          <cell r="Z1781" t="str">
            <v>MOBILIARIO CLINICO</v>
          </cell>
          <cell r="AA1781" t="str">
            <v>HOSPITAL DE TRAIGUEN</v>
          </cell>
        </row>
        <row r="1782">
          <cell r="Z1782" t="str">
            <v>MOBILIARIO CLINICO</v>
          </cell>
          <cell r="AA1782" t="str">
            <v>HOSPITAL DE TRAIGUEN</v>
          </cell>
        </row>
        <row r="1783">
          <cell r="Z1783" t="str">
            <v>MOBILIARIO CLINICO</v>
          </cell>
          <cell r="AA1783" t="str">
            <v>HOSPITAL DE TRAIGUEN</v>
          </cell>
        </row>
        <row r="1784">
          <cell r="Z1784" t="str">
            <v>MOBILIARIO CLINICO</v>
          </cell>
          <cell r="AA1784" t="str">
            <v>HOSPITAL DE TRAIGUEN</v>
          </cell>
        </row>
        <row r="1785">
          <cell r="Z1785" t="str">
            <v>MOBILIARIO CLINICO</v>
          </cell>
          <cell r="AA1785" t="str">
            <v>HOSPITAL DE TRAIGUEN</v>
          </cell>
        </row>
        <row r="1786">
          <cell r="Z1786" t="str">
            <v>MOBILIARIO CLINICO</v>
          </cell>
          <cell r="AA1786" t="str">
            <v>HOSPITAL DE TRAIGUEN</v>
          </cell>
        </row>
        <row r="1787">
          <cell r="Z1787" t="str">
            <v>MOBILIARIO CLINICO</v>
          </cell>
          <cell r="AA1787" t="str">
            <v>HOSPITAL DE TRAIGUEN</v>
          </cell>
        </row>
        <row r="1788">
          <cell r="Z1788" t="str">
            <v>MOBILIARIO CLINICO</v>
          </cell>
          <cell r="AA1788" t="str">
            <v>HOSPITAL DE TRAIGUEN</v>
          </cell>
        </row>
        <row r="1789">
          <cell r="Z1789" t="str">
            <v>MOBILIARIO CLINICO</v>
          </cell>
          <cell r="AA1789" t="str">
            <v>HOSPITAL DE TRAIGUEN</v>
          </cell>
        </row>
        <row r="1790">
          <cell r="Z1790" t="str">
            <v>MOBILIARIO CLINICO</v>
          </cell>
          <cell r="AA1790" t="str">
            <v>HOSPITAL DE TRAIGUEN</v>
          </cell>
        </row>
        <row r="1791">
          <cell r="Z1791" t="str">
            <v>MOBILIARIO CLINICO</v>
          </cell>
          <cell r="AA1791" t="str">
            <v>HOSPITAL DE TRAIGUEN</v>
          </cell>
        </row>
        <row r="1792">
          <cell r="Z1792" t="str">
            <v>MOBILIARIO CLINICO</v>
          </cell>
          <cell r="AA1792" t="str">
            <v>HOSPITAL DE TRAIGUEN</v>
          </cell>
        </row>
        <row r="1793">
          <cell r="Z1793" t="str">
            <v>MOBILIARIO CLINICO</v>
          </cell>
          <cell r="AA1793" t="str">
            <v>HOSPITAL DE TRAIGUEN</v>
          </cell>
        </row>
        <row r="1794">
          <cell r="Z1794" t="str">
            <v>MOBILIARIO CLINICO</v>
          </cell>
          <cell r="AA1794" t="str">
            <v>HOSPITAL DE TRAIGUEN</v>
          </cell>
        </row>
        <row r="1795">
          <cell r="Z1795" t="str">
            <v>MOBILIARIO CLINICO</v>
          </cell>
          <cell r="AA1795" t="str">
            <v>HOSPITAL DE TRAIGUEN</v>
          </cell>
        </row>
        <row r="1796">
          <cell r="Z1796" t="str">
            <v>MOBILIARIO CLINICO</v>
          </cell>
          <cell r="AA1796" t="str">
            <v>HOSPITAL DE TRAIGUEN</v>
          </cell>
        </row>
        <row r="1797">
          <cell r="Z1797" t="str">
            <v>MOBILIARIO CLINICO</v>
          </cell>
          <cell r="AA1797" t="str">
            <v>HOSPITAL DE TRAIGUEN</v>
          </cell>
        </row>
        <row r="1798">
          <cell r="Z1798" t="str">
            <v>MOBILIARIO CLINICO</v>
          </cell>
          <cell r="AA1798" t="str">
            <v>HOSPITAL DE TRAIGUEN</v>
          </cell>
        </row>
        <row r="1799">
          <cell r="Z1799" t="str">
            <v>MOBILIARIO CLINICO</v>
          </cell>
          <cell r="AA1799" t="str">
            <v>HOSPITAL DE TRAIGUEN</v>
          </cell>
        </row>
        <row r="1800">
          <cell r="Z1800" t="str">
            <v>MOBILIARIO CLINICO</v>
          </cell>
          <cell r="AA1800" t="str">
            <v>HOSPITAL DE TRAIGUEN</v>
          </cell>
        </row>
        <row r="1801">
          <cell r="Z1801" t="str">
            <v>MOBILIARIO CLINICO</v>
          </cell>
          <cell r="AA1801" t="str">
            <v>HOSPITAL DE TRAIGUEN</v>
          </cell>
        </row>
        <row r="1802">
          <cell r="Z1802" t="str">
            <v>MOBILIARIO CLINICO</v>
          </cell>
          <cell r="AA1802" t="str">
            <v>HOSPITAL DE TRAIGUEN</v>
          </cell>
        </row>
        <row r="1803">
          <cell r="Z1803" t="str">
            <v>MOBILIARIO CLINICO</v>
          </cell>
          <cell r="AA1803" t="str">
            <v>HOSPITAL DE TRAIGUEN</v>
          </cell>
        </row>
        <row r="1804">
          <cell r="Z1804" t="str">
            <v>MOBILIARIO CLINICO</v>
          </cell>
          <cell r="AA1804" t="str">
            <v>HOSPITAL DE TRAIGUEN</v>
          </cell>
        </row>
        <row r="1805">
          <cell r="Z1805" t="str">
            <v>MOBILIARIO CLINICO</v>
          </cell>
          <cell r="AA1805" t="str">
            <v>HOSPITAL DE TRAIGUEN</v>
          </cell>
        </row>
        <row r="1806">
          <cell r="Z1806" t="str">
            <v>MOBILIARIO CLINICO</v>
          </cell>
          <cell r="AA1806" t="str">
            <v>HOSPITAL DE TRAIGUEN</v>
          </cell>
        </row>
        <row r="1807">
          <cell r="Z1807" t="str">
            <v>MOBILIARIO CLINICO</v>
          </cell>
          <cell r="AA1807" t="str">
            <v>HOSPITAL DE TRAIGUEN</v>
          </cell>
        </row>
        <row r="1808">
          <cell r="Z1808" t="str">
            <v>MOBILIARIO CLINICO</v>
          </cell>
          <cell r="AA1808" t="str">
            <v>HOSPITAL VICTORIA</v>
          </cell>
        </row>
        <row r="1809">
          <cell r="Z1809" t="str">
            <v>MOBILIARIO CLINICO</v>
          </cell>
          <cell r="AA1809" t="str">
            <v>HOSPITAL VICTORIA</v>
          </cell>
        </row>
        <row r="1810">
          <cell r="Z1810" t="str">
            <v>MOBILIARIO CLINICO</v>
          </cell>
          <cell r="AA1810" t="str">
            <v>HOSPITAL VICTORIA</v>
          </cell>
        </row>
        <row r="1811">
          <cell r="Z1811" t="str">
            <v>MOBILIARIO CLINICO</v>
          </cell>
          <cell r="AA1811" t="str">
            <v>HOSPITAL VICTORIA</v>
          </cell>
        </row>
        <row r="1812">
          <cell r="Z1812" t="str">
            <v>MOBILIARIO CLINICO</v>
          </cell>
          <cell r="AA1812" t="str">
            <v>HOSPITAL VICTORIA</v>
          </cell>
        </row>
        <row r="1813">
          <cell r="Z1813" t="str">
            <v>MOBILIARIO CLINICO</v>
          </cell>
          <cell r="AA1813" t="str">
            <v>HOSPITAL VICTORIA</v>
          </cell>
        </row>
        <row r="1814">
          <cell r="Z1814" t="str">
            <v>MOBILIARIO CLINICO</v>
          </cell>
          <cell r="AA1814" t="str">
            <v>HOSPITAL VICTORIA</v>
          </cell>
        </row>
        <row r="1815">
          <cell r="Z1815" t="str">
            <v>MOBILIARIO CLINICO</v>
          </cell>
          <cell r="AA1815" t="str">
            <v>HOSPITAL VICTORIA</v>
          </cell>
        </row>
        <row r="1816">
          <cell r="Z1816" t="str">
            <v>MOBILIARIO CLINICO</v>
          </cell>
          <cell r="AA1816" t="str">
            <v>HOSPITAL VICTORIA</v>
          </cell>
        </row>
        <row r="1817">
          <cell r="Z1817" t="str">
            <v>MOBILIARIO CLINICO</v>
          </cell>
          <cell r="AA1817" t="str">
            <v>HOSPITAL VICTORIA</v>
          </cell>
        </row>
        <row r="1818">
          <cell r="Z1818" t="str">
            <v>MOBILIARIO CLINICO</v>
          </cell>
          <cell r="AA1818" t="str">
            <v>HOSPITAL VICTORIA</v>
          </cell>
        </row>
        <row r="1819">
          <cell r="Z1819" t="str">
            <v>MOBILIARIO CLINICO</v>
          </cell>
          <cell r="AA1819" t="str">
            <v>HOSPITAL VICTORIA</v>
          </cell>
        </row>
        <row r="1820">
          <cell r="Z1820" t="str">
            <v>MOBILIARIO CLINICO</v>
          </cell>
          <cell r="AA1820" t="str">
            <v>HOSPITAL VICTORIA</v>
          </cell>
        </row>
        <row r="1821">
          <cell r="Z1821" t="str">
            <v>MOBILIARIO CLINICO</v>
          </cell>
          <cell r="AA1821" t="str">
            <v>HOSPITAL VICTORIA</v>
          </cell>
        </row>
        <row r="1822">
          <cell r="Z1822" t="str">
            <v>MOBILIARIO CLINICO</v>
          </cell>
          <cell r="AA1822" t="str">
            <v>HOSPITAL VICTORIA</v>
          </cell>
        </row>
        <row r="1823">
          <cell r="Z1823" t="str">
            <v>MOBILIARIO CLINICO</v>
          </cell>
          <cell r="AA1823" t="str">
            <v>HOSPITAL VICTORIA</v>
          </cell>
        </row>
        <row r="1824">
          <cell r="Z1824" t="str">
            <v>MOBILIARIO CLINICO</v>
          </cell>
          <cell r="AA1824" t="str">
            <v>HOSPITAL VICTORIA</v>
          </cell>
        </row>
        <row r="1825">
          <cell r="Z1825" t="str">
            <v>MOBILIARIO CLINICO</v>
          </cell>
          <cell r="AA1825" t="str">
            <v>S.S VIÑA DEL MAR-QUILLOTA</v>
          </cell>
        </row>
        <row r="1826">
          <cell r="Z1826" t="str">
            <v>MOBILIARIO CLINICO</v>
          </cell>
          <cell r="AA1826" t="str">
            <v>S.S VIÑA DEL MAR-QUILLOTA</v>
          </cell>
        </row>
        <row r="1827">
          <cell r="Z1827" t="str">
            <v>MOBILIARIO CLINICO</v>
          </cell>
          <cell r="AA1827" t="str">
            <v>S.S VIÑA DEL MAR-QUILLOTA</v>
          </cell>
        </row>
        <row r="1828">
          <cell r="Z1828" t="str">
            <v>MOBILIARIO CLINICO</v>
          </cell>
          <cell r="AA1828" t="str">
            <v>S.S VIÑA DEL MAR-QUILLOTA</v>
          </cell>
        </row>
        <row r="1829">
          <cell r="Z1829" t="str">
            <v>MOBILIARIO CLINICO</v>
          </cell>
          <cell r="AA1829" t="str">
            <v>S.S VIÑA DEL MAR-QUILLOTA</v>
          </cell>
        </row>
        <row r="1830">
          <cell r="Z1830" t="str">
            <v>MOBILIARIO CLINICO</v>
          </cell>
          <cell r="AA1830" t="str">
            <v>S.S VIÑA DEL MAR-QUILLOTA</v>
          </cell>
        </row>
        <row r="1831">
          <cell r="Z1831" t="str">
            <v>MOBILIARIO CLINICO</v>
          </cell>
          <cell r="AA1831" t="str">
            <v>S.S VIÑA DEL MAR-QUILLOTA</v>
          </cell>
        </row>
        <row r="1832">
          <cell r="Z1832" t="str">
            <v>MOBILIARIO CLINICO</v>
          </cell>
          <cell r="AA1832" t="str">
            <v>S.S VIÑA DEL MAR-QUILLOTA</v>
          </cell>
        </row>
        <row r="1833">
          <cell r="Z1833" t="str">
            <v>MOBILIARIO CLINICO</v>
          </cell>
          <cell r="AA1833" t="str">
            <v>S.S VIÑA DEL MAR-QUILLOTA</v>
          </cell>
        </row>
        <row r="1834">
          <cell r="Z1834" t="str">
            <v>MOBILIARIO CLINICO</v>
          </cell>
          <cell r="AA1834" t="str">
            <v>S.S VIÑA DEL MAR-QUILLOTA</v>
          </cell>
        </row>
        <row r="1835">
          <cell r="Z1835" t="str">
            <v>MOBILIARIO CLINICO</v>
          </cell>
          <cell r="AA1835" t="str">
            <v>S.S VIÑA DEL MAR-QUILLOTA</v>
          </cell>
        </row>
        <row r="1836">
          <cell r="Z1836" t="str">
            <v>MOBILIARIO CLINICO</v>
          </cell>
          <cell r="AA1836" t="str">
            <v>S.S VIÑA DEL MAR-QUILLOTA</v>
          </cell>
        </row>
        <row r="1837">
          <cell r="Z1837" t="str">
            <v>MOBILIARIO CLINICO</v>
          </cell>
          <cell r="AA1837" t="str">
            <v>S.S VIÑA DEL MAR-QUILLOTA</v>
          </cell>
        </row>
        <row r="1838">
          <cell r="Z1838" t="str">
            <v>MOBILIARIO CLINICO</v>
          </cell>
          <cell r="AA1838" t="str">
            <v>S.S VIÑA DEL MAR-QUILLOTA</v>
          </cell>
        </row>
        <row r="1839">
          <cell r="Z1839" t="str">
            <v>MOBILIARIO CLINICO</v>
          </cell>
          <cell r="AA1839" t="str">
            <v>S.S VIÑA DEL MAR-QUILLOTA</v>
          </cell>
        </row>
        <row r="1840">
          <cell r="Z1840" t="str">
            <v>MOBILIARIO CLINICO</v>
          </cell>
          <cell r="AA1840" t="str">
            <v>S.S VIÑA DEL MAR-QUILLOTA</v>
          </cell>
        </row>
        <row r="1841">
          <cell r="Z1841" t="str">
            <v>MOBILIARIO CLINICO</v>
          </cell>
          <cell r="AA1841" t="str">
            <v>S.S VIÑA DEL MAR-QUILLOTA</v>
          </cell>
        </row>
        <row r="1842">
          <cell r="Z1842" t="str">
            <v>MOBILIARIO CLINICO</v>
          </cell>
          <cell r="AA1842" t="str">
            <v>S.S VIÑA DEL MAR-QUILLOTA</v>
          </cell>
        </row>
        <row r="1843">
          <cell r="Z1843" t="str">
            <v>MOBILIARIO CLINICO</v>
          </cell>
          <cell r="AA1843" t="str">
            <v>S.S VIÑA DEL MAR-QUILLOTA</v>
          </cell>
        </row>
        <row r="1844">
          <cell r="Z1844" t="str">
            <v>MOBILIARIO CLINICO</v>
          </cell>
          <cell r="AA1844" t="str">
            <v>S.S VIÑA DEL MAR-QUILLOTA</v>
          </cell>
        </row>
        <row r="1845">
          <cell r="Z1845" t="str">
            <v>MOBILIARIO CLINICO</v>
          </cell>
          <cell r="AA1845" t="str">
            <v>S.S VIÑA DEL MAR-QUILLOTA</v>
          </cell>
        </row>
        <row r="1846">
          <cell r="Z1846" t="str">
            <v>MOBILIARIO CLINICO</v>
          </cell>
          <cell r="AA1846" t="str">
            <v>S.S VIÑA DEL MAR-QUILLOTA</v>
          </cell>
        </row>
        <row r="1847">
          <cell r="Z1847" t="str">
            <v>MOBILIARIO CLINICO</v>
          </cell>
          <cell r="AA1847" t="str">
            <v>S.S VIÑA DEL MAR-QUILLOTA</v>
          </cell>
        </row>
        <row r="1848">
          <cell r="Z1848" t="str">
            <v>MOBILIARIO CLINICO</v>
          </cell>
          <cell r="AA1848" t="str">
            <v>S.S VIÑA DEL MAR-QUILLOTA</v>
          </cell>
        </row>
        <row r="1849">
          <cell r="Z1849" t="str">
            <v>MOBILIARIO CLINICO</v>
          </cell>
          <cell r="AA1849" t="str">
            <v>S.S VIÑA DEL MAR-QUILLOTA</v>
          </cell>
        </row>
        <row r="1850">
          <cell r="Z1850" t="str">
            <v>MOBILIARIO CLINICO</v>
          </cell>
          <cell r="AA1850" t="str">
            <v>S.S VIÑA DEL MAR-QUILLOTA</v>
          </cell>
        </row>
        <row r="1851">
          <cell r="Z1851" t="str">
            <v>MOBILIARIO CLINICO</v>
          </cell>
          <cell r="AA1851" t="str">
            <v>S.S VIÑA DEL MAR-QUILLOTA</v>
          </cell>
        </row>
        <row r="1852">
          <cell r="Z1852" t="str">
            <v>MOBILIARIO CLINICO</v>
          </cell>
          <cell r="AA1852" t="str">
            <v>S.S VIÑA DEL MAR-QUILLOTA</v>
          </cell>
        </row>
        <row r="1853">
          <cell r="Z1853" t="str">
            <v>MOBILIARIO CLINICO</v>
          </cell>
          <cell r="AA1853" t="str">
            <v>S.S VIÑA DEL MAR-QUILLOTA</v>
          </cell>
        </row>
        <row r="1854">
          <cell r="Z1854" t="str">
            <v>MOBILIARIO CLINICO</v>
          </cell>
          <cell r="AA1854" t="str">
            <v>S.S VIÑA DEL MAR-QUILLOTA</v>
          </cell>
        </row>
        <row r="1855">
          <cell r="Z1855" t="str">
            <v>MOBILIARIO CLINICO</v>
          </cell>
          <cell r="AA1855" t="str">
            <v>S.S VIÑA DEL MAR-QUILLOTA</v>
          </cell>
        </row>
        <row r="1856">
          <cell r="Z1856" t="str">
            <v>MOBILIARIO CLINICO</v>
          </cell>
          <cell r="AA1856" t="str">
            <v>S.S VIÑA DEL MAR-QUILLOTA</v>
          </cell>
        </row>
        <row r="1857">
          <cell r="Z1857" t="str">
            <v>MOBILIARIO CLINICO</v>
          </cell>
          <cell r="AA1857" t="str">
            <v>S.S VIÑA DEL MAR-QUILLOTA</v>
          </cell>
        </row>
        <row r="1858">
          <cell r="Z1858" t="str">
            <v>MOBILIARIO CLINICO</v>
          </cell>
          <cell r="AA1858" t="str">
            <v>S.S VIÑA DEL MAR-QUILLOTA</v>
          </cell>
        </row>
        <row r="1859">
          <cell r="Z1859" t="str">
            <v>MOBILIARIO CLINICO</v>
          </cell>
          <cell r="AA1859" t="str">
            <v>S.S VIÑA DEL MAR-QUILLOTA</v>
          </cell>
        </row>
        <row r="1860">
          <cell r="Z1860" t="str">
            <v>MOBILIARIO CLINICO</v>
          </cell>
          <cell r="AA1860" t="str">
            <v>S.S VIÑA DEL MAR-QUILLOTA</v>
          </cell>
        </row>
        <row r="1861">
          <cell r="Z1861" t="str">
            <v>MOBILIARIO CLINICO</v>
          </cell>
          <cell r="AA1861" t="str">
            <v>S.S VIÑA DEL MAR-QUILLOTA</v>
          </cell>
        </row>
        <row r="1862">
          <cell r="Z1862" t="str">
            <v>MOBILIARIO CLINICO</v>
          </cell>
          <cell r="AA1862" t="str">
            <v>S.S VIÑA DEL MAR-QUILLOTA</v>
          </cell>
        </row>
        <row r="1863">
          <cell r="Z1863" t="str">
            <v>MOBILIARIO CLINICO</v>
          </cell>
          <cell r="AA1863" t="str">
            <v>S.S VIÑA DEL MAR-QUILLOTA</v>
          </cell>
        </row>
        <row r="1864">
          <cell r="Z1864" t="str">
            <v>MOBILIARIO CLINICO</v>
          </cell>
          <cell r="AA1864" t="str">
            <v>S.S VIÑA DEL MAR-QUILLOTA</v>
          </cell>
        </row>
        <row r="1865">
          <cell r="Z1865" t="str">
            <v>MOBILIARIO CLINICO</v>
          </cell>
          <cell r="AA1865" t="str">
            <v>S.S VIÑA DEL MAR-QUILLOTA</v>
          </cell>
        </row>
        <row r="1866">
          <cell r="Z1866" t="str">
            <v>MOBILIARIO CLINICO</v>
          </cell>
          <cell r="AA1866" t="str">
            <v>S.S VIÑA DEL MAR-QUILLOTA</v>
          </cell>
        </row>
        <row r="1867">
          <cell r="Z1867" t="str">
            <v>MOBILIARIO CLINICO</v>
          </cell>
          <cell r="AA1867" t="str">
            <v>S.S VIÑA DEL MAR-QUILLOTA</v>
          </cell>
        </row>
        <row r="1868">
          <cell r="Z1868" t="str">
            <v>MOBILIARIO CLINICO</v>
          </cell>
          <cell r="AA1868" t="str">
            <v>S.S VIÑA DEL MAR-QUILLOTA</v>
          </cell>
        </row>
        <row r="1869">
          <cell r="Z1869" t="str">
            <v>MOBILIARIO CLINICO</v>
          </cell>
          <cell r="AA1869" t="str">
            <v>S.S VIÑA DEL MAR-QUILLOTA</v>
          </cell>
        </row>
        <row r="1870">
          <cell r="Z1870" t="str">
            <v>MOBILIARIO CLINICO</v>
          </cell>
          <cell r="AA1870" t="str">
            <v>S.S VIÑA DEL MAR-QUILLOTA</v>
          </cell>
        </row>
        <row r="1871">
          <cell r="Z1871" t="str">
            <v>MOBILIARIO CLINICO</v>
          </cell>
          <cell r="AA1871" t="str">
            <v>S.S VIÑA DEL MAR-QUILLOTA</v>
          </cell>
        </row>
        <row r="1872">
          <cell r="Z1872" t="str">
            <v>MOBILIARIO CLINICO</v>
          </cell>
          <cell r="AA1872" t="str">
            <v>S.S VIÑA DEL MAR-QUILLOTA</v>
          </cell>
        </row>
        <row r="1873">
          <cell r="Z1873" t="str">
            <v>MOBILIARIO CLINICO</v>
          </cell>
          <cell r="AA1873" t="str">
            <v>S.S VIÑA DEL MAR-QUILLOTA</v>
          </cell>
        </row>
        <row r="1874">
          <cell r="Z1874" t="str">
            <v>MOBILIARIO CLINICO</v>
          </cell>
          <cell r="AA1874" t="str">
            <v>S.S VIÑA DEL MAR-QUILLOTA</v>
          </cell>
        </row>
        <row r="1875">
          <cell r="Z1875" t="str">
            <v>MOBILIARIO CLINICO</v>
          </cell>
          <cell r="AA1875" t="str">
            <v>S.S VIÑA DEL MAR-QUILLOTA</v>
          </cell>
        </row>
        <row r="1876">
          <cell r="Z1876" t="str">
            <v>MOBILIARIO CLINICO</v>
          </cell>
          <cell r="AA1876" t="str">
            <v>S.S VIÑA DEL MAR-QUILLOTA</v>
          </cell>
        </row>
        <row r="1877">
          <cell r="Z1877" t="str">
            <v>MOBILIARIO CLINICO</v>
          </cell>
          <cell r="AA1877" t="str">
            <v>S.S VIÑA DEL MAR-QUILLOTA</v>
          </cell>
        </row>
        <row r="1878">
          <cell r="Z1878" t="str">
            <v>MOBILIARIO CLINICO</v>
          </cell>
          <cell r="AA1878" t="str">
            <v>S.S VIÑA DEL MAR-QUILLOTA</v>
          </cell>
        </row>
        <row r="1879">
          <cell r="Z1879" t="str">
            <v>MOBILIARIO CLINICO</v>
          </cell>
          <cell r="AA1879" t="str">
            <v>S.S VIÑA DEL MAR-QUILLOTA</v>
          </cell>
        </row>
        <row r="1880">
          <cell r="Z1880" t="str">
            <v>MOBILIARIO CLINICO</v>
          </cell>
          <cell r="AA1880" t="str">
            <v>S.S VIÑA DEL MAR-QUILLOTA</v>
          </cell>
        </row>
        <row r="1881">
          <cell r="Z1881" t="str">
            <v>MOBILIARIO CLINICO</v>
          </cell>
          <cell r="AA1881" t="str">
            <v>S.S VIÑA DEL MAR-QUILLOTA</v>
          </cell>
        </row>
        <row r="1882">
          <cell r="Z1882" t="str">
            <v>MOBILIARIO CLINICO</v>
          </cell>
          <cell r="AA1882" t="str">
            <v>S.S VIÑA DEL MAR-QUILLOTA</v>
          </cell>
        </row>
        <row r="1883">
          <cell r="Z1883" t="str">
            <v>MOBILIARIO CLINICO</v>
          </cell>
          <cell r="AA1883" t="str">
            <v>S.S VIÑA DEL MAR-QUILLOTA</v>
          </cell>
        </row>
        <row r="1884">
          <cell r="Z1884" t="str">
            <v>MOBILIARIO CLINICO</v>
          </cell>
          <cell r="AA1884" t="str">
            <v>S.S VIÑA DEL MAR-QUILLOTA</v>
          </cell>
        </row>
        <row r="1885">
          <cell r="Z1885" t="str">
            <v>MOBILIARIO CLINICO</v>
          </cell>
          <cell r="AA1885" t="str">
            <v>S.S VIÑA DEL MAR-QUILLOTA</v>
          </cell>
        </row>
        <row r="1886">
          <cell r="Z1886" t="str">
            <v>MOBILIARIO CLINICO</v>
          </cell>
          <cell r="AA1886" t="str">
            <v>S.S VIÑA DEL MAR-QUILLOTA</v>
          </cell>
        </row>
        <row r="1887">
          <cell r="Z1887" t="str">
            <v>MOBILIARIO CLINICO</v>
          </cell>
          <cell r="AA1887" t="str">
            <v>S.S VIÑA DEL MAR-QUILLOTA</v>
          </cell>
        </row>
        <row r="1888">
          <cell r="Z1888" t="str">
            <v>MOBILIARIO CLINICO</v>
          </cell>
          <cell r="AA1888" t="str">
            <v>S.S VIÑA DEL MAR-QUILLOTA</v>
          </cell>
        </row>
        <row r="1889">
          <cell r="Z1889" t="str">
            <v>MOBILIARIO CLINICO</v>
          </cell>
          <cell r="AA1889" t="str">
            <v>S.S VIÑA DEL MAR-QUILLOTA</v>
          </cell>
        </row>
        <row r="1890">
          <cell r="Z1890" t="str">
            <v>MOBILIARIO CLINICO</v>
          </cell>
          <cell r="AA1890" t="str">
            <v>S.S VIÑA DEL MAR-QUILLOTA</v>
          </cell>
        </row>
        <row r="1891">
          <cell r="Z1891" t="str">
            <v>MOBILIARIO CLINICO</v>
          </cell>
          <cell r="AA1891" t="str">
            <v>S.S VIÑA DEL MAR-QUILLOTA</v>
          </cell>
        </row>
        <row r="1892">
          <cell r="Z1892" t="str">
            <v>MOBILIARIO CLINICO</v>
          </cell>
          <cell r="AA1892" t="str">
            <v>S.S VIÑA DEL MAR-QUILLOTA</v>
          </cell>
        </row>
        <row r="1893">
          <cell r="Z1893" t="str">
            <v>MOBILIARIO CLINICO</v>
          </cell>
          <cell r="AA1893" t="str">
            <v>S.S VIÑA DEL MAR-QUILLOTA</v>
          </cell>
        </row>
        <row r="1894">
          <cell r="Z1894" t="str">
            <v>MOBILIARIO CLINICO</v>
          </cell>
          <cell r="AA1894" t="str">
            <v>S.S VIÑA DEL MAR-QUILLOTA</v>
          </cell>
        </row>
        <row r="1895">
          <cell r="Z1895" t="str">
            <v>MOBILIARIO CLINICO</v>
          </cell>
          <cell r="AA1895" t="str">
            <v>S.S VIÑA DEL MAR-QUILLOTA</v>
          </cell>
        </row>
        <row r="1896">
          <cell r="Z1896" t="str">
            <v>MOBILIARIO CLINICO</v>
          </cell>
          <cell r="AA1896" t="str">
            <v>S.S VIÑA DEL MAR-QUILLOTA</v>
          </cell>
        </row>
        <row r="1897">
          <cell r="Z1897" t="str">
            <v>MOBILIARIO CLINICO</v>
          </cell>
          <cell r="AA1897" t="str">
            <v>S.S VIÑA DEL MAR-QUILLOTA</v>
          </cell>
        </row>
        <row r="1898">
          <cell r="Z1898" t="str">
            <v>MOBILIARIO CLINICO</v>
          </cell>
          <cell r="AA1898" t="str">
            <v>S.S VIÑA DEL MAR-QUILLOTA</v>
          </cell>
        </row>
        <row r="1899">
          <cell r="Z1899" t="str">
            <v>MOBILIARIO CLINICO</v>
          </cell>
          <cell r="AA1899" t="str">
            <v>S.S VIÑA DEL MAR-QUILLOTA</v>
          </cell>
        </row>
        <row r="1900">
          <cell r="Z1900" t="str">
            <v>MOBILIARIO CLINICO</v>
          </cell>
          <cell r="AA1900" t="str">
            <v>S.S VIÑA DEL MAR-QUILLOTA</v>
          </cell>
        </row>
        <row r="1901">
          <cell r="Z1901" t="str">
            <v>MOBILIARIO CLINICO</v>
          </cell>
          <cell r="AA1901" t="str">
            <v>S.S VIÑA DEL MAR-QUILLOTA</v>
          </cell>
        </row>
        <row r="1902">
          <cell r="Z1902" t="str">
            <v>MOBILIARIO CLINICO</v>
          </cell>
          <cell r="AA1902" t="str">
            <v>S.S VIÑA DEL MAR-QUILLOTA</v>
          </cell>
        </row>
        <row r="1903">
          <cell r="Z1903" t="str">
            <v>MOBILIARIO CLINICO</v>
          </cell>
          <cell r="AA1903" t="str">
            <v>S.S VIÑA DEL MAR-QUILLOTA</v>
          </cell>
        </row>
        <row r="1904">
          <cell r="Z1904" t="str">
            <v>MOBILIARIO CLINICO</v>
          </cell>
          <cell r="AA1904" t="str">
            <v>S.S VIÑA DEL MAR-QUILLOTA</v>
          </cell>
        </row>
        <row r="1905">
          <cell r="Z1905" t="str">
            <v>MOBILIARIO CLINICO</v>
          </cell>
          <cell r="AA1905" t="str">
            <v>S.S VIÑA DEL MAR-QUILLOTA</v>
          </cell>
        </row>
        <row r="1906">
          <cell r="Z1906" t="str">
            <v>MOBILIARIO CLINICO</v>
          </cell>
          <cell r="AA1906" t="str">
            <v>S.S VIÑA DEL MAR-QUILLOTA</v>
          </cell>
        </row>
        <row r="1907">
          <cell r="Z1907" t="str">
            <v>MOBILIARIO CLINICO</v>
          </cell>
          <cell r="AA1907" t="str">
            <v>S.S VIÑA DEL MAR-QUILLOTA</v>
          </cell>
        </row>
        <row r="1908">
          <cell r="Z1908" t="str">
            <v>MOBILIARIO CLINICO</v>
          </cell>
          <cell r="AA1908" t="str">
            <v>S.S VIÑA DEL MAR-QUILLOTA</v>
          </cell>
        </row>
        <row r="1909">
          <cell r="Z1909" t="str">
            <v>MOBILIARIO CLINICO</v>
          </cell>
          <cell r="AA1909" t="str">
            <v>S.S VIÑA DEL MAR-QUILLOTA</v>
          </cell>
        </row>
        <row r="1910">
          <cell r="Z1910" t="str">
            <v>MOBILIARIO CLINICO</v>
          </cell>
          <cell r="AA1910" t="str">
            <v>S.S VIÑA DEL MAR-QUILLOTA</v>
          </cell>
        </row>
        <row r="1911">
          <cell r="Z1911" t="str">
            <v>MOBILIARIO CLINICO</v>
          </cell>
          <cell r="AA1911" t="str">
            <v>S.S VIÑA DEL MAR-QUILLOTA</v>
          </cell>
        </row>
        <row r="1912">
          <cell r="Z1912" t="str">
            <v>MOBILIARIO CLINICO</v>
          </cell>
          <cell r="AA1912" t="str">
            <v>S.S VIÑA DEL MAR-QUILLOTA</v>
          </cell>
        </row>
        <row r="1913">
          <cell r="Z1913" t="str">
            <v>MOBILIARIO CLINICO</v>
          </cell>
          <cell r="AA1913" t="str">
            <v>S.S VIÑA DEL MAR-QUILLOTA</v>
          </cell>
        </row>
        <row r="1914">
          <cell r="Z1914" t="str">
            <v>MOBILIARIO CLINICO</v>
          </cell>
          <cell r="AA1914" t="str">
            <v>S.S VIÑA DEL MAR-QUILLOTA</v>
          </cell>
        </row>
        <row r="1915">
          <cell r="Z1915" t="str">
            <v>MOBILIARIO CLINICO</v>
          </cell>
          <cell r="AA1915" t="str">
            <v>S.S VIÑA DEL MAR-QUILLOTA</v>
          </cell>
        </row>
        <row r="1916">
          <cell r="Z1916" t="str">
            <v>MOBILIARIO CLINICO</v>
          </cell>
          <cell r="AA1916" t="str">
            <v>S.S VIÑA DEL MAR-QUILLOTA</v>
          </cell>
        </row>
        <row r="1917">
          <cell r="Z1917" t="str">
            <v>MOBILIARIO CLINICO</v>
          </cell>
          <cell r="AA1917" t="str">
            <v>S.S VIÑA DEL MAR-QUILLOTA</v>
          </cell>
        </row>
        <row r="1918">
          <cell r="Z1918" t="str">
            <v>MOBILIARIO CLINICO</v>
          </cell>
          <cell r="AA1918" t="str">
            <v>S.S VIÑA DEL MAR-QUILLOTA</v>
          </cell>
        </row>
        <row r="1919">
          <cell r="Z1919" t="str">
            <v>MOBILIARIO CLINICO</v>
          </cell>
          <cell r="AA1919" t="str">
            <v>S.S VIÑA DEL MAR-QUILLOTA</v>
          </cell>
        </row>
        <row r="1920">
          <cell r="Z1920" t="str">
            <v>MOBILIARIO CLINICO</v>
          </cell>
          <cell r="AA1920" t="str">
            <v>S.S VIÑA DEL MAR-QUILLOTA</v>
          </cell>
        </row>
        <row r="1921">
          <cell r="Z1921" t="str">
            <v>MOBILIARIO CLINICO</v>
          </cell>
          <cell r="AA1921" t="str">
            <v>S.S VIÑA DEL MAR-QUILLOTA</v>
          </cell>
        </row>
        <row r="1922">
          <cell r="Z1922" t="str">
            <v>MOBILIARIO CLINICO</v>
          </cell>
          <cell r="AA1922" t="str">
            <v>S.S VIÑA DEL MAR-QUILLOTA</v>
          </cell>
        </row>
        <row r="1923">
          <cell r="Z1923" t="str">
            <v>MOBILIARIO CLINICO</v>
          </cell>
          <cell r="AA1923" t="str">
            <v>S.S VIÑA DEL MAR-QUILLOTA</v>
          </cell>
        </row>
        <row r="1924">
          <cell r="Z1924" t="str">
            <v>MOBILIARIO CLINICO</v>
          </cell>
          <cell r="AA1924" t="str">
            <v>S.S VIÑA DEL MAR-QUILLOTA</v>
          </cell>
        </row>
        <row r="1925">
          <cell r="Z1925" t="str">
            <v>MOBILIARIO CLINICO</v>
          </cell>
          <cell r="AA1925" t="str">
            <v>S.S VIÑA DEL MAR-QUILLOTA</v>
          </cell>
        </row>
        <row r="1926">
          <cell r="Z1926" t="str">
            <v>MOBILIARIO CLINICO</v>
          </cell>
          <cell r="AA1926" t="str">
            <v>S.S VIÑA DEL MAR-QUILLOTA</v>
          </cell>
        </row>
        <row r="1927">
          <cell r="Z1927" t="str">
            <v>MOBILIARIO CLINICO</v>
          </cell>
          <cell r="AA1927" t="str">
            <v>S.S VIÑA DEL MAR-QUILLOTA</v>
          </cell>
        </row>
        <row r="1928">
          <cell r="Z1928" t="str">
            <v>MOBILIARIO CLINICO</v>
          </cell>
          <cell r="AA1928" t="str">
            <v>S.S VIÑA DEL MAR-QUILLOTA</v>
          </cell>
        </row>
        <row r="1929">
          <cell r="Z1929" t="str">
            <v>MOBILIARIO CLINICO</v>
          </cell>
          <cell r="AA1929" t="str">
            <v>S.S VIÑA DEL MAR-QUILLOTA</v>
          </cell>
        </row>
        <row r="1930">
          <cell r="Z1930" t="str">
            <v>MOBILIARIO CLINICO</v>
          </cell>
          <cell r="AA1930" t="str">
            <v>S.S VIÑA DEL MAR-QUILLOTA</v>
          </cell>
        </row>
        <row r="1931">
          <cell r="Z1931" t="str">
            <v>MOBILIARIO CLINICO</v>
          </cell>
          <cell r="AA1931" t="str">
            <v>S.S VIÑA DEL MAR-QUILLOTA</v>
          </cell>
        </row>
        <row r="1932">
          <cell r="Z1932" t="str">
            <v>MOBILIARIO CLINICO</v>
          </cell>
          <cell r="AA1932" t="str">
            <v>S.S VIÑA DEL MAR-QUILLOTA</v>
          </cell>
        </row>
        <row r="1933">
          <cell r="Z1933" t="str">
            <v>MOBILIARIO CLINICO</v>
          </cell>
          <cell r="AA1933" t="str">
            <v>S.S VIÑA DEL MAR-QUILLOTA</v>
          </cell>
        </row>
        <row r="1934">
          <cell r="Z1934" t="str">
            <v>MOBILIARIO CLINICO</v>
          </cell>
          <cell r="AA1934" t="str">
            <v>S.S VIÑA DEL MAR-QUILLOTA</v>
          </cell>
        </row>
        <row r="1935">
          <cell r="Z1935" t="str">
            <v>MOBILIARIO CLINICO</v>
          </cell>
          <cell r="AA1935" t="str">
            <v>S.S VIÑA DEL MAR-QUILLOTA</v>
          </cell>
        </row>
        <row r="1936">
          <cell r="Z1936" t="str">
            <v>MOBILIARIO CLINICO</v>
          </cell>
          <cell r="AA1936" t="str">
            <v>S.S VIÑA DEL MAR-QUILLOTA</v>
          </cell>
        </row>
        <row r="1937">
          <cell r="Z1937" t="str">
            <v>MOBILIARIO CLINICO</v>
          </cell>
          <cell r="AA1937" t="str">
            <v>S.S VIÑA DEL MAR-QUILLOTA</v>
          </cell>
        </row>
        <row r="1938">
          <cell r="Z1938" t="str">
            <v>MOBILIARIO CLINICO</v>
          </cell>
          <cell r="AA1938" t="str">
            <v>S.S VIÑA DEL MAR-QUILLOTA</v>
          </cell>
        </row>
        <row r="1939">
          <cell r="Z1939" t="str">
            <v>MOBILIARIO CLINICO</v>
          </cell>
          <cell r="AA1939" t="str">
            <v>S.S VIÑA DEL MAR-QUILLOTA</v>
          </cell>
        </row>
        <row r="1940">
          <cell r="Z1940" t="str">
            <v>MOBILIARIO CLINICO</v>
          </cell>
          <cell r="AA1940" t="str">
            <v>S.S VIÑA DEL MAR-QUILLOTA</v>
          </cell>
        </row>
        <row r="1941">
          <cell r="Z1941" t="str">
            <v>MOBILIARIO CLINICO</v>
          </cell>
          <cell r="AA1941" t="str">
            <v>S.S VIÑA DEL MAR-QUILLOTA</v>
          </cell>
        </row>
        <row r="1942">
          <cell r="Z1942" t="str">
            <v>MOBILIARIO CLINICO</v>
          </cell>
          <cell r="AA1942" t="str">
            <v>S.S VIÑA DEL MAR-QUILLOTA</v>
          </cell>
        </row>
        <row r="1943">
          <cell r="Z1943" t="str">
            <v>MOBILIARIO CLINICO</v>
          </cell>
          <cell r="AA1943" t="str">
            <v>S.S VIÑA DEL MAR-QUILLOTA</v>
          </cell>
        </row>
        <row r="1944">
          <cell r="Z1944" t="str">
            <v>MOBILIARIO CLINICO</v>
          </cell>
          <cell r="AA1944" t="str">
            <v>S.S VIÑA DEL MAR-QUILLOTA</v>
          </cell>
        </row>
        <row r="1945">
          <cell r="Z1945" t="str">
            <v>MOBILIARIO CLINICO</v>
          </cell>
          <cell r="AA1945" t="str">
            <v>S.S VIÑA DEL MAR-QUILLOTA</v>
          </cell>
        </row>
        <row r="1946">
          <cell r="Z1946" t="str">
            <v>MOBILIARIO CLINICO</v>
          </cell>
          <cell r="AA1946" t="str">
            <v>S.S VIÑA DEL MAR-QUILLOTA</v>
          </cell>
        </row>
        <row r="1947">
          <cell r="Z1947" t="str">
            <v>MOBILIARIO CLINICO</v>
          </cell>
          <cell r="AA1947" t="str">
            <v>S.S VIÑA DEL MAR-QUILLOTA</v>
          </cell>
        </row>
        <row r="1948">
          <cell r="Z1948" t="str">
            <v>MOBILIARIO CLINICO</v>
          </cell>
          <cell r="AA1948" t="str">
            <v>S.S VIÑA DEL MAR-QUILLOTA</v>
          </cell>
        </row>
        <row r="1949">
          <cell r="Z1949" t="str">
            <v>MOBILIARIO CLINICO</v>
          </cell>
          <cell r="AA1949" t="str">
            <v>S.S VIÑA DEL MAR-QUILLOTA</v>
          </cell>
        </row>
        <row r="1950">
          <cell r="Z1950" t="str">
            <v>MOBILIARIO CLINICO</v>
          </cell>
          <cell r="AA1950" t="str">
            <v>S.S VIÑA DEL MAR-QUILLOTA</v>
          </cell>
        </row>
        <row r="1951">
          <cell r="Z1951" t="str">
            <v>MOBILIARIO CLINICO</v>
          </cell>
          <cell r="AA1951" t="str">
            <v>S.S VIÑA DEL MAR-QUILLOTA</v>
          </cell>
        </row>
        <row r="1952">
          <cell r="Z1952" t="str">
            <v>MOBILIARIO CLINICO</v>
          </cell>
          <cell r="AA1952" t="str">
            <v>S.S VIÑA DEL MAR-QUILLOTA</v>
          </cell>
        </row>
        <row r="1953">
          <cell r="Z1953" t="str">
            <v>MOBILIARIO CLINICO</v>
          </cell>
          <cell r="AA1953" t="str">
            <v>S.S VIÑA DEL MAR-QUILLOTA</v>
          </cell>
        </row>
        <row r="1954">
          <cell r="Z1954" t="str">
            <v>MOBILIARIO CLINICO</v>
          </cell>
          <cell r="AA1954" t="str">
            <v>S.S VIÑA DEL MAR-QUILLOTA</v>
          </cell>
        </row>
        <row r="1955">
          <cell r="Z1955" t="str">
            <v>MOBILIARIO CLINICO</v>
          </cell>
          <cell r="AA1955" t="str">
            <v>S.S VIÑA DEL MAR-QUILLOTA</v>
          </cell>
        </row>
        <row r="1956">
          <cell r="Z1956" t="str">
            <v>MOBILIARIO CLINICO</v>
          </cell>
          <cell r="AA1956" t="str">
            <v>S.S VIÑA DEL MAR-QUILLOTA</v>
          </cell>
        </row>
        <row r="1957">
          <cell r="Z1957" t="str">
            <v>MOBILIARIO CLINICO</v>
          </cell>
          <cell r="AA1957" t="str">
            <v>S.S VIÑA DEL MAR-QUILLOTA</v>
          </cell>
        </row>
        <row r="1958">
          <cell r="Z1958" t="str">
            <v>MOBILIARIO CLINICO</v>
          </cell>
          <cell r="AA1958" t="str">
            <v>S.S VIÑA DEL MAR-QUILLOTA</v>
          </cell>
        </row>
        <row r="1959">
          <cell r="Z1959" t="str">
            <v>MOBILIARIO CLINICO</v>
          </cell>
          <cell r="AA1959" t="str">
            <v>S.S VIÑA DEL MAR-QUILLOTA</v>
          </cell>
        </row>
        <row r="1960">
          <cell r="Z1960" t="str">
            <v>MOBILIARIO CLINICO</v>
          </cell>
          <cell r="AA1960" t="str">
            <v>S.S VIÑA DEL MAR-QUILLOTA</v>
          </cell>
        </row>
        <row r="1961">
          <cell r="Z1961" t="str">
            <v>MOBILIARIO CLINICO</v>
          </cell>
          <cell r="AA1961" t="str">
            <v>S.S VIÑA DEL MAR-QUILLOTA</v>
          </cell>
        </row>
        <row r="1962">
          <cell r="Z1962" t="str">
            <v>MOBILIARIO CLINICO</v>
          </cell>
          <cell r="AA1962" t="str">
            <v>S.S VIÑA DEL MAR-QUILLOTA</v>
          </cell>
        </row>
        <row r="1963">
          <cell r="Z1963" t="str">
            <v>MOBILIARIO CLINICO</v>
          </cell>
          <cell r="AA1963" t="str">
            <v>S.S VIÑA DEL MAR-QUILLOTA</v>
          </cell>
        </row>
        <row r="1964">
          <cell r="Z1964" t="str">
            <v>MOBILIARIO CLINICO</v>
          </cell>
          <cell r="AA1964" t="str">
            <v>S.S VIÑA DEL MAR-QUILLOTA</v>
          </cell>
        </row>
        <row r="1965">
          <cell r="Z1965" t="str">
            <v>MOBILIARIO CLINICO</v>
          </cell>
          <cell r="AA1965" t="str">
            <v>S.S VIÑA DEL MAR-QUILLOTA</v>
          </cell>
        </row>
        <row r="1966">
          <cell r="Z1966" t="str">
            <v>MOBILIARIO CLINICO</v>
          </cell>
          <cell r="AA1966" t="str">
            <v>S.S VIÑA DEL MAR-QUILLOTA</v>
          </cell>
        </row>
        <row r="1967">
          <cell r="Z1967" t="str">
            <v>MOBILIARIO CLINICO</v>
          </cell>
          <cell r="AA1967" t="str">
            <v>S.S VIÑA DEL MAR-QUILLOTA</v>
          </cell>
        </row>
        <row r="1968">
          <cell r="Z1968" t="str">
            <v>MOBILIARIO CLINICO</v>
          </cell>
          <cell r="AA1968" t="str">
            <v>S.S VIÑA DEL MAR-QUILLOTA</v>
          </cell>
        </row>
        <row r="1969">
          <cell r="Z1969" t="str">
            <v>MOBILIARIO CLINICO</v>
          </cell>
          <cell r="AA1969" t="str">
            <v>S.S VIÑA DEL MAR-QUILLOTA</v>
          </cell>
        </row>
        <row r="1970">
          <cell r="Z1970" t="str">
            <v>MOBILIARIO CLINICO</v>
          </cell>
          <cell r="AA1970" t="str">
            <v>S.S VIÑA DEL MAR-QUILLOTA</v>
          </cell>
        </row>
        <row r="1971">
          <cell r="Z1971" t="str">
            <v>MOBILIARIO CLINICO</v>
          </cell>
          <cell r="AA1971" t="str">
            <v>S.S VIÑA DEL MAR-QUILLOTA</v>
          </cell>
        </row>
        <row r="1972">
          <cell r="Z1972" t="str">
            <v>MOBILIARIO CLINICO</v>
          </cell>
          <cell r="AA1972" t="str">
            <v>S.S VIÑA DEL MAR-QUILLOTA</v>
          </cell>
        </row>
        <row r="1973">
          <cell r="Z1973" t="str">
            <v>MOBILIARIO CLINICO</v>
          </cell>
          <cell r="AA1973" t="str">
            <v>S.S VIÑA DEL MAR-QUILLOTA</v>
          </cell>
        </row>
        <row r="1974">
          <cell r="Z1974" t="str">
            <v>MOBILIARIO CLINICO</v>
          </cell>
          <cell r="AA1974" t="str">
            <v>S.S VIÑA DEL MAR-QUILLOTA</v>
          </cell>
        </row>
        <row r="1975">
          <cell r="Z1975" t="str">
            <v>MOBILIARIO CLINICO</v>
          </cell>
          <cell r="AA1975" t="str">
            <v>S.S VIÑA DEL MAR-QUILLOTA</v>
          </cell>
        </row>
        <row r="1976">
          <cell r="Z1976" t="str">
            <v>MOBILIARIO CLINICO</v>
          </cell>
          <cell r="AA1976" t="str">
            <v>S.S VIÑA DEL MAR-QUILLOTA</v>
          </cell>
        </row>
        <row r="1977">
          <cell r="Z1977" t="str">
            <v>MOBILIARIO CLINICO</v>
          </cell>
          <cell r="AA1977" t="str">
            <v>S.S VIÑA DEL MAR-QUILLOTA</v>
          </cell>
        </row>
        <row r="1978">
          <cell r="Z1978" t="str">
            <v>MOBILIARIO CLINICO</v>
          </cell>
          <cell r="AA1978" t="str">
            <v>S.S VIÑA DEL MAR-QUILLOTA</v>
          </cell>
        </row>
        <row r="1979">
          <cell r="Z1979" t="str">
            <v>MOBILIARIO CLINICO</v>
          </cell>
          <cell r="AA1979" t="str">
            <v>S.S VIÑA DEL MAR-QUILLOTA</v>
          </cell>
        </row>
        <row r="1980">
          <cell r="Z1980" t="str">
            <v>MOBILIARIO CLINICO</v>
          </cell>
          <cell r="AA1980" t="str">
            <v>S.S VIÑA DEL MAR-QUILLOTA</v>
          </cell>
        </row>
        <row r="1981">
          <cell r="Z1981" t="str">
            <v>MOBILIARIO CLINICO</v>
          </cell>
          <cell r="AA1981" t="str">
            <v>S.S VIÑA DEL MAR-QUILLOTA</v>
          </cell>
        </row>
        <row r="1982">
          <cell r="Z1982" t="str">
            <v>MOBILIARIO CLINICO</v>
          </cell>
          <cell r="AA1982" t="str">
            <v>S.S VIÑA DEL MAR-QUILLOTA</v>
          </cell>
        </row>
        <row r="1983">
          <cell r="Z1983" t="str">
            <v>MOBILIARIO CLINICO</v>
          </cell>
          <cell r="AA1983" t="str">
            <v>S.S VIÑA DEL MAR-QUILLOTA</v>
          </cell>
        </row>
        <row r="1984">
          <cell r="Z1984" t="str">
            <v>MOBILIARIO CLINICO</v>
          </cell>
          <cell r="AA1984" t="str">
            <v>S.S VIÑA DEL MAR-QUILLOTA</v>
          </cell>
        </row>
        <row r="1985">
          <cell r="Z1985" t="str">
            <v>MOBILIARIO CLINICO</v>
          </cell>
          <cell r="AA1985" t="str">
            <v>S.S VIÑA DEL MAR-QUILLOTA</v>
          </cell>
        </row>
        <row r="1986">
          <cell r="Z1986" t="str">
            <v>MOBILIARIO CLINICO</v>
          </cell>
          <cell r="AA1986" t="str">
            <v>S.S VIÑA DEL MAR-QUILLOTA</v>
          </cell>
        </row>
        <row r="1987">
          <cell r="Z1987" t="str">
            <v>MOBILIARIO CLINICO</v>
          </cell>
          <cell r="AA1987" t="str">
            <v>S.S VIÑA DEL MAR-QUILLOTA</v>
          </cell>
        </row>
        <row r="1988">
          <cell r="Z1988" t="str">
            <v>MOBILIARIO CLINICO</v>
          </cell>
          <cell r="AA1988" t="str">
            <v>S.S VIÑA DEL MAR-QUILLOTA</v>
          </cell>
        </row>
        <row r="1989">
          <cell r="Z1989" t="str">
            <v>MOBILIARIO CLINICO</v>
          </cell>
          <cell r="AA1989" t="str">
            <v>S.S VIÑA DEL MAR-QUILLOTA</v>
          </cell>
        </row>
        <row r="1990">
          <cell r="Z1990" t="str">
            <v>MOBILIARIO CLINICO</v>
          </cell>
          <cell r="AA1990" t="str">
            <v>S.S VIÑA DEL MAR-QUILLOTA</v>
          </cell>
        </row>
        <row r="1991">
          <cell r="Z1991" t="str">
            <v>MOBILIARIO CLINICO</v>
          </cell>
          <cell r="AA1991" t="str">
            <v>S.S VIÑA DEL MAR-QUILLOTA</v>
          </cell>
        </row>
        <row r="1992">
          <cell r="Z1992" t="str">
            <v>MOBILIARIO CLINICO</v>
          </cell>
          <cell r="AA1992" t="str">
            <v>S.S VIÑA DEL MAR-QUILLOTA</v>
          </cell>
        </row>
        <row r="1993">
          <cell r="Z1993" t="str">
            <v>MOBILIARIO CLINICO</v>
          </cell>
          <cell r="AA1993" t="str">
            <v>S.S VIÑA DEL MAR-QUILLOTA</v>
          </cell>
        </row>
        <row r="1994">
          <cell r="Z1994" t="str">
            <v>MOBILIARIO CLINICO</v>
          </cell>
          <cell r="AA1994" t="str">
            <v>S.S VIÑA DEL MAR-QUILLOTA</v>
          </cell>
        </row>
        <row r="1995">
          <cell r="Z1995" t="str">
            <v>MOBILIARIO CLINICO</v>
          </cell>
          <cell r="AA1995" t="str">
            <v>S.S VIÑA DEL MAR-QUILLOTA</v>
          </cell>
        </row>
        <row r="1996">
          <cell r="Z1996" t="str">
            <v>MOBILIARIO CLINICO</v>
          </cell>
          <cell r="AA1996" t="str">
            <v>S.S VIÑA DEL MAR-QUILLOTA</v>
          </cell>
        </row>
        <row r="1997">
          <cell r="Z1997" t="str">
            <v>MOBILIARIO CLINICO</v>
          </cell>
          <cell r="AA1997" t="str">
            <v>S.S VIÑA DEL MAR-QUILLOTA</v>
          </cell>
        </row>
        <row r="1998">
          <cell r="Z1998" t="str">
            <v>MOBILIARIO CLINICO</v>
          </cell>
          <cell r="AA1998" t="str">
            <v>S.S VIÑA DEL MAR-QUILLOTA</v>
          </cell>
        </row>
        <row r="1999">
          <cell r="Z1999" t="str">
            <v>MOBILIARIO CLINICO</v>
          </cell>
          <cell r="AA1999" t="str">
            <v>S.S VIÑA DEL MAR-QUILLOTA</v>
          </cell>
        </row>
        <row r="2000">
          <cell r="Z2000" t="str">
            <v>MOBILIARIO CLINICO</v>
          </cell>
          <cell r="AA2000" t="str">
            <v>S.S VIÑA DEL MAR-QUILLOTA</v>
          </cell>
        </row>
        <row r="2001">
          <cell r="Z2001" t="str">
            <v>MOBILIARIO CLINICO</v>
          </cell>
          <cell r="AA2001" t="str">
            <v>S.S VIÑA DEL MAR-QUILLOTA</v>
          </cell>
        </row>
        <row r="2002">
          <cell r="Z2002" t="str">
            <v>MOBILIARIO CLINICO</v>
          </cell>
          <cell r="AA2002" t="str">
            <v>S.S VIÑA DEL MAR-QUILLOTA</v>
          </cell>
        </row>
        <row r="2003">
          <cell r="Z2003" t="str">
            <v>MOBILIARIO CLINICO</v>
          </cell>
          <cell r="AA2003" t="str">
            <v>S.S VIÑA DEL MAR-QUILLOTA</v>
          </cell>
        </row>
        <row r="2004">
          <cell r="Z2004" t="str">
            <v>MOBILIARIO CLINICO</v>
          </cell>
          <cell r="AA2004" t="str">
            <v>S.S VIÑA DEL MAR-QUILLOTA</v>
          </cell>
        </row>
        <row r="2005">
          <cell r="Z2005" t="str">
            <v>MOBILIARIO CLINICO</v>
          </cell>
          <cell r="AA2005" t="str">
            <v>S.S VIÑA DEL MAR-QUILLOTA</v>
          </cell>
        </row>
        <row r="2006">
          <cell r="Z2006" t="str">
            <v>MOBILIARIO CLINICO</v>
          </cell>
          <cell r="AA2006" t="str">
            <v>S.S VIÑA DEL MAR-QUILLOTA</v>
          </cell>
        </row>
        <row r="2007">
          <cell r="Z2007" t="str">
            <v>MOBILIARIO CLINICO</v>
          </cell>
          <cell r="AA2007" t="str">
            <v>S.S VIÑA DEL MAR-QUILLOTA</v>
          </cell>
        </row>
        <row r="2008">
          <cell r="Z2008" t="str">
            <v>MOBILIARIO CLINICO</v>
          </cell>
          <cell r="AA2008" t="str">
            <v>S.S VIÑA DEL MAR-QUILLOTA</v>
          </cell>
        </row>
        <row r="2009">
          <cell r="Z2009" t="str">
            <v>MOBILIARIO CLINICO</v>
          </cell>
          <cell r="AA2009" t="str">
            <v>S.S VIÑA DEL MAR-QUILLOTA</v>
          </cell>
        </row>
        <row r="2010">
          <cell r="Z2010" t="str">
            <v>MOBILIARIO CLINICO</v>
          </cell>
          <cell r="AA2010" t="str">
            <v>S.S VIÑA DEL MAR-QUILLOTA</v>
          </cell>
        </row>
        <row r="2011">
          <cell r="Z2011" t="str">
            <v>MOBILIARIO CLINICO</v>
          </cell>
          <cell r="AA2011" t="str">
            <v>S.S VIÑA DEL MAR-QUILLOTA</v>
          </cell>
        </row>
        <row r="2012">
          <cell r="Z2012" t="str">
            <v>MOBILIARIO CLINICO</v>
          </cell>
          <cell r="AA2012" t="str">
            <v>S.S VIÑA DEL MAR-QUILLOTA</v>
          </cell>
        </row>
        <row r="2013">
          <cell r="Z2013" t="str">
            <v>MOBILIARIO CLINICO</v>
          </cell>
          <cell r="AA2013" t="str">
            <v>S.S VIÑA DEL MAR-QUILLOTA</v>
          </cell>
        </row>
        <row r="2014">
          <cell r="Z2014" t="str">
            <v>MOBILIARIO CLINICO</v>
          </cell>
          <cell r="AA2014" t="str">
            <v>S.S VIÑA DEL MAR-QUILLOTA</v>
          </cell>
        </row>
        <row r="2015">
          <cell r="Z2015" t="str">
            <v>MOBILIARIO CLINICO</v>
          </cell>
          <cell r="AA2015" t="str">
            <v>S.S VIÑA DEL MAR-QUILLOTA</v>
          </cell>
        </row>
        <row r="2016">
          <cell r="Z2016" t="str">
            <v>MOBILIARIO CLINICO</v>
          </cell>
          <cell r="AA2016" t="str">
            <v>S.S VIÑA DEL MAR-QUILLOTA</v>
          </cell>
        </row>
        <row r="2017">
          <cell r="Z2017" t="str">
            <v>MOBILIARIO CLINICO</v>
          </cell>
          <cell r="AA2017" t="str">
            <v>S.S VIÑA DEL MAR-QUILLOTA</v>
          </cell>
        </row>
        <row r="2018">
          <cell r="Z2018" t="str">
            <v>MOBILIARIO CLINICO</v>
          </cell>
          <cell r="AA2018" t="str">
            <v>S.S VIÑA DEL MAR-QUILLOTA</v>
          </cell>
        </row>
        <row r="2019">
          <cell r="Z2019" t="str">
            <v>MOBILIARIO CLINICO</v>
          </cell>
          <cell r="AA2019" t="str">
            <v>S.S VIÑA DEL MAR-QUILLOTA</v>
          </cell>
        </row>
        <row r="2020">
          <cell r="Z2020" t="str">
            <v>MOBILIARIO CLINICO</v>
          </cell>
          <cell r="AA2020" t="str">
            <v>S.S VIÑA DEL MAR-QUILLOTA</v>
          </cell>
        </row>
        <row r="2021">
          <cell r="Z2021" t="str">
            <v>MOBILIARIO CLINICO</v>
          </cell>
          <cell r="AA2021" t="str">
            <v>S.S VIÑA DEL MAR-QUILLOTA</v>
          </cell>
        </row>
        <row r="2022">
          <cell r="Z2022" t="str">
            <v>MOBILIARIO CLINICO</v>
          </cell>
          <cell r="AA2022" t="str">
            <v>S.S VIÑA DEL MAR-QUILLOTA</v>
          </cell>
        </row>
        <row r="2023">
          <cell r="Z2023" t="str">
            <v>MOBILIARIO CLINICO</v>
          </cell>
          <cell r="AA2023" t="str">
            <v>S.S VIÑA DEL MAR-QUILLOTA</v>
          </cell>
        </row>
        <row r="2024">
          <cell r="Z2024" t="str">
            <v>MOBILIARIO CLINICO</v>
          </cell>
          <cell r="AA2024" t="str">
            <v>S.S VIÑA DEL MAR-QUILLOTA</v>
          </cell>
        </row>
        <row r="2025">
          <cell r="Z2025" t="str">
            <v>MOBILIARIO CLINICO</v>
          </cell>
          <cell r="AA2025" t="str">
            <v>S.S VIÑA DEL MAR-QUILLOTA</v>
          </cell>
        </row>
        <row r="2026">
          <cell r="Z2026" t="str">
            <v>MOBILIARIO CLINICO</v>
          </cell>
          <cell r="AA2026" t="str">
            <v>S.S VIÑA DEL MAR-QUILLOTA</v>
          </cell>
        </row>
        <row r="2027">
          <cell r="Z2027" t="str">
            <v>MOBILIARIO CLINICO</v>
          </cell>
          <cell r="AA2027" t="str">
            <v>S.S VIÑA DEL MAR-QUILLOTA</v>
          </cell>
        </row>
        <row r="2028">
          <cell r="Z2028" t="str">
            <v>MOBILIARIO CLINICO</v>
          </cell>
          <cell r="AA2028" t="str">
            <v>S.S VIÑA DEL MAR-QUILLOTA</v>
          </cell>
        </row>
        <row r="2029">
          <cell r="Z2029" t="str">
            <v>MOBILIARIO CLINICO</v>
          </cell>
          <cell r="AA2029" t="str">
            <v>S.S VIÑA DEL MAR-QUILLOTA</v>
          </cell>
        </row>
        <row r="2030">
          <cell r="Z2030" t="str">
            <v>MOBILIARIO CLINICO</v>
          </cell>
          <cell r="AA2030" t="str">
            <v>S.S VIÑA DEL MAR-QUILLOTA</v>
          </cell>
        </row>
        <row r="2031">
          <cell r="Z2031" t="str">
            <v>MOBILIARIO CLINICO</v>
          </cell>
          <cell r="AA2031" t="str">
            <v>S.S VIÑA DEL MAR-QUILLOTA</v>
          </cell>
        </row>
        <row r="2032">
          <cell r="Z2032" t="str">
            <v>MOBILIARIO CLINICO</v>
          </cell>
          <cell r="AA2032" t="str">
            <v>S.S VIÑA DEL MAR-QUILLOTA</v>
          </cell>
        </row>
        <row r="2033">
          <cell r="Z2033" t="str">
            <v>MOBILIARIO CLINICO</v>
          </cell>
          <cell r="AA2033" t="str">
            <v>S.S VIÑA DEL MAR-QUILLOTA</v>
          </cell>
        </row>
        <row r="2034">
          <cell r="Z2034" t="str">
            <v>MOBILIARIO CLINICO</v>
          </cell>
          <cell r="AA2034" t="str">
            <v>S.S VIÑA DEL MAR-QUILLOTA</v>
          </cell>
        </row>
        <row r="2035">
          <cell r="Z2035" t="str">
            <v>MOBILIARIO CLINICO</v>
          </cell>
          <cell r="AA2035" t="str">
            <v>S.S VIÑA DEL MAR-QUILLOTA</v>
          </cell>
        </row>
        <row r="2036">
          <cell r="Z2036" t="str">
            <v>MOBILIARIO CLINICO</v>
          </cell>
          <cell r="AA2036" t="str">
            <v>S.S VIÑA DEL MAR-QUILLOTA</v>
          </cell>
        </row>
        <row r="2037">
          <cell r="Z2037" t="str">
            <v>MOBILIARIO CLINICO</v>
          </cell>
          <cell r="AA2037" t="str">
            <v>S.S VIÑA DEL MAR-QUILLOTA</v>
          </cell>
        </row>
        <row r="2038">
          <cell r="Z2038" t="str">
            <v>MOBILIARIO CLINICO</v>
          </cell>
          <cell r="AA2038" t="str">
            <v>S.S VIÑA DEL MAR-QUILLOTA</v>
          </cell>
        </row>
        <row r="2039">
          <cell r="Z2039" t="str">
            <v>MOBILIARIO CLINICO</v>
          </cell>
          <cell r="AA2039" t="str">
            <v>S.S VIÑA DEL MAR-QUILLOTA</v>
          </cell>
        </row>
        <row r="2040">
          <cell r="Z2040" t="str">
            <v>MOBILIARIO CLINICO</v>
          </cell>
          <cell r="AA2040" t="str">
            <v>S.S VIÑA DEL MAR-QUILLOTA</v>
          </cell>
        </row>
        <row r="2041">
          <cell r="Z2041" t="str">
            <v>MOBILIARIO CLINICO</v>
          </cell>
          <cell r="AA2041" t="str">
            <v>S.S VIÑA DEL MAR-QUILLOTA</v>
          </cell>
        </row>
        <row r="2042">
          <cell r="Z2042" t="str">
            <v>MOBILIARIO CLINICO</v>
          </cell>
          <cell r="AA2042" t="str">
            <v>S.S VIÑA DEL MAR-QUILLOTA</v>
          </cell>
        </row>
        <row r="2043">
          <cell r="Z2043" t="str">
            <v>MOBILIARIO CLINICO</v>
          </cell>
          <cell r="AA2043" t="str">
            <v>S.S VIÑA DEL MAR-QUILLOTA</v>
          </cell>
        </row>
        <row r="2044">
          <cell r="Z2044" t="str">
            <v>MOBILIARIO CLINICO</v>
          </cell>
          <cell r="AA2044" t="str">
            <v>S.S VIÑA DEL MAR-QUILLOTA</v>
          </cell>
        </row>
        <row r="2045">
          <cell r="Z2045" t="str">
            <v>MOBILIARIO CLINICO</v>
          </cell>
          <cell r="AA2045" t="str">
            <v>S.S VIÑA DEL MAR-QUILLOTA</v>
          </cell>
        </row>
        <row r="2046">
          <cell r="Z2046" t="str">
            <v>MOBILIARIO CLINICO</v>
          </cell>
          <cell r="AA2046" t="str">
            <v>S.S VIÑA DEL MAR-QUILLOTA</v>
          </cell>
        </row>
        <row r="2047">
          <cell r="Z2047" t="str">
            <v>MOBILIARIO CLINICO</v>
          </cell>
          <cell r="AA2047" t="str">
            <v>S.S VIÑA DEL MAR-QUILLOTA</v>
          </cell>
        </row>
        <row r="2048">
          <cell r="Z2048" t="str">
            <v>MOBILIARIO CLINICO</v>
          </cell>
          <cell r="AA2048" t="str">
            <v>S.S VIÑA DEL MAR-QUILLOTA</v>
          </cell>
        </row>
        <row r="2049">
          <cell r="Z2049" t="str">
            <v>MOBILIARIO CLINICO</v>
          </cell>
          <cell r="AA2049" t="str">
            <v>S.S VIÑA DEL MAR-QUILLOTA</v>
          </cell>
        </row>
        <row r="2050">
          <cell r="Z2050" t="str">
            <v>MOBILIARIO CLINICO</v>
          </cell>
          <cell r="AA2050" t="str">
            <v>S.S VIÑA DEL MAR-QUILLOTA</v>
          </cell>
        </row>
        <row r="2051">
          <cell r="Z2051" t="str">
            <v>MOBILIARIO CLINICO</v>
          </cell>
          <cell r="AA2051" t="str">
            <v>S.S VIÑA DEL MAR-QUILLOTA</v>
          </cell>
        </row>
        <row r="2052">
          <cell r="Z2052" t="str">
            <v>MOBILIARIO CLINICO</v>
          </cell>
          <cell r="AA2052" t="str">
            <v>S.S VIÑA DEL MAR-QUILLOTA</v>
          </cell>
        </row>
        <row r="2053">
          <cell r="Z2053" t="str">
            <v>MOBILIARIO CLINICO</v>
          </cell>
          <cell r="AA2053" t="str">
            <v>S.S VIÑA DEL MAR-QUILLOTA</v>
          </cell>
        </row>
        <row r="2054">
          <cell r="Z2054" t="str">
            <v>MOBILIARIO CLINICO</v>
          </cell>
          <cell r="AA2054" t="str">
            <v>S.S VIÑA DEL MAR-QUILLOTA</v>
          </cell>
        </row>
        <row r="2055">
          <cell r="Z2055" t="str">
            <v>MOBILIARIO CLINICO</v>
          </cell>
          <cell r="AA2055" t="str">
            <v>S.S VIÑA DEL MAR-QUILLOTA</v>
          </cell>
        </row>
        <row r="2056">
          <cell r="Z2056" t="str">
            <v>MOBILIARIO CLINICO</v>
          </cell>
          <cell r="AA2056" t="str">
            <v>S.S VIÑA DEL MAR-QUILLOTA</v>
          </cell>
        </row>
        <row r="2057">
          <cell r="Z2057" t="str">
            <v>MOBILIARIO CLINICO</v>
          </cell>
          <cell r="AA2057" t="str">
            <v>S.S VIÑA DEL MAR-QUILLOTA</v>
          </cell>
        </row>
        <row r="2058">
          <cell r="Z2058" t="str">
            <v>MOBILIARIO CLINICO</v>
          </cell>
          <cell r="AA2058" t="str">
            <v>S.S VIÑA DEL MAR-QUILLOTA</v>
          </cell>
        </row>
        <row r="2059">
          <cell r="Z2059" t="str">
            <v>MOBILIARIO CLINICO</v>
          </cell>
          <cell r="AA2059" t="str">
            <v>S.S VIÑA DEL MAR-QUILLOTA</v>
          </cell>
        </row>
        <row r="2060">
          <cell r="Z2060" t="str">
            <v>MOBILIARIO CLINICO</v>
          </cell>
          <cell r="AA2060" t="str">
            <v>S.S VIÑA DEL MAR-QUILLOTA</v>
          </cell>
        </row>
        <row r="2061">
          <cell r="Z2061" t="str">
            <v>MOBILIARIO CLINICO</v>
          </cell>
          <cell r="AA2061" t="str">
            <v>S.S VIÑA DEL MAR-QUILLOTA</v>
          </cell>
        </row>
        <row r="2062">
          <cell r="Z2062" t="str">
            <v>MOBILIARIO CLINICO</v>
          </cell>
          <cell r="AA2062" t="str">
            <v>S.S VIÑA DEL MAR-QUILLOTA</v>
          </cell>
        </row>
        <row r="2063">
          <cell r="Z2063" t="str">
            <v>MOBILIARIO CLINICO</v>
          </cell>
          <cell r="AA2063" t="str">
            <v>S.S VIÑA DEL MAR-QUILLOTA</v>
          </cell>
        </row>
        <row r="2064">
          <cell r="Z2064" t="str">
            <v>MOBILIARIO CLINICO</v>
          </cell>
          <cell r="AA2064" t="str">
            <v>S.S VIÑA DEL MAR-QUILLOTA</v>
          </cell>
        </row>
        <row r="2065">
          <cell r="Z2065" t="str">
            <v>MOBILIARIO CLINICO</v>
          </cell>
          <cell r="AA2065" t="str">
            <v>S.S VIÑA DEL MAR-QUILLOTA</v>
          </cell>
        </row>
        <row r="2066">
          <cell r="Z2066" t="str">
            <v>MOBILIARIO CLINICO</v>
          </cell>
          <cell r="AA2066" t="str">
            <v>S.S VIÑA DEL MAR-QUILLOTA</v>
          </cell>
        </row>
        <row r="2067">
          <cell r="Z2067" t="str">
            <v>MOBILIARIO CLINICO</v>
          </cell>
          <cell r="AA2067" t="str">
            <v>S.S VIÑA DEL MAR-QUILLOTA</v>
          </cell>
        </row>
        <row r="2068">
          <cell r="Z2068" t="str">
            <v>MOBILIARIO CLINICO</v>
          </cell>
          <cell r="AA2068" t="str">
            <v>S.S VIÑA DEL MAR-QUILLOTA</v>
          </cell>
        </row>
        <row r="2069">
          <cell r="Z2069" t="str">
            <v>MOBILIARIO CLINICO</v>
          </cell>
          <cell r="AA2069" t="str">
            <v>S.S VIÑA DEL MAR-QUILLOTA</v>
          </cell>
        </row>
        <row r="2070">
          <cell r="Z2070" t="str">
            <v>MOBILIARIO CLINICO</v>
          </cell>
          <cell r="AA2070" t="str">
            <v>S.S VIÑA DEL MAR-QUILLOTA</v>
          </cell>
        </row>
        <row r="2071">
          <cell r="Z2071" t="str">
            <v>MOBILIARIO CLINICO</v>
          </cell>
          <cell r="AA2071" t="str">
            <v>S.S VIÑA DEL MAR-QUILLOTA</v>
          </cell>
        </row>
        <row r="2072">
          <cell r="Z2072" t="str">
            <v>MOBILIARIO CLINICO</v>
          </cell>
          <cell r="AA2072" t="str">
            <v>S.S VIÑA DEL MAR-QUILLOTA</v>
          </cell>
        </row>
        <row r="2073">
          <cell r="Z2073" t="str">
            <v>MOBILIARIO CLINICO</v>
          </cell>
          <cell r="AA2073" t="str">
            <v>S.S VIÑA DEL MAR-QUILLOTA</v>
          </cell>
        </row>
        <row r="2074">
          <cell r="Z2074" t="str">
            <v>MOBILIARIO CLINICO</v>
          </cell>
          <cell r="AA2074" t="str">
            <v>S.S VIÑA DEL MAR-QUILLOTA</v>
          </cell>
        </row>
        <row r="2075">
          <cell r="Z2075" t="str">
            <v>MOBILIARIO CLINICO</v>
          </cell>
          <cell r="AA2075" t="str">
            <v>S.S VIÑA DEL MAR-QUILLOTA</v>
          </cell>
        </row>
        <row r="2076">
          <cell r="Z2076" t="str">
            <v>MOBILIARIO CLINICO</v>
          </cell>
          <cell r="AA2076" t="str">
            <v>S.S VIÑA DEL MAR-QUILLOTA</v>
          </cell>
        </row>
        <row r="2077">
          <cell r="Z2077" t="str">
            <v>MOBILIARIO CLINICO</v>
          </cell>
          <cell r="AA2077" t="str">
            <v>S.S VIÑA DEL MAR-QUILLOTA</v>
          </cell>
        </row>
        <row r="2078">
          <cell r="Z2078" t="str">
            <v>MOBILIARIO CLINICO</v>
          </cell>
          <cell r="AA2078" t="str">
            <v>S.S VIÑA DEL MAR-QUILLOTA</v>
          </cell>
        </row>
        <row r="2079">
          <cell r="Z2079" t="str">
            <v>MOBILIARIO CLINICO</v>
          </cell>
          <cell r="AA2079" t="str">
            <v>SERVICIO DE SALUD DEL MAULE</v>
          </cell>
        </row>
        <row r="2080">
          <cell r="Z2080" t="str">
            <v>MOBILIARIO CLINICO</v>
          </cell>
          <cell r="AA2080" t="str">
            <v>SERVICIO DE SALUD DEL MAULE</v>
          </cell>
        </row>
        <row r="2081">
          <cell r="Z2081" t="str">
            <v>MOBILIARIO CLINICO</v>
          </cell>
          <cell r="AA2081" t="str">
            <v>SERVICIO DE SALUD DEL MAULE</v>
          </cell>
        </row>
        <row r="2082">
          <cell r="Z2082" t="str">
            <v>MOBILIARIO CLINICO</v>
          </cell>
          <cell r="AA2082" t="str">
            <v>SERVICIO DE SALUD DEL MAULE</v>
          </cell>
        </row>
        <row r="2083">
          <cell r="Z2083" t="str">
            <v>MOBILIARIO CLINICO</v>
          </cell>
          <cell r="AA2083" t="str">
            <v>SERVICIO DE SALUD DEL MAULE</v>
          </cell>
        </row>
        <row r="2084">
          <cell r="Z2084" t="str">
            <v>MOBILIARIO CLINICO</v>
          </cell>
          <cell r="AA2084" t="str">
            <v>SERVICIO DE SALUD DEL MAULE</v>
          </cell>
        </row>
        <row r="2085">
          <cell r="Z2085" t="str">
            <v>MOBILIARIO CLINICO</v>
          </cell>
          <cell r="AA2085" t="str">
            <v>SERVICIO DE SALUD DEL MAULE</v>
          </cell>
        </row>
        <row r="2086">
          <cell r="Z2086" t="str">
            <v>MOBILIARIO CLINICO</v>
          </cell>
          <cell r="AA2086" t="str">
            <v>SERVICIO DE SALUD DEL MAULE</v>
          </cell>
        </row>
        <row r="2087">
          <cell r="Z2087" t="str">
            <v>MOBILIARIO CLINICO</v>
          </cell>
          <cell r="AA2087" t="str">
            <v>SERVICIO DE SALUD DEL MAULE</v>
          </cell>
        </row>
        <row r="2088">
          <cell r="Z2088" t="str">
            <v>MOBILIARIO CLINICO</v>
          </cell>
          <cell r="AA2088" t="str">
            <v>SERVICIO DE SALUD DEL MAULE</v>
          </cell>
        </row>
        <row r="2089">
          <cell r="Z2089" t="str">
            <v>MOBILIARIO CLINICO</v>
          </cell>
          <cell r="AA2089" t="str">
            <v>SERVICIO DE SALUD DEL MAULE</v>
          </cell>
        </row>
        <row r="2090">
          <cell r="Z2090" t="str">
            <v>MOBILIARIO CLINICO</v>
          </cell>
          <cell r="AA2090" t="str">
            <v>SERVICIO DE SALUD DEL MAULE</v>
          </cell>
        </row>
        <row r="2091">
          <cell r="Z2091" t="str">
            <v>MOBILIARIO CLINICO</v>
          </cell>
          <cell r="AA2091" t="str">
            <v>SERVICIO DE SALUD DEL MAULE</v>
          </cell>
        </row>
        <row r="2092">
          <cell r="Z2092" t="str">
            <v>MOBILIARIO CLINICO</v>
          </cell>
          <cell r="AA2092" t="str">
            <v>SERVICIO DE SALUD DEL MAULE</v>
          </cell>
        </row>
        <row r="2093">
          <cell r="Z2093" t="str">
            <v>MOBILIARIO CLINICO</v>
          </cell>
          <cell r="AA2093" t="str">
            <v>SERVICIO DE SALUD DEL MAULE</v>
          </cell>
        </row>
        <row r="2094">
          <cell r="Z2094" t="str">
            <v>MOBILIARIO CLINICO</v>
          </cell>
          <cell r="AA2094" t="str">
            <v>SERVICIO DE SALUD DEL MAULE</v>
          </cell>
        </row>
        <row r="2095">
          <cell r="Z2095" t="str">
            <v>MOBILIARIO CLINICO</v>
          </cell>
          <cell r="AA2095" t="str">
            <v>SERVICIO DE SALUD DEL MAULE</v>
          </cell>
        </row>
        <row r="2096">
          <cell r="Z2096" t="str">
            <v>MOBILIARIO CLINICO</v>
          </cell>
          <cell r="AA2096" t="str">
            <v>SERVICIO DE SALUD DEL MAULE</v>
          </cell>
        </row>
        <row r="2097">
          <cell r="Z2097" t="str">
            <v>MOBILIARIO CLINICO</v>
          </cell>
          <cell r="AA2097" t="str">
            <v>SERVICIO DE SALUD DEL MAULE</v>
          </cell>
        </row>
        <row r="2098">
          <cell r="Z2098" t="str">
            <v>MOBILIARIO CLINICO</v>
          </cell>
          <cell r="AA2098" t="str">
            <v>SERVICIO DE SALUD DEL MAULE</v>
          </cell>
        </row>
        <row r="2099">
          <cell r="Z2099" t="str">
            <v>MOBILIARIO CLINICO</v>
          </cell>
          <cell r="AA2099" t="str">
            <v>SERVICIO DE SALUD DEL MAULE</v>
          </cell>
        </row>
        <row r="2100">
          <cell r="Z2100" t="str">
            <v>MOBILIARIO CLINICO</v>
          </cell>
          <cell r="AA2100" t="str">
            <v>SERVICIO DE SALUD DEL MAULE</v>
          </cell>
        </row>
        <row r="2101">
          <cell r="Z2101" t="str">
            <v>MOBILIARIO CLINICO</v>
          </cell>
          <cell r="AA2101" t="str">
            <v>SERVICIO DE SALUD DEL MAULE</v>
          </cell>
        </row>
        <row r="2102">
          <cell r="Z2102" t="str">
            <v>MOBILIARIO CLINICO</v>
          </cell>
          <cell r="AA2102" t="str">
            <v>SERVICIO DE SALUD DEL MAULE</v>
          </cell>
        </row>
        <row r="2103">
          <cell r="Z2103" t="str">
            <v>MOBILIARIO CLINICO</v>
          </cell>
          <cell r="AA2103" t="str">
            <v>SERVICIO DE SALUD DEL MAULE</v>
          </cell>
        </row>
        <row r="2104">
          <cell r="Z2104" t="str">
            <v>MOBILIARIO CLINICO</v>
          </cell>
          <cell r="AA2104" t="str">
            <v>SERVICIO DE SALUD DEL MAULE</v>
          </cell>
        </row>
        <row r="2105">
          <cell r="Z2105" t="str">
            <v>MOBILIARIO CLINICO</v>
          </cell>
          <cell r="AA2105" t="str">
            <v>SERVICIO DE SALUD DEL MAULE</v>
          </cell>
        </row>
        <row r="2106">
          <cell r="Z2106" t="str">
            <v>MOBILIARIO CLINICO</v>
          </cell>
          <cell r="AA2106" t="str">
            <v>SERVICIO DE SALUD DEL MAULE</v>
          </cell>
        </row>
        <row r="2107">
          <cell r="Z2107" t="str">
            <v>MOBILIARIO CLINICO</v>
          </cell>
          <cell r="AA2107" t="str">
            <v>SERVICIO DE SALUD DEL MAULE</v>
          </cell>
        </row>
        <row r="2108">
          <cell r="Z2108" t="str">
            <v>MOBILIARIO CLINICO</v>
          </cell>
          <cell r="AA2108" t="str">
            <v>SERVICIO DE SALUD DEL MAULE</v>
          </cell>
        </row>
        <row r="2109">
          <cell r="Z2109" t="str">
            <v>MOBILIARIO CLINICO</v>
          </cell>
          <cell r="AA2109" t="str">
            <v>SERVICIO DE SALUD DEL MAULE</v>
          </cell>
        </row>
        <row r="2110">
          <cell r="Z2110" t="str">
            <v>MOBILIARIO CLINICO</v>
          </cell>
          <cell r="AA2110" t="str">
            <v>SERVICIO DE SALUD DEL MAULE</v>
          </cell>
        </row>
        <row r="2111">
          <cell r="Z2111" t="str">
            <v>MOBILIARIO CLINICO</v>
          </cell>
          <cell r="AA2111" t="str">
            <v>SERVICIO DE SALUD DEL MAULE</v>
          </cell>
        </row>
        <row r="2112">
          <cell r="Z2112" t="str">
            <v>MOBILIARIO CLINICO</v>
          </cell>
          <cell r="AA2112" t="str">
            <v>SERVICIO DE SALUD DEL MAULE</v>
          </cell>
        </row>
        <row r="2113">
          <cell r="Z2113" t="str">
            <v>MOBILIARIO CLINICO</v>
          </cell>
          <cell r="AA2113" t="str">
            <v>SERVICIO DE SALUD DEL MAULE</v>
          </cell>
        </row>
        <row r="2114">
          <cell r="Z2114" t="str">
            <v>MOBILIARIO CLINICO</v>
          </cell>
          <cell r="AA2114" t="str">
            <v>SERVICIO DE SALUD DEL MAULE</v>
          </cell>
        </row>
        <row r="2115">
          <cell r="Z2115" t="str">
            <v>MOBILIARIO CLINICO</v>
          </cell>
          <cell r="AA2115" t="str">
            <v>SERVICIO DE SALUD DEL MAULE</v>
          </cell>
        </row>
        <row r="2116">
          <cell r="Z2116" t="str">
            <v>MOBILIARIO CLINICO</v>
          </cell>
          <cell r="AA2116" t="str">
            <v>SERVICIO DE SALUD DEL MAULE</v>
          </cell>
        </row>
        <row r="2117">
          <cell r="Z2117" t="str">
            <v>MOBILIARIO CLINICO</v>
          </cell>
          <cell r="AA2117" t="str">
            <v>SERVICIO DE SALUD DEL MAULE</v>
          </cell>
        </row>
        <row r="2118">
          <cell r="Z2118" t="str">
            <v>MOBILIARIO CLINICO</v>
          </cell>
          <cell r="AA2118" t="str">
            <v>SERVICIO DE SALUD DEL MAULE</v>
          </cell>
        </row>
        <row r="2119">
          <cell r="Z2119" t="str">
            <v>MOBILIARIO CLINICO</v>
          </cell>
          <cell r="AA2119" t="str">
            <v>SERVICIO DE SALUD DEL MAULE</v>
          </cell>
        </row>
        <row r="2120">
          <cell r="Z2120" t="str">
            <v>MOBILIARIO CLINICO</v>
          </cell>
          <cell r="AA2120" t="str">
            <v>SERVICIO DE SALUD DEL MAULE</v>
          </cell>
        </row>
        <row r="2121">
          <cell r="Z2121" t="str">
            <v>MOBILIARIO CLINICO</v>
          </cell>
          <cell r="AA2121" t="str">
            <v>SERVICIO DE SALUD DEL MAULE</v>
          </cell>
        </row>
        <row r="2122">
          <cell r="Z2122" t="str">
            <v>MOBILIARIO CLINICO</v>
          </cell>
          <cell r="AA2122" t="str">
            <v>SERVICIO DE SALUD DEL MAULE</v>
          </cell>
        </row>
        <row r="2123">
          <cell r="Z2123" t="str">
            <v>MOBILIARIO CLINICO</v>
          </cell>
          <cell r="AA2123" t="str">
            <v>SERVICIO DE SALUD DEL MAULE</v>
          </cell>
        </row>
        <row r="2124">
          <cell r="Z2124" t="str">
            <v>MOBILIARIO CLINICO</v>
          </cell>
          <cell r="AA2124" t="str">
            <v>SERVICIO DE SALUD DEL MAULE</v>
          </cell>
        </row>
        <row r="2125">
          <cell r="Z2125" t="str">
            <v>MOBILIARIO CLINICO</v>
          </cell>
          <cell r="AA2125" t="str">
            <v>SERVICIO DE SALUD DEL MAULE</v>
          </cell>
        </row>
        <row r="2126">
          <cell r="Z2126" t="str">
            <v>MOBILIARIO CLINICO</v>
          </cell>
          <cell r="AA2126" t="str">
            <v>SERVICIO DE SALUD DEL MAULE</v>
          </cell>
        </row>
        <row r="2127">
          <cell r="Z2127" t="str">
            <v>MOBILIARIO CLINICO</v>
          </cell>
          <cell r="AA2127" t="str">
            <v>SERVICIO DE SALUD DEL MAULE</v>
          </cell>
        </row>
        <row r="2128">
          <cell r="Z2128" t="str">
            <v>MOBILIARIO CLINICO</v>
          </cell>
          <cell r="AA2128" t="str">
            <v>SERVICIO DE SALUD DEL MAULE</v>
          </cell>
        </row>
        <row r="2129">
          <cell r="Z2129" t="str">
            <v>MOBILIARIO CLINICO</v>
          </cell>
          <cell r="AA2129" t="str">
            <v>SERVICIO DE SALUD DEL MAULE</v>
          </cell>
        </row>
        <row r="2130">
          <cell r="Z2130" t="str">
            <v>MOBILIARIO CLINICO</v>
          </cell>
          <cell r="AA2130" t="str">
            <v>SERVICIO DE SALUD DEL MAULE</v>
          </cell>
        </row>
        <row r="2131">
          <cell r="Z2131" t="str">
            <v>MOBILIARIO CLINICO</v>
          </cell>
          <cell r="AA2131" t="str">
            <v>SERVICIO DE SALUD DEL MAULE</v>
          </cell>
        </row>
        <row r="2132">
          <cell r="Z2132" t="str">
            <v>MOBILIARIO CLINICO</v>
          </cell>
          <cell r="AA2132" t="str">
            <v>SERVICIO DE SALUD DEL MAULE</v>
          </cell>
        </row>
        <row r="2133">
          <cell r="Z2133" t="str">
            <v>MOBILIARIO CLINICO</v>
          </cell>
          <cell r="AA2133" t="str">
            <v>SERVICIO DE SALUD DEL MAULE</v>
          </cell>
        </row>
        <row r="2134">
          <cell r="Z2134" t="str">
            <v>MOBILIARIO CLINICO</v>
          </cell>
          <cell r="AA2134" t="str">
            <v>SERVICIO DE SALUD DEL MAULE</v>
          </cell>
        </row>
        <row r="2135">
          <cell r="Z2135" t="str">
            <v>MOBILIARIO CLINICO</v>
          </cell>
          <cell r="AA2135" t="str">
            <v>SERVICIO DE SALUD DEL MAULE</v>
          </cell>
        </row>
        <row r="2136">
          <cell r="Z2136" t="str">
            <v>MOBILIARIO CLINICO</v>
          </cell>
          <cell r="AA2136" t="str">
            <v>SERVICIO DE SALUD DEL MAULE</v>
          </cell>
        </row>
        <row r="2137">
          <cell r="Z2137" t="str">
            <v>MOBILIARIO CLINICO</v>
          </cell>
          <cell r="AA2137" t="str">
            <v>SERVICIO DE SALUD DEL MAULE</v>
          </cell>
        </row>
        <row r="2138">
          <cell r="Z2138" t="str">
            <v>MOBILIARIO CLINICO</v>
          </cell>
          <cell r="AA2138" t="str">
            <v>SERVICIO DE SALUD DEL MAULE</v>
          </cell>
        </row>
        <row r="2139">
          <cell r="Z2139" t="str">
            <v>MOBILIARIO CLINICO</v>
          </cell>
          <cell r="AA2139" t="str">
            <v>SERVICIO DE SALUD DEL MAULE</v>
          </cell>
        </row>
        <row r="2140">
          <cell r="Z2140" t="str">
            <v>MOBILIARIO CLINICO</v>
          </cell>
          <cell r="AA2140" t="str">
            <v>SERVICIO DE SALUD DEL MAULE</v>
          </cell>
        </row>
        <row r="2141">
          <cell r="Z2141" t="str">
            <v>MOBILIARIO CLINICO</v>
          </cell>
          <cell r="AA2141" t="str">
            <v>SERVICIO DE SALUD DEL MAULE</v>
          </cell>
        </row>
        <row r="2142">
          <cell r="Z2142" t="str">
            <v>MOBILIARIO CLINICO</v>
          </cell>
          <cell r="AA2142" t="str">
            <v>SERVICIO DE SALUD DEL MAULE</v>
          </cell>
        </row>
        <row r="2143">
          <cell r="Z2143" t="str">
            <v>MOBILIARIO CLINICO</v>
          </cell>
          <cell r="AA2143" t="str">
            <v>SERVICIO DE SALUD DEL MAULE</v>
          </cell>
        </row>
        <row r="2144">
          <cell r="Z2144" t="str">
            <v>MOBILIARIO CLINICO</v>
          </cell>
          <cell r="AA2144" t="str">
            <v>SERVICIO DE SALUD DEL MAULE</v>
          </cell>
        </row>
        <row r="2145">
          <cell r="Z2145" t="str">
            <v>MOBILIARIO CLINICO</v>
          </cell>
          <cell r="AA2145" t="str">
            <v>SERVICIO DE SALUD DEL MAULE</v>
          </cell>
        </row>
        <row r="2146">
          <cell r="Z2146" t="str">
            <v>MOBILIARIO CLINICO</v>
          </cell>
          <cell r="AA2146" t="str">
            <v>SERVICIO DE SALUD DEL MAULE</v>
          </cell>
        </row>
        <row r="2147">
          <cell r="Z2147" t="str">
            <v>MOBILIARIO CLINICO</v>
          </cell>
          <cell r="AA2147" t="str">
            <v>SERVICIO DE SALUD DEL MAULE</v>
          </cell>
        </row>
        <row r="2148">
          <cell r="Z2148" t="str">
            <v>MOBILIARIO CLINICO</v>
          </cell>
          <cell r="AA2148" t="str">
            <v>SERVICIO DE SALUD DEL MAULE</v>
          </cell>
        </row>
        <row r="2149">
          <cell r="Z2149" t="str">
            <v>MOBILIARIO CLINICO</v>
          </cell>
          <cell r="AA2149" t="str">
            <v>SERVICIO DE SALUD DEL MAULE</v>
          </cell>
        </row>
        <row r="2150">
          <cell r="Z2150" t="str">
            <v>MOBILIARIO CLINICO</v>
          </cell>
          <cell r="AA2150" t="str">
            <v>SERVICIO DE SALUD DEL MAULE</v>
          </cell>
        </row>
        <row r="2151">
          <cell r="Z2151" t="str">
            <v>MOBILIARIO CLINICO</v>
          </cell>
          <cell r="AA2151" t="str">
            <v>SERVICIO DE SALUD DEL MAULE</v>
          </cell>
        </row>
        <row r="2152">
          <cell r="Z2152" t="str">
            <v>MOBILIARIO CLINICO</v>
          </cell>
          <cell r="AA2152" t="str">
            <v>SERVICIO DE SALUD DEL MAULE</v>
          </cell>
        </row>
        <row r="2153">
          <cell r="Z2153" t="str">
            <v>MOBILIARIO CLINICO</v>
          </cell>
          <cell r="AA2153" t="str">
            <v>SERVICIO DE SALUD DEL MAULE</v>
          </cell>
        </row>
        <row r="2154">
          <cell r="Z2154" t="str">
            <v>MOBILIARIO CLINICO</v>
          </cell>
          <cell r="AA2154" t="str">
            <v>SERVICIO DE SALUD DEL MAULE</v>
          </cell>
        </row>
        <row r="2155">
          <cell r="Z2155" t="str">
            <v>MOBILIARIO CLINICO</v>
          </cell>
          <cell r="AA2155" t="str">
            <v>SERVICIO DE SALUD DEL MAULE</v>
          </cell>
        </row>
        <row r="2156">
          <cell r="Z2156" t="str">
            <v>MOBILIARIO CLINICO</v>
          </cell>
          <cell r="AA2156" t="str">
            <v>SERVICIO DE SALUD DEL MAULE</v>
          </cell>
        </row>
        <row r="2157">
          <cell r="Z2157" t="str">
            <v>MOBILIARIO CLINICO</v>
          </cell>
          <cell r="AA2157" t="str">
            <v>SERVICIO DE SALUD DEL MAULE</v>
          </cell>
        </row>
        <row r="2158">
          <cell r="Z2158" t="str">
            <v>MOBILIARIO CLINICO</v>
          </cell>
          <cell r="AA2158" t="str">
            <v>SERVICIO DE SALUD DEL MAULE</v>
          </cell>
        </row>
        <row r="2159">
          <cell r="Z2159" t="str">
            <v>MOBILIARIO CLINICO</v>
          </cell>
          <cell r="AA2159" t="str">
            <v>SERVICIO DE SALUD DEL MAULE</v>
          </cell>
        </row>
        <row r="2160">
          <cell r="Z2160" t="str">
            <v>MOBILIARIO CLINICO</v>
          </cell>
          <cell r="AA2160" t="str">
            <v>SERVICIO DE SALUD DEL MAULE</v>
          </cell>
        </row>
        <row r="2161">
          <cell r="Z2161" t="str">
            <v>MOBILIARIO CLINICO</v>
          </cell>
          <cell r="AA2161" t="str">
            <v>SERVICIO DE SALUD DEL MAULE</v>
          </cell>
        </row>
        <row r="2162">
          <cell r="Z2162" t="str">
            <v>MOBILIARIO CLINICO</v>
          </cell>
          <cell r="AA2162" t="str">
            <v>SERVICIO DE SALUD DEL MAULE</v>
          </cell>
        </row>
        <row r="2163">
          <cell r="Z2163" t="str">
            <v>MOBILIARIO CLINICO</v>
          </cell>
          <cell r="AA2163" t="str">
            <v>SERVICIO DE SALUD DEL MAULE</v>
          </cell>
        </row>
        <row r="2164">
          <cell r="Z2164" t="str">
            <v>MOBILIARIO CLINICO</v>
          </cell>
          <cell r="AA2164" t="str">
            <v>SERVICIO DE SALUD DEL MAULE</v>
          </cell>
        </row>
        <row r="2165">
          <cell r="Z2165" t="str">
            <v>MOBILIARIO CLINICO</v>
          </cell>
          <cell r="AA2165" t="str">
            <v>SERVICIO DE SALUD DEL MAULE</v>
          </cell>
        </row>
        <row r="2166">
          <cell r="Z2166" t="str">
            <v>MOBILIARIO CLINICO</v>
          </cell>
          <cell r="AA2166" t="str">
            <v>SERVICIO DE SALUD DEL MAULE</v>
          </cell>
        </row>
        <row r="2167">
          <cell r="Z2167" t="str">
            <v>MOBILIARIO CLINICO</v>
          </cell>
          <cell r="AA2167" t="str">
            <v>SERVICIO DE SALUD DEL MAULE</v>
          </cell>
        </row>
        <row r="2168">
          <cell r="Z2168" t="str">
            <v>MOBILIARIO CLINICO</v>
          </cell>
          <cell r="AA2168" t="str">
            <v>SERVICIO DE SALUD DEL MAULE</v>
          </cell>
        </row>
        <row r="2169">
          <cell r="Z2169" t="str">
            <v>MOBILIARIO CLINICO</v>
          </cell>
          <cell r="AA2169" t="str">
            <v>SERVICIO DE SALUD DEL MAULE</v>
          </cell>
        </row>
        <row r="2170">
          <cell r="Z2170" t="str">
            <v>MOBILIARIO CLINICO</v>
          </cell>
          <cell r="AA2170" t="str">
            <v>SERVICIO DE SALUD DEL MAULE</v>
          </cell>
        </row>
        <row r="2171">
          <cell r="Z2171" t="str">
            <v>MOBILIARIO CLINICO</v>
          </cell>
          <cell r="AA2171" t="str">
            <v>SERVICIO DE SALUD DEL MAULE</v>
          </cell>
        </row>
        <row r="2172">
          <cell r="Z2172" t="str">
            <v>MOBILIARIO CLINICO</v>
          </cell>
          <cell r="AA2172" t="str">
            <v>SERVICIO DE SALUD DEL MAULE</v>
          </cell>
        </row>
        <row r="2173">
          <cell r="Z2173" t="str">
            <v>MOBILIARIO CLINICO</v>
          </cell>
          <cell r="AA2173" t="str">
            <v>SERVICIO DE SALUD DEL MAULE</v>
          </cell>
        </row>
        <row r="2174">
          <cell r="Z2174" t="str">
            <v>MOBILIARIO CLINICO</v>
          </cell>
          <cell r="AA2174" t="str">
            <v>SERVICIO DE SALUD DEL MAULE</v>
          </cell>
        </row>
        <row r="2175">
          <cell r="Z2175" t="str">
            <v>MOBILIARIO CLINICO</v>
          </cell>
          <cell r="AA2175" t="str">
            <v>SERVICIO DE SALUD DEL MAULE</v>
          </cell>
        </row>
        <row r="2176">
          <cell r="Z2176" t="str">
            <v>MOBILIARIO CLINICO</v>
          </cell>
          <cell r="AA2176" t="str">
            <v>SERVICIO DE SALUD DEL MAULE</v>
          </cell>
        </row>
        <row r="2177">
          <cell r="Z2177" t="str">
            <v>MOBILIARIO CLINICO</v>
          </cell>
          <cell r="AA2177" t="str">
            <v>SERVICIO DE SALUD DEL MAULE</v>
          </cell>
        </row>
        <row r="2178">
          <cell r="Z2178" t="str">
            <v>MOBILIARIO CLINICO</v>
          </cell>
          <cell r="AA2178" t="str">
            <v>SERVICIO DE SALUD DEL MAULE</v>
          </cell>
        </row>
        <row r="2179">
          <cell r="Z2179" t="str">
            <v>MOBILIARIO CLINICO</v>
          </cell>
          <cell r="AA2179" t="str">
            <v>SERVICIO DE SALUD DEL MAULE</v>
          </cell>
        </row>
        <row r="2180">
          <cell r="Z2180" t="str">
            <v>MOBILIARIO CLINICO</v>
          </cell>
          <cell r="AA2180" t="str">
            <v>SERVICIO DE SALUD DEL MAULE</v>
          </cell>
        </row>
        <row r="2181">
          <cell r="Z2181" t="str">
            <v>MOBILIARIO CLINICO</v>
          </cell>
          <cell r="AA2181" t="str">
            <v>SERVICIO DE SALUD DEL MAULE</v>
          </cell>
        </row>
        <row r="2182">
          <cell r="Z2182" t="str">
            <v>MOBILIARIO CLINICO</v>
          </cell>
          <cell r="AA2182" t="str">
            <v>SERVICIO DE SALUD DEL MAULE</v>
          </cell>
        </row>
        <row r="2183">
          <cell r="Z2183" t="str">
            <v>MOBILIARIO CLINICO</v>
          </cell>
          <cell r="AA2183" t="str">
            <v>SERVICIO DE SALUD DEL MAULE</v>
          </cell>
        </row>
        <row r="2184">
          <cell r="Z2184" t="str">
            <v>MOBILIARIO CLINICO</v>
          </cell>
          <cell r="AA2184" t="str">
            <v>SERVICIO DE SALUD DEL MAULE</v>
          </cell>
        </row>
        <row r="2185">
          <cell r="Z2185" t="str">
            <v>MOBILIARIO CLINICO</v>
          </cell>
          <cell r="AA2185" t="str">
            <v>SERVICIO DE SALUD DEL MAULE</v>
          </cell>
        </row>
        <row r="2186">
          <cell r="Z2186" t="str">
            <v>MOBILIARIO CLINICO</v>
          </cell>
          <cell r="AA2186" t="str">
            <v>SERVICIO DE SALUD DEL MAULE</v>
          </cell>
        </row>
        <row r="2187">
          <cell r="Z2187" t="str">
            <v>MOBILIARIO CLINICO</v>
          </cell>
          <cell r="AA2187" t="str">
            <v>SERVICIO DE SALUD DEL MAULE</v>
          </cell>
        </row>
        <row r="2188">
          <cell r="Z2188" t="str">
            <v>MOBILIARIO CLINICO</v>
          </cell>
          <cell r="AA2188" t="str">
            <v>SERVICIO DE SALUD DEL MAULE</v>
          </cell>
        </row>
        <row r="2189">
          <cell r="Z2189" t="str">
            <v>MOBILIARIO CLINICO</v>
          </cell>
          <cell r="AA2189" t="str">
            <v>SERVICIO DE SALUD DEL MAULE</v>
          </cell>
        </row>
        <row r="2190">
          <cell r="Z2190" t="str">
            <v>MOBILIARIO CLINICO</v>
          </cell>
          <cell r="AA2190" t="str">
            <v>SERVICIO DE SALUD DEL MAULE</v>
          </cell>
        </row>
        <row r="2191">
          <cell r="Z2191" t="str">
            <v>MOBILIARIO CLINICO</v>
          </cell>
          <cell r="AA2191" t="str">
            <v>SERVICIO DE SALUD DEL MAULE</v>
          </cell>
        </row>
        <row r="2192">
          <cell r="Z2192" t="str">
            <v>MOBILIARIO CLINICO</v>
          </cell>
          <cell r="AA2192" t="str">
            <v>SERVICIO DE SALUD DEL MAULE</v>
          </cell>
        </row>
        <row r="2193">
          <cell r="Z2193" t="str">
            <v>MOBILIARIO CLINICO</v>
          </cell>
          <cell r="AA2193" t="str">
            <v>SERVICIO DE SALUD DEL MAULE</v>
          </cell>
        </row>
        <row r="2194">
          <cell r="Z2194" t="str">
            <v>MOBILIARIO CLINICO</v>
          </cell>
          <cell r="AA2194" t="str">
            <v>SERVICIO DE SALUD DEL MAULE</v>
          </cell>
        </row>
        <row r="2195">
          <cell r="Z2195" t="str">
            <v>MOBILIARIO CLINICO</v>
          </cell>
          <cell r="AA2195" t="str">
            <v>SERVICIO DE SALUD DEL MAULE</v>
          </cell>
        </row>
        <row r="2196">
          <cell r="Z2196" t="str">
            <v>MOBILIARIO CLINICO</v>
          </cell>
          <cell r="AA2196" t="str">
            <v>SERVICIO DE SALUD DEL MAULE</v>
          </cell>
        </row>
        <row r="2197">
          <cell r="Z2197" t="str">
            <v>MOBILIARIO CLINICO</v>
          </cell>
          <cell r="AA2197" t="str">
            <v>SERVICIO DE SALUD DEL MAULE</v>
          </cell>
        </row>
        <row r="2198">
          <cell r="Z2198" t="str">
            <v>MOBILIARIO CLINICO</v>
          </cell>
          <cell r="AA2198" t="str">
            <v>SERVICIO DE SALUD DEL MAULE</v>
          </cell>
        </row>
        <row r="2199">
          <cell r="Z2199" t="str">
            <v>MOBILIARIO CLINICO</v>
          </cell>
          <cell r="AA2199" t="str">
            <v>SERVICIO DE SALUD DEL MAULE</v>
          </cell>
        </row>
        <row r="2200">
          <cell r="Z2200" t="str">
            <v>MOBILIARIO CLINICO</v>
          </cell>
          <cell r="AA2200" t="str">
            <v>SERVICIO DE SALUD DEL MAULE</v>
          </cell>
        </row>
        <row r="2201">
          <cell r="Z2201" t="str">
            <v>MOBILIARIO CLINICO</v>
          </cell>
          <cell r="AA2201" t="str">
            <v>SERVICIO DE SALUD DEL MAULE</v>
          </cell>
        </row>
        <row r="2202">
          <cell r="Z2202" t="str">
            <v>MOBILIARIO CLINICO</v>
          </cell>
          <cell r="AA2202" t="str">
            <v>SERVICIO DE SALUD DEL MAULE</v>
          </cell>
        </row>
        <row r="2203">
          <cell r="Z2203" t="str">
            <v>MOBILIARIO CLINICO</v>
          </cell>
          <cell r="AA2203" t="str">
            <v>SERVICIO DE SALUD DEL MAULE</v>
          </cell>
        </row>
        <row r="2204">
          <cell r="Z2204" t="str">
            <v>MOBILIARIO CLINICO</v>
          </cell>
          <cell r="AA2204" t="str">
            <v>SERVICIO DE SALUD DEL MAULE</v>
          </cell>
        </row>
        <row r="2205">
          <cell r="Z2205" t="str">
            <v>MOBILIARIO CLINICO</v>
          </cell>
          <cell r="AA2205" t="str">
            <v>SERVICIO DE SALUD DEL MAULE</v>
          </cell>
        </row>
        <row r="2206">
          <cell r="Z2206" t="str">
            <v>MOBILIARIO CLINICO</v>
          </cell>
          <cell r="AA2206" t="str">
            <v>SERVICIO DE SALUD DEL MAULE</v>
          </cell>
        </row>
        <row r="2207">
          <cell r="Z2207" t="str">
            <v>MOBILIARIO CLINICO</v>
          </cell>
          <cell r="AA2207" t="str">
            <v>SERVICIO DE SALUD DEL MAULE</v>
          </cell>
        </row>
        <row r="2208">
          <cell r="Z2208" t="str">
            <v>MOBILIARIO CLINICO</v>
          </cell>
          <cell r="AA2208" t="str">
            <v>SERVICIO DE SALUD DEL MAULE</v>
          </cell>
        </row>
        <row r="2209">
          <cell r="Z2209" t="str">
            <v>MOBILIARIO CLINICO</v>
          </cell>
          <cell r="AA2209" t="str">
            <v>SERVICIO DE SALUD DEL MAULE</v>
          </cell>
        </row>
        <row r="2210">
          <cell r="Z2210" t="str">
            <v>MOBILIARIO CLINICO</v>
          </cell>
          <cell r="AA2210" t="str">
            <v>SERVICIO DE SALUD DEL MAULE</v>
          </cell>
        </row>
        <row r="2211">
          <cell r="Z2211" t="str">
            <v>MOBILIARIO CLINICO</v>
          </cell>
          <cell r="AA2211" t="str">
            <v>SERVICIO DE SALUD DEL MAULE</v>
          </cell>
        </row>
        <row r="2212">
          <cell r="Z2212" t="str">
            <v>MOBILIARIO CLINICO</v>
          </cell>
          <cell r="AA2212" t="str">
            <v>SERVICIO DE SALUD DEL MAULE</v>
          </cell>
        </row>
        <row r="2213">
          <cell r="Z2213" t="str">
            <v>MOBILIARIO CLINICO</v>
          </cell>
          <cell r="AA2213" t="str">
            <v>SERVICIO DE SALUD DEL MAULE</v>
          </cell>
        </row>
        <row r="2214">
          <cell r="Z2214" t="str">
            <v>MOBILIARIO CLINICO</v>
          </cell>
          <cell r="AA2214" t="str">
            <v>SERVICIO DE SALUD DEL MAULE</v>
          </cell>
        </row>
        <row r="2215">
          <cell r="Z2215" t="str">
            <v>MOBILIARIO CLINICO</v>
          </cell>
          <cell r="AA2215" t="str">
            <v>SERVICIO DE SALUD DEL MAULE</v>
          </cell>
        </row>
        <row r="2216">
          <cell r="Z2216" t="str">
            <v>MOBILIARIO CLINICO</v>
          </cell>
          <cell r="AA2216" t="str">
            <v>SERVICIO DE SALUD DEL MAULE</v>
          </cell>
        </row>
        <row r="2217">
          <cell r="Z2217" t="str">
            <v>MOBILIARIO CLINICO</v>
          </cell>
          <cell r="AA2217" t="str">
            <v>SERVICIO DE SALUD DEL MAULE</v>
          </cell>
        </row>
        <row r="2218">
          <cell r="Z2218" t="str">
            <v>MOBILIARIO CLINICO</v>
          </cell>
          <cell r="AA2218" t="str">
            <v>SERVICIO DE SALUD DEL MAULE</v>
          </cell>
        </row>
        <row r="2219">
          <cell r="Z2219" t="str">
            <v>MOBILIARIO CLINICO</v>
          </cell>
          <cell r="AA2219" t="str">
            <v>SERVICIO DE SALUD DEL MAULE</v>
          </cell>
        </row>
        <row r="2220">
          <cell r="Z2220" t="str">
            <v>MOBILIARIO CLINICO</v>
          </cell>
          <cell r="AA2220" t="str">
            <v>SERVICIO DE SALUD DEL MAULE</v>
          </cell>
        </row>
        <row r="2221">
          <cell r="Z2221" t="str">
            <v>MOBILIARIO CLINICO</v>
          </cell>
          <cell r="AA2221" t="str">
            <v>SERVICIO DE SALUD DEL MAULE</v>
          </cell>
        </row>
        <row r="2222">
          <cell r="Z2222" t="str">
            <v>MOBILIARIO CLINICO</v>
          </cell>
          <cell r="AA2222" t="str">
            <v>SERVICIO DE SALUD DEL MAULE</v>
          </cell>
        </row>
        <row r="2223">
          <cell r="Z2223" t="str">
            <v>MOBILIARIO CLINICO</v>
          </cell>
          <cell r="AA2223" t="str">
            <v>SERVICIO DE SALUD DEL MAULE</v>
          </cell>
        </row>
        <row r="2224">
          <cell r="Z2224" t="str">
            <v>MOBILIARIO CLINICO</v>
          </cell>
          <cell r="AA2224" t="str">
            <v>SERVICIO DE SALUD DEL MAULE</v>
          </cell>
        </row>
        <row r="2225">
          <cell r="Z2225" t="str">
            <v>MOBILIARIO CLINICO</v>
          </cell>
          <cell r="AA2225" t="str">
            <v>SERVICIO DE SALUD DEL MAULE</v>
          </cell>
        </row>
        <row r="2226">
          <cell r="Z2226" t="str">
            <v>MOBILIARIO CLINICO</v>
          </cell>
          <cell r="AA2226" t="str">
            <v>SERVICIO DE SALUD DEL MAULE</v>
          </cell>
        </row>
        <row r="2227">
          <cell r="Z2227" t="str">
            <v>MOBILIARIO CLINICO</v>
          </cell>
          <cell r="AA2227" t="str">
            <v>SERVICIO DE SALUD DEL MAULE</v>
          </cell>
        </row>
        <row r="2228">
          <cell r="Z2228" t="str">
            <v>MOBILIARIO CLINICO</v>
          </cell>
          <cell r="AA2228" t="str">
            <v>SERVICIO DE SALUD DEL MAULE</v>
          </cell>
        </row>
        <row r="2229">
          <cell r="Z2229" t="str">
            <v>MOBILIARIO CLINICO</v>
          </cell>
          <cell r="AA2229" t="str">
            <v>SERVICIO DE SALUD DEL MAULE</v>
          </cell>
        </row>
        <row r="2230">
          <cell r="Z2230" t="str">
            <v>MOBILIARIO CLINICO</v>
          </cell>
          <cell r="AA2230" t="str">
            <v>SERVICIO DE SALUD DEL MAULE</v>
          </cell>
        </row>
        <row r="2231">
          <cell r="Z2231" t="str">
            <v>MOBILIARIO CLINICO</v>
          </cell>
          <cell r="AA2231" t="str">
            <v>SERVICIO DE SALUD DEL MAULE</v>
          </cell>
        </row>
        <row r="2232">
          <cell r="Z2232" t="str">
            <v>MOBILIARIO CLINICO</v>
          </cell>
          <cell r="AA2232" t="str">
            <v>SERVICIO DE SALUD DEL MAULE</v>
          </cell>
        </row>
        <row r="2233">
          <cell r="Z2233" t="str">
            <v>MOBILIARIO CLINICO</v>
          </cell>
          <cell r="AA2233" t="str">
            <v>SERVICIO DE SALUD DEL MAULE</v>
          </cell>
        </row>
        <row r="2234">
          <cell r="Z2234" t="str">
            <v>MOBILIARIO CLINICO</v>
          </cell>
          <cell r="AA2234" t="str">
            <v>SERVICIO DE SALUD DEL MAULE</v>
          </cell>
        </row>
        <row r="2235">
          <cell r="Z2235" t="str">
            <v>MOBILIARIO CLINICO</v>
          </cell>
          <cell r="AA2235" t="str">
            <v>SERVICIO DE SALUD DEL MAULE</v>
          </cell>
        </row>
        <row r="2236">
          <cell r="Z2236" t="str">
            <v>MOBILIARIO CLINICO</v>
          </cell>
          <cell r="AA2236" t="str">
            <v>SERVICIO DE SALUD DEL MAULE</v>
          </cell>
        </row>
        <row r="2237">
          <cell r="Z2237" t="str">
            <v>MOBILIARIO CLINICO</v>
          </cell>
          <cell r="AA2237" t="str">
            <v>SERVICIO DE SALUD DEL MAULE</v>
          </cell>
        </row>
        <row r="2238">
          <cell r="Z2238" t="str">
            <v>MOBILIARIO CLINICO</v>
          </cell>
          <cell r="AA2238" t="str">
            <v>SERVICIO DE SALUD DEL MAULE</v>
          </cell>
        </row>
        <row r="2239">
          <cell r="Z2239" t="str">
            <v>MOBILIARIO CLINICO</v>
          </cell>
          <cell r="AA2239" t="str">
            <v>SERVICIO DE SALUD DEL MAULE</v>
          </cell>
        </row>
        <row r="2240">
          <cell r="Z2240" t="str">
            <v>MOBILIARIO CLINICO</v>
          </cell>
          <cell r="AA2240" t="str">
            <v>SERVICIO DE SALUD BIO-BIO</v>
          </cell>
        </row>
        <row r="2241">
          <cell r="Z2241" t="str">
            <v>MOBILIARIO CLINICO</v>
          </cell>
          <cell r="AA2241" t="str">
            <v>SERVICIO DE SALUD BIO-BIO</v>
          </cell>
        </row>
        <row r="2242">
          <cell r="Z2242" t="str">
            <v>MOBILIARIO CLINICO</v>
          </cell>
          <cell r="AA2242" t="str">
            <v>SERVICIO DE SALUD BIO-BIO</v>
          </cell>
        </row>
        <row r="2243">
          <cell r="Z2243" t="str">
            <v>MOBILIARIO CLINICO</v>
          </cell>
          <cell r="AA2243" t="str">
            <v>SERVICIO DE SALUD BIO-BIO</v>
          </cell>
        </row>
        <row r="2244">
          <cell r="Z2244" t="str">
            <v>MOBILIARIO CLINICO</v>
          </cell>
          <cell r="AA2244" t="str">
            <v>SERVICIO DE SALUD BIO-BIO</v>
          </cell>
        </row>
        <row r="2245">
          <cell r="Z2245" t="str">
            <v>MOBILIARIO CLINICO</v>
          </cell>
          <cell r="AA2245" t="str">
            <v>SERVICIO DE SALUD BIO-BIO</v>
          </cell>
        </row>
        <row r="2246">
          <cell r="Z2246" t="str">
            <v>MOBILIARIO CLINICO</v>
          </cell>
          <cell r="AA2246" t="str">
            <v>SERVICIO DE SALUD BIO-BIO</v>
          </cell>
        </row>
        <row r="2247">
          <cell r="Z2247" t="str">
            <v>MOBILIARIO CLINICO</v>
          </cell>
          <cell r="AA2247" t="str">
            <v>SERVICIO DE SALUD BIO-BIO</v>
          </cell>
        </row>
        <row r="2248">
          <cell r="Z2248" t="str">
            <v>MOBILIARIO CLINICO</v>
          </cell>
          <cell r="AA2248" t="str">
            <v>SERVICIO DE SALUD BIO-BIO</v>
          </cell>
        </row>
        <row r="2249">
          <cell r="Z2249" t="str">
            <v>MOBILIARIO CLINICO</v>
          </cell>
          <cell r="AA2249" t="str">
            <v>SERVICIO DE SALUD BIO-BIO</v>
          </cell>
        </row>
        <row r="2250">
          <cell r="Z2250" t="str">
            <v>MOBILIARIO CLINICO</v>
          </cell>
          <cell r="AA2250" t="str">
            <v>SERVICIO DE SALUD BIO-BIO</v>
          </cell>
        </row>
        <row r="2251">
          <cell r="Z2251" t="str">
            <v>MOBILIARIO CLINICO</v>
          </cell>
          <cell r="AA2251" t="str">
            <v>SERVICIO DE SALUD BIO-BIO</v>
          </cell>
        </row>
        <row r="2252">
          <cell r="Z2252" t="str">
            <v>MOBILIARIO CLINICO</v>
          </cell>
          <cell r="AA2252" t="str">
            <v>SERVICIO DE SALUD BIO-BIO</v>
          </cell>
        </row>
        <row r="2253">
          <cell r="Z2253" t="str">
            <v>MOBILIARIO CLINICO</v>
          </cell>
          <cell r="AA2253" t="str">
            <v>SERVICIO DE SALUD BIO-BIO</v>
          </cell>
        </row>
        <row r="2254">
          <cell r="Z2254" t="str">
            <v>MOBILIARIO CLINICO</v>
          </cell>
          <cell r="AA2254" t="str">
            <v>SERVICIO DE SALUD BIO-BIO</v>
          </cell>
        </row>
        <row r="2255">
          <cell r="Z2255" t="str">
            <v>MOBILIARIO CLINICO</v>
          </cell>
          <cell r="AA2255" t="str">
            <v>SERVICIO DE SALUD BIO-BIO</v>
          </cell>
        </row>
        <row r="2256">
          <cell r="Z2256" t="str">
            <v>MOBILIARIO CLINICO</v>
          </cell>
          <cell r="AA2256" t="str">
            <v>SERVICIO DE SALUD BIO-BIO</v>
          </cell>
        </row>
        <row r="2257">
          <cell r="Z2257" t="str">
            <v>MOBILIARIO CLINICO</v>
          </cell>
          <cell r="AA2257" t="str">
            <v>SERVICIO DE SALUD BIO-BIO</v>
          </cell>
        </row>
        <row r="2258">
          <cell r="Z2258" t="str">
            <v>MOBILIARIO CLINICO</v>
          </cell>
          <cell r="AA2258" t="str">
            <v>SERVICIO DE SALUD BIO-BIO</v>
          </cell>
        </row>
        <row r="2259">
          <cell r="Z2259" t="str">
            <v>MOBILIARIO CLINICO</v>
          </cell>
          <cell r="AA2259" t="str">
            <v>SERVICIO DE SALUD BIO-BIO</v>
          </cell>
        </row>
        <row r="2260">
          <cell r="Z2260" t="str">
            <v>MOBILIARIO CLINICO</v>
          </cell>
          <cell r="AA2260" t="str">
            <v>SERVICIO DE SALUD BIO-BIO</v>
          </cell>
        </row>
        <row r="2261">
          <cell r="Z2261" t="str">
            <v>MOBILIARIO CLINICO</v>
          </cell>
          <cell r="AA2261" t="str">
            <v>SERVICIO DE SALUD BIO-BIO</v>
          </cell>
        </row>
        <row r="2262">
          <cell r="Z2262" t="str">
            <v>MOBILIARIO CLINICO</v>
          </cell>
          <cell r="AA2262" t="str">
            <v>SERVICIO DE SALUD BIO-BIO</v>
          </cell>
        </row>
        <row r="2263">
          <cell r="Z2263" t="str">
            <v>MOBILIARIO CLINICO</v>
          </cell>
          <cell r="AA2263" t="str">
            <v>SERVICIO DE SALUD BIO-BIO</v>
          </cell>
        </row>
        <row r="2264">
          <cell r="Z2264" t="str">
            <v>MOBILIARIO CLINICO</v>
          </cell>
          <cell r="AA2264" t="str">
            <v>SERVICIO DE SALUD BIO-BIO</v>
          </cell>
        </row>
        <row r="2265">
          <cell r="Z2265" t="str">
            <v>MOBILIARIO CLINICO</v>
          </cell>
          <cell r="AA2265" t="str">
            <v>SERVICIO DE SALUD BIO-BIO</v>
          </cell>
        </row>
        <row r="2266">
          <cell r="Z2266" t="str">
            <v>MOBILIARIO CLINICO</v>
          </cell>
          <cell r="AA2266" t="str">
            <v>SERVICIO DE SALUD BIO-BIO</v>
          </cell>
        </row>
        <row r="2267">
          <cell r="Z2267" t="str">
            <v>MOBILIARIO CLINICO</v>
          </cell>
          <cell r="AA2267" t="str">
            <v>SERVICIO DE SALUD BIO-BIO</v>
          </cell>
        </row>
        <row r="2268">
          <cell r="Z2268" t="str">
            <v>MOBILIARIO CLINICO</v>
          </cell>
          <cell r="AA2268" t="str">
            <v>SERVICIO DE SALUD BIO-BIO</v>
          </cell>
        </row>
        <row r="2269">
          <cell r="Z2269" t="str">
            <v>MOBILIARIO CLINICO</v>
          </cell>
          <cell r="AA2269" t="str">
            <v>SERVICIO DE SALUD BIO-BIO</v>
          </cell>
        </row>
        <row r="2270">
          <cell r="Z2270" t="str">
            <v>MOBILIARIO CLINICO</v>
          </cell>
          <cell r="AA2270" t="str">
            <v>SERVICIO DE SALUD BIO-BIO</v>
          </cell>
        </row>
        <row r="2271">
          <cell r="Z2271" t="str">
            <v>MOBILIARIO CLINICO</v>
          </cell>
          <cell r="AA2271" t="str">
            <v>SERVICIO DE SALUD BIO-BIO</v>
          </cell>
        </row>
        <row r="2272">
          <cell r="Z2272" t="str">
            <v>MOBILIARIO CLINICO</v>
          </cell>
          <cell r="AA2272" t="str">
            <v>SERVICIO DE SALUD BIO-BIO</v>
          </cell>
        </row>
        <row r="2273">
          <cell r="Z2273" t="str">
            <v>MOBILIARIO CLINICO</v>
          </cell>
          <cell r="AA2273" t="str">
            <v>SERVICIO DE SALUD BIO-BIO</v>
          </cell>
        </row>
        <row r="2274">
          <cell r="Z2274" t="str">
            <v>MOBILIARIO CLINICO</v>
          </cell>
          <cell r="AA2274" t="str">
            <v>SERVICIO DE SALUD BIO-BIO</v>
          </cell>
        </row>
        <row r="2275">
          <cell r="Z2275" t="str">
            <v>MOBILIARIO CLINICO</v>
          </cell>
          <cell r="AA2275" t="str">
            <v>SERVICIO DE SALUD BIO-BIO</v>
          </cell>
        </row>
        <row r="2276">
          <cell r="Z2276" t="str">
            <v>MOBILIARIO CLINICO</v>
          </cell>
          <cell r="AA2276" t="str">
            <v>SERVICIO DE SALUD BIO-BIO</v>
          </cell>
        </row>
        <row r="2277">
          <cell r="Z2277" t="str">
            <v>MOBILIARIO CLINICO</v>
          </cell>
          <cell r="AA2277" t="str">
            <v>SERVICIO DE SALUD BIO-BIO</v>
          </cell>
        </row>
        <row r="2278">
          <cell r="Z2278" t="str">
            <v>MOBILIARIO CLINICO</v>
          </cell>
          <cell r="AA2278" t="str">
            <v>SERVICIO DE SALUD BIO-BIO</v>
          </cell>
        </row>
        <row r="2279">
          <cell r="Z2279" t="str">
            <v>MOBILIARIO CLINICO</v>
          </cell>
          <cell r="AA2279" t="str">
            <v>SERVICIO DE SALUD BIO-BIO</v>
          </cell>
        </row>
        <row r="2280">
          <cell r="Z2280" t="str">
            <v>MOBILIARIO CLINICO</v>
          </cell>
          <cell r="AA2280" t="str">
            <v>SERVICIO DE SALUD BIO-BIO</v>
          </cell>
        </row>
        <row r="2281">
          <cell r="Z2281" t="str">
            <v>MOBILIARIO CLINICO</v>
          </cell>
          <cell r="AA2281" t="str">
            <v>SERVICIO DE SALUD BIO-BIO</v>
          </cell>
        </row>
        <row r="2282">
          <cell r="Z2282" t="str">
            <v>MOBILIARIO CLINICO</v>
          </cell>
          <cell r="AA2282" t="str">
            <v>SERVICIO DE SALUD BIO-BIO</v>
          </cell>
        </row>
        <row r="2283">
          <cell r="Z2283" t="str">
            <v>MOBILIARIO CLINICO</v>
          </cell>
          <cell r="AA2283" t="str">
            <v>SERVICIO DE SALUD BIO-BIO</v>
          </cell>
        </row>
        <row r="2284">
          <cell r="Z2284" t="str">
            <v>MOBILIARIO CLINICO</v>
          </cell>
          <cell r="AA2284" t="str">
            <v>SERVICIO DE SALUD BIO-BIO</v>
          </cell>
        </row>
        <row r="2285">
          <cell r="Z2285" t="str">
            <v>MOBILIARIO CLINICO</v>
          </cell>
          <cell r="AA2285" t="str">
            <v>SERVICIO DE SALUD BIO-BIO</v>
          </cell>
        </row>
        <row r="2286">
          <cell r="Z2286" t="str">
            <v>MOBILIARIO CLINICO</v>
          </cell>
          <cell r="AA2286" t="str">
            <v>SERVICIO DE SALUD BIO-BIO</v>
          </cell>
        </row>
        <row r="2287">
          <cell r="Z2287" t="str">
            <v>MOBILIARIO CLINICO</v>
          </cell>
          <cell r="AA2287" t="str">
            <v>SERVICIO DE SALUD BIO-BIO</v>
          </cell>
        </row>
        <row r="2288">
          <cell r="Z2288" t="str">
            <v>MOBILIARIO CLINICO</v>
          </cell>
          <cell r="AA2288" t="str">
            <v>SERVICIO DE SALUD BIO-BIO</v>
          </cell>
        </row>
        <row r="2289">
          <cell r="Z2289" t="str">
            <v>MOBILIARIO CLINICO</v>
          </cell>
          <cell r="AA2289" t="str">
            <v>SERVICIO DE SALUD BIO-BIO</v>
          </cell>
        </row>
        <row r="2290">
          <cell r="Z2290" t="str">
            <v>MOBILIARIO CLINICO</v>
          </cell>
          <cell r="AA2290" t="str">
            <v>SERVICIO DE SALUD BIO-BIO</v>
          </cell>
        </row>
        <row r="2291">
          <cell r="Z2291" t="str">
            <v>MOBILIARIO CLINICO</v>
          </cell>
          <cell r="AA2291" t="str">
            <v>SERVICIO DE SALUD BIO-BIO</v>
          </cell>
        </row>
        <row r="2292">
          <cell r="Z2292" t="str">
            <v>MOBILIARIO CLINICO</v>
          </cell>
          <cell r="AA2292" t="str">
            <v>SERVICIO DE SALUD BIO-BIO</v>
          </cell>
        </row>
        <row r="2293">
          <cell r="Z2293" t="str">
            <v>MOBILIARIO CLINICO</v>
          </cell>
          <cell r="AA2293" t="str">
            <v>SERVICIO DE SALUD BIO-BIO</v>
          </cell>
        </row>
        <row r="2294">
          <cell r="Z2294" t="str">
            <v>MOBILIARIO CLINICO</v>
          </cell>
          <cell r="AA2294" t="str">
            <v>SERVICIO DE SALUD BIO-BIO</v>
          </cell>
        </row>
        <row r="2295">
          <cell r="Z2295" t="str">
            <v>MOBILIARIO CLINICO</v>
          </cell>
          <cell r="AA2295" t="str">
            <v>SERVICIO DE SALUD BIO-BIO</v>
          </cell>
        </row>
        <row r="2296">
          <cell r="Z2296" t="str">
            <v>MOBILIARIO CLINICO</v>
          </cell>
          <cell r="AA2296" t="str">
            <v>SERVICIO DE SALUD BIO-BIO</v>
          </cell>
        </row>
        <row r="2297">
          <cell r="Z2297" t="str">
            <v>MOBILIARIO CLINICO</v>
          </cell>
          <cell r="AA2297" t="str">
            <v>SERVICIO DE SALUD BIO-BIO</v>
          </cell>
        </row>
        <row r="2298">
          <cell r="Z2298" t="str">
            <v>MOBILIARIO CLINICO</v>
          </cell>
          <cell r="AA2298" t="str">
            <v>SERVICIO DE SALUD BIO-BIO</v>
          </cell>
        </row>
        <row r="2299">
          <cell r="Z2299" t="str">
            <v>MOBILIARIO CLINICO</v>
          </cell>
          <cell r="AA2299" t="str">
            <v>SERVICIO DE SALUD BIO-BIO</v>
          </cell>
        </row>
        <row r="2300">
          <cell r="Z2300" t="str">
            <v>MOBILIARIO CLINICO</v>
          </cell>
          <cell r="AA2300" t="str">
            <v>SERVICIO DE SALUD BIO-BIO</v>
          </cell>
        </row>
        <row r="2301">
          <cell r="Z2301" t="str">
            <v>MOBILIARIO CLINICO</v>
          </cell>
          <cell r="AA2301" t="str">
            <v>SERVICIO DE SALUD BIO-BIO</v>
          </cell>
        </row>
        <row r="2302">
          <cell r="Z2302" t="str">
            <v>MOBILIARIO CLINICO</v>
          </cell>
          <cell r="AA2302" t="str">
            <v>SERVICIO DE SALUD BIO-BIO</v>
          </cell>
        </row>
        <row r="2303">
          <cell r="Z2303" t="str">
            <v>MOBILIARIO CLINICO</v>
          </cell>
          <cell r="AA2303" t="str">
            <v>SERVICIO DE SALUD BIO-BIO</v>
          </cell>
        </row>
        <row r="2304">
          <cell r="Z2304" t="str">
            <v>MOBILIARIO CLINICO</v>
          </cell>
          <cell r="AA2304" t="str">
            <v>SERVICIO DE SALUD BIO-BIO</v>
          </cell>
        </row>
        <row r="2305">
          <cell r="Z2305" t="str">
            <v>MOBILIARIO CLINICO</v>
          </cell>
          <cell r="AA2305" t="str">
            <v>SERVICIO DE SALUD BIO-BIO</v>
          </cell>
        </row>
        <row r="2306">
          <cell r="Z2306" t="str">
            <v>MOBILIARIO CLINICO</v>
          </cell>
          <cell r="AA2306" t="str">
            <v>SERVICIO DE SALUD BIO-BIO</v>
          </cell>
        </row>
        <row r="2307">
          <cell r="Z2307" t="str">
            <v>MOBILIARIO CLINICO</v>
          </cell>
          <cell r="AA2307" t="str">
            <v>SERVICIO DE SALUD BIO-BIO</v>
          </cell>
        </row>
        <row r="2308">
          <cell r="Z2308" t="str">
            <v>MOBILIARIO CLINICO</v>
          </cell>
          <cell r="AA2308" t="str">
            <v>SERVICIO DE SALUD BIO-BIO</v>
          </cell>
        </row>
        <row r="2309">
          <cell r="Z2309" t="str">
            <v>MOBILIARIO CLINICO</v>
          </cell>
          <cell r="AA2309" t="str">
            <v>SERVICIO DE SALUD BIO-BIO</v>
          </cell>
        </row>
        <row r="2310">
          <cell r="Z2310" t="str">
            <v>MOBILIARIO CLINICO</v>
          </cell>
          <cell r="AA2310" t="str">
            <v>SERVICIO DE SALUD BIO-BIO</v>
          </cell>
        </row>
        <row r="2311">
          <cell r="Z2311" t="str">
            <v>MOBILIARIO CLINICO</v>
          </cell>
          <cell r="AA2311" t="str">
            <v>SERVICIO DE SALUD BIO-BIO</v>
          </cell>
        </row>
        <row r="2312">
          <cell r="Z2312" t="str">
            <v>MOBILIARIO CLINICO</v>
          </cell>
          <cell r="AA2312" t="str">
            <v>SERVICIO DE SALUD BIO-BIO</v>
          </cell>
        </row>
        <row r="2313">
          <cell r="Z2313" t="str">
            <v>MOBILIARIO CLINICO</v>
          </cell>
          <cell r="AA2313" t="str">
            <v>SERVICIO DE SALUD BIO-BIO</v>
          </cell>
        </row>
        <row r="2314">
          <cell r="Z2314" t="str">
            <v>MOBILIARIO CLINICO</v>
          </cell>
          <cell r="AA2314" t="str">
            <v>SERVICIO DE SALUD BIO-BIO</v>
          </cell>
        </row>
        <row r="2315">
          <cell r="Z2315" t="str">
            <v>MOBILIARIO CLINICO</v>
          </cell>
          <cell r="AA2315" t="str">
            <v>SERVICIO DE SALUD BIO-BIO</v>
          </cell>
        </row>
        <row r="2316">
          <cell r="Z2316" t="str">
            <v>MOBILIARIO CLINICO</v>
          </cell>
          <cell r="AA2316" t="str">
            <v>SERVICIO DE SALUD BIO-BIO</v>
          </cell>
        </row>
        <row r="2317">
          <cell r="Z2317" t="str">
            <v>MOBILIARIO CLINICO</v>
          </cell>
          <cell r="AA2317" t="str">
            <v>SERVICIO DE SALUD BIO-BIO</v>
          </cell>
        </row>
        <row r="2318">
          <cell r="Z2318" t="str">
            <v>MOBILIARIO CLINICO</v>
          </cell>
          <cell r="AA2318" t="str">
            <v>SERVICIO DE SALUD BIO-BIO</v>
          </cell>
        </row>
        <row r="2319">
          <cell r="Z2319" t="str">
            <v>MOBILIARIO CLINICO</v>
          </cell>
          <cell r="AA2319" t="str">
            <v>SERVICIO DE SALUD BIO-BIO</v>
          </cell>
        </row>
        <row r="2320">
          <cell r="Z2320" t="str">
            <v>MOBILIARIO CLINICO</v>
          </cell>
          <cell r="AA2320" t="str">
            <v>SERVICIO DE SALUD BIO-BIO</v>
          </cell>
        </row>
        <row r="2321">
          <cell r="Z2321" t="str">
            <v>MOBILIARIO CLINICO</v>
          </cell>
          <cell r="AA2321" t="str">
            <v>SERVICIO DE SALUD BIO-BIO</v>
          </cell>
        </row>
        <row r="2322">
          <cell r="Z2322" t="str">
            <v>MOBILIARIO CLINICO</v>
          </cell>
          <cell r="AA2322" t="str">
            <v>SERVICIO DE SALUD BIO-BIO</v>
          </cell>
        </row>
        <row r="2323">
          <cell r="Z2323" t="str">
            <v>MOBILIARIO CLINICO</v>
          </cell>
          <cell r="AA2323" t="str">
            <v>SERVICIO DE SALUD BIO-BIO</v>
          </cell>
        </row>
        <row r="2324">
          <cell r="Z2324" t="str">
            <v>MOBILIARIO CLINICO</v>
          </cell>
          <cell r="AA2324" t="str">
            <v>SERVICIO DE SALUD BIO-BIO</v>
          </cell>
        </row>
        <row r="2325">
          <cell r="Z2325" t="str">
            <v>MOBILIARIO CLINICO</v>
          </cell>
          <cell r="AA2325" t="str">
            <v>SERVICIO DE SALUD BIO-BIO</v>
          </cell>
        </row>
        <row r="2326">
          <cell r="Z2326" t="str">
            <v>MOBILIARIO CLINICO</v>
          </cell>
          <cell r="AA2326" t="str">
            <v>SERVICIO DE SALUD BIO-BIO</v>
          </cell>
        </row>
        <row r="2327">
          <cell r="Z2327" t="str">
            <v>MOBILIARIO CLINICO</v>
          </cell>
          <cell r="AA2327" t="str">
            <v>SERVICIO DE SALUD BIO-BIO</v>
          </cell>
        </row>
        <row r="2328">
          <cell r="Z2328" t="str">
            <v>MOBILIARIO CLINICO</v>
          </cell>
          <cell r="AA2328" t="str">
            <v>SERVICIO DE SALUD BIO-BIO</v>
          </cell>
        </row>
        <row r="2329">
          <cell r="Z2329" t="str">
            <v>MOBILIARIO CLINICO</v>
          </cell>
          <cell r="AA2329" t="str">
            <v>SERVICIO DE SALUD BIO-BIO</v>
          </cell>
        </row>
        <row r="2330">
          <cell r="Z2330" t="str">
            <v>MOBILIARIO CLINICO</v>
          </cell>
          <cell r="AA2330" t="str">
            <v>SERVICIO DE SALUD BIO-BIO</v>
          </cell>
        </row>
        <row r="2331">
          <cell r="Z2331" t="str">
            <v>MOBILIARIO CLINICO</v>
          </cell>
          <cell r="AA2331" t="str">
            <v>SERVICIO DE SALUD BIO-BIO</v>
          </cell>
        </row>
        <row r="2332">
          <cell r="Z2332" t="str">
            <v>MOBILIARIO CLINICO</v>
          </cell>
          <cell r="AA2332" t="str">
            <v>SERVICIO DE SALUD BIO-BIO</v>
          </cell>
        </row>
        <row r="2333">
          <cell r="Z2333" t="str">
            <v>MOBILIARIO CLINICO</v>
          </cell>
          <cell r="AA2333" t="str">
            <v>SERVICIO DE SALUD BIO-BIO</v>
          </cell>
        </row>
        <row r="2334">
          <cell r="Z2334" t="str">
            <v>MOBILIARIO CLINICO</v>
          </cell>
          <cell r="AA2334" t="str">
            <v>SERVICIO DE SALUD BIO-BIO</v>
          </cell>
        </row>
        <row r="2335">
          <cell r="Z2335" t="str">
            <v>MOBILIARIO CLINICO</v>
          </cell>
          <cell r="AA2335" t="str">
            <v>SERVICIO DE SALUD BIO-BIO</v>
          </cell>
        </row>
        <row r="2336">
          <cell r="Z2336" t="str">
            <v>MOBILIARIO CLINICO</v>
          </cell>
          <cell r="AA2336" t="str">
            <v>SERVICIO DE SALUD BIO-BIO</v>
          </cell>
        </row>
        <row r="2337">
          <cell r="Z2337" t="str">
            <v>MOBILIARIO CLINICO</v>
          </cell>
          <cell r="AA2337" t="str">
            <v>SERVICIO DE SALUD BIO-BIO</v>
          </cell>
        </row>
        <row r="2338">
          <cell r="Z2338" t="str">
            <v>MOBILIARIO CLINICO</v>
          </cell>
          <cell r="AA2338" t="str">
            <v>SERVICIO DE SALUD BIO-BIO</v>
          </cell>
        </row>
        <row r="2339">
          <cell r="Z2339" t="str">
            <v>MOBILIARIO CLINICO</v>
          </cell>
          <cell r="AA2339" t="str">
            <v>SERVICIO DE SALUD BIO-BIO</v>
          </cell>
        </row>
        <row r="2340">
          <cell r="Z2340" t="str">
            <v>MOBILIARIO CLINICO</v>
          </cell>
          <cell r="AA2340" t="str">
            <v>SERVICIO DE SALUD BIO-BIO</v>
          </cell>
        </row>
        <row r="2341">
          <cell r="Z2341" t="str">
            <v>MOBILIARIO CLINICO</v>
          </cell>
          <cell r="AA2341" t="str">
            <v>SERVICIO DE SALUD BIO-BIO</v>
          </cell>
        </row>
        <row r="2342">
          <cell r="Z2342" t="str">
            <v>MOBILIARIO CLINICO</v>
          </cell>
          <cell r="AA2342" t="str">
            <v>SERVICIO DE SALUD BIO-BIO</v>
          </cell>
        </row>
        <row r="2343">
          <cell r="Z2343" t="str">
            <v>MOBILIARIO CLINICO</v>
          </cell>
          <cell r="AA2343" t="str">
            <v>SERVICIO DE SALUD BIO-BIO</v>
          </cell>
        </row>
        <row r="2344">
          <cell r="Z2344" t="str">
            <v>MOBILIARIO CLINICO</v>
          </cell>
          <cell r="AA2344" t="str">
            <v>SERVICIO DE SALUD BIO-BIO</v>
          </cell>
        </row>
        <row r="2345">
          <cell r="Z2345" t="str">
            <v>MOBILIARIO CLINICO</v>
          </cell>
          <cell r="AA2345" t="str">
            <v>SERVICIO DE SALUD BIO-BIO</v>
          </cell>
        </row>
        <row r="2346">
          <cell r="Z2346" t="str">
            <v>MOBILIARIO CLINICO</v>
          </cell>
          <cell r="AA2346" t="str">
            <v>SERVICIO DE SALUD BIO-BIO</v>
          </cell>
        </row>
        <row r="2347">
          <cell r="Z2347" t="str">
            <v>MOBILIARIO CLINICO</v>
          </cell>
          <cell r="AA2347" t="str">
            <v>SERVICIO DE SALUD BIO-BIO</v>
          </cell>
        </row>
        <row r="2348">
          <cell r="Z2348" t="str">
            <v>MOBILIARIO CLINICO</v>
          </cell>
          <cell r="AA2348" t="str">
            <v>SERVICIO DE SALUD BIO-BIO</v>
          </cell>
        </row>
        <row r="2349">
          <cell r="Z2349" t="str">
            <v>MOBILIARIO CLINICO</v>
          </cell>
          <cell r="AA2349" t="str">
            <v>SERVICIO DE SALUD BIO-BIO</v>
          </cell>
        </row>
        <row r="2350">
          <cell r="Z2350" t="str">
            <v>MOBILIARIO CLINICO</v>
          </cell>
          <cell r="AA2350" t="str">
            <v>SERVICIO DE SALUD BIO-BIO</v>
          </cell>
        </row>
        <row r="2351">
          <cell r="Z2351" t="str">
            <v>MOBILIARIO CLINICO</v>
          </cell>
          <cell r="AA2351" t="str">
            <v>SERVICIO DE SALUD BIO-BIO</v>
          </cell>
        </row>
        <row r="2352">
          <cell r="Z2352" t="str">
            <v>MOBILIARIO CLINICO</v>
          </cell>
          <cell r="AA2352" t="str">
            <v>SERVICIO DE SALUD BIO-BIO</v>
          </cell>
        </row>
        <row r="2353">
          <cell r="Z2353" t="str">
            <v>MOBILIARIO CLINICO</v>
          </cell>
          <cell r="AA2353" t="str">
            <v>SERVICIO DE SALUD BIO-BIO</v>
          </cell>
        </row>
        <row r="2354">
          <cell r="Z2354" t="str">
            <v>MOBILIARIO CLINICO</v>
          </cell>
          <cell r="AA2354" t="str">
            <v>SERVICIO DE SALUD BIO-BIO</v>
          </cell>
        </row>
        <row r="2355">
          <cell r="Z2355" t="str">
            <v>MOBILIARIO CLINICO</v>
          </cell>
          <cell r="AA2355" t="str">
            <v>SERVICIO DE SALUD BIO-BIO</v>
          </cell>
        </row>
        <row r="2356">
          <cell r="Z2356" t="str">
            <v>MOBILIARIO CLINICO</v>
          </cell>
          <cell r="AA2356" t="str">
            <v>SERVICIO DE SALUD BIO-BIO</v>
          </cell>
        </row>
        <row r="2357">
          <cell r="Z2357" t="str">
            <v>MOBILIARIO CLINICO</v>
          </cell>
          <cell r="AA2357" t="str">
            <v>SERVICIO DE SALUD BIO-BIO</v>
          </cell>
        </row>
        <row r="2358">
          <cell r="Z2358" t="str">
            <v>MOBILIARIO CLINICO</v>
          </cell>
          <cell r="AA2358" t="str">
            <v>SERVICIO DE SALUD BIO-BIO</v>
          </cell>
        </row>
        <row r="2359">
          <cell r="Z2359" t="str">
            <v>MOBILIARIO CLINICO</v>
          </cell>
          <cell r="AA2359" t="str">
            <v>SERVICIO DE SALUD BIO-BIO</v>
          </cell>
        </row>
        <row r="2360">
          <cell r="Z2360" t="str">
            <v>MOBILIARIO CLINICO</v>
          </cell>
          <cell r="AA2360" t="str">
            <v>SERVICIO DE SALUD BIO-BIO</v>
          </cell>
        </row>
        <row r="2361">
          <cell r="Z2361" t="str">
            <v>MOBILIARIO CLINICO</v>
          </cell>
          <cell r="AA2361" t="str">
            <v>SERVICIO DE SALUD BIO-BIO</v>
          </cell>
        </row>
        <row r="2362">
          <cell r="Z2362" t="str">
            <v>MOBILIARIO CLINICO</v>
          </cell>
          <cell r="AA2362" t="str">
            <v>SERVICIO DE SALUD BIO-BIO</v>
          </cell>
        </row>
        <row r="2363">
          <cell r="Z2363" t="str">
            <v>MOBILIARIO CLINICO</v>
          </cell>
          <cell r="AA2363" t="str">
            <v>SERVICIO DE SALUD BIO-BIO</v>
          </cell>
        </row>
        <row r="2364">
          <cell r="Z2364" t="str">
            <v>MOBILIARIO CLINICO</v>
          </cell>
          <cell r="AA2364" t="str">
            <v>SERVICIO DE SALUD BIO-BIO</v>
          </cell>
        </row>
        <row r="2365">
          <cell r="Z2365" t="str">
            <v>MOBILIARIO CLINICO</v>
          </cell>
          <cell r="AA2365" t="str">
            <v>SERVICIO DE SALUD BIO-BIO</v>
          </cell>
        </row>
        <row r="2366">
          <cell r="Z2366" t="str">
            <v>MOBILIARIO CLINICO</v>
          </cell>
          <cell r="AA2366" t="str">
            <v>SERVICIO DE SALUD BIO-BIO</v>
          </cell>
        </row>
        <row r="2367">
          <cell r="Z2367" t="str">
            <v>MOBILIARIO CLINICO</v>
          </cell>
          <cell r="AA2367" t="str">
            <v>SERVICIO DE SALUD BIO-BIO</v>
          </cell>
        </row>
        <row r="2368">
          <cell r="Z2368" t="str">
            <v>MOBILIARIO CLINICO</v>
          </cell>
          <cell r="AA2368" t="str">
            <v>SERVICIO DE SALUD BIO-BIO</v>
          </cell>
        </row>
        <row r="2369">
          <cell r="Z2369" t="str">
            <v>MOBILIARIO CLINICO</v>
          </cell>
          <cell r="AA2369" t="str">
            <v>SERVICIO DE SALUD BIO-BIO</v>
          </cell>
        </row>
        <row r="2370">
          <cell r="Z2370" t="str">
            <v>MOBILIARIO CLINICO</v>
          </cell>
          <cell r="AA2370" t="str">
            <v>SERVICIO DE SALUD BIO-BIO</v>
          </cell>
        </row>
        <row r="2371">
          <cell r="Z2371" t="str">
            <v>MOBILIARIO CLINICO</v>
          </cell>
          <cell r="AA2371" t="str">
            <v>SERVICIO DE SALUD BIO-BIO</v>
          </cell>
        </row>
        <row r="2372">
          <cell r="Z2372" t="str">
            <v>MOBILIARIO CLINICO</v>
          </cell>
          <cell r="AA2372" t="str">
            <v>SERVICIO DE SALUD BIO-BIO</v>
          </cell>
        </row>
        <row r="2373">
          <cell r="Z2373" t="str">
            <v>MOBILIARIO CLINICO</v>
          </cell>
          <cell r="AA2373" t="str">
            <v>SERVICIO DE SALUD BIO-BIO</v>
          </cell>
        </row>
        <row r="2374">
          <cell r="Z2374" t="str">
            <v>MOBILIARIO CLINICO</v>
          </cell>
          <cell r="AA2374" t="str">
            <v>SERVICIO DE SALUD BIO-BIO</v>
          </cell>
        </row>
        <row r="2375">
          <cell r="Z2375" t="str">
            <v>MOBILIARIO CLINICO</v>
          </cell>
          <cell r="AA2375" t="str">
            <v>SERVICIO DE SALUD BIO-BIO</v>
          </cell>
        </row>
        <row r="2376">
          <cell r="Z2376" t="str">
            <v>MOBILIARIO CLINICO</v>
          </cell>
          <cell r="AA2376" t="str">
            <v>SERVICIO DE SALUD BIO-BIO</v>
          </cell>
        </row>
        <row r="2377">
          <cell r="Z2377" t="str">
            <v>MOBILIARIO CLINICO</v>
          </cell>
          <cell r="AA2377" t="str">
            <v>SERVICIO DE SALUD BIO-BIO</v>
          </cell>
        </row>
        <row r="2378">
          <cell r="Z2378" t="str">
            <v>MOBILIARIO CLINICO</v>
          </cell>
          <cell r="AA2378" t="str">
            <v>SERVICIO DE SALUD BIO-BIO</v>
          </cell>
        </row>
        <row r="2379">
          <cell r="Z2379" t="str">
            <v>MOBILIARIO CLINICO</v>
          </cell>
          <cell r="AA2379" t="str">
            <v>SERVICIO DE SALUD BIO-BIO</v>
          </cell>
        </row>
        <row r="2380">
          <cell r="Z2380" t="str">
            <v>MOBILIARIO CLINICO</v>
          </cell>
          <cell r="AA2380" t="str">
            <v>SERVICIO DE SALUD BIO-BIO</v>
          </cell>
        </row>
        <row r="2381">
          <cell r="Z2381" t="str">
            <v>MOBILIARIO CLINICO</v>
          </cell>
          <cell r="AA2381" t="str">
            <v>SERVICIO DE SALUD BIO-BIO</v>
          </cell>
        </row>
        <row r="2382">
          <cell r="Z2382" t="str">
            <v>MOBILIARIO CLINICO</v>
          </cell>
          <cell r="AA2382" t="str">
            <v>SERVICIO DE SALUD BIO-BIO</v>
          </cell>
        </row>
        <row r="2383">
          <cell r="Z2383" t="str">
            <v>MOBILIARIO CLINICO</v>
          </cell>
          <cell r="AA2383" t="str">
            <v>SERVICIO DE SALUD BIO-BIO</v>
          </cell>
        </row>
        <row r="2384">
          <cell r="Z2384" t="str">
            <v>MOBILIARIO CLINICO</v>
          </cell>
          <cell r="AA2384" t="str">
            <v>SERVICIO DE SALUD BIO-BIO</v>
          </cell>
        </row>
        <row r="2385">
          <cell r="Z2385" t="str">
            <v>MOBILIARIO CLINICO</v>
          </cell>
          <cell r="AA2385" t="str">
            <v>SERVICIO DE SALUD BIO-BIO</v>
          </cell>
        </row>
        <row r="2386">
          <cell r="Z2386" t="str">
            <v>MOBILIARIO CLINICO</v>
          </cell>
          <cell r="AA2386" t="str">
            <v>SERVICIO DE SALUD BIO-BIO</v>
          </cell>
        </row>
        <row r="2387">
          <cell r="Z2387" t="str">
            <v>MOBILIARIO CLINICO</v>
          </cell>
          <cell r="AA2387" t="str">
            <v>SERVICIO DE SALUD BIO-BIO</v>
          </cell>
        </row>
        <row r="2388">
          <cell r="Z2388" t="str">
            <v>MOBILIARIO CLINICO</v>
          </cell>
          <cell r="AA2388" t="str">
            <v>SERVICIO DE SALUD BIO-BIO</v>
          </cell>
        </row>
        <row r="2389">
          <cell r="Z2389" t="str">
            <v>MOBILIARIO CLINICO</v>
          </cell>
          <cell r="AA2389" t="str">
            <v>SERVICIO DE SALUD BIO-BIO</v>
          </cell>
        </row>
        <row r="2390">
          <cell r="Z2390" t="str">
            <v>MOBILIARIO CLINICO</v>
          </cell>
          <cell r="AA2390" t="str">
            <v>SERVICIO DE SALUD BIO-BIO</v>
          </cell>
        </row>
        <row r="2391">
          <cell r="Z2391" t="str">
            <v>MOBILIARIO CLINICO</v>
          </cell>
          <cell r="AA2391" t="str">
            <v>SERVICIO DE SALUD BIO-BIO</v>
          </cell>
        </row>
        <row r="2392">
          <cell r="Z2392" t="str">
            <v>MOBILIARIO CLINICO</v>
          </cell>
          <cell r="AA2392" t="str">
            <v>SERVICIO DE SALUD BIO-BIO</v>
          </cell>
        </row>
        <row r="2393">
          <cell r="Z2393" t="str">
            <v>MOBILIARIO CLINICO</v>
          </cell>
          <cell r="AA2393" t="str">
            <v>SERVICIO DE SALUD BIO-BIO</v>
          </cell>
        </row>
        <row r="2394">
          <cell r="Z2394" t="str">
            <v>MOBILIARIO CLINICO</v>
          </cell>
          <cell r="AA2394" t="str">
            <v>SERVICIO DE SALUD BIO-BIO</v>
          </cell>
        </row>
        <row r="2395">
          <cell r="Z2395" t="str">
            <v>MOBILIARIO CLINICO</v>
          </cell>
          <cell r="AA2395" t="str">
            <v>SERVICIO DE SALUD BIO-BIO</v>
          </cell>
        </row>
        <row r="2396">
          <cell r="Z2396" t="str">
            <v>MOBILIARIO CLINICO</v>
          </cell>
          <cell r="AA2396" t="str">
            <v>SERVICIO DE SALUD BIO-BIO</v>
          </cell>
        </row>
        <row r="2397">
          <cell r="Z2397" t="str">
            <v>MOBILIARIO CLINICO</v>
          </cell>
          <cell r="AA2397" t="str">
            <v>SERVICIO DE SALUD BIO-BIO</v>
          </cell>
        </row>
        <row r="2398">
          <cell r="Z2398" t="str">
            <v>MOBILIARIO CLINICO</v>
          </cell>
          <cell r="AA2398" t="str">
            <v>SERVICIO DE SALUD BIO-BIO</v>
          </cell>
        </row>
        <row r="2399">
          <cell r="Z2399" t="str">
            <v>MOBILIARIO CLINICO</v>
          </cell>
          <cell r="AA2399" t="str">
            <v>SERVICIO DE SALUD BIO-BIO</v>
          </cell>
        </row>
        <row r="2400">
          <cell r="Z2400" t="str">
            <v>MOBILIARIO CLINICO</v>
          </cell>
          <cell r="AA2400" t="str">
            <v>SERVICIO DE SALUD BIO-BIO</v>
          </cell>
        </row>
        <row r="2401">
          <cell r="Z2401" t="str">
            <v>MOBILIARIO CLINICO</v>
          </cell>
          <cell r="AA2401" t="str">
            <v>SERVICIO DE SALUD BIO-BIO</v>
          </cell>
        </row>
        <row r="2402">
          <cell r="Z2402" t="str">
            <v>MOBILIARIO CLINICO</v>
          </cell>
          <cell r="AA2402" t="str">
            <v>SERVICIO DE SALUD BIO-BIO</v>
          </cell>
        </row>
        <row r="2403">
          <cell r="Z2403" t="str">
            <v>MOBILIARIO CLINICO</v>
          </cell>
          <cell r="AA2403" t="str">
            <v>SERVICIO DE SALUD BIO-BIO</v>
          </cell>
        </row>
        <row r="2404">
          <cell r="Z2404" t="str">
            <v>MOBILIARIO CLINICO</v>
          </cell>
          <cell r="AA2404" t="str">
            <v>SERVICIO DE SALUD BIO-BIO</v>
          </cell>
        </row>
        <row r="2405">
          <cell r="Z2405" t="str">
            <v>MOBILIARIO CLINICO</v>
          </cell>
          <cell r="AA2405" t="str">
            <v>SERVICIO DE SALUD BIO-BIO</v>
          </cell>
        </row>
        <row r="2406">
          <cell r="Z2406" t="str">
            <v>MOBILIARIO CLINICO</v>
          </cell>
          <cell r="AA2406" t="str">
            <v>SERVICIO DE SALUD BIO-BIO</v>
          </cell>
        </row>
        <row r="2407">
          <cell r="Z2407" t="str">
            <v>MOBILIARIO CLINICO</v>
          </cell>
          <cell r="AA2407" t="str">
            <v>SERVICIO DE SALUD BIO-BIO</v>
          </cell>
        </row>
        <row r="2408">
          <cell r="Z2408" t="str">
            <v>MOBILIARIO CLINICO</v>
          </cell>
          <cell r="AA2408" t="str">
            <v>SERVICIO DE SALUD BIO-BIO</v>
          </cell>
        </row>
        <row r="2409">
          <cell r="Z2409" t="str">
            <v>MOBILIARIO CLINICO</v>
          </cell>
          <cell r="AA2409" t="str">
            <v>SERVICIO DE SALUD BIO-BIO</v>
          </cell>
        </row>
        <row r="2410">
          <cell r="Z2410" t="str">
            <v>MOBILIARIO CLINICO</v>
          </cell>
          <cell r="AA2410" t="str">
            <v>SERVICIO DE SALUD BIO-BIO</v>
          </cell>
        </row>
        <row r="2411">
          <cell r="Z2411" t="str">
            <v>MOBILIARIO CLINICO</v>
          </cell>
          <cell r="AA2411" t="str">
            <v>SERVICIO DE SALUD BIO-BIO</v>
          </cell>
        </row>
        <row r="2412">
          <cell r="Z2412" t="str">
            <v>MOBILIARIO CLINICO</v>
          </cell>
          <cell r="AA2412" t="str">
            <v>SERVICIO DE SALUD BIO-BIO</v>
          </cell>
        </row>
        <row r="2413">
          <cell r="Z2413" t="str">
            <v>MOBILIARIO CLINICO</v>
          </cell>
          <cell r="AA2413" t="str">
            <v>SERVICIO DE SALUD BIO-BIO</v>
          </cell>
        </row>
        <row r="2414">
          <cell r="Z2414" t="str">
            <v>MOBILIARIO CLINICO</v>
          </cell>
          <cell r="AA2414" t="str">
            <v>SERVICIO DE SALUD BIO-BIO</v>
          </cell>
        </row>
        <row r="2415">
          <cell r="Z2415" t="str">
            <v>MOBILIARIO CLINICO</v>
          </cell>
          <cell r="AA2415" t="str">
            <v>SERVICIO DE SALUD BIO-BIO</v>
          </cell>
        </row>
        <row r="2416">
          <cell r="Z2416" t="str">
            <v>MOBILIARIO CLINICO</v>
          </cell>
          <cell r="AA2416" t="str">
            <v>SERVICIO DE SALUD BIO-BIO</v>
          </cell>
        </row>
        <row r="2417">
          <cell r="Z2417" t="str">
            <v>MOBILIARIO CLINICO</v>
          </cell>
          <cell r="AA2417" t="str">
            <v>SERVICIO DE SALUD BIO-BIO</v>
          </cell>
        </row>
        <row r="2418">
          <cell r="Z2418" t="str">
            <v>MOBILIARIO CLINICO</v>
          </cell>
          <cell r="AA2418" t="str">
            <v>SERVICIO DE SALUD BIO-BIO</v>
          </cell>
        </row>
        <row r="2419">
          <cell r="Z2419" t="str">
            <v>MOBILIARIO CLINICO</v>
          </cell>
          <cell r="AA2419" t="str">
            <v>SERVICIO DE SALUD BIO-BIO</v>
          </cell>
        </row>
        <row r="2420">
          <cell r="Z2420" t="str">
            <v>MOBILIARIO CLINICO</v>
          </cell>
          <cell r="AA2420" t="str">
            <v>SERVICIO DE SALUD BIO-BIO</v>
          </cell>
        </row>
        <row r="2421">
          <cell r="Z2421" t="str">
            <v>MOBILIARIO CLINICO</v>
          </cell>
          <cell r="AA2421" t="str">
            <v>SERVICIO DE SALUD BIO-BIO</v>
          </cell>
        </row>
        <row r="2422">
          <cell r="Z2422" t="str">
            <v>MOBILIARIO CLINICO</v>
          </cell>
          <cell r="AA2422" t="str">
            <v>SERVICIO DE SALUD BIO-BIO</v>
          </cell>
        </row>
        <row r="2423">
          <cell r="Z2423" t="str">
            <v>MOBILIARIO CLINICO</v>
          </cell>
          <cell r="AA2423" t="str">
            <v>SERVICIO DE SALUD BIO-BIO</v>
          </cell>
        </row>
        <row r="2424">
          <cell r="Z2424" t="str">
            <v>MOBILIARIO CLINICO</v>
          </cell>
          <cell r="AA2424" t="str">
            <v>SERVICIO DE SALUD BIO-BIO</v>
          </cell>
        </row>
        <row r="2425">
          <cell r="Z2425" t="str">
            <v>MOBILIARIO CLINICO</v>
          </cell>
          <cell r="AA2425" t="str">
            <v>SERVICIO DE SALUD BIO-BIO</v>
          </cell>
        </row>
        <row r="2426">
          <cell r="Z2426" t="str">
            <v>MOBILIARIO CLINICO</v>
          </cell>
          <cell r="AA2426" t="str">
            <v>SERVICIO DE SALUD BIO-BIO</v>
          </cell>
        </row>
        <row r="2427">
          <cell r="Z2427" t="str">
            <v>MOBILIARIO CLINICO</v>
          </cell>
          <cell r="AA2427" t="str">
            <v>SERVICIO DE SALUD BIO-BIO</v>
          </cell>
        </row>
        <row r="2428">
          <cell r="Z2428" t="str">
            <v>MOBILIARIO CLINICO</v>
          </cell>
          <cell r="AA2428" t="str">
            <v>SERVICIO DE SALUD BIO-BIO</v>
          </cell>
        </row>
        <row r="2429">
          <cell r="Z2429" t="str">
            <v>MOBILIARIO CLINICO</v>
          </cell>
          <cell r="AA2429" t="str">
            <v>SERVICIO DE SALUD BIO-BIO</v>
          </cell>
        </row>
        <row r="2430">
          <cell r="Z2430" t="str">
            <v>MOBILIARIO CLINICO</v>
          </cell>
          <cell r="AA2430" t="str">
            <v>SERVICIO DE SALUD BIO-BIO</v>
          </cell>
        </row>
        <row r="2431">
          <cell r="Z2431" t="str">
            <v>MOBILIARIO CLINICO</v>
          </cell>
          <cell r="AA2431" t="str">
            <v>SERVICIO DE SALUD BIO-BIO</v>
          </cell>
        </row>
        <row r="2432">
          <cell r="Z2432" t="str">
            <v>MOBILIARIO CLINICO</v>
          </cell>
          <cell r="AA2432" t="str">
            <v>SERVICIO DE SALUD BIO-BIO</v>
          </cell>
        </row>
        <row r="2433">
          <cell r="Z2433" t="str">
            <v>MOBILIARIO CLINICO</v>
          </cell>
          <cell r="AA2433" t="str">
            <v>SERVICIO DE SALUD BIO-BIO</v>
          </cell>
        </row>
        <row r="2434">
          <cell r="Z2434" t="str">
            <v>MOBILIARIO CLINICO</v>
          </cell>
          <cell r="AA2434" t="str">
            <v>SERVICIO DE SALUD BIO-BIO</v>
          </cell>
        </row>
        <row r="2435">
          <cell r="Z2435" t="str">
            <v>MOBILIARIO CLINICO</v>
          </cell>
          <cell r="AA2435" t="str">
            <v>SERVICIO DE SALUD BIO-BIO</v>
          </cell>
        </row>
        <row r="2436">
          <cell r="Z2436" t="str">
            <v>MOBILIARIO CLINICO</v>
          </cell>
          <cell r="AA2436" t="str">
            <v>SERVICIO DE SALUD BIO-BIO</v>
          </cell>
        </row>
        <row r="2437">
          <cell r="Z2437" t="str">
            <v>MOBILIARIO CLINICO</v>
          </cell>
          <cell r="AA2437" t="str">
            <v>SERVICIO DE SALUD BIO-BIO</v>
          </cell>
        </row>
        <row r="2438">
          <cell r="Z2438" t="str">
            <v>MOBILIARIO CLINICO</v>
          </cell>
          <cell r="AA2438" t="str">
            <v>SERVICIO DE SALUD BIO-BIO</v>
          </cell>
        </row>
        <row r="2439">
          <cell r="Z2439" t="str">
            <v>MOBILIARIO CLINICO</v>
          </cell>
          <cell r="AA2439" t="str">
            <v>SERVICIO DE SALUD BIO-BIO</v>
          </cell>
        </row>
        <row r="2440">
          <cell r="Z2440" t="str">
            <v>MOBILIARIO CLINICO</v>
          </cell>
          <cell r="AA2440" t="str">
            <v>SERVICIO DE SALUD BIO-BIO</v>
          </cell>
        </row>
        <row r="2441">
          <cell r="Z2441" t="str">
            <v>MOBILIARIO CLINICO</v>
          </cell>
          <cell r="AA2441" t="str">
            <v>SERVICIO DE SALUD BIO-BIO</v>
          </cell>
        </row>
        <row r="2442">
          <cell r="Z2442" t="str">
            <v>MOBILIARIO CLINICO</v>
          </cell>
          <cell r="AA2442" t="str">
            <v>SERVICIO DE SALUD BIO-BIO</v>
          </cell>
        </row>
        <row r="2443">
          <cell r="Z2443" t="str">
            <v>MOBILIARIO CLINICO</v>
          </cell>
          <cell r="AA2443" t="str">
            <v>SERVICIO DE SALUD BIO-BIO</v>
          </cell>
        </row>
        <row r="2444">
          <cell r="Z2444" t="str">
            <v>MOBILIARIO CLINICO</v>
          </cell>
          <cell r="AA2444" t="str">
            <v>SERVICIO DE SALUD BIO-BIO</v>
          </cell>
        </row>
        <row r="2445">
          <cell r="Z2445" t="str">
            <v>MOBILIARIO CLINICO</v>
          </cell>
          <cell r="AA2445" t="str">
            <v>SERVICIO DE SALUD BIO-BIO</v>
          </cell>
        </row>
        <row r="2446">
          <cell r="Z2446" t="str">
            <v>MOBILIARIO CLINICO</v>
          </cell>
          <cell r="AA2446" t="str">
            <v>SERVICIO DE SALUD BIO-BIO</v>
          </cell>
        </row>
        <row r="2447">
          <cell r="Z2447" t="str">
            <v>MOBILIARIO CLINICO</v>
          </cell>
          <cell r="AA2447" t="str">
            <v>SERVICIO DE SALUD BIO-BIO</v>
          </cell>
        </row>
        <row r="2448">
          <cell r="Z2448" t="str">
            <v>MOBILIARIO CLINICO</v>
          </cell>
          <cell r="AA2448" t="str">
            <v>SERVICIO DE SALUD BIO-BIO</v>
          </cell>
        </row>
        <row r="2449">
          <cell r="Z2449" t="str">
            <v>MOBILIARIO CLINICO</v>
          </cell>
          <cell r="AA2449" t="str">
            <v>SERVICIO DE SALUD BIO-BIO</v>
          </cell>
        </row>
        <row r="2450">
          <cell r="Z2450" t="str">
            <v>MOBILIARIO CLINICO</v>
          </cell>
          <cell r="AA2450" t="str">
            <v>SERVICIO DE SALUD BIO-BIO</v>
          </cell>
        </row>
        <row r="2451">
          <cell r="Z2451" t="str">
            <v>MOBILIARIO CLINICO</v>
          </cell>
          <cell r="AA2451" t="str">
            <v>SERVICIO DE SALUD BIO-BIO</v>
          </cell>
        </row>
        <row r="2452">
          <cell r="Z2452" t="str">
            <v>MOBILIARIO CLINICO</v>
          </cell>
          <cell r="AA2452" t="str">
            <v>SERVICIO DE SALUD BIO-BIO</v>
          </cell>
        </row>
        <row r="2453">
          <cell r="Z2453" t="str">
            <v>MOBILIARIO CLINICO</v>
          </cell>
          <cell r="AA2453" t="str">
            <v>SERVICIO DE SALUD BIO-BIO</v>
          </cell>
        </row>
        <row r="2454">
          <cell r="Z2454" t="str">
            <v>MOBILIARIO CLINICO</v>
          </cell>
          <cell r="AA2454" t="str">
            <v>SERVICIO DE SALUD BIO-BIO</v>
          </cell>
        </row>
        <row r="2455">
          <cell r="Z2455" t="str">
            <v>MOBILIARIO CLINICO</v>
          </cell>
          <cell r="AA2455" t="str">
            <v>SERVICIO DE SALUD BIO-BIO</v>
          </cell>
        </row>
        <row r="2456">
          <cell r="Z2456" t="str">
            <v>MOBILIARIO CLINICO</v>
          </cell>
          <cell r="AA2456" t="str">
            <v>SERVICIO DE SALUD BIO-BIO</v>
          </cell>
        </row>
        <row r="2457">
          <cell r="Z2457" t="str">
            <v>MOBILIARIO CLINICO</v>
          </cell>
          <cell r="AA2457" t="str">
            <v>SERVICIO DE SALUD BIO-BIO</v>
          </cell>
        </row>
        <row r="2458">
          <cell r="Z2458" t="str">
            <v>MOBILIARIO CLINICO</v>
          </cell>
          <cell r="AA2458" t="str">
            <v>SERVICIO DE SALUD BIO-BIO</v>
          </cell>
        </row>
        <row r="2459">
          <cell r="Z2459" t="str">
            <v>MOBILIARIO CLINICO</v>
          </cell>
          <cell r="AA2459" t="str">
            <v>SERVICIO DE SALUD BIO-BIO</v>
          </cell>
        </row>
        <row r="2460">
          <cell r="Z2460" t="str">
            <v>MOBILIARIO CLINICO</v>
          </cell>
          <cell r="AA2460" t="str">
            <v>SERVICIO DE SALUD BIO-BIO</v>
          </cell>
        </row>
        <row r="2461">
          <cell r="Z2461" t="str">
            <v>MOBILIARIO CLINICO</v>
          </cell>
          <cell r="AA2461" t="str">
            <v>SERVICIO DE SALUD BIO-BIO</v>
          </cell>
        </row>
        <row r="2462">
          <cell r="Z2462" t="str">
            <v>MOBILIARIO CLINICO</v>
          </cell>
          <cell r="AA2462" t="str">
            <v>SERVICIO DE SALUD BIO-BIO</v>
          </cell>
        </row>
        <row r="2463">
          <cell r="Z2463" t="str">
            <v>MOBILIARIO CLINICO</v>
          </cell>
          <cell r="AA2463" t="str">
            <v>SERVICIO DE SALUD BIO-BIO</v>
          </cell>
        </row>
        <row r="2464">
          <cell r="Z2464" t="str">
            <v>MOBILIARIO CLINICO</v>
          </cell>
          <cell r="AA2464" t="str">
            <v>SERVICIO DE SALUD BIO-BIO</v>
          </cell>
        </row>
        <row r="2465">
          <cell r="Z2465" t="str">
            <v>MOBILIARIO CLINICO</v>
          </cell>
          <cell r="AA2465" t="str">
            <v>SERVICIO DE SALUD BIO-BIO</v>
          </cell>
        </row>
        <row r="2466">
          <cell r="Z2466" t="str">
            <v>MOBILIARIO CLINICO</v>
          </cell>
          <cell r="AA2466" t="str">
            <v>SERVICIO DE SALUD BIO-BIO</v>
          </cell>
        </row>
        <row r="2467">
          <cell r="Z2467" t="str">
            <v>MOBILIARIO CLINICO</v>
          </cell>
          <cell r="AA2467" t="str">
            <v>SERVICIO DE SALUD BIO-BIO</v>
          </cell>
        </row>
        <row r="2468">
          <cell r="Z2468" t="str">
            <v>MOBILIARIO CLINICO</v>
          </cell>
          <cell r="AA2468" t="str">
            <v>SERVICIO DE SALUD BIO-BIO</v>
          </cell>
        </row>
        <row r="2469">
          <cell r="Z2469" t="str">
            <v>MOBILIARIO CLINICO</v>
          </cell>
          <cell r="AA2469" t="str">
            <v>SERVICIO DE SALUD BIO-BIO</v>
          </cell>
        </row>
        <row r="2470">
          <cell r="Z2470" t="str">
            <v>MOBILIARIO CLINICO</v>
          </cell>
          <cell r="AA2470" t="str">
            <v>SERVICIO DE SALUD BIO-BIO</v>
          </cell>
        </row>
        <row r="2471">
          <cell r="Z2471" t="str">
            <v>MOBILIARIO CLINICO</v>
          </cell>
          <cell r="AA2471" t="str">
            <v>SERVICIO DE SALUD BIO-BIO</v>
          </cell>
        </row>
        <row r="2472">
          <cell r="Z2472" t="str">
            <v>MOBILIARIO CLINICO</v>
          </cell>
          <cell r="AA2472" t="str">
            <v>SERVICIO DE SALUD BIO-BIO</v>
          </cell>
        </row>
        <row r="2473">
          <cell r="Z2473" t="str">
            <v>MOBILIARIO CLINICO</v>
          </cell>
          <cell r="AA2473" t="str">
            <v>SERVICIO DE SALUD BIO-BIO</v>
          </cell>
        </row>
        <row r="2474">
          <cell r="Z2474" t="str">
            <v>MOBILIARIO CLINICO</v>
          </cell>
          <cell r="AA2474" t="str">
            <v>SERVICIO DE SALUD BIO-BIO</v>
          </cell>
        </row>
        <row r="2475">
          <cell r="Z2475" t="str">
            <v>MOBILIARIO CLINICO</v>
          </cell>
          <cell r="AA2475" t="str">
            <v>SERVICIO DE SALUD BIO-BIO</v>
          </cell>
        </row>
        <row r="2476">
          <cell r="Z2476" t="str">
            <v>MOBILIARIO CLINICO</v>
          </cell>
          <cell r="AA2476" t="str">
            <v>SERVICIO DE SALUD BIO-BIO</v>
          </cell>
        </row>
        <row r="2477">
          <cell r="Z2477" t="str">
            <v>MOBILIARIO CLINICO</v>
          </cell>
          <cell r="AA2477" t="str">
            <v>SERVICIO DE SALUD BIO-BIO</v>
          </cell>
        </row>
        <row r="2478">
          <cell r="Z2478" t="str">
            <v>MOBILIARIO CLINICO</v>
          </cell>
          <cell r="AA2478" t="str">
            <v>SERVICIO DE SALUD BIO-BIO</v>
          </cell>
        </row>
        <row r="2479">
          <cell r="Z2479" t="str">
            <v>MOBILIARIO CLINICO</v>
          </cell>
          <cell r="AA2479" t="str">
            <v>SERVICIO DE SALUD BIO-BIO</v>
          </cell>
        </row>
        <row r="2480">
          <cell r="Z2480" t="str">
            <v>MOBILIARIO CLINICO</v>
          </cell>
          <cell r="AA2480" t="str">
            <v>SERVICIO DE SALUD BIO-BIO</v>
          </cell>
        </row>
        <row r="2481">
          <cell r="Z2481" t="str">
            <v>MOBILIARIO CLINICO</v>
          </cell>
          <cell r="AA2481" t="str">
            <v>SERVICIO DE SALUD BIO-BIO</v>
          </cell>
        </row>
        <row r="2482">
          <cell r="Z2482" t="str">
            <v>MOBILIARIO CLINICO</v>
          </cell>
          <cell r="AA2482" t="str">
            <v>SERVICIO DE SALUD BIO-BIO</v>
          </cell>
        </row>
        <row r="2483">
          <cell r="Z2483" t="str">
            <v>MOBILIARIO CLINICO</v>
          </cell>
          <cell r="AA2483" t="str">
            <v>SERVICIO DE SALUD BIO-BIO</v>
          </cell>
        </row>
        <row r="2484">
          <cell r="Z2484" t="str">
            <v>MOBILIARIO CLINICO</v>
          </cell>
          <cell r="AA2484" t="str">
            <v>SERVICIO DE SALUD OSORNO</v>
          </cell>
        </row>
        <row r="2485">
          <cell r="Z2485" t="str">
            <v>MOBILIARIO CLINICO</v>
          </cell>
          <cell r="AA2485" t="str">
            <v>SERVICIO DE SALUD OSORNO</v>
          </cell>
        </row>
        <row r="2486">
          <cell r="Z2486" t="str">
            <v>MOBILIARIO CLINICO</v>
          </cell>
          <cell r="AA2486" t="str">
            <v>SERVICIO DE SALUD OSORNO</v>
          </cell>
        </row>
        <row r="2487">
          <cell r="Z2487" t="str">
            <v>MOBILIARIO CLINICO</v>
          </cell>
          <cell r="AA2487" t="str">
            <v>SERVICIO DE SALUD OSORNO</v>
          </cell>
        </row>
        <row r="2488">
          <cell r="Z2488" t="str">
            <v>MOBILIARIO CLINICO</v>
          </cell>
          <cell r="AA2488" t="str">
            <v>SERVICIO DE SALUD OSORNO</v>
          </cell>
        </row>
        <row r="2489">
          <cell r="Z2489" t="str">
            <v>MOBILIARIO CLINICO</v>
          </cell>
          <cell r="AA2489" t="str">
            <v>SERVICIO DE SALUD OSORNO</v>
          </cell>
        </row>
        <row r="2490">
          <cell r="Z2490" t="str">
            <v>MOBILIARIO CLINICO</v>
          </cell>
          <cell r="AA2490" t="str">
            <v>SERVICIO DE SALUD OSORNO</v>
          </cell>
        </row>
        <row r="2491">
          <cell r="Z2491" t="str">
            <v>MOBILIARIO CLINICO</v>
          </cell>
          <cell r="AA2491" t="str">
            <v>SERVICIO DE SALUD OSORNO</v>
          </cell>
        </row>
        <row r="2492">
          <cell r="Z2492" t="str">
            <v>MOBILIARIO CLINICO</v>
          </cell>
          <cell r="AA2492" t="str">
            <v>SERVICIO DE SALUD OSORNO</v>
          </cell>
        </row>
        <row r="2493">
          <cell r="Z2493" t="str">
            <v>MOBILIARIO CLINICO</v>
          </cell>
          <cell r="AA2493" t="str">
            <v>SERVICIO DE SALUD OSORNO</v>
          </cell>
        </row>
        <row r="2494">
          <cell r="Z2494" t="str">
            <v>MOBILIARIO CLINICO</v>
          </cell>
          <cell r="AA2494" t="str">
            <v>SERVICIO DE SALUD OSORNO</v>
          </cell>
        </row>
        <row r="2495">
          <cell r="Z2495" t="str">
            <v>MOBILIARIO CLINICO</v>
          </cell>
          <cell r="AA2495" t="str">
            <v>SERVICIO DE SALUD OSORNO</v>
          </cell>
        </row>
        <row r="2496">
          <cell r="Z2496" t="str">
            <v>MOBILIARIO CLINICO</v>
          </cell>
          <cell r="AA2496" t="str">
            <v>SERVICIO DE SALUD OSORNO</v>
          </cell>
        </row>
        <row r="2497">
          <cell r="Z2497" t="str">
            <v>MOBILIARIO CLINICO</v>
          </cell>
          <cell r="AA2497" t="str">
            <v>SERVICIO DE SALUD OSORNO</v>
          </cell>
        </row>
        <row r="2498">
          <cell r="Z2498" t="str">
            <v>MOBILIARIO CLINICO</v>
          </cell>
          <cell r="AA2498" t="str">
            <v>SERVICIO DE SALUD OSORNO</v>
          </cell>
        </row>
        <row r="2499">
          <cell r="Z2499" t="str">
            <v>MOBILIARIO CLINICO</v>
          </cell>
          <cell r="AA2499" t="str">
            <v>SERVICIO DE SALUD OSORNO</v>
          </cell>
        </row>
        <row r="2500">
          <cell r="Z2500" t="str">
            <v>MOBILIARIO CLINICO</v>
          </cell>
          <cell r="AA2500" t="str">
            <v>SERVICIO DE SALUD OSORNO</v>
          </cell>
        </row>
        <row r="2501">
          <cell r="Z2501" t="str">
            <v>MOBILIARIO CLINICO</v>
          </cell>
          <cell r="AA2501" t="str">
            <v>SERVICIO DE SALUD OSORNO</v>
          </cell>
        </row>
        <row r="2502">
          <cell r="Z2502" t="str">
            <v>MOBILIARIO CLINICO</v>
          </cell>
          <cell r="AA2502" t="str">
            <v>SERVICIO DE SALUD OSORNO</v>
          </cell>
        </row>
        <row r="2503">
          <cell r="Z2503" t="str">
            <v>MOBILIARIO CLINICO</v>
          </cell>
          <cell r="AA2503" t="str">
            <v>SERVICIO DE SALUD OSORNO</v>
          </cell>
        </row>
        <row r="2504">
          <cell r="Z2504" t="str">
            <v>MOBILIARIO CLINICO</v>
          </cell>
          <cell r="AA2504" t="str">
            <v>SERVICIO DE SALUD OSORNO</v>
          </cell>
        </row>
        <row r="2505">
          <cell r="Z2505" t="str">
            <v>MOBILIARIO CLINICO</v>
          </cell>
          <cell r="AA2505" t="str">
            <v>SERVICIO DE SALUD OSORNO</v>
          </cell>
        </row>
        <row r="2506">
          <cell r="Z2506" t="str">
            <v>MOBILIARIO CLINICO</v>
          </cell>
          <cell r="AA2506" t="str">
            <v>SERVICIO DE SALUD OSORNO</v>
          </cell>
        </row>
        <row r="2507">
          <cell r="Z2507" t="str">
            <v>MOBILIARIO CLINICO</v>
          </cell>
          <cell r="AA2507" t="str">
            <v>SERVICIO DE SALUD OSORNO</v>
          </cell>
        </row>
        <row r="2508">
          <cell r="Z2508" t="str">
            <v>MOBILIARIO CLINICO</v>
          </cell>
          <cell r="AA2508" t="str">
            <v>SERVICIO DE SALUD OSORNO</v>
          </cell>
        </row>
        <row r="2509">
          <cell r="Z2509" t="str">
            <v>MOBILIARIO CLINICO</v>
          </cell>
          <cell r="AA2509" t="str">
            <v>SERVICIO DE SALUD OSORNO</v>
          </cell>
        </row>
        <row r="2510">
          <cell r="Z2510" t="str">
            <v>MOBILIARIO CLINICO</v>
          </cell>
          <cell r="AA2510" t="str">
            <v>SERVICIO DE SALUD OSORNO</v>
          </cell>
        </row>
        <row r="2511">
          <cell r="Z2511" t="str">
            <v>MOBILIARIO CLINICO</v>
          </cell>
          <cell r="AA2511" t="str">
            <v>SERVICIO DE SALUD OSORNO</v>
          </cell>
        </row>
        <row r="2512">
          <cell r="Z2512" t="str">
            <v>MOBILIARIO CLINICO</v>
          </cell>
          <cell r="AA2512" t="str">
            <v>SERVICIO DE SALUD OSORNO</v>
          </cell>
        </row>
        <row r="2513">
          <cell r="Z2513" t="str">
            <v>MOBILIARIO CLINICO</v>
          </cell>
          <cell r="AA2513" t="str">
            <v>SERVICIO DE SALUD OSORNO</v>
          </cell>
        </row>
        <row r="2514">
          <cell r="Z2514" t="str">
            <v>MOBILIARIO CLINICO</v>
          </cell>
          <cell r="AA2514" t="str">
            <v>SERVICIO DE SALUD OSORNO</v>
          </cell>
        </row>
        <row r="2515">
          <cell r="Z2515" t="str">
            <v>MOBILIARIO CLINICO</v>
          </cell>
          <cell r="AA2515" t="str">
            <v>SERVICIO DE SALUD OSORNO</v>
          </cell>
        </row>
        <row r="2516">
          <cell r="Z2516" t="str">
            <v>MOBILIARIO CLINICO</v>
          </cell>
          <cell r="AA2516" t="str">
            <v>SERVICIO DE SALUD OSORNO</v>
          </cell>
        </row>
        <row r="2517">
          <cell r="Z2517" t="str">
            <v>MOBILIARIO CLINICO</v>
          </cell>
          <cell r="AA2517" t="str">
            <v>SERVICIO DE SALUD OSORNO</v>
          </cell>
        </row>
        <row r="2518">
          <cell r="Z2518" t="str">
            <v>MOBILIARIO CLINICO</v>
          </cell>
          <cell r="AA2518" t="str">
            <v>SERVICIO DE SALUD OSORNO</v>
          </cell>
        </row>
        <row r="2519">
          <cell r="Z2519" t="str">
            <v>MOBILIARIO CLINICO</v>
          </cell>
          <cell r="AA2519" t="str">
            <v>SERVICIO DE SALUD OSORNO</v>
          </cell>
        </row>
        <row r="2520">
          <cell r="Z2520" t="str">
            <v>MOBILIARIO CLINICO</v>
          </cell>
          <cell r="AA2520" t="str">
            <v>SERVICIO DE SALUD OSORNO</v>
          </cell>
        </row>
        <row r="2521">
          <cell r="Z2521" t="str">
            <v>MOBILIARIO CLINICO</v>
          </cell>
          <cell r="AA2521" t="str">
            <v>SERVICIO DE SALUD OSORNO</v>
          </cell>
        </row>
        <row r="2522">
          <cell r="Z2522" t="str">
            <v>MOBILIARIO CLINICO</v>
          </cell>
          <cell r="AA2522" t="str">
            <v>SERVICIO DE SALUD OSORNO</v>
          </cell>
        </row>
        <row r="2523">
          <cell r="Z2523" t="str">
            <v>MOBILIARIO CLINICO</v>
          </cell>
          <cell r="AA2523" t="str">
            <v>SERVICIO DE SALUD OSORNO</v>
          </cell>
        </row>
        <row r="2524">
          <cell r="Z2524" t="str">
            <v>MOBILIARIO CLINICO</v>
          </cell>
          <cell r="AA2524" t="str">
            <v>SERVICIO DE SALUD OSORNO</v>
          </cell>
        </row>
        <row r="2525">
          <cell r="Z2525" t="str">
            <v>MOBILIARIO CLINICO</v>
          </cell>
          <cell r="AA2525" t="str">
            <v>SERVICIO DE SALUD OSORNO</v>
          </cell>
        </row>
        <row r="2526">
          <cell r="Z2526" t="str">
            <v>MOBILIARIO CLINICO</v>
          </cell>
          <cell r="AA2526" t="str">
            <v>SERVICIO DE SALUD OSORNO</v>
          </cell>
        </row>
        <row r="2527">
          <cell r="Z2527" t="str">
            <v>MOBILIARIO CLINICO</v>
          </cell>
          <cell r="AA2527" t="str">
            <v>SERVICIO DE SALUD OSORNO</v>
          </cell>
        </row>
        <row r="2528">
          <cell r="Z2528" t="str">
            <v>MOBILIARIO CLINICO</v>
          </cell>
          <cell r="AA2528" t="str">
            <v>SERVICIO DE SALUD OSORNO</v>
          </cell>
        </row>
        <row r="2529">
          <cell r="Z2529" t="str">
            <v>MOBILIARIO CLINICO</v>
          </cell>
          <cell r="AA2529" t="str">
            <v>SERVICIO DE SALUD RELONCAVI</v>
          </cell>
        </row>
        <row r="2530">
          <cell r="Z2530" t="str">
            <v>MOBILIARIO CLINICO</v>
          </cell>
          <cell r="AA2530" t="str">
            <v>SERVICIO DE SALUD RELONCAVI</v>
          </cell>
        </row>
        <row r="2531">
          <cell r="Z2531" t="str">
            <v>MOBILIARIO CLINICO</v>
          </cell>
          <cell r="AA2531" t="str">
            <v>SERVICIO DE SALUD RELONCAVI</v>
          </cell>
        </row>
        <row r="2532">
          <cell r="Z2532" t="str">
            <v>MOBILIARIO CLINICO</v>
          </cell>
          <cell r="AA2532" t="str">
            <v>SERVICIO DE SALUD RELONCAVI</v>
          </cell>
        </row>
        <row r="2533">
          <cell r="Z2533" t="str">
            <v>MOBILIARIO CLINICO</v>
          </cell>
          <cell r="AA2533" t="str">
            <v>SERVICIO DE SALUD RELONCAVI</v>
          </cell>
        </row>
        <row r="2534">
          <cell r="Z2534" t="str">
            <v>MOBILIARIO CLINICO</v>
          </cell>
          <cell r="AA2534" t="str">
            <v>SERVICIO DE SALUD RELONCAVI</v>
          </cell>
        </row>
        <row r="2535">
          <cell r="Z2535" t="str">
            <v>MOBILIARIO CLINICO</v>
          </cell>
          <cell r="AA2535" t="str">
            <v>SERVICIO DE SALUD RELONCAVI</v>
          </cell>
        </row>
        <row r="2536">
          <cell r="Z2536" t="str">
            <v>MOBILIARIO CLINICO</v>
          </cell>
          <cell r="AA2536" t="str">
            <v>SERVICIO DE SALUD RELONCAVI</v>
          </cell>
        </row>
        <row r="2537">
          <cell r="Z2537" t="str">
            <v>MOBILIARIO CLINICO</v>
          </cell>
          <cell r="AA2537" t="str">
            <v>SERVICIO DE SALUD RELONCAVI</v>
          </cell>
        </row>
        <row r="2538">
          <cell r="Z2538" t="str">
            <v>MOBILIARIO CLINICO</v>
          </cell>
          <cell r="AA2538" t="str">
            <v>SERVICIO DE SALUD RELONCAVI</v>
          </cell>
        </row>
        <row r="2539">
          <cell r="Z2539" t="str">
            <v>MOBILIARIO CLINICO</v>
          </cell>
          <cell r="AA2539" t="str">
            <v>SERVICIO DE SALUD RELONCAVI</v>
          </cell>
        </row>
        <row r="2540">
          <cell r="Z2540" t="str">
            <v>MOBILIARIO CLINICO</v>
          </cell>
          <cell r="AA2540" t="str">
            <v>SERVICIO DE SALUD RELONCAVI</v>
          </cell>
        </row>
        <row r="2541">
          <cell r="Z2541" t="str">
            <v>MOBILIARIO CLINICO</v>
          </cell>
          <cell r="AA2541" t="str">
            <v>SERVICIO DE SALUD RELONCAVI</v>
          </cell>
        </row>
        <row r="2542">
          <cell r="Z2542" t="str">
            <v>MOBILIARIO CLINICO</v>
          </cell>
          <cell r="AA2542" t="str">
            <v>SERVICIO DE SALUD RELONCAVI</v>
          </cell>
        </row>
        <row r="2543">
          <cell r="Z2543" t="str">
            <v>MOBILIARIO CLINICO</v>
          </cell>
          <cell r="AA2543" t="str">
            <v>SERVICIO DE SALUD RELONCAVI</v>
          </cell>
        </row>
        <row r="2544">
          <cell r="Z2544" t="str">
            <v>MOBILIARIO CLINICO</v>
          </cell>
          <cell r="AA2544" t="str">
            <v>SERVICIO DE SALUD RELONCAVI</v>
          </cell>
        </row>
        <row r="2545">
          <cell r="Z2545" t="str">
            <v>MOBILIARIO CLINICO</v>
          </cell>
          <cell r="AA2545" t="str">
            <v>SERVICIO DE SALUD RELONCAVI</v>
          </cell>
        </row>
        <row r="2546">
          <cell r="Z2546" t="str">
            <v>MOBILIARIO CLINICO</v>
          </cell>
          <cell r="AA2546" t="str">
            <v>SERVICIO DE SALUD RELONCAVI</v>
          </cell>
        </row>
        <row r="2547">
          <cell r="Z2547" t="str">
            <v>MOBILIARIO CLINICO</v>
          </cell>
          <cell r="AA2547" t="str">
            <v>SERVICIO DE SALUD RELONCAVI</v>
          </cell>
        </row>
        <row r="2548">
          <cell r="Z2548" t="str">
            <v>MOBILIARIO CLINICO</v>
          </cell>
          <cell r="AA2548" t="str">
            <v>SERVICIO DE SALUD RELONCAVI</v>
          </cell>
        </row>
        <row r="2549">
          <cell r="Z2549" t="str">
            <v>MOBILIARIO CLINICO</v>
          </cell>
          <cell r="AA2549" t="str">
            <v>SERVICIO DE SALUD RELONCAVI</v>
          </cell>
        </row>
        <row r="2550">
          <cell r="Z2550" t="str">
            <v>MOBILIARIO CLINICO</v>
          </cell>
          <cell r="AA2550" t="str">
            <v>SERVICIO DE SALUD RELONCAVI</v>
          </cell>
        </row>
        <row r="2551">
          <cell r="Z2551" t="str">
            <v>MOBILIARIO CLINICO</v>
          </cell>
          <cell r="AA2551" t="str">
            <v>SERVICIO DE SALUD RELONCAVI</v>
          </cell>
        </row>
        <row r="2552">
          <cell r="Z2552" t="str">
            <v>MOBILIARIO CLINICO</v>
          </cell>
          <cell r="AA2552" t="str">
            <v>SERVICIO DE SALUD RELONCAVI</v>
          </cell>
        </row>
        <row r="2553">
          <cell r="Z2553" t="str">
            <v>MOBILIARIO CLINICO</v>
          </cell>
          <cell r="AA2553" t="str">
            <v>SERVICIO DE SALUD RELONCAVI</v>
          </cell>
        </row>
        <row r="2554">
          <cell r="Z2554" t="str">
            <v>MOBILIARIO CLINICO</v>
          </cell>
          <cell r="AA2554" t="str">
            <v>SERVICIO DE SALUD RELONCAVI</v>
          </cell>
        </row>
        <row r="2555">
          <cell r="Z2555" t="str">
            <v>MOBILIARIO CLINICO</v>
          </cell>
          <cell r="AA2555" t="str">
            <v>SERVICIO DE SALUD RELONCAVI</v>
          </cell>
        </row>
        <row r="2556">
          <cell r="Z2556" t="str">
            <v>MOBILIARIO CLINICO</v>
          </cell>
          <cell r="AA2556" t="str">
            <v>SERVICIO DE SALUD RELONCAVI</v>
          </cell>
        </row>
        <row r="2557">
          <cell r="Z2557" t="str">
            <v>MOBILIARIO CLINICO</v>
          </cell>
          <cell r="AA2557" t="str">
            <v>SERVICIO DE SALUD RELONCAVI</v>
          </cell>
        </row>
        <row r="2558">
          <cell r="Z2558" t="str">
            <v>MOBILIARIO CLINICO</v>
          </cell>
          <cell r="AA2558" t="str">
            <v>SERVICIO DE SALUD RELONCAVI</v>
          </cell>
        </row>
        <row r="2559">
          <cell r="Z2559" t="str">
            <v>MOBILIARIO CLINICO</v>
          </cell>
          <cell r="AA2559" t="str">
            <v>SERVICIO DE SALUD RELONCAVI</v>
          </cell>
        </row>
        <row r="2560">
          <cell r="Z2560" t="str">
            <v>MOBILIARIO CLINICO</v>
          </cell>
          <cell r="AA2560" t="str">
            <v>SERVICIO DE SALUD RELONCAVI</v>
          </cell>
        </row>
        <row r="2561">
          <cell r="Z2561" t="str">
            <v>MOBILIARIO CLINICO</v>
          </cell>
          <cell r="AA2561" t="str">
            <v>SERVICIO DE SALUD RELONCAVI</v>
          </cell>
        </row>
        <row r="2562">
          <cell r="Z2562" t="str">
            <v>MOBILIARIO CLINICO</v>
          </cell>
          <cell r="AA2562" t="str">
            <v>SERVICIO DE SALUD RELONCAVI</v>
          </cell>
        </row>
        <row r="2563">
          <cell r="Z2563" t="str">
            <v>MOBILIARIO CLINICO</v>
          </cell>
          <cell r="AA2563" t="str">
            <v>SERVICIO DE SALUD RELONCAVI</v>
          </cell>
        </row>
        <row r="2564">
          <cell r="Z2564" t="str">
            <v>MOBILIARIO CLINICO</v>
          </cell>
          <cell r="AA2564" t="str">
            <v>SERVICIO DE SALUD RELONCAVI</v>
          </cell>
        </row>
        <row r="2565">
          <cell r="Z2565" t="str">
            <v>MOBILIARIO CLINICO</v>
          </cell>
          <cell r="AA2565" t="str">
            <v>SERVICIO DE SALUD RELONCAVI</v>
          </cell>
        </row>
        <row r="2566">
          <cell r="Z2566" t="str">
            <v>MOBILIARIO CLINICO</v>
          </cell>
          <cell r="AA2566" t="str">
            <v>SERVICIO DE SALUD RELONCAVI</v>
          </cell>
        </row>
        <row r="2567">
          <cell r="Z2567" t="str">
            <v>MOBILIARIO CLINICO</v>
          </cell>
          <cell r="AA2567" t="str">
            <v>SERVICIO DE SALUD RELONCAVI</v>
          </cell>
        </row>
        <row r="2568">
          <cell r="Z2568" t="str">
            <v>MOBILIARIO CLINICO</v>
          </cell>
          <cell r="AA2568" t="str">
            <v>SERVICIO DE SALUD RELONCAVI</v>
          </cell>
        </row>
        <row r="2569">
          <cell r="Z2569" t="str">
            <v>MOBILIARIO CLINICO</v>
          </cell>
          <cell r="AA2569" t="str">
            <v>SERVICIO DE SALUD RELONCAVI</v>
          </cell>
        </row>
        <row r="2570">
          <cell r="Z2570" t="str">
            <v>MOBILIARIO CLINICO</v>
          </cell>
          <cell r="AA2570" t="str">
            <v>SERVICIO DE SALUD RELONCAVI</v>
          </cell>
        </row>
        <row r="2571">
          <cell r="Z2571" t="str">
            <v>MOBILIARIO CLINICO</v>
          </cell>
          <cell r="AA2571" t="str">
            <v>SERVICIO DE SALUD RELONCAVI</v>
          </cell>
        </row>
        <row r="2572">
          <cell r="Z2572" t="str">
            <v>MOBILIARIO CLINICO</v>
          </cell>
          <cell r="AA2572" t="str">
            <v>SERVICIO DE SALUD RELONCAVI</v>
          </cell>
        </row>
        <row r="2573">
          <cell r="Z2573" t="str">
            <v>MOBILIARIO CLINICO</v>
          </cell>
          <cell r="AA2573" t="str">
            <v>SERVICIO DE SALUD RELONCAVI</v>
          </cell>
        </row>
        <row r="2574">
          <cell r="Z2574" t="str">
            <v>MOBILIARIO CLINICO</v>
          </cell>
          <cell r="AA2574" t="str">
            <v>SERVICIO DE SALUD RELONCAVI</v>
          </cell>
        </row>
        <row r="2575">
          <cell r="Z2575" t="str">
            <v>MOBILIARIO CLINICO</v>
          </cell>
          <cell r="AA2575" t="str">
            <v>SERVICIO DE SALUD RELONCAVI</v>
          </cell>
        </row>
        <row r="2576">
          <cell r="Z2576" t="str">
            <v>MOBILIARIO CLINICO</v>
          </cell>
          <cell r="AA2576" t="str">
            <v>SERVICIO DE SALUD RELONCAVI</v>
          </cell>
        </row>
        <row r="2577">
          <cell r="Z2577" t="str">
            <v>MOBILIARIO CLINICO</v>
          </cell>
          <cell r="AA2577" t="str">
            <v>SERVICIO DE SALUD RELONCAVI</v>
          </cell>
        </row>
        <row r="2578">
          <cell r="Z2578" t="str">
            <v>MOBILIARIO CLINICO</v>
          </cell>
          <cell r="AA2578" t="str">
            <v>SERVICIO DE SALUD RELONCAVI</v>
          </cell>
        </row>
        <row r="2579">
          <cell r="Z2579" t="str">
            <v>MOBILIARIO CLINICO</v>
          </cell>
          <cell r="AA2579" t="str">
            <v>SERVICIO DE SALUD RELONCAVI</v>
          </cell>
        </row>
        <row r="2580">
          <cell r="Z2580" t="str">
            <v>MOBILIARIO CLINICO</v>
          </cell>
          <cell r="AA2580" t="str">
            <v>SERVICIO DE SALUD RELONCAVI</v>
          </cell>
        </row>
        <row r="2581">
          <cell r="Z2581" t="str">
            <v>MOBILIARIO CLINICO</v>
          </cell>
          <cell r="AA2581" t="str">
            <v>SERVICIO DE SALUD RELONCAVI</v>
          </cell>
        </row>
        <row r="2582">
          <cell r="Z2582" t="str">
            <v>MOBILIARIO CLINICO</v>
          </cell>
          <cell r="AA2582" t="str">
            <v>SERVICIO DE SALUD RELONCAVI</v>
          </cell>
        </row>
        <row r="2583">
          <cell r="Z2583" t="str">
            <v>MOBILIARIO CLINICO</v>
          </cell>
          <cell r="AA2583" t="str">
            <v>SERVICIO DE SALUD RELONCAVI</v>
          </cell>
        </row>
        <row r="2584">
          <cell r="Z2584" t="str">
            <v>MOBILIARIO CLINICO</v>
          </cell>
          <cell r="AA2584" t="str">
            <v>SERVICIO DE SALUD RELONCAVI</v>
          </cell>
        </row>
        <row r="2585">
          <cell r="Z2585" t="str">
            <v>MOBILIARIO CLINICO</v>
          </cell>
          <cell r="AA2585" t="str">
            <v>SERVICIO DE SALUD RELONCAVI</v>
          </cell>
        </row>
        <row r="2586">
          <cell r="Z2586" t="str">
            <v>MOBILIARIO CLINICO</v>
          </cell>
          <cell r="AA2586" t="str">
            <v>SERVICIO DE SALUD RELONCAVI</v>
          </cell>
        </row>
        <row r="2587">
          <cell r="Z2587" t="str">
            <v>MOBILIARIO CLINICO</v>
          </cell>
          <cell r="AA2587" t="str">
            <v>SERVICIO DE SALUD RELONCAVI</v>
          </cell>
        </row>
        <row r="2588">
          <cell r="Z2588" t="str">
            <v>MOBILIARIO CLINICO</v>
          </cell>
          <cell r="AA2588" t="str">
            <v>SERVICIO DE SALUD RELONCAVI</v>
          </cell>
        </row>
        <row r="2589">
          <cell r="Z2589" t="str">
            <v>MOBILIARIO CLINICO</v>
          </cell>
          <cell r="AA2589" t="str">
            <v>SERVICIO DE SALUD RELONCAVI</v>
          </cell>
        </row>
        <row r="2590">
          <cell r="Z2590" t="str">
            <v>MOBILIARIO CLINICO</v>
          </cell>
          <cell r="AA2590" t="str">
            <v>SERVICIO DE SALUD RELONCAVI</v>
          </cell>
        </row>
        <row r="2591">
          <cell r="Z2591" t="str">
            <v>MOBILIARIO CLINICO</v>
          </cell>
          <cell r="AA2591" t="str">
            <v>SERVICIO DE SALUD RELONCAVI</v>
          </cell>
        </row>
        <row r="2592">
          <cell r="Z2592" t="str">
            <v>MOBILIARIO CLINICO</v>
          </cell>
          <cell r="AA2592" t="str">
            <v>SERVICIO DE SALUD RELONCAVI</v>
          </cell>
        </row>
        <row r="2593">
          <cell r="Z2593" t="str">
            <v>MOBILIARIO CLINICO</v>
          </cell>
          <cell r="AA2593" t="str">
            <v>SERVICIO DE SALUD RELONCAVI</v>
          </cell>
        </row>
        <row r="2594">
          <cell r="Z2594" t="str">
            <v>MOBILIARIO CLINICO</v>
          </cell>
          <cell r="AA2594" t="str">
            <v>SERVICIO DE SALUD RELONCAVI</v>
          </cell>
        </row>
        <row r="2595">
          <cell r="Z2595" t="str">
            <v>MOBILIARIO CLINICO</v>
          </cell>
          <cell r="AA2595" t="str">
            <v>SERVICIO DE SALUD RELONCAVI</v>
          </cell>
        </row>
        <row r="2596">
          <cell r="Z2596" t="str">
            <v>MOBILIARIO CLINICO</v>
          </cell>
          <cell r="AA2596" t="str">
            <v>SERVICIO DE SALUD RELONCAVI</v>
          </cell>
        </row>
        <row r="2597">
          <cell r="Z2597" t="str">
            <v>MOBILIARIO CLINICO</v>
          </cell>
          <cell r="AA2597" t="str">
            <v>SERVICIO DE SALUD RELONCAVI</v>
          </cell>
        </row>
        <row r="2598">
          <cell r="Z2598" t="str">
            <v>MOBILIARIO CLINICO</v>
          </cell>
          <cell r="AA2598" t="str">
            <v>SERVICIO DE SALUD RELONCAVI</v>
          </cell>
        </row>
        <row r="2599">
          <cell r="Z2599" t="str">
            <v>MOBILIARIO CLINICO</v>
          </cell>
          <cell r="AA2599" t="str">
            <v>SERVICIO DE SALUD RELONCAVI</v>
          </cell>
        </row>
        <row r="2600">
          <cell r="Z2600" t="str">
            <v>MOBILIARIO CLINICO</v>
          </cell>
          <cell r="AA2600" t="str">
            <v>SERVICIO DE SALUD RELONCAVI</v>
          </cell>
        </row>
        <row r="2601">
          <cell r="Z2601" t="str">
            <v>MOBILIARIO CLINICO</v>
          </cell>
          <cell r="AA2601" t="str">
            <v>SERVICIO DE SALUD RELONCAVI</v>
          </cell>
        </row>
        <row r="2602">
          <cell r="Z2602" t="str">
            <v>MOBILIARIO CLINICO</v>
          </cell>
          <cell r="AA2602" t="str">
            <v>SERVICIO DE SALUD RELONCAVI</v>
          </cell>
        </row>
        <row r="2603">
          <cell r="Z2603" t="str">
            <v>MOBILIARIO CLINICO</v>
          </cell>
          <cell r="AA2603" t="str">
            <v>SERVICIO DE SALUD RELONCAVI</v>
          </cell>
        </row>
        <row r="2604">
          <cell r="Z2604" t="str">
            <v>MOBILIARIO CLINICO</v>
          </cell>
          <cell r="AA2604" t="str">
            <v>SERVICIO DE SALUD RELONCAVI</v>
          </cell>
        </row>
        <row r="2605">
          <cell r="Z2605" t="str">
            <v>MOBILIARIO CLINICO</v>
          </cell>
          <cell r="AA2605" t="str">
            <v>SERVICIO DE SALUD RELONCAVI</v>
          </cell>
        </row>
        <row r="2606">
          <cell r="Z2606" t="str">
            <v>MOBILIARIO CLINICO</v>
          </cell>
          <cell r="AA2606" t="str">
            <v>SERVICIO DE SALUD RELONCAVI</v>
          </cell>
        </row>
        <row r="2607">
          <cell r="Z2607" t="str">
            <v>MOBILIARIO CLINICO</v>
          </cell>
          <cell r="AA2607" t="str">
            <v>SERVICIO DE SALUD RELONCAVI</v>
          </cell>
        </row>
        <row r="2608">
          <cell r="Z2608" t="str">
            <v>MOBILIARIO CLINICO</v>
          </cell>
          <cell r="AA2608" t="str">
            <v>SERVICIO DE SALUD RELONCAVI</v>
          </cell>
        </row>
        <row r="2609">
          <cell r="Z2609" t="str">
            <v>MOBILIARIO CLINICO</v>
          </cell>
          <cell r="AA2609" t="str">
            <v>SERVICIO DE SALUD RELONCAVI</v>
          </cell>
        </row>
        <row r="2610">
          <cell r="Z2610" t="str">
            <v>MOBILIARIO CLINICO</v>
          </cell>
          <cell r="AA2610" t="str">
            <v>SERVICIO DE SALUD RELONCAVI</v>
          </cell>
        </row>
        <row r="2611">
          <cell r="Z2611" t="str">
            <v>MOBILIARIO CLINICO</v>
          </cell>
          <cell r="AA2611" t="str">
            <v>SERVICIO DE SALUD RELONCAVI</v>
          </cell>
        </row>
        <row r="2612">
          <cell r="Z2612" t="str">
            <v>MOBILIARIO CLINICO</v>
          </cell>
          <cell r="AA2612" t="str">
            <v>SERVICIO DE SALUD RELONCAVI</v>
          </cell>
        </row>
        <row r="2613">
          <cell r="Z2613" t="str">
            <v>MOBILIARIO CLINICO</v>
          </cell>
          <cell r="AA2613" t="str">
            <v>SERVICIO DE SALUD RELONCAVI</v>
          </cell>
        </row>
        <row r="2614">
          <cell r="Z2614" t="str">
            <v>MOBILIARIO CLINICO</v>
          </cell>
          <cell r="AA2614" t="str">
            <v>SERVICIO DE SALUD RELONCAVI</v>
          </cell>
        </row>
        <row r="2615">
          <cell r="Z2615" t="str">
            <v>MOBILIARIO CLINICO</v>
          </cell>
          <cell r="AA2615" t="str">
            <v>SERVICIO DE SALUD RELONCAVI</v>
          </cell>
        </row>
        <row r="2616">
          <cell r="Z2616" t="str">
            <v>MOBILIARIO CLINICO</v>
          </cell>
          <cell r="AA2616" t="str">
            <v>SERVICIO DE SALUD RELONCAVI</v>
          </cell>
        </row>
        <row r="2617">
          <cell r="Z2617" t="str">
            <v>MOBILIARIO CLINICO</v>
          </cell>
          <cell r="AA2617" t="str">
            <v>SERVICIO DE SALUD RELONCAVI</v>
          </cell>
        </row>
        <row r="2618">
          <cell r="Z2618" t="str">
            <v>MOBILIARIO CLINICO</v>
          </cell>
          <cell r="AA2618" t="str">
            <v>SERVICIO DE SALUD RELONCAVI</v>
          </cell>
        </row>
        <row r="2619">
          <cell r="Z2619" t="str">
            <v>MOBILIARIO CLINICO</v>
          </cell>
          <cell r="AA2619" t="str">
            <v>SERVICIO DE SALUD RELONCAVI</v>
          </cell>
        </row>
        <row r="2620">
          <cell r="Z2620" t="str">
            <v>MOBILIARIO CLINICO</v>
          </cell>
          <cell r="AA2620" t="str">
            <v>SERVICIO DE SALUD RELONCAVI</v>
          </cell>
        </row>
        <row r="2621">
          <cell r="Z2621" t="str">
            <v>MOBILIARIO CLINICO</v>
          </cell>
          <cell r="AA2621" t="str">
            <v>SERVICIO DE SALUD RELONCAVI</v>
          </cell>
        </row>
        <row r="2622">
          <cell r="Z2622" t="str">
            <v>MOBILIARIO CLINICO</v>
          </cell>
          <cell r="AA2622" t="str">
            <v>SERVICIO DE SALUD RELONCAVI</v>
          </cell>
        </row>
        <row r="2623">
          <cell r="Z2623" t="str">
            <v>MOBILIARIO CLINICO</v>
          </cell>
          <cell r="AA2623" t="str">
            <v>SERVICIO DE SALUD RELONCAVI</v>
          </cell>
        </row>
        <row r="2624">
          <cell r="Z2624" t="str">
            <v>MOBILIARIO CLINICO</v>
          </cell>
          <cell r="AA2624" t="str">
            <v>SERVICIO DE SALUD RELONCAVI</v>
          </cell>
        </row>
        <row r="2625">
          <cell r="Z2625" t="str">
            <v>MOBILIARIO CLINICO</v>
          </cell>
          <cell r="AA2625" t="str">
            <v>SERVICIO DE SALUD RELONCAVI</v>
          </cell>
        </row>
        <row r="2626">
          <cell r="Z2626" t="str">
            <v>MOBILIARIO CLINICO</v>
          </cell>
          <cell r="AA2626" t="str">
            <v>SERVICIO DE SALUD RELONCAVI</v>
          </cell>
        </row>
        <row r="2627">
          <cell r="Z2627" t="str">
            <v>MOBILIARIO CLINICO</v>
          </cell>
          <cell r="AA2627" t="str">
            <v>SERVICIO DE SALUD RELONCAVI</v>
          </cell>
        </row>
        <row r="2628">
          <cell r="Z2628" t="str">
            <v>MOBILIARIO CLINICO</v>
          </cell>
          <cell r="AA2628" t="str">
            <v>SERVICIO DE SALUD RELONCAVI</v>
          </cell>
        </row>
        <row r="2629">
          <cell r="Z2629" t="str">
            <v>MOBILIARIO CLINICO</v>
          </cell>
          <cell r="AA2629" t="str">
            <v>SERVICIO DE SALUD RELONCAVI</v>
          </cell>
        </row>
        <row r="2630">
          <cell r="Z2630" t="str">
            <v>MOBILIARIO CLINICO</v>
          </cell>
          <cell r="AA2630" t="str">
            <v>SERVICIO DE SALUD RELONCAVI</v>
          </cell>
        </row>
        <row r="2631">
          <cell r="Z2631" t="str">
            <v>MOBILIARIO CLINICO</v>
          </cell>
          <cell r="AA2631" t="str">
            <v>SERVICIO DE SALUD RELONCAVI</v>
          </cell>
        </row>
        <row r="2632">
          <cell r="Z2632" t="str">
            <v>MOBILIARIO CLINICO</v>
          </cell>
          <cell r="AA2632" t="str">
            <v>SERVICIO DE SALUD RELONCAVI</v>
          </cell>
        </row>
        <row r="2633">
          <cell r="Z2633" t="str">
            <v>MOBILIARIO CLINICO</v>
          </cell>
          <cell r="AA2633" t="str">
            <v>SERVICIO DE SALUD RELONCAVI</v>
          </cell>
        </row>
        <row r="2634">
          <cell r="Z2634" t="str">
            <v>MOBILIARIO CLINICO</v>
          </cell>
          <cell r="AA2634" t="str">
            <v>SERVICIO DE SALUD RELONCAVI</v>
          </cell>
        </row>
        <row r="2635">
          <cell r="Z2635" t="str">
            <v>MOBILIARIO CLINICO</v>
          </cell>
          <cell r="AA2635" t="str">
            <v>SERVICIO DE SALUD RELONCAVI</v>
          </cell>
        </row>
        <row r="2636">
          <cell r="Z2636" t="str">
            <v>MOBILIARIO CLINICO</v>
          </cell>
          <cell r="AA2636" t="str">
            <v>SERVICIO DE SALUD RELONCAVI</v>
          </cell>
        </row>
        <row r="2637">
          <cell r="Z2637" t="str">
            <v>MOBILIARIO CLINICO</v>
          </cell>
          <cell r="AA2637" t="str">
            <v>SERVICIO DE SALUD RELONCAVI</v>
          </cell>
        </row>
        <row r="2638">
          <cell r="Z2638" t="str">
            <v>MOBILIARIO CLINICO</v>
          </cell>
          <cell r="AA2638" t="str">
            <v>SERVICIO DE SALUD RELONCAVI</v>
          </cell>
        </row>
        <row r="2639">
          <cell r="Z2639" t="str">
            <v>MOBILIARIO CLINICO</v>
          </cell>
          <cell r="AA2639" t="str">
            <v>SERVICIO DE SALUD RELONCAVI</v>
          </cell>
        </row>
        <row r="2640">
          <cell r="Z2640" t="str">
            <v>MOBILIARIO CLINICO</v>
          </cell>
          <cell r="AA2640" t="str">
            <v>SERVICIO DE SALUD RELONCAVI</v>
          </cell>
        </row>
        <row r="2641">
          <cell r="Z2641" t="str">
            <v>MOBILIARIO CLINICO</v>
          </cell>
          <cell r="AA2641" t="str">
            <v>SERVICIO DE SALUD RELONCAVI</v>
          </cell>
        </row>
        <row r="2642">
          <cell r="Z2642" t="str">
            <v>MOBILIARIO CLINICO</v>
          </cell>
          <cell r="AA2642" t="str">
            <v>SERVICIO DE SALUD RELONCAVI</v>
          </cell>
        </row>
        <row r="2643">
          <cell r="Z2643" t="str">
            <v>MOBILIARIO CLINICO</v>
          </cell>
          <cell r="AA2643" t="str">
            <v>SERVICIO DE SALUD RELONCAVI</v>
          </cell>
        </row>
        <row r="2644">
          <cell r="Z2644" t="str">
            <v>MOBILIARIO CLINICO</v>
          </cell>
          <cell r="AA2644" t="str">
            <v>SERVICIO DE SALUD RELONCAVI</v>
          </cell>
        </row>
        <row r="2645">
          <cell r="Z2645" t="str">
            <v>MOBILIARIO CLINICO</v>
          </cell>
          <cell r="AA2645" t="str">
            <v>SERVICIO DE SALUD RELONCAVI</v>
          </cell>
        </row>
        <row r="2646">
          <cell r="Z2646" t="str">
            <v>MOBILIARIO CLINICO</v>
          </cell>
          <cell r="AA2646" t="str">
            <v>SERVICIO DE SALUD RELONCAVI</v>
          </cell>
        </row>
        <row r="2647">
          <cell r="Z2647" t="str">
            <v>MOBILIARIO CLINICO</v>
          </cell>
          <cell r="AA2647" t="str">
            <v>SERVICIO DE SALUD RELONCAVI</v>
          </cell>
        </row>
        <row r="2648">
          <cell r="Z2648" t="str">
            <v>MOBILIARIO CLINICO</v>
          </cell>
          <cell r="AA2648" t="str">
            <v>SERVICIO DE SALUD RELONCAVI</v>
          </cell>
        </row>
        <row r="2649">
          <cell r="Z2649" t="str">
            <v>MOBILIARIO CLINICO</v>
          </cell>
          <cell r="AA2649" t="str">
            <v>SERVICIO DE SALUD RELONCAVI</v>
          </cell>
        </row>
        <row r="2650">
          <cell r="Z2650" t="str">
            <v>MOBILIARIO CLINICO</v>
          </cell>
          <cell r="AA2650" t="str">
            <v>SERVICIO DE SALUD RELONCAVI</v>
          </cell>
        </row>
        <row r="2651">
          <cell r="Z2651" t="str">
            <v>MOBILIARIO CLINICO</v>
          </cell>
        </row>
        <row r="2652">
          <cell r="Z2652" t="str">
            <v>MOBILIARIO CLINICO</v>
          </cell>
        </row>
        <row r="2653">
          <cell r="Z2653" t="str">
            <v>MOBILIARIO CLINICO</v>
          </cell>
        </row>
        <row r="2654">
          <cell r="Z2654" t="str">
            <v>MOBILIARIO CLINICO</v>
          </cell>
        </row>
        <row r="2655">
          <cell r="Z2655" t="str">
            <v>MOBILIARIO CLINICO</v>
          </cell>
        </row>
        <row r="2656">
          <cell r="Z2656" t="str">
            <v>MOBILIARIO CLINICO</v>
          </cell>
        </row>
        <row r="2657">
          <cell r="Z2657" t="str">
            <v>MOBILIARIO CLINICO</v>
          </cell>
        </row>
        <row r="2658">
          <cell r="Z2658" t="str">
            <v>MOBILIARIO CLINICO</v>
          </cell>
        </row>
        <row r="2659">
          <cell r="Z2659" t="str">
            <v>MOBILIARIO CLINICO</v>
          </cell>
        </row>
        <row r="2660">
          <cell r="Z2660" t="str">
            <v>MOBILIARIO CLINICO</v>
          </cell>
        </row>
        <row r="2661">
          <cell r="Z2661" t="str">
            <v>MOBILIARIO CLINICO</v>
          </cell>
          <cell r="AA2661" t="str">
            <v>S. SALUD METROPOLITANO SUR ORIENTE</v>
          </cell>
        </row>
        <row r="2662">
          <cell r="Z2662" t="str">
            <v>MOBILIARIO CLINICO</v>
          </cell>
          <cell r="AA2662" t="str">
            <v>S. SALUD METROPOLITANO SUR ORIENTE</v>
          </cell>
        </row>
        <row r="2663">
          <cell r="Z2663" t="str">
            <v>MOBILIARIO CLINICO</v>
          </cell>
          <cell r="AA2663" t="str">
            <v>S. SALUD METROPOLITANO SUR ORIENTE</v>
          </cell>
        </row>
        <row r="2664">
          <cell r="Z2664" t="str">
            <v>MOBILIARIO CLINICO</v>
          </cell>
          <cell r="AA2664" t="str">
            <v>S. SALUD METROPOLITANO SUR ORIENTE</v>
          </cell>
        </row>
        <row r="2665">
          <cell r="Z2665" t="str">
            <v>MOBILIARIO CLINICO</v>
          </cell>
          <cell r="AA2665" t="str">
            <v>S. SALUD METROPOLITANO SUR ORIENTE</v>
          </cell>
        </row>
        <row r="2666">
          <cell r="Z2666" t="str">
            <v>MOBILIARIO CLINICO</v>
          </cell>
          <cell r="AA2666" t="str">
            <v>S. SALUD METROPOLITANO SUR ORIENTE</v>
          </cell>
        </row>
        <row r="2667">
          <cell r="Z2667" t="str">
            <v>MOBILIARIO CLINICO</v>
          </cell>
          <cell r="AA2667" t="str">
            <v>S. SALUD METROPOLITANO SUR ORIENTE</v>
          </cell>
        </row>
        <row r="2668">
          <cell r="Z2668" t="str">
            <v>MOBILIARIO CLINICO</v>
          </cell>
          <cell r="AA2668" t="str">
            <v>S. SALUD METROPOLITANO SUR ORIENTE</v>
          </cell>
        </row>
        <row r="2669">
          <cell r="Z2669" t="str">
            <v>MOBILIARIO CLINICO</v>
          </cell>
          <cell r="AA2669" t="str">
            <v>S. SALUD METROPOLITANO SUR ORIENTE</v>
          </cell>
        </row>
        <row r="2670">
          <cell r="Z2670" t="str">
            <v>MOBILIARIO CLINICO</v>
          </cell>
          <cell r="AA2670" t="str">
            <v>S. SALUD METROPOLITANO SUR ORIENTE</v>
          </cell>
        </row>
        <row r="2671">
          <cell r="Z2671" t="str">
            <v>MOBILIARIO CLINICO</v>
          </cell>
          <cell r="AA2671" t="str">
            <v>S. SALUD METROPOLITANO SUR ORIENTE</v>
          </cell>
        </row>
        <row r="2672">
          <cell r="Z2672" t="str">
            <v>MOBILIARIO CLINICO</v>
          </cell>
          <cell r="AA2672" t="str">
            <v>S. SALUD METROPOLITANO SUR ORIENTE</v>
          </cell>
        </row>
        <row r="2673">
          <cell r="Z2673" t="str">
            <v>MOBILIARIO CLINICO</v>
          </cell>
          <cell r="AA2673" t="str">
            <v>S. SALUD METROPOLITANO SUR ORIENTE</v>
          </cell>
        </row>
        <row r="2674">
          <cell r="Z2674" t="str">
            <v>MOBILIARIO CLINICO</v>
          </cell>
          <cell r="AA2674" t="str">
            <v>S. SALUD METROPOLITANO SUR ORIENTE</v>
          </cell>
        </row>
        <row r="2675">
          <cell r="Z2675" t="str">
            <v>MOBILIARIO CLINICO</v>
          </cell>
          <cell r="AA2675" t="str">
            <v>S. SALUD METROPOLITANO SUR ORIENTE</v>
          </cell>
        </row>
        <row r="2676">
          <cell r="Z2676" t="str">
            <v>MOBILIARIO CLINICO</v>
          </cell>
          <cell r="AA2676" t="str">
            <v>S. SALUD METROPOLITANO SUR ORIENTE</v>
          </cell>
        </row>
        <row r="2677">
          <cell r="Z2677" t="str">
            <v>MOBILIARIO CLINICO</v>
          </cell>
          <cell r="AA2677" t="str">
            <v>S. SALUD METROPOLITANO SUR ORIENTE</v>
          </cell>
        </row>
        <row r="2678">
          <cell r="Z2678" t="str">
            <v>MOBILIARIO CLINICO</v>
          </cell>
          <cell r="AA2678" t="str">
            <v>S. SALUD METROPOLITANO SUR ORIENTE</v>
          </cell>
        </row>
        <row r="2679">
          <cell r="Z2679" t="str">
            <v>MOBILIARIO CLINICO</v>
          </cell>
          <cell r="AA2679" t="str">
            <v>S. SALUD METROPOLITANO SUR ORIENTE</v>
          </cell>
        </row>
        <row r="2680">
          <cell r="Z2680" t="str">
            <v>MOBILIARIO CLINICO</v>
          </cell>
          <cell r="AA2680" t="str">
            <v>S. SALUD METROPOLITANO SUR ORIENTE</v>
          </cell>
        </row>
        <row r="2681">
          <cell r="Z2681" t="str">
            <v>MOBILIARIO CLINICO</v>
          </cell>
          <cell r="AA2681" t="str">
            <v>S. SALUD METROPOLITANO SUR ORIENTE</v>
          </cell>
        </row>
        <row r="2682">
          <cell r="Z2682" t="str">
            <v>MOBILIARIO CLINICO</v>
          </cell>
          <cell r="AA2682" t="str">
            <v>S. SALUD METROPOLITANO SUR ORIENTE</v>
          </cell>
        </row>
        <row r="2683">
          <cell r="Z2683" t="str">
            <v>MOBILIARIO CLINICO</v>
          </cell>
          <cell r="AA2683" t="str">
            <v>S. SALUD METROPOLITANO SUR ORIENTE</v>
          </cell>
        </row>
        <row r="2684">
          <cell r="Z2684" t="str">
            <v>MOBILIARIO CLINICO</v>
          </cell>
          <cell r="AA2684" t="str">
            <v>S. SALUD METROPOLITANO SUR ORIENTE</v>
          </cell>
        </row>
        <row r="2685">
          <cell r="Z2685" t="str">
            <v>MOBILIARIO CLINICO</v>
          </cell>
          <cell r="AA2685" t="str">
            <v>S. SALUD METROPOLITANO SUR ORIENTE</v>
          </cell>
        </row>
        <row r="2686">
          <cell r="Z2686" t="str">
            <v>MOBILIARIO CLINICO</v>
          </cell>
          <cell r="AA2686" t="str">
            <v>HOSPITAL CLINICO SAN BORJA-ARRIARAN</v>
          </cell>
        </row>
        <row r="2687">
          <cell r="Z2687" t="str">
            <v>MOBILIARIO CLINICO</v>
          </cell>
          <cell r="AA2687" t="str">
            <v>HOSPITAL CLINICO SAN BORJA-ARRIARAN</v>
          </cell>
        </row>
        <row r="2688">
          <cell r="Z2688" t="str">
            <v>MOBILIARIO CLINICO</v>
          </cell>
          <cell r="AA2688" t="str">
            <v>HOSPITAL CLINICO SAN BORJA-ARRIARAN</v>
          </cell>
        </row>
        <row r="2689">
          <cell r="Z2689" t="str">
            <v>MOBILIARIO CLINICO</v>
          </cell>
          <cell r="AA2689" t="str">
            <v>HOSPITAL CLINICO SAN BORJA-ARRIARAN</v>
          </cell>
        </row>
        <row r="2690">
          <cell r="Z2690" t="str">
            <v>MOBILIARIO CLINICO</v>
          </cell>
          <cell r="AA2690" t="str">
            <v>HOSPITAL CLINICO SAN BORJA-ARRIARAN</v>
          </cell>
        </row>
        <row r="2691">
          <cell r="Z2691" t="str">
            <v>MOBILIARIO CLINICO</v>
          </cell>
          <cell r="AA2691" t="str">
            <v>HOSPITAL CLINICO SAN BORJA-ARRIARAN</v>
          </cell>
        </row>
        <row r="2692">
          <cell r="Z2692" t="str">
            <v>MOBILIARIO CLINICO</v>
          </cell>
          <cell r="AA2692" t="str">
            <v>HOSPITAL CLINICO SAN BORJA-ARRIARAN</v>
          </cell>
        </row>
        <row r="2693">
          <cell r="Z2693" t="str">
            <v>MOBILIARIO CLINICO</v>
          </cell>
          <cell r="AA2693" t="str">
            <v>HOSPITAL CLINICO SAN BORJA-ARRIARAN</v>
          </cell>
        </row>
        <row r="2694">
          <cell r="Z2694" t="str">
            <v>MOBILIARIO CLINICO</v>
          </cell>
          <cell r="AA2694" t="str">
            <v>HOSPITAL CLINICO SAN BORJA-ARRIARAN</v>
          </cell>
        </row>
        <row r="2695">
          <cell r="Z2695" t="str">
            <v>MOBILIARIO CLINICO</v>
          </cell>
          <cell r="AA2695" t="str">
            <v>HOSPITAL CLINICO SAN BORJA-ARRIARAN</v>
          </cell>
        </row>
        <row r="2696">
          <cell r="Z2696" t="str">
            <v>MOBILIARIO CLINICO</v>
          </cell>
          <cell r="AA2696" t="str">
            <v>HOSPITAL CLINICO SAN BORJA-ARRIARAN</v>
          </cell>
        </row>
        <row r="2697">
          <cell r="Z2697" t="str">
            <v>MOBILIARIO CLINICO</v>
          </cell>
          <cell r="AA2697" t="str">
            <v>HOSPITAL CLINICO SAN BORJA-ARRIARAN</v>
          </cell>
        </row>
        <row r="2698">
          <cell r="Z2698" t="str">
            <v>MOBILIARIO CLINICO</v>
          </cell>
          <cell r="AA2698" t="str">
            <v>HOSPITAL CLINICO SAN BORJA-ARRIARAN</v>
          </cell>
        </row>
        <row r="2699">
          <cell r="Z2699" t="str">
            <v>MOBILIARIO CLINICO</v>
          </cell>
          <cell r="AA2699" t="str">
            <v>HOSPITAL CLINICO SAN BORJA-ARRIARAN</v>
          </cell>
        </row>
        <row r="2700">
          <cell r="Z2700" t="str">
            <v>MOBILIARIO CLINICO</v>
          </cell>
          <cell r="AA2700" t="str">
            <v>HOSPITAL CLINICO SAN BORJA-ARRIARAN</v>
          </cell>
        </row>
        <row r="2701">
          <cell r="Z2701" t="str">
            <v>MOBILIARIO CLINICO</v>
          </cell>
          <cell r="AA2701" t="str">
            <v>HOSPITAL CLINICO SAN BORJA-ARRIARAN</v>
          </cell>
        </row>
        <row r="2702">
          <cell r="Z2702" t="str">
            <v>MOBILIARIO CLINICO</v>
          </cell>
          <cell r="AA2702" t="str">
            <v>HOSPITAL CLINICO SAN BORJA-ARRIARAN</v>
          </cell>
        </row>
        <row r="2703">
          <cell r="Z2703" t="str">
            <v>MOBILIARIO CLINICO</v>
          </cell>
          <cell r="AA2703" t="str">
            <v>HOSPITAL CLINICO SAN BORJA-ARRIARAN</v>
          </cell>
        </row>
        <row r="2704">
          <cell r="Z2704" t="str">
            <v>MOBILIARIO CLINICO</v>
          </cell>
          <cell r="AA2704" t="str">
            <v>HOSPITAL CLINICO SAN BORJA-ARRIARAN</v>
          </cell>
        </row>
        <row r="2705">
          <cell r="Z2705" t="str">
            <v>MOBILIARIO CLINICO</v>
          </cell>
          <cell r="AA2705" t="str">
            <v>HOSPITAL CLINICO SAN BORJA-ARRIARAN</v>
          </cell>
        </row>
        <row r="2706">
          <cell r="Z2706" t="str">
            <v>MOBILIARIO CLINICO</v>
          </cell>
          <cell r="AA2706" t="str">
            <v>HOSPITAL CLINICO SAN BORJA-ARRIARAN</v>
          </cell>
        </row>
        <row r="2707">
          <cell r="Z2707" t="str">
            <v>MOBILIARIO CLINICO</v>
          </cell>
          <cell r="AA2707" t="str">
            <v>HOSPITAL CLINICO SAN BORJA-ARRIARAN</v>
          </cell>
        </row>
        <row r="2708">
          <cell r="Z2708" t="str">
            <v>MOBILIARIO CLINICO</v>
          </cell>
          <cell r="AA2708" t="str">
            <v>HOSPITAL CLINICO SAN BORJA-ARRIARAN</v>
          </cell>
        </row>
        <row r="2709">
          <cell r="Z2709" t="str">
            <v>MOBILIARIO CLINICO</v>
          </cell>
          <cell r="AA2709" t="str">
            <v>HOSPITAL CLINICO SAN BORJA-ARRIARAN</v>
          </cell>
        </row>
        <row r="2710">
          <cell r="Z2710" t="str">
            <v>MOBILIARIO CLINICO</v>
          </cell>
          <cell r="AA2710" t="str">
            <v>HOSPITAL CLINICO SAN BORJA-ARRIARAN</v>
          </cell>
        </row>
        <row r="2711">
          <cell r="Z2711" t="str">
            <v>MOBILIARIO CLINICO</v>
          </cell>
          <cell r="AA2711" t="str">
            <v>HOSPITAL CLINICO SAN BORJA-ARRIARAN</v>
          </cell>
        </row>
        <row r="2712">
          <cell r="Z2712" t="str">
            <v>MOBILIARIO CLINICO</v>
          </cell>
          <cell r="AA2712" t="str">
            <v>HOSPITAL CLINICO SAN BORJA-ARRIARAN</v>
          </cell>
        </row>
        <row r="2713">
          <cell r="Z2713" t="str">
            <v>MOBILIARIO CLINICO</v>
          </cell>
          <cell r="AA2713" t="str">
            <v>HOSPITAL CLINICO SAN BORJA-ARRIARAN</v>
          </cell>
        </row>
        <row r="2714">
          <cell r="Z2714" t="str">
            <v>MOBILIARIO CLINICO</v>
          </cell>
          <cell r="AA2714" t="str">
            <v>HOSPITAL CLINICO SAN BORJA-ARRIARAN</v>
          </cell>
        </row>
        <row r="2715">
          <cell r="Z2715" t="str">
            <v>MOBILIARIO CLINICO</v>
          </cell>
          <cell r="AA2715" t="str">
            <v>HOSPITAL CLINICO SAN BORJA-ARRIARAN</v>
          </cell>
        </row>
        <row r="2716">
          <cell r="Z2716" t="str">
            <v>MOBILIARIO CLINICO</v>
          </cell>
          <cell r="AA2716" t="str">
            <v>HOSPITAL CLINICO SAN BORJA-ARRIARAN</v>
          </cell>
        </row>
        <row r="2717">
          <cell r="Z2717" t="str">
            <v>MOBILIARIO CLINICO</v>
          </cell>
          <cell r="AA2717" t="str">
            <v>HOSPITAL CLINICO SAN BORJA-ARRIARAN</v>
          </cell>
        </row>
        <row r="2718">
          <cell r="Z2718" t="str">
            <v>MOBILIARIO CLINICO</v>
          </cell>
          <cell r="AA2718" t="str">
            <v>HOSPITAL CLINICO SAN BORJA-ARRIARAN</v>
          </cell>
        </row>
        <row r="2719">
          <cell r="Z2719" t="str">
            <v>MOBILIARIO CLINICO</v>
          </cell>
          <cell r="AA2719" t="str">
            <v>HOSPITAL CLINICO SAN BORJA-ARRIARAN</v>
          </cell>
        </row>
        <row r="2720">
          <cell r="Z2720" t="str">
            <v>MOBILIARIO CLINICO</v>
          </cell>
          <cell r="AA2720" t="str">
            <v>HOSPITAL CLINICO SAN BORJA-ARRIARAN</v>
          </cell>
        </row>
        <row r="2721">
          <cell r="Z2721" t="str">
            <v>MOBILIARIO CLINICO</v>
          </cell>
          <cell r="AA2721" t="str">
            <v>HOSPITAL CLINICO SAN BORJA-ARRIARAN</v>
          </cell>
        </row>
        <row r="2722">
          <cell r="Z2722" t="str">
            <v>MOBILIARIO CLINICO</v>
          </cell>
          <cell r="AA2722" t="str">
            <v>HOSPITAL CLINICO SAN BORJA-ARRIARAN</v>
          </cell>
        </row>
        <row r="2723">
          <cell r="Z2723" t="str">
            <v>MOBILIARIO CLINICO</v>
          </cell>
          <cell r="AA2723" t="str">
            <v>HOSPITAL CLINICO SAN BORJA-ARRIARAN</v>
          </cell>
        </row>
        <row r="2724">
          <cell r="Z2724" t="str">
            <v>MOBILIARIO CLINICO</v>
          </cell>
          <cell r="AA2724" t="str">
            <v>HOSPITAL CLINICO SAN BORJA-ARRIARAN</v>
          </cell>
        </row>
        <row r="2725">
          <cell r="Z2725" t="str">
            <v>MOBILIARIO CLINICO</v>
          </cell>
          <cell r="AA2725" t="str">
            <v>HOSPITAL CLINICO SAN BORJA-ARRIARAN</v>
          </cell>
        </row>
        <row r="2726">
          <cell r="Z2726" t="str">
            <v>MOBILIARIO CLINICO</v>
          </cell>
          <cell r="AA2726" t="str">
            <v>HOSPITAL CLINICO SAN BORJA-ARRIARAN</v>
          </cell>
        </row>
        <row r="2727">
          <cell r="Z2727" t="str">
            <v>MOBILIARIO CLINICO</v>
          </cell>
          <cell r="AA2727" t="str">
            <v>HOSPITAL CLINICO SAN BORJA-ARRIARAN</v>
          </cell>
        </row>
        <row r="2728">
          <cell r="Z2728" t="str">
            <v>MOBILIARIO CLINICO</v>
          </cell>
          <cell r="AA2728" t="str">
            <v>HOSPITAL CLINICO SAN BORJA-ARRIARAN</v>
          </cell>
        </row>
        <row r="2729">
          <cell r="Z2729" t="str">
            <v>MOBILIARIO CLINICO</v>
          </cell>
          <cell r="AA2729" t="str">
            <v>HOSPITAL CLINICO SAN BORJA-ARRIARAN</v>
          </cell>
        </row>
        <row r="2730">
          <cell r="Z2730" t="str">
            <v>MOBILIARIO CLINICO</v>
          </cell>
          <cell r="AA2730" t="str">
            <v>HOSPITAL CLINICO SAN BORJA-ARRIARAN</v>
          </cell>
        </row>
        <row r="2731">
          <cell r="Z2731" t="str">
            <v>MOBILIARIO CLINICO</v>
          </cell>
          <cell r="AA2731" t="str">
            <v>HOSPITAL CLINICO SAN BORJA-ARRIARAN</v>
          </cell>
        </row>
        <row r="2732">
          <cell r="Z2732" t="str">
            <v>MOBILIARIO CLINICO</v>
          </cell>
          <cell r="AA2732" t="str">
            <v>HOSPITAL CLINICO SAN BORJA-ARRIARAN</v>
          </cell>
        </row>
        <row r="2733">
          <cell r="Z2733" t="str">
            <v>MOBILIARIO CLINICO</v>
          </cell>
          <cell r="AA2733" t="str">
            <v>HOSPITAL CLINICO SAN BORJA-ARRIARAN</v>
          </cell>
        </row>
        <row r="2734">
          <cell r="Z2734" t="str">
            <v>MOBILIARIO CLINICO</v>
          </cell>
          <cell r="AA2734" t="str">
            <v>HOSPITAL CLINICO SAN BORJA-ARRIARAN</v>
          </cell>
        </row>
        <row r="2735">
          <cell r="Z2735" t="str">
            <v>MOBILIARIO CLINICO</v>
          </cell>
          <cell r="AA2735" t="str">
            <v>HOSPITAL CLINICO SAN BORJA-ARRIARAN</v>
          </cell>
        </row>
        <row r="2736">
          <cell r="Z2736" t="str">
            <v>MOBILIARIO CLINICO</v>
          </cell>
          <cell r="AA2736" t="str">
            <v>HOSPITAL CLINICO SAN BORJA-ARRIARAN</v>
          </cell>
        </row>
        <row r="2737">
          <cell r="Z2737" t="str">
            <v>MOBILIARIO CLINICO</v>
          </cell>
          <cell r="AA2737" t="str">
            <v>HOSPITAL CLINICO SAN BORJA-ARRIARAN</v>
          </cell>
        </row>
        <row r="2738">
          <cell r="Z2738" t="str">
            <v>MOBILIARIO CLINICO</v>
          </cell>
          <cell r="AA2738" t="str">
            <v>HOSPITAL CLINICO SAN BORJA-ARRIARAN</v>
          </cell>
        </row>
        <row r="2739">
          <cell r="Z2739" t="str">
            <v>MOBILIARIO CLINICO</v>
          </cell>
          <cell r="AA2739" t="str">
            <v>HOSPITAL CLINICO SAN BORJA-ARRIARAN</v>
          </cell>
        </row>
        <row r="2740">
          <cell r="Z2740" t="str">
            <v>MOBILIARIO CLINICO</v>
          </cell>
          <cell r="AA2740" t="str">
            <v>HOSPITAL CLINICO SAN BORJA-ARRIARAN</v>
          </cell>
        </row>
        <row r="2741">
          <cell r="Z2741" t="str">
            <v>MOBILIARIO CLINICO</v>
          </cell>
          <cell r="AA2741" t="str">
            <v>HOSPITAL CLINICO SAN BORJA-ARRIARAN</v>
          </cell>
        </row>
        <row r="2742">
          <cell r="Z2742" t="str">
            <v>MOBILIARIO CLINICO</v>
          </cell>
          <cell r="AA2742" t="str">
            <v>HOSPITAL CLINICO SAN BORJA-ARRIARAN</v>
          </cell>
        </row>
        <row r="2743">
          <cell r="Z2743" t="str">
            <v>MOBILIARIO CLINICO</v>
          </cell>
          <cell r="AA2743" t="str">
            <v>HOSPITAL CLINICO SAN BORJA-ARRIARAN</v>
          </cell>
        </row>
        <row r="2744">
          <cell r="Z2744" t="str">
            <v>MOBILIARIO CLINICO</v>
          </cell>
          <cell r="AA2744" t="str">
            <v>HOSPITAL CLINICO SAN BORJA-ARRIARAN</v>
          </cell>
        </row>
        <row r="2745">
          <cell r="Z2745" t="str">
            <v>MOBILIARIO CLINICO</v>
          </cell>
          <cell r="AA2745" t="str">
            <v>HOSPITAL CLINICO SAN BORJA-ARRIARAN</v>
          </cell>
        </row>
        <row r="2746">
          <cell r="Z2746" t="str">
            <v>MOBILIARIO CLINICO</v>
          </cell>
          <cell r="AA2746" t="str">
            <v>HOSPITAL CLINICO SAN BORJA-ARRIARAN</v>
          </cell>
        </row>
        <row r="2747">
          <cell r="Z2747" t="str">
            <v>MOBILIARIO CLINICO</v>
          </cell>
          <cell r="AA2747" t="str">
            <v>HOSPITAL CLINICO SAN BORJA-ARRIARAN</v>
          </cell>
        </row>
        <row r="2748">
          <cell r="Z2748" t="str">
            <v>MOBILIARIO CLINICO</v>
          </cell>
          <cell r="AA2748" t="str">
            <v>HOSPITAL CLINICO SAN BORJA-ARRIARAN</v>
          </cell>
        </row>
        <row r="2749">
          <cell r="Z2749" t="str">
            <v>MOBILIARIO CLINICO</v>
          </cell>
          <cell r="AA2749" t="str">
            <v>HOSPITAL CLINICO SAN BORJA-ARRIARAN</v>
          </cell>
        </row>
        <row r="2750">
          <cell r="Z2750" t="str">
            <v>MOBILIARIO CLINICO</v>
          </cell>
          <cell r="AA2750" t="str">
            <v>HOSPITAL CLINICO SAN BORJA-ARRIARAN</v>
          </cell>
        </row>
        <row r="2751">
          <cell r="Z2751" t="str">
            <v>MOBILIARIO CLINICO</v>
          </cell>
          <cell r="AA2751" t="str">
            <v>HOSPITAL CLINICO SAN BORJA-ARRIARAN</v>
          </cell>
        </row>
        <row r="2752">
          <cell r="Z2752" t="str">
            <v>MOBILIARIO CLINICO</v>
          </cell>
          <cell r="AA2752" t="str">
            <v>HOSPITAL CLINICO SAN BORJA-ARRIARAN</v>
          </cell>
        </row>
        <row r="2753">
          <cell r="Z2753" t="str">
            <v>MOBILIARIO CLINICO</v>
          </cell>
          <cell r="AA2753" t="str">
            <v>HOSPITAL CLINICO SAN BORJA-ARRIARAN</v>
          </cell>
        </row>
        <row r="2754">
          <cell r="Z2754" t="str">
            <v>MOBILIARIO CLINICO</v>
          </cell>
          <cell r="AA2754" t="str">
            <v>HOSPITAL CLINICO SAN BORJA-ARRIARAN</v>
          </cell>
        </row>
        <row r="2755">
          <cell r="Z2755" t="str">
            <v>MOBILIARIO CLINICO</v>
          </cell>
          <cell r="AA2755" t="str">
            <v>HOSPITAL CLINICO SAN BORJA-ARRIARAN</v>
          </cell>
        </row>
        <row r="2756">
          <cell r="Z2756" t="str">
            <v>MOBILIARIO CLINICO</v>
          </cell>
          <cell r="AA2756" t="str">
            <v>HOSPITAL CLINICO SAN BORJA-ARRIARAN</v>
          </cell>
        </row>
        <row r="2757">
          <cell r="Z2757" t="str">
            <v>MOBILIARIO CLINICO</v>
          </cell>
          <cell r="AA2757" t="str">
            <v>HOSPITAL CLINICO SAN BORJA-ARRIARAN</v>
          </cell>
        </row>
        <row r="2758">
          <cell r="Z2758" t="str">
            <v>MOBILIARIO CLINICO</v>
          </cell>
          <cell r="AA2758" t="str">
            <v>HOSPITAL CLINICO SAN BORJA-ARRIARAN</v>
          </cell>
        </row>
        <row r="2759">
          <cell r="Z2759" t="str">
            <v>MOBILIARIO CLINICO</v>
          </cell>
          <cell r="AA2759" t="str">
            <v>HOSPITAL CLINICO SAN BORJA-ARRIARAN</v>
          </cell>
        </row>
        <row r="2760">
          <cell r="Z2760" t="str">
            <v>MOBILIARIO CLINICO</v>
          </cell>
          <cell r="AA2760" t="str">
            <v>HOSPITAL CLINICO SAN BORJA-ARRIARAN</v>
          </cell>
        </row>
        <row r="2761">
          <cell r="Z2761" t="str">
            <v>MOBILIARIO CLINICO</v>
          </cell>
          <cell r="AA2761" t="str">
            <v>HOSPITAL CLINICO SAN BORJA-ARRIARAN</v>
          </cell>
        </row>
        <row r="2762">
          <cell r="Z2762" t="str">
            <v>MOBILIARIO CLINICO</v>
          </cell>
          <cell r="AA2762" t="str">
            <v>HOSPITAL CLINICO SAN BORJA-ARRIARAN</v>
          </cell>
        </row>
        <row r="2763">
          <cell r="Z2763" t="str">
            <v>MOBILIARIO CLINICO</v>
          </cell>
          <cell r="AA2763" t="str">
            <v>HOSPITAL CLINICO SAN BORJA-ARRIARAN</v>
          </cell>
        </row>
        <row r="2764">
          <cell r="Z2764" t="str">
            <v>MOBILIARIO CLINICO</v>
          </cell>
          <cell r="AA2764" t="str">
            <v>HOSPITAL CLINICO SAN BORJA-ARRIARAN</v>
          </cell>
        </row>
        <row r="2765">
          <cell r="Z2765" t="str">
            <v>MOBILIARIO CLINICO</v>
          </cell>
          <cell r="AA2765" t="str">
            <v>HOSPITAL CLINICO SAN BORJA-ARRIARAN</v>
          </cell>
        </row>
        <row r="2766">
          <cell r="Z2766" t="str">
            <v>MOBILIARIO CLINICO</v>
          </cell>
          <cell r="AA2766" t="str">
            <v>HOSPITAL CLINICO SAN BORJA-ARRIARAN</v>
          </cell>
        </row>
        <row r="2767">
          <cell r="Z2767" t="str">
            <v>MOBILIARIO CLINICO</v>
          </cell>
          <cell r="AA2767" t="str">
            <v>HOSPITAL CLINICO SAN BORJA-ARRIARAN</v>
          </cell>
        </row>
        <row r="2768">
          <cell r="Z2768" t="str">
            <v>MOBILIARIO CLINICO</v>
          </cell>
          <cell r="AA2768" t="str">
            <v>HOSPITAL CLINICO SAN BORJA-ARRIARAN</v>
          </cell>
        </row>
        <row r="2769">
          <cell r="Z2769" t="str">
            <v>MOBILIARIO CLINICO</v>
          </cell>
          <cell r="AA2769" t="str">
            <v>HOSPITAL CLINICO SAN BORJA-ARRIARAN</v>
          </cell>
        </row>
        <row r="2770">
          <cell r="Z2770" t="str">
            <v>MOBILIARIO CLINICO</v>
          </cell>
          <cell r="AA2770" t="str">
            <v>HOSPITAL CLINICO SAN BORJA-ARRIARAN</v>
          </cell>
        </row>
        <row r="2771">
          <cell r="Z2771" t="str">
            <v>MOBILIARIO CLINICO</v>
          </cell>
          <cell r="AA2771" t="str">
            <v>HOSPITAL CLINICO SAN BORJA-ARRIARAN</v>
          </cell>
        </row>
        <row r="2772">
          <cell r="Z2772" t="str">
            <v>MOBILIARIO CLINICO</v>
          </cell>
          <cell r="AA2772" t="str">
            <v>HOSPITAL CLINICO SAN BORJA-ARRIARAN</v>
          </cell>
        </row>
        <row r="2773">
          <cell r="Z2773" t="str">
            <v>MOBILIARIO CLINICO</v>
          </cell>
          <cell r="AA2773" t="str">
            <v>HOSPITAL CLINICO SAN BORJA-ARRIARAN</v>
          </cell>
        </row>
        <row r="2774">
          <cell r="Z2774" t="str">
            <v>MOBILIARIO CLINICO</v>
          </cell>
          <cell r="AA2774" t="str">
            <v>HOSPITAL CLINICO SAN BORJA-ARRIARAN</v>
          </cell>
        </row>
        <row r="2775">
          <cell r="Z2775" t="str">
            <v>MOBILIARIO CLINICO</v>
          </cell>
          <cell r="AA2775" t="str">
            <v>HOSPITAL CLINICO SAN BORJA-ARRIARAN</v>
          </cell>
        </row>
        <row r="2776">
          <cell r="Z2776" t="str">
            <v>MOBILIARIO CLINICO</v>
          </cell>
          <cell r="AA2776" t="str">
            <v>HOSPITAL CLINICO SAN BORJA-ARRIARAN</v>
          </cell>
        </row>
        <row r="2777">
          <cell r="Z2777" t="str">
            <v>MOBILIARIO CLINICO</v>
          </cell>
          <cell r="AA2777" t="str">
            <v>HOSPITAL CLINICO SAN BORJA-ARRIARAN</v>
          </cell>
        </row>
        <row r="2778">
          <cell r="Z2778" t="str">
            <v>MOBILIARIO CLINICO</v>
          </cell>
          <cell r="AA2778" t="str">
            <v>HOSPITAL CLINICO SAN BORJA-ARRIARAN</v>
          </cell>
        </row>
        <row r="2779">
          <cell r="Z2779" t="str">
            <v>MOBILIARIO CLINICO</v>
          </cell>
          <cell r="AA2779" t="str">
            <v>HOSPITAL CLINICO SAN BORJA-ARRIARAN</v>
          </cell>
        </row>
        <row r="2780">
          <cell r="Z2780" t="str">
            <v>MOBILIARIO CLINICO</v>
          </cell>
          <cell r="AA2780" t="str">
            <v>HOSPITAL CLINICO SAN BORJA-ARRIARAN</v>
          </cell>
        </row>
        <row r="2781">
          <cell r="Z2781" t="str">
            <v>MOBILIARIO CLINICO</v>
          </cell>
          <cell r="AA2781" t="str">
            <v>HOSPITAL CLINICO SAN BORJA-ARRIARAN</v>
          </cell>
        </row>
        <row r="2782">
          <cell r="Z2782" t="str">
            <v>MOBILIARIO CLINICO</v>
          </cell>
          <cell r="AA2782" t="str">
            <v>HOSPITAL CLINICO SAN BORJA-ARRIARAN</v>
          </cell>
        </row>
        <row r="2783">
          <cell r="Z2783" t="str">
            <v>MOBILIARIO CLINICO</v>
          </cell>
          <cell r="AA2783" t="str">
            <v>HOSPITAL CLINICO SAN BORJA-ARRIARAN</v>
          </cell>
        </row>
        <row r="2784">
          <cell r="Z2784" t="str">
            <v>MOBILIARIO CLINICO</v>
          </cell>
          <cell r="AA2784" t="str">
            <v>HOSPITAL CLINICO SAN BORJA-ARRIARAN</v>
          </cell>
        </row>
        <row r="2785">
          <cell r="Z2785" t="str">
            <v>MOBILIARIO CLINICO</v>
          </cell>
          <cell r="AA2785" t="str">
            <v>HOSPITAL CLINICO SAN BORJA-ARRIARAN</v>
          </cell>
        </row>
        <row r="2786">
          <cell r="Z2786" t="str">
            <v>MOBILIARIO CLINICO</v>
          </cell>
          <cell r="AA2786" t="str">
            <v>HOSPITAL CLINICO SAN BORJA-ARRIARAN</v>
          </cell>
        </row>
        <row r="2787">
          <cell r="Z2787" t="str">
            <v>MOBILIARIO CLINICO</v>
          </cell>
          <cell r="AA2787" t="str">
            <v>HOSPITAL CLINICO SAN BORJA-ARRIARAN</v>
          </cell>
        </row>
        <row r="2788">
          <cell r="Z2788" t="str">
            <v>MOBILIARIO CLINICO</v>
          </cell>
          <cell r="AA2788" t="str">
            <v>HOSPITAL CLINICO SAN BORJA-ARRIARAN</v>
          </cell>
        </row>
        <row r="2789">
          <cell r="Z2789" t="str">
            <v>MOBILIARIO CLINICO</v>
          </cell>
          <cell r="AA2789" t="str">
            <v>HOSPITAL CLINICO SAN BORJA-ARRIARAN</v>
          </cell>
        </row>
        <row r="2790">
          <cell r="Z2790" t="str">
            <v>MOBILIARIO CLINICO</v>
          </cell>
          <cell r="AA2790" t="str">
            <v>HOSPITAL CLINICO SAN BORJA-ARRIARAN</v>
          </cell>
        </row>
        <row r="2791">
          <cell r="Z2791" t="str">
            <v>MOBILIARIO CLINICO</v>
          </cell>
          <cell r="AA2791" t="str">
            <v>HOSPITAL CLINICO SAN BORJA-ARRIARAN</v>
          </cell>
        </row>
        <row r="2792">
          <cell r="Z2792" t="str">
            <v>MOBILIARIO CLINICO</v>
          </cell>
          <cell r="AA2792" t="str">
            <v>HOSPITAL CLINICO SAN BORJA-ARRIARAN</v>
          </cell>
        </row>
        <row r="2793">
          <cell r="Z2793" t="str">
            <v>MOBILIARIO CLINICO</v>
          </cell>
          <cell r="AA2793" t="str">
            <v>HOSPITAL CLINICO SAN BORJA-ARRIARAN</v>
          </cell>
        </row>
        <row r="2794">
          <cell r="Z2794" t="str">
            <v>MOBILIARIO CLINICO</v>
          </cell>
          <cell r="AA2794" t="str">
            <v>HOSPITAL CLINICO SAN BORJA-ARRIARAN</v>
          </cell>
        </row>
        <row r="2795">
          <cell r="Z2795" t="str">
            <v>MOBILIARIO CLINICO</v>
          </cell>
          <cell r="AA2795" t="str">
            <v>HOSPITAL CLINICO SAN BORJA-ARRIARAN</v>
          </cell>
        </row>
        <row r="2796">
          <cell r="Z2796" t="str">
            <v>MOBILIARIO CLINICO</v>
          </cell>
          <cell r="AA2796" t="str">
            <v>HOSPITAL CLINICO SAN BORJA-ARRIARAN</v>
          </cell>
        </row>
        <row r="2797">
          <cell r="Z2797" t="str">
            <v>MOBILIARIO CLINICO</v>
          </cell>
          <cell r="AA2797" t="str">
            <v>HOSPITAL CLINICO SAN BORJA-ARRIARAN</v>
          </cell>
        </row>
        <row r="2798">
          <cell r="Z2798" t="str">
            <v>MOBILIARIO CLINICO</v>
          </cell>
          <cell r="AA2798" t="str">
            <v>HOSPITAL CLINICO SAN BORJA-ARRIARAN</v>
          </cell>
        </row>
        <row r="2799">
          <cell r="Z2799" t="str">
            <v>MOBILIARIO CLINICO</v>
          </cell>
          <cell r="AA2799" t="str">
            <v>HOSPITAL CLINICO SAN BORJA-ARRIARAN</v>
          </cell>
        </row>
        <row r="2800">
          <cell r="Z2800" t="str">
            <v>MOBILIARIO CLINICO</v>
          </cell>
          <cell r="AA2800" t="str">
            <v>HOSPITAL CLINICO SAN BORJA-ARRIARAN</v>
          </cell>
        </row>
        <row r="2801">
          <cell r="Z2801" t="str">
            <v>MOBILIARIO CLINICO</v>
          </cell>
          <cell r="AA2801" t="str">
            <v>HOSPITAL CLINICO SAN BORJA-ARRIARAN</v>
          </cell>
        </row>
        <row r="2802">
          <cell r="Z2802" t="str">
            <v>MOBILIARIO CLINICO</v>
          </cell>
          <cell r="AA2802" t="str">
            <v>HOSPITAL CLINICO SAN BORJA-ARRIARAN</v>
          </cell>
        </row>
        <row r="2803">
          <cell r="Z2803" t="str">
            <v>MOBILIARIO CLINICO</v>
          </cell>
          <cell r="AA2803" t="str">
            <v>HOSPITAL CLINICO SAN BORJA-ARRIARAN</v>
          </cell>
        </row>
        <row r="2804">
          <cell r="Z2804" t="str">
            <v>MOBILIARIO CLINICO</v>
          </cell>
          <cell r="AA2804" t="str">
            <v>HOSPITAL CLINICO SAN BORJA-ARRIARAN</v>
          </cell>
        </row>
        <row r="2805">
          <cell r="Z2805" t="str">
            <v>MOBILIARIO CLINICO</v>
          </cell>
          <cell r="AA2805" t="str">
            <v>HOSPITAL CLINICO SAN BORJA-ARRIARAN</v>
          </cell>
        </row>
        <row r="2806">
          <cell r="Z2806" t="str">
            <v>MOBILIARIO CLINICO</v>
          </cell>
          <cell r="AA2806" t="str">
            <v>HOSPITAL CLINICO SAN BORJA-ARRIARAN</v>
          </cell>
        </row>
        <row r="2807">
          <cell r="Z2807" t="str">
            <v>MOBILIARIO CLINICO</v>
          </cell>
          <cell r="AA2807" t="str">
            <v>HOSPITAL CLINICO SAN BORJA-ARRIARAN</v>
          </cell>
        </row>
        <row r="2808">
          <cell r="Z2808" t="str">
            <v>MOBILIARIO CLINICO</v>
          </cell>
          <cell r="AA2808" t="str">
            <v>HOSPITAL CLINICO SAN BORJA-ARRIARAN</v>
          </cell>
        </row>
        <row r="2809">
          <cell r="Z2809" t="str">
            <v>MOBILIARIO CLINICO</v>
          </cell>
          <cell r="AA2809" t="str">
            <v>HOSPITAL CLINICO SAN BORJA-ARRIARAN</v>
          </cell>
        </row>
        <row r="2810">
          <cell r="Z2810" t="str">
            <v>MOBILIARIO CLINICO</v>
          </cell>
          <cell r="AA2810" t="str">
            <v>HOSPITAL CLINICO SAN BORJA-ARRIARAN</v>
          </cell>
        </row>
        <row r="2811">
          <cell r="Z2811" t="str">
            <v>MOBILIARIO CLINICO</v>
          </cell>
          <cell r="AA2811" t="str">
            <v>HOSPITAL CLINICO SAN BORJA-ARRIARAN</v>
          </cell>
        </row>
        <row r="2812">
          <cell r="Z2812" t="str">
            <v>MOBILIARIO CLINICO</v>
          </cell>
          <cell r="AA2812" t="str">
            <v>HOSPITAL CLINICO SAN BORJA-ARRIARAN</v>
          </cell>
        </row>
        <row r="2813">
          <cell r="Z2813" t="str">
            <v>MOBILIARIO CLINICO</v>
          </cell>
          <cell r="AA2813" t="str">
            <v>HOSPITAL CLINICO SAN BORJA-ARRIARAN</v>
          </cell>
        </row>
        <row r="2814">
          <cell r="Z2814" t="str">
            <v>MOBILIARIO CLINICO</v>
          </cell>
          <cell r="AA2814" t="str">
            <v>HOSPITAL CLINICO SAN BORJA-ARRIARAN</v>
          </cell>
        </row>
        <row r="2815">
          <cell r="Z2815" t="str">
            <v>MOBILIARIO CLINICO</v>
          </cell>
          <cell r="AA2815" t="str">
            <v>HOSPITAL CLINICO SAN BORJA-ARRIARAN</v>
          </cell>
        </row>
        <row r="2816">
          <cell r="Z2816" t="str">
            <v>MOBILIARIO CLINICO</v>
          </cell>
          <cell r="AA2816" t="str">
            <v>HOSPITAL CLINICO SAN BORJA-ARRIARAN</v>
          </cell>
        </row>
        <row r="2817">
          <cell r="Z2817" t="str">
            <v>MOBILIARIO CLINICO</v>
          </cell>
          <cell r="AA2817" t="str">
            <v>HOSPITAL CLINICO SAN BORJA-ARRIARAN</v>
          </cell>
        </row>
        <row r="2818">
          <cell r="Z2818" t="str">
            <v>MOBILIARIO CLINICO</v>
          </cell>
          <cell r="AA2818" t="str">
            <v>HOSPITAL CLINICO SAN BORJA-ARRIARAN</v>
          </cell>
        </row>
        <row r="2819">
          <cell r="Z2819" t="str">
            <v>MOBILIARIO CLINICO</v>
          </cell>
          <cell r="AA2819" t="str">
            <v>HOSPITAL CLINICO SAN BORJA-ARRIARAN</v>
          </cell>
        </row>
        <row r="2820">
          <cell r="Z2820" t="str">
            <v>MOBILIARIO CLINICO</v>
          </cell>
          <cell r="AA2820" t="str">
            <v>HOSPITAL CLINICO SAN BORJA-ARRIARAN</v>
          </cell>
        </row>
        <row r="2821">
          <cell r="Z2821" t="str">
            <v>MOBILIARIO CLINICO</v>
          </cell>
          <cell r="AA2821" t="str">
            <v>HOSPITAL CLINICO SAN BORJA-ARRIARAN</v>
          </cell>
        </row>
        <row r="2822">
          <cell r="Z2822" t="str">
            <v>MOBILIARIO CLINICO</v>
          </cell>
          <cell r="AA2822" t="str">
            <v>HOSPITAL CLINICO SAN BORJA-ARRIARAN</v>
          </cell>
        </row>
        <row r="2823">
          <cell r="Z2823" t="str">
            <v>MOBILIARIO CLINICO</v>
          </cell>
          <cell r="AA2823" t="str">
            <v>HOSPITAL CLINICO SAN BORJA-ARRIARAN</v>
          </cell>
        </row>
        <row r="2824">
          <cell r="Z2824" t="str">
            <v>MOBILIARIO CLINICO</v>
          </cell>
          <cell r="AA2824" t="str">
            <v>HOSPITAL CLINICO SAN BORJA-ARRIARAN</v>
          </cell>
        </row>
        <row r="2825">
          <cell r="Z2825" t="str">
            <v>MOBILIARIO CLINICO</v>
          </cell>
          <cell r="AA2825" t="str">
            <v>HOSPITAL CLINICO SAN BORJA-ARRIARAN</v>
          </cell>
        </row>
        <row r="2826">
          <cell r="Z2826" t="str">
            <v>MOBILIARIO CLINICO</v>
          </cell>
          <cell r="AA2826" t="str">
            <v>HOSPITAL CLINICO SAN BORJA-ARRIARAN</v>
          </cell>
        </row>
        <row r="2827">
          <cell r="Z2827" t="str">
            <v>MOBILIARIO CLINICO</v>
          </cell>
          <cell r="AA2827" t="str">
            <v>HOSPITAL CLINICO SAN BORJA-ARRIARAN</v>
          </cell>
        </row>
        <row r="2828">
          <cell r="Z2828" t="str">
            <v>MOBILIARIO CLINICO</v>
          </cell>
          <cell r="AA2828" t="str">
            <v>HOSPITAL CLINICO SAN BORJA-ARRIARAN</v>
          </cell>
        </row>
        <row r="2829">
          <cell r="Z2829" t="str">
            <v>MOBILIARIO CLINICO</v>
          </cell>
          <cell r="AA2829" t="str">
            <v>HOSPITAL CLINICO SAN BORJA-ARRIARAN</v>
          </cell>
        </row>
        <row r="2830">
          <cell r="Z2830" t="str">
            <v>MOBILIARIO CLINICO</v>
          </cell>
          <cell r="AA2830" t="str">
            <v>HOSPITAL CLINICO SAN BORJA-ARRIARAN</v>
          </cell>
        </row>
        <row r="2831">
          <cell r="Z2831" t="str">
            <v>MOBILIARIO CLINICO</v>
          </cell>
          <cell r="AA2831" t="str">
            <v>HOSPITAL CLINICO SAN BORJA-ARRIARAN</v>
          </cell>
        </row>
        <row r="2832">
          <cell r="Z2832" t="str">
            <v>MOBILIARIO CLINICO</v>
          </cell>
          <cell r="AA2832" t="str">
            <v>HOSPITAL CLINICO SAN BORJA-ARRIARAN</v>
          </cell>
        </row>
        <row r="2833">
          <cell r="Z2833" t="str">
            <v>MOBILIARIO CLINICO</v>
          </cell>
          <cell r="AA2833" t="str">
            <v>HOSPITAL CLINICO SAN BORJA-ARRIARAN</v>
          </cell>
        </row>
        <row r="2834">
          <cell r="Z2834" t="str">
            <v>MOBILIARIO CLINICO</v>
          </cell>
          <cell r="AA2834" t="str">
            <v>HOSPITAL CLINICO SAN BORJA-ARRIARAN</v>
          </cell>
        </row>
        <row r="2835">
          <cell r="Z2835" t="str">
            <v>MOBILIARIO CLINICO</v>
          </cell>
          <cell r="AA2835" t="str">
            <v>HOSPITAL CLINICO SAN BORJA-ARRIARAN</v>
          </cell>
        </row>
        <row r="2836">
          <cell r="Z2836" t="str">
            <v>MOBILIARIO CLINICO</v>
          </cell>
          <cell r="AA2836" t="str">
            <v>HOSPITAL CLINICO SAN BORJA-ARRIARAN</v>
          </cell>
        </row>
        <row r="2837">
          <cell r="Z2837" t="str">
            <v>MOBILIARIO CLINICO</v>
          </cell>
          <cell r="AA2837" t="str">
            <v>HOSPITAL CLINICO SAN BORJA-ARRIARAN</v>
          </cell>
        </row>
        <row r="2838">
          <cell r="Z2838" t="str">
            <v>MOBILIARIO CLINICO</v>
          </cell>
          <cell r="AA2838" t="str">
            <v>HOSPITAL CLINICO SAN BORJA-ARRIARAN</v>
          </cell>
        </row>
        <row r="2839">
          <cell r="Z2839" t="str">
            <v>MOBILIARIO CLINICO</v>
          </cell>
          <cell r="AA2839" t="str">
            <v>HOSPITAL CLINICO SAN BORJA-ARRIARAN</v>
          </cell>
        </row>
        <row r="2840">
          <cell r="Z2840" t="str">
            <v>MOBILIARIO CLINICO</v>
          </cell>
          <cell r="AA2840" t="str">
            <v>HOSPITAL CLINICO SAN BORJA-ARRIARAN</v>
          </cell>
        </row>
        <row r="2841">
          <cell r="Z2841" t="str">
            <v>MOBILIARIO CLINICO</v>
          </cell>
          <cell r="AA2841" t="str">
            <v>HOSPITAL CLINICO SAN BORJA-ARRIARAN</v>
          </cell>
        </row>
        <row r="2842">
          <cell r="Z2842" t="str">
            <v>MOBILIARIO CLINICO</v>
          </cell>
          <cell r="AA2842" t="str">
            <v>HOSPITAL CLINICO SAN BORJA-ARRIARAN</v>
          </cell>
        </row>
        <row r="2843">
          <cell r="Z2843" t="str">
            <v>MOBILIARIO CLINICO</v>
          </cell>
          <cell r="AA2843" t="str">
            <v>HOSPITAL CLINICO SAN BORJA-ARRIARAN</v>
          </cell>
        </row>
        <row r="2844">
          <cell r="Z2844" t="str">
            <v>MOBILIARIO CLINICO</v>
          </cell>
          <cell r="AA2844" t="str">
            <v>HOSPITAL CLINICO SAN BORJA-ARRIARAN</v>
          </cell>
        </row>
        <row r="2845">
          <cell r="Z2845" t="str">
            <v>MOBILIARIO CLINICO</v>
          </cell>
          <cell r="AA2845" t="str">
            <v>HOSPITAL CLINICO SAN BORJA-ARRIARAN</v>
          </cell>
        </row>
        <row r="2846">
          <cell r="Z2846" t="str">
            <v>MOBILIARIO CLINICO</v>
          </cell>
          <cell r="AA2846" t="str">
            <v>HOSPITAL CLINICO SAN BORJA-ARRIARAN</v>
          </cell>
        </row>
        <row r="2847">
          <cell r="Z2847" t="str">
            <v>MOBILIARIO CLINICO</v>
          </cell>
          <cell r="AA2847" t="str">
            <v>HOSPITAL CLINICO SAN BORJA-ARRIARAN</v>
          </cell>
        </row>
        <row r="2848">
          <cell r="Z2848" t="str">
            <v>MOBILIARIO CLINICO</v>
          </cell>
          <cell r="AA2848" t="str">
            <v>HOSPITAL CLINICO SAN BORJA-ARRIARAN</v>
          </cell>
        </row>
        <row r="2849">
          <cell r="Z2849" t="str">
            <v>MOBILIARIO CLINICO</v>
          </cell>
          <cell r="AA2849" t="str">
            <v>HOSPITAL CLINICO SAN BORJA-ARRIARAN</v>
          </cell>
        </row>
        <row r="2850">
          <cell r="Z2850" t="str">
            <v>MOBILIARIO CLINICO</v>
          </cell>
          <cell r="AA2850" t="str">
            <v>HOSPITAL CLINICO SAN BORJA-ARRIARAN</v>
          </cell>
        </row>
        <row r="2851">
          <cell r="Z2851" t="str">
            <v>MOBILIARIO CLINICO</v>
          </cell>
          <cell r="AA2851" t="str">
            <v>HOSPITAL CLINICO SAN BORJA-ARRIARAN</v>
          </cell>
        </row>
        <row r="2852">
          <cell r="Z2852" t="str">
            <v>MOBILIARIO CLINICO</v>
          </cell>
          <cell r="AA2852" t="str">
            <v>HOSPITAL CLINICO SAN BORJA-ARRIARAN</v>
          </cell>
        </row>
        <row r="2853">
          <cell r="Z2853" t="str">
            <v>MOBILIARIO CLINICO</v>
          </cell>
          <cell r="AA2853" t="str">
            <v>HOSPITAL CLINICO SAN BORJA-ARRIARAN</v>
          </cell>
        </row>
        <row r="2854">
          <cell r="Z2854" t="str">
            <v>MOBILIARIO CLINICO</v>
          </cell>
          <cell r="AA2854" t="str">
            <v>HOSPITAL CLINICO SAN BORJA-ARRIARAN</v>
          </cell>
        </row>
        <row r="2855">
          <cell r="Z2855" t="str">
            <v>MOBILIARIO CLINICO</v>
          </cell>
          <cell r="AA2855" t="str">
            <v>HOSPITAL CLINICO SAN BORJA-ARRIARAN</v>
          </cell>
        </row>
        <row r="2856">
          <cell r="Z2856" t="str">
            <v>MOBILIARIO CLINICO</v>
          </cell>
          <cell r="AA2856" t="str">
            <v>HOSPITAL CLINICO SAN BORJA-ARRIARAN</v>
          </cell>
        </row>
        <row r="2857">
          <cell r="Z2857" t="str">
            <v>MOBILIARIO CLINICO</v>
          </cell>
          <cell r="AA2857" t="str">
            <v>HOSPITAL CLINICO SAN BORJA-ARRIARAN</v>
          </cell>
        </row>
        <row r="2858">
          <cell r="Z2858" t="str">
            <v>MOBILIARIO CLINICO</v>
          </cell>
          <cell r="AA2858" t="str">
            <v>HOSPITAL CLINICO SAN BORJA-ARRIARAN</v>
          </cell>
        </row>
        <row r="2859">
          <cell r="Z2859" t="str">
            <v>MOBILIARIO CLINICO</v>
          </cell>
          <cell r="AA2859" t="str">
            <v>HOSPITAL CLINICO SAN BORJA-ARRIARAN</v>
          </cell>
        </row>
        <row r="2860">
          <cell r="Z2860" t="str">
            <v>MOBILIARIO CLINICO</v>
          </cell>
          <cell r="AA2860" t="str">
            <v>HOSPITAL CLINICO SAN BORJA-ARRIARAN</v>
          </cell>
        </row>
        <row r="2861">
          <cell r="Z2861" t="str">
            <v>MOBILIARIO CLINICO</v>
          </cell>
          <cell r="AA2861" t="str">
            <v>HOSPITAL CLINICO SAN BORJA-ARRIARAN</v>
          </cell>
        </row>
        <row r="2862">
          <cell r="Z2862" t="str">
            <v>MOBILIARIO CLINICO</v>
          </cell>
          <cell r="AA2862" t="str">
            <v>HOSPITAL CLINICO SAN BORJA-ARRIARAN</v>
          </cell>
        </row>
        <row r="2863">
          <cell r="Z2863" t="str">
            <v>MOBILIARIO CLINICO</v>
          </cell>
          <cell r="AA2863" t="str">
            <v>HOSPITAL CLINICO SAN BORJA-ARRIARAN</v>
          </cell>
        </row>
        <row r="2864">
          <cell r="Z2864" t="str">
            <v>MOBILIARIO CLINICO</v>
          </cell>
          <cell r="AA2864" t="str">
            <v>HOSPITAL CLINICO SAN BORJA-ARRIARAN</v>
          </cell>
        </row>
        <row r="2865">
          <cell r="Z2865" t="str">
            <v>MOBILIARIO CLINICO</v>
          </cell>
          <cell r="AA2865" t="str">
            <v>HOSPITAL CLINICO SAN BORJA-ARRIARAN</v>
          </cell>
        </row>
        <row r="2866">
          <cell r="Z2866" t="str">
            <v>MOBILIARIO CLINICO</v>
          </cell>
          <cell r="AA2866" t="str">
            <v>HOSPITAL CLINICO SAN BORJA-ARRIARAN</v>
          </cell>
        </row>
        <row r="2867">
          <cell r="Z2867" t="str">
            <v>MOBILIARIO CLINICO</v>
          </cell>
          <cell r="AA2867" t="str">
            <v>HOSPITAL CLINICO SAN BORJA-ARRIARAN</v>
          </cell>
        </row>
        <row r="2868">
          <cell r="Z2868" t="str">
            <v>MOBILIARIO CLINICO</v>
          </cell>
          <cell r="AA2868" t="str">
            <v>HOSPITAL CLINICO SAN BORJA-ARRIARAN</v>
          </cell>
        </row>
        <row r="2869">
          <cell r="Z2869" t="str">
            <v>MOBILIARIO CLINICO</v>
          </cell>
          <cell r="AA2869" t="str">
            <v>HOSPITAL CLINICO SAN BORJA-ARRIARAN</v>
          </cell>
        </row>
        <row r="2870">
          <cell r="Z2870" t="str">
            <v>MOBILIARIO CLINICO</v>
          </cell>
          <cell r="AA2870" t="str">
            <v>HOSPITAL CLINICO SAN BORJA-ARRIARAN</v>
          </cell>
        </row>
        <row r="2871">
          <cell r="Z2871" t="str">
            <v>MOBILIARIO CLINICO</v>
          </cell>
          <cell r="AA2871" t="str">
            <v>HOSPITAL CLINICO SAN BORJA-ARRIARAN</v>
          </cell>
        </row>
        <row r="2872">
          <cell r="Z2872" t="str">
            <v>MOBILIARIO CLINICO</v>
          </cell>
          <cell r="AA2872" t="str">
            <v>HOSPITAL CLINICO SAN BORJA-ARRIARAN</v>
          </cell>
        </row>
        <row r="2873">
          <cell r="Z2873" t="str">
            <v>MOBILIARIO CLINICO</v>
          </cell>
          <cell r="AA2873" t="str">
            <v>HOSPITAL CLINICO SAN BORJA-ARRIARAN</v>
          </cell>
        </row>
        <row r="2874">
          <cell r="Z2874" t="str">
            <v>MOBILIARIO CLINICO</v>
          </cell>
          <cell r="AA2874" t="str">
            <v>HOSPITAL CLINICO SAN BORJA-ARRIARAN</v>
          </cell>
        </row>
        <row r="2875">
          <cell r="Z2875" t="str">
            <v>MOBILIARIO CLINICO</v>
          </cell>
          <cell r="AA2875" t="str">
            <v>HOSPITAL CLINICO SAN BORJA-ARRIARAN</v>
          </cell>
        </row>
        <row r="2876">
          <cell r="Z2876" t="str">
            <v>MOBILIARIO CLINICO</v>
          </cell>
          <cell r="AA2876" t="str">
            <v>HOSPITAL CLINICO SAN BORJA-ARRIARAN</v>
          </cell>
        </row>
        <row r="2877">
          <cell r="Z2877" t="str">
            <v>MOBILIARIO CLINICO</v>
          </cell>
          <cell r="AA2877" t="str">
            <v>HOSPITAL CLINICO SAN BORJA-ARRIARAN</v>
          </cell>
        </row>
        <row r="2878">
          <cell r="Z2878" t="str">
            <v>MOBILIARIO CLINICO</v>
          </cell>
          <cell r="AA2878" t="str">
            <v>HOSPITAL CLINICO SAN BORJA-ARRIARAN</v>
          </cell>
        </row>
        <row r="2879">
          <cell r="Z2879" t="str">
            <v>MOBILIARIO CLINICO</v>
          </cell>
          <cell r="AA2879" t="str">
            <v>HOSPITAL CLINICO SAN BORJA-ARRIARAN</v>
          </cell>
        </row>
        <row r="2880">
          <cell r="Z2880" t="str">
            <v>MOBILIARIO CLINICO</v>
          </cell>
          <cell r="AA2880" t="str">
            <v>HOSPITAL CLINICO SAN BORJA-ARRIARAN</v>
          </cell>
        </row>
        <row r="2881">
          <cell r="Z2881" t="str">
            <v>MOBILIARIO CLINICO</v>
          </cell>
          <cell r="AA2881" t="str">
            <v>HOSPITAL CLINICO SAN BORJA-ARRIARAN</v>
          </cell>
        </row>
        <row r="2882">
          <cell r="Z2882" t="str">
            <v>MOBILIARIO CLINICO</v>
          </cell>
          <cell r="AA2882" t="str">
            <v>HOSPITAL CLINICO SAN BORJA-ARRIARAN</v>
          </cell>
        </row>
        <row r="2883">
          <cell r="Z2883" t="str">
            <v>MOBILIARIO CLINICO</v>
          </cell>
          <cell r="AA2883" t="str">
            <v>HOSPITAL CLINICO SAN BORJA-ARRIARAN</v>
          </cell>
        </row>
        <row r="2884">
          <cell r="Z2884" t="str">
            <v>MOBILIARIO CLINICO</v>
          </cell>
          <cell r="AA2884" t="str">
            <v>HOSPITAL CLINICO SAN BORJA-ARRIARAN</v>
          </cell>
        </row>
        <row r="2885">
          <cell r="Z2885" t="str">
            <v>MOBILIARIO CLINICO</v>
          </cell>
          <cell r="AA2885" t="str">
            <v>HOSPITAL CLINICO SAN BORJA-ARRIARAN</v>
          </cell>
        </row>
        <row r="2886">
          <cell r="Z2886" t="str">
            <v>MOBILIARIO CLINICO</v>
          </cell>
          <cell r="AA2886" t="str">
            <v>HOSPITAL CLINICO SAN BORJA-ARRIARAN</v>
          </cell>
        </row>
        <row r="2887">
          <cell r="Z2887" t="str">
            <v>MOBILIARIO CLINICO</v>
          </cell>
          <cell r="AA2887" t="str">
            <v>HOSPITAL CLINICO SAN BORJA-ARRIARAN</v>
          </cell>
        </row>
        <row r="2888">
          <cell r="Z2888" t="str">
            <v>MOBILIARIO CLINICO</v>
          </cell>
          <cell r="AA2888" t="str">
            <v>HOSPITAL CLINICO SAN BORJA-ARRIARAN</v>
          </cell>
        </row>
        <row r="2889">
          <cell r="Z2889" t="str">
            <v>MOBILIARIO CLINICO</v>
          </cell>
          <cell r="AA2889" t="str">
            <v>HOSPITAL CLINICO SAN BORJA-ARRIARAN</v>
          </cell>
        </row>
        <row r="2890">
          <cell r="Z2890" t="str">
            <v>MOBILIARIO CLINICO</v>
          </cell>
          <cell r="AA2890" t="str">
            <v>HOSPITAL CLINICO SAN BORJA-ARRIARAN</v>
          </cell>
        </row>
        <row r="2891">
          <cell r="Z2891" t="str">
            <v>MOBILIARIO CLINICO</v>
          </cell>
          <cell r="AA2891" t="str">
            <v>HOSPITAL CLINICO SAN BORJA-ARRIARAN</v>
          </cell>
        </row>
        <row r="2892">
          <cell r="Z2892" t="str">
            <v>MOBILIARIO CLINICO</v>
          </cell>
          <cell r="AA2892" t="str">
            <v>HOSPITAL CLINICO SAN BORJA-ARRIARAN</v>
          </cell>
        </row>
        <row r="2893">
          <cell r="Z2893" t="str">
            <v>MOBILIARIO CLINICO</v>
          </cell>
          <cell r="AA2893" t="str">
            <v>HOSPITAL CLINICO SAN BORJA-ARRIARAN</v>
          </cell>
        </row>
        <row r="2894">
          <cell r="Z2894" t="str">
            <v>MOBILIARIO CLINICO</v>
          </cell>
          <cell r="AA2894" t="str">
            <v>HOSPITAL CLINICO SAN BORJA-ARRIARAN</v>
          </cell>
        </row>
        <row r="2895">
          <cell r="Z2895" t="str">
            <v>MOBILIARIO CLINICO</v>
          </cell>
          <cell r="AA2895" t="str">
            <v>SERVICIO DE SALUD CHILOE</v>
          </cell>
        </row>
        <row r="2896">
          <cell r="Z2896" t="str">
            <v>MOBILIARIO CLINICO</v>
          </cell>
          <cell r="AA2896" t="str">
            <v>SERVICIO DE SALUD CHILOE</v>
          </cell>
        </row>
        <row r="2897">
          <cell r="Z2897" t="str">
            <v>MOBILIARIO CLINICO</v>
          </cell>
          <cell r="AA2897" t="str">
            <v>SERVICIO DE SALUD CHILOE</v>
          </cell>
        </row>
        <row r="2898">
          <cell r="Z2898" t="str">
            <v>MOBILIARIO CLINICO</v>
          </cell>
          <cell r="AA2898" t="str">
            <v>SERVICIO DE SALUD CHILOE</v>
          </cell>
        </row>
        <row r="2899">
          <cell r="Z2899" t="str">
            <v>MOBILIARIO CLINICO</v>
          </cell>
          <cell r="AA2899" t="str">
            <v>SERVICIO DE SALUD CHILOE</v>
          </cell>
        </row>
        <row r="2900">
          <cell r="Z2900" t="str">
            <v>MOBILIARIO CLINICO</v>
          </cell>
          <cell r="AA2900" t="str">
            <v>SERVICIO DE SALUD CHILOE</v>
          </cell>
        </row>
        <row r="2901">
          <cell r="Z2901" t="str">
            <v>MOBILIARIO CLINICO</v>
          </cell>
          <cell r="AA2901" t="str">
            <v>SERVICIO DE SALUD CHILOE</v>
          </cell>
        </row>
        <row r="2902">
          <cell r="Z2902" t="str">
            <v>MOBILIARIO CLINICO</v>
          </cell>
          <cell r="AA2902" t="str">
            <v>SERVICIO DE SALUD CHILOE</v>
          </cell>
        </row>
        <row r="2903">
          <cell r="Z2903" t="str">
            <v>MOBILIARIO CLINICO</v>
          </cell>
          <cell r="AA2903" t="str">
            <v>SERVICIO DE SALUD CHILOE</v>
          </cell>
        </row>
        <row r="2904">
          <cell r="Z2904" t="str">
            <v>MOBILIARIO CLINICO</v>
          </cell>
          <cell r="AA2904" t="str">
            <v>SERVICIO DE SALUD CHILOE</v>
          </cell>
        </row>
        <row r="2905">
          <cell r="Z2905" t="str">
            <v>MOBILIARIO CLINICO</v>
          </cell>
          <cell r="AA2905" t="str">
            <v>SERVICIO DE SALUD CHILOE</v>
          </cell>
        </row>
        <row r="2906">
          <cell r="Z2906" t="str">
            <v>MOBILIARIO CLINICO</v>
          </cell>
          <cell r="AA2906" t="str">
            <v>SERVICIO DE SALUD CHILOE</v>
          </cell>
        </row>
        <row r="2907">
          <cell r="Z2907" t="str">
            <v>MOBILIARIO CLINICO</v>
          </cell>
          <cell r="AA2907" t="str">
            <v>SERVICIO DE SALUD CHILOE</v>
          </cell>
        </row>
        <row r="2908">
          <cell r="Z2908" t="str">
            <v>MOBILIARIO CLINICO</v>
          </cell>
          <cell r="AA2908" t="str">
            <v>SERVICIO DE SALUD CHILOE</v>
          </cell>
        </row>
        <row r="2909">
          <cell r="Z2909" t="str">
            <v>MOBILIARIO CLINICO</v>
          </cell>
          <cell r="AA2909" t="str">
            <v>SERVICIO DE SALUD CHILOE</v>
          </cell>
        </row>
        <row r="2910">
          <cell r="Z2910" t="str">
            <v>MOBILIARIO CLINICO</v>
          </cell>
          <cell r="AA2910" t="str">
            <v>SERVICIO DE SALUD CHILOE</v>
          </cell>
        </row>
        <row r="2911">
          <cell r="Z2911" t="str">
            <v>MOBILIARIO CLINICO</v>
          </cell>
          <cell r="AA2911" t="str">
            <v>SERVICIO DE SALUD CHILOE</v>
          </cell>
        </row>
        <row r="2912">
          <cell r="Z2912" t="str">
            <v>MOBILIARIO CLINICO</v>
          </cell>
          <cell r="AA2912" t="str">
            <v>SERVICIO DE SALUD CHILOE</v>
          </cell>
        </row>
        <row r="2913">
          <cell r="Z2913" t="str">
            <v>MOBILIARIO CLINICO</v>
          </cell>
          <cell r="AA2913" t="str">
            <v>SERVICIO DE SALUD CHILOE</v>
          </cell>
        </row>
        <row r="2914">
          <cell r="Z2914" t="str">
            <v>MOBILIARIO CLINICO</v>
          </cell>
          <cell r="AA2914" t="str">
            <v>SERVICIO DE SALUD CHILOE</v>
          </cell>
        </row>
        <row r="2915">
          <cell r="Z2915" t="str">
            <v>MOBILIARIO CLINICO</v>
          </cell>
          <cell r="AA2915" t="str">
            <v>SERVICIO DE SALUD CHILOE</v>
          </cell>
        </row>
        <row r="2916">
          <cell r="Z2916" t="str">
            <v>MOBILIARIO CLINICO</v>
          </cell>
          <cell r="AA2916" t="str">
            <v>SERVICIO DE SALUD CHILOE</v>
          </cell>
        </row>
        <row r="2917">
          <cell r="Z2917" t="str">
            <v>MOBILIARIO CLINICO</v>
          </cell>
          <cell r="AA2917" t="str">
            <v>SERVICIO DE SALUD CHILOE</v>
          </cell>
        </row>
        <row r="2918">
          <cell r="Z2918" t="str">
            <v>MOBILIARIO CLINICO</v>
          </cell>
          <cell r="AA2918" t="str">
            <v>SERVICIO DE SALUD CHILOE</v>
          </cell>
        </row>
        <row r="2919">
          <cell r="Z2919" t="str">
            <v>MOBILIARIO CLINICO</v>
          </cell>
          <cell r="AA2919" t="str">
            <v>SERVICIO DE SALUD CHILOE</v>
          </cell>
        </row>
        <row r="2920">
          <cell r="Z2920" t="str">
            <v>MOBILIARIO CLINICO</v>
          </cell>
          <cell r="AA2920" t="str">
            <v>SERVICIO DE SALUD CHILOE</v>
          </cell>
        </row>
        <row r="2921">
          <cell r="Z2921" t="str">
            <v>MOBILIARIO CLINICO</v>
          </cell>
          <cell r="AA2921" t="str">
            <v>SERVICIO DE SALUD CHILOE</v>
          </cell>
        </row>
        <row r="2922">
          <cell r="Z2922" t="str">
            <v>MOBILIARIO CLINICO</v>
          </cell>
          <cell r="AA2922" t="str">
            <v>SERVICIO DE SALUD CHILOE</v>
          </cell>
        </row>
        <row r="2923">
          <cell r="Z2923" t="str">
            <v>MOBILIARIO CLINICO</v>
          </cell>
          <cell r="AA2923" t="str">
            <v>SERVICIO DE SALUD CHILOE</v>
          </cell>
        </row>
        <row r="2924">
          <cell r="Z2924" t="str">
            <v>MOBILIARIO CLINICO</v>
          </cell>
          <cell r="AA2924" t="str">
            <v>SERVICIO DE SALUD CHILOE</v>
          </cell>
        </row>
        <row r="2925">
          <cell r="Z2925" t="str">
            <v>MOBILIARIO CLINICO</v>
          </cell>
          <cell r="AA2925" t="str">
            <v>SERVICIO DE SALUD CHILOE</v>
          </cell>
        </row>
        <row r="2926">
          <cell r="Z2926" t="str">
            <v>MOBILIARIO CLINICO</v>
          </cell>
          <cell r="AA2926" t="str">
            <v>SERVICIO DE SALUD CHILOE</v>
          </cell>
        </row>
        <row r="2927">
          <cell r="Z2927" t="str">
            <v>MOBILIARIO CLINICO</v>
          </cell>
          <cell r="AA2927" t="str">
            <v>SERVICIO DE SALUD CHILOE</v>
          </cell>
        </row>
        <row r="2928">
          <cell r="Z2928" t="str">
            <v>MOBILIARIO CLINICO</v>
          </cell>
          <cell r="AA2928" t="str">
            <v>SERVICIO DE SALUD CHILOE</v>
          </cell>
        </row>
        <row r="2929">
          <cell r="Z2929" t="str">
            <v>MOBILIARIO CLINICO</v>
          </cell>
          <cell r="AA2929" t="str">
            <v>SERVICIO DE SALUD CHILOE</v>
          </cell>
        </row>
        <row r="2930">
          <cell r="Z2930" t="str">
            <v>MOBILIARIO CLINICO</v>
          </cell>
          <cell r="AA2930" t="str">
            <v>SERVICIO DE SALUD CHILOE</v>
          </cell>
        </row>
        <row r="2931">
          <cell r="Z2931" t="str">
            <v>MOBILIARIO CLINICO</v>
          </cell>
          <cell r="AA2931" t="str">
            <v>SERVICIO DE SALUD CHILOE</v>
          </cell>
        </row>
        <row r="2932">
          <cell r="Z2932" t="str">
            <v>MOBILIARIO CLINICO</v>
          </cell>
          <cell r="AA2932" t="str">
            <v>SERVICIO DE SALUD CHILOE</v>
          </cell>
        </row>
        <row r="2933">
          <cell r="Z2933" t="str">
            <v>MOBILIARIO CLINICO</v>
          </cell>
          <cell r="AA2933" t="str">
            <v>SERVICIO DE SALUD CHILOE</v>
          </cell>
        </row>
        <row r="2934">
          <cell r="Z2934" t="str">
            <v>MOBILIARIO CLINICO</v>
          </cell>
          <cell r="AA2934" t="str">
            <v>SERVICIO DE SALUD CHILOE</v>
          </cell>
        </row>
        <row r="2935">
          <cell r="Z2935" t="str">
            <v>MOBILIARIO CLINICO</v>
          </cell>
          <cell r="AA2935" t="str">
            <v>SERVICIO DE SALUD CHILOE</v>
          </cell>
        </row>
        <row r="2936">
          <cell r="Z2936" t="str">
            <v>MOBILIARIO CLINICO</v>
          </cell>
          <cell r="AA2936" t="str">
            <v>SERVICIO DE SALUD CHILOE</v>
          </cell>
        </row>
        <row r="2937">
          <cell r="Z2937" t="str">
            <v>MOBILIARIO CLINICO</v>
          </cell>
          <cell r="AA2937" t="str">
            <v>SERVICIO DE SALUD CHILOE</v>
          </cell>
        </row>
        <row r="2938">
          <cell r="Z2938" t="str">
            <v>MOBILIARIO CLINICO</v>
          </cell>
          <cell r="AA2938" t="str">
            <v>SERVICIO DE SALUD CHILOE</v>
          </cell>
        </row>
        <row r="2939">
          <cell r="Z2939" t="str">
            <v>MOBILIARIO CLINICO</v>
          </cell>
          <cell r="AA2939" t="str">
            <v>SERVICIO DE SALUD CHILOE</v>
          </cell>
        </row>
        <row r="2940">
          <cell r="Z2940" t="str">
            <v>MOBILIARIO CLINICO</v>
          </cell>
          <cell r="AA2940" t="str">
            <v>SERVICIO DE SALUD CHILOE</v>
          </cell>
        </row>
        <row r="2941">
          <cell r="Z2941" t="str">
            <v>MOBILIARIO CLINICO</v>
          </cell>
          <cell r="AA2941" t="str">
            <v>SERVICIO DE SALUD CHILOE</v>
          </cell>
        </row>
        <row r="2942">
          <cell r="Z2942" t="str">
            <v>MOBILIARIO CLINICO</v>
          </cell>
          <cell r="AA2942" t="str">
            <v>SERVICIO DE SALUD CHILOE</v>
          </cell>
        </row>
        <row r="2943">
          <cell r="Z2943" t="str">
            <v>MOBILIARIO CLINICO</v>
          </cell>
          <cell r="AA2943" t="str">
            <v>SERVICIO DE SALUD CHILOE</v>
          </cell>
        </row>
        <row r="2944">
          <cell r="Z2944" t="str">
            <v>MOBILIARIO CLINICO</v>
          </cell>
          <cell r="AA2944" t="str">
            <v>SERVICIO DE SALUD CHILOE</v>
          </cell>
        </row>
        <row r="2945">
          <cell r="Z2945" t="str">
            <v>MOBILIARIO CLINICO</v>
          </cell>
          <cell r="AA2945" t="str">
            <v>SERVICIO DE SALUD CHILOE</v>
          </cell>
        </row>
        <row r="2946">
          <cell r="Z2946" t="str">
            <v>MOBILIARIO CLINICO</v>
          </cell>
          <cell r="AA2946" t="str">
            <v>SERVICIO DE SALUD CHILOE</v>
          </cell>
        </row>
        <row r="2947">
          <cell r="Z2947" t="str">
            <v>MOBILIARIO CLINICO</v>
          </cell>
          <cell r="AA2947" t="str">
            <v>SERVICIO DE SALUD CHILOE</v>
          </cell>
        </row>
        <row r="2948">
          <cell r="Z2948" t="str">
            <v>MOBILIARIO CLINICO</v>
          </cell>
          <cell r="AA2948" t="str">
            <v>SERVICIO DE SALUD CHILOE</v>
          </cell>
        </row>
        <row r="2949">
          <cell r="Z2949" t="str">
            <v>MOBILIARIO CLINICO</v>
          </cell>
          <cell r="AA2949" t="str">
            <v>SERVICIO DE SALUD CHILOE</v>
          </cell>
        </row>
        <row r="2950">
          <cell r="Z2950" t="str">
            <v>MOBILIARIO CLINICO</v>
          </cell>
          <cell r="AA2950" t="str">
            <v>SERVICIO DE SALUD CHILOE</v>
          </cell>
        </row>
        <row r="2951">
          <cell r="Z2951" t="str">
            <v>MOBILIARIO CLINICO</v>
          </cell>
          <cell r="AA2951" t="str">
            <v>SERVICIO DE SALUD CHILOE</v>
          </cell>
        </row>
        <row r="2952">
          <cell r="Z2952" t="str">
            <v>MOBILIARIO CLINICO</v>
          </cell>
          <cell r="AA2952" t="str">
            <v>SERVICIO DE SALUD CHILOE</v>
          </cell>
        </row>
        <row r="2953">
          <cell r="Z2953" t="str">
            <v>MOBILIARIO CLINICO</v>
          </cell>
          <cell r="AA2953" t="str">
            <v>SERVICIO DE SALUD CHILOE</v>
          </cell>
        </row>
        <row r="2954">
          <cell r="Z2954" t="str">
            <v>MOBILIARIO CLINICO</v>
          </cell>
          <cell r="AA2954" t="str">
            <v>SERVICIO DE SALUD CHILOE</v>
          </cell>
        </row>
        <row r="2955">
          <cell r="Z2955" t="str">
            <v>MOBILIARIO CLINICO</v>
          </cell>
          <cell r="AA2955" t="str">
            <v>SERVICIO DE SALUD CHILOE</v>
          </cell>
        </row>
        <row r="2956">
          <cell r="Z2956" t="str">
            <v>MOBILIARIO CLINICO</v>
          </cell>
          <cell r="AA2956" t="str">
            <v>SERVICIO DE SALUD CHILOE</v>
          </cell>
        </row>
        <row r="2957">
          <cell r="Z2957" t="str">
            <v>MOBILIARIO CLINICO</v>
          </cell>
          <cell r="AA2957" t="str">
            <v>SERVICIO DE SALUD CHILOE</v>
          </cell>
        </row>
        <row r="2958">
          <cell r="Z2958" t="str">
            <v>MOBILIARIO CLINICO</v>
          </cell>
          <cell r="AA2958" t="str">
            <v>HOSPITAL DE PUERTO MONTT</v>
          </cell>
        </row>
        <row r="2959">
          <cell r="Z2959" t="str">
            <v>MOBILIARIO CLINICO</v>
          </cell>
          <cell r="AA2959" t="str">
            <v>FUNDACION JOSEFINA MARTINEZ DE FERRARI</v>
          </cell>
        </row>
        <row r="2960">
          <cell r="Z2960" t="str">
            <v>MOBILIARIO CLINICO</v>
          </cell>
        </row>
        <row r="2961">
          <cell r="Z2961" t="str">
            <v>MOBILIARIO CLINICO</v>
          </cell>
        </row>
        <row r="2962">
          <cell r="Z2962" t="str">
            <v>MOBILIARIO CLINICO</v>
          </cell>
        </row>
        <row r="2963">
          <cell r="Z2963" t="str">
            <v>MOBILIARIO CLINICO</v>
          </cell>
        </row>
        <row r="2964">
          <cell r="Z2964" t="str">
            <v>MOBILIARIO CLINICO</v>
          </cell>
        </row>
        <row r="2965">
          <cell r="Z2965" t="str">
            <v>MOBILIARIO CLINICO</v>
          </cell>
        </row>
        <row r="2966">
          <cell r="Z2966" t="str">
            <v>MOBILIARIO CLINICO</v>
          </cell>
        </row>
        <row r="2967">
          <cell r="Z2967" t="str">
            <v>MOBILIARIO CLINICO</v>
          </cell>
        </row>
        <row r="2968">
          <cell r="Z2968" t="str">
            <v>MOBILIARIO CLINICO</v>
          </cell>
        </row>
        <row r="2969">
          <cell r="Z2969" t="str">
            <v>MOBILIARIO CLINICO</v>
          </cell>
        </row>
        <row r="2970">
          <cell r="Z2970" t="str">
            <v>MOBILIARIO CLINICO</v>
          </cell>
        </row>
        <row r="2971">
          <cell r="Z2971" t="str">
            <v>MOBILIARIO CLINICO</v>
          </cell>
        </row>
        <row r="2972">
          <cell r="Z2972" t="str">
            <v>MOBILIARIO CLINICO</v>
          </cell>
        </row>
        <row r="2973">
          <cell r="Z2973" t="str">
            <v>MOBILIARIO CLINICO</v>
          </cell>
        </row>
        <row r="2974">
          <cell r="Z2974" t="str">
            <v>MOBILIARIO CLINICO</v>
          </cell>
        </row>
        <row r="2975">
          <cell r="Z2975" t="str">
            <v>MOBILIARIO CLINICO</v>
          </cell>
        </row>
        <row r="2976">
          <cell r="Z2976" t="str">
            <v>MOBILIARIO CLINICO</v>
          </cell>
        </row>
        <row r="2977">
          <cell r="Z2977" t="str">
            <v>MOBILIARIO CLINICO</v>
          </cell>
        </row>
        <row r="2978">
          <cell r="Z2978" t="str">
            <v>MOBILIARIO CLINICO</v>
          </cell>
        </row>
        <row r="2979">
          <cell r="Z2979" t="str">
            <v>MOBILIARIO CLINICO</v>
          </cell>
        </row>
        <row r="2980">
          <cell r="Z2980" t="str">
            <v>MOBILIARIO CLINICO</v>
          </cell>
        </row>
        <row r="2981">
          <cell r="Z2981" t="str">
            <v>MOBILIARIO CLINICO</v>
          </cell>
        </row>
        <row r="2982">
          <cell r="Z2982" t="str">
            <v>MOBILIARIO CLINICO</v>
          </cell>
        </row>
        <row r="2983">
          <cell r="Z2983" t="str">
            <v>MOBILIARIO CLINICO</v>
          </cell>
        </row>
        <row r="2984">
          <cell r="Z2984" t="str">
            <v>MOBILIARIO CLINICO</v>
          </cell>
        </row>
        <row r="2985">
          <cell r="Z2985" t="str">
            <v>MOBILIARIO CLINICO</v>
          </cell>
        </row>
        <row r="2986">
          <cell r="Z2986" t="str">
            <v>MOBILIARIO CLINICO</v>
          </cell>
        </row>
        <row r="2987">
          <cell r="Z2987" t="str">
            <v>MOBILIARIO CLINICO</v>
          </cell>
        </row>
        <row r="2988">
          <cell r="Z2988" t="str">
            <v>MOBILIARIO CLINICO</v>
          </cell>
        </row>
        <row r="2989">
          <cell r="Z2989" t="str">
            <v>MOBILIARIO CLINICO</v>
          </cell>
        </row>
        <row r="2990">
          <cell r="Z2990" t="str">
            <v>MOBILIARIO CLINICO</v>
          </cell>
        </row>
        <row r="2991">
          <cell r="Z2991" t="str">
            <v>MOBILIARIO CLINICO</v>
          </cell>
        </row>
        <row r="2992">
          <cell r="Z2992" t="str">
            <v>MOBILIARIO CLINICO</v>
          </cell>
          <cell r="AA2992" t="str">
            <v>SERVICIO DE SALUD CHILOE</v>
          </cell>
        </row>
        <row r="2993">
          <cell r="Z2993" t="str">
            <v>MOBILIARIO CLINICO</v>
          </cell>
          <cell r="AA2993" t="str">
            <v>SERVICIO DE SALUD CHILOE</v>
          </cell>
        </row>
        <row r="2994">
          <cell r="Z2994" t="str">
            <v>MOBILIARIO CLINICO</v>
          </cell>
          <cell r="AA2994" t="str">
            <v>SERVICIO DE SALUD CHILOE</v>
          </cell>
        </row>
        <row r="2995">
          <cell r="Z2995" t="str">
            <v>MOBILIARIO CLINICO</v>
          </cell>
          <cell r="AA2995" t="str">
            <v>SERVICIO DE SALUD CHILOE</v>
          </cell>
        </row>
        <row r="2996">
          <cell r="Z2996" t="str">
            <v>MOBILIARIO CLINICO</v>
          </cell>
          <cell r="AA2996" t="str">
            <v>SERVICIO DE SALUD CHILOE</v>
          </cell>
        </row>
        <row r="2997">
          <cell r="Z2997" t="str">
            <v>MOBILIARIO CLINICO</v>
          </cell>
          <cell r="AA2997" t="str">
            <v>SERVICIO DE SALUD CHILOE</v>
          </cell>
        </row>
        <row r="2998">
          <cell r="Z2998" t="str">
            <v>MOBILIARIO CLINICO</v>
          </cell>
          <cell r="AA2998" t="str">
            <v>SERVICIO DE SALUD CHILOE</v>
          </cell>
        </row>
        <row r="2999">
          <cell r="Z2999" t="str">
            <v>MOBILIARIO CLINICO</v>
          </cell>
          <cell r="AA2999" t="str">
            <v>SERVICIO DE SALUD CHILOE</v>
          </cell>
        </row>
        <row r="3000">
          <cell r="Z3000" t="str">
            <v>MOBILIARIO CLINICO</v>
          </cell>
          <cell r="AA3000" t="str">
            <v>SERVICIO DE SALUD CHILOE</v>
          </cell>
        </row>
        <row r="3001">
          <cell r="Z3001" t="str">
            <v>MOBILIARIO CLINICO</v>
          </cell>
          <cell r="AA3001" t="str">
            <v>SERVICIO DE SALUD CHILOE</v>
          </cell>
        </row>
        <row r="3002">
          <cell r="Z3002" t="str">
            <v>MOBILIARIO CLINICO</v>
          </cell>
          <cell r="AA3002" t="str">
            <v>SERVICIO DE SALUD CHILOE</v>
          </cell>
        </row>
        <row r="3003">
          <cell r="Z3003" t="str">
            <v>MOBILIARIO CLINICO</v>
          </cell>
          <cell r="AA3003" t="str">
            <v>SERVICIO DE SALUD CHILOE</v>
          </cell>
        </row>
        <row r="3004">
          <cell r="Z3004" t="str">
            <v>MOBILIARIO CLINICO</v>
          </cell>
          <cell r="AA3004" t="str">
            <v>SERVICIO DE SALUD CHILOE</v>
          </cell>
        </row>
        <row r="3005">
          <cell r="Z3005" t="str">
            <v>MOBILIARIO CLINICO</v>
          </cell>
          <cell r="AA3005" t="str">
            <v>SERVICIO DE SALUD CHILOE</v>
          </cell>
        </row>
        <row r="3006">
          <cell r="Z3006" t="str">
            <v>MOBILIARIO CLINICO</v>
          </cell>
          <cell r="AA3006" t="str">
            <v>SERVICIO DE SALUD CHILOE</v>
          </cell>
        </row>
        <row r="3007">
          <cell r="Z3007" t="str">
            <v>MOBILIARIO CLINICO</v>
          </cell>
          <cell r="AA3007" t="str">
            <v>SERVICIO DE SALUD CHILOE</v>
          </cell>
        </row>
        <row r="3008">
          <cell r="Z3008" t="str">
            <v>MOBILIARIO CLINICO</v>
          </cell>
          <cell r="AA3008" t="str">
            <v>SERVICIO DE SALUD CHILOE</v>
          </cell>
        </row>
        <row r="3009">
          <cell r="Z3009" t="str">
            <v>MOBILIARIO CLINICO</v>
          </cell>
          <cell r="AA3009" t="str">
            <v>SERVICIO DE SALUD CHILOE</v>
          </cell>
        </row>
        <row r="3010">
          <cell r="Z3010" t="str">
            <v>MOBILIARIO CLINICO</v>
          </cell>
          <cell r="AA3010" t="str">
            <v>SERVICIO DE SALUD CHILOE</v>
          </cell>
        </row>
        <row r="3011">
          <cell r="Z3011" t="str">
            <v>MOBILIARIO CLINICO</v>
          </cell>
          <cell r="AA3011" t="str">
            <v>SERVICIO DE SALUD CHILOE</v>
          </cell>
        </row>
        <row r="3012">
          <cell r="Z3012" t="str">
            <v>MOBILIARIO CLINICO</v>
          </cell>
          <cell r="AA3012" t="str">
            <v>SERVICIO DE SALUD CHILOE</v>
          </cell>
        </row>
        <row r="3013">
          <cell r="Z3013" t="str">
            <v>MOBILIARIO CLINICO</v>
          </cell>
          <cell r="AA3013" t="str">
            <v>SERVICIO DE SALUD CHILOE</v>
          </cell>
        </row>
        <row r="3014">
          <cell r="Z3014" t="str">
            <v>MOBILIARIO CLINICO</v>
          </cell>
          <cell r="AA3014" t="str">
            <v>SERVICIO DE SALUD CHILOE</v>
          </cell>
        </row>
        <row r="3015">
          <cell r="Z3015" t="str">
            <v>MOBILIARIO CLINICO</v>
          </cell>
          <cell r="AA3015" t="str">
            <v>SERVICIO DE SALUD CHILOE</v>
          </cell>
        </row>
        <row r="3016">
          <cell r="Z3016" t="str">
            <v>MOBILIARIO CLINICO</v>
          </cell>
          <cell r="AA3016" t="str">
            <v>SERVICIO DE SALUD CHILOE</v>
          </cell>
        </row>
        <row r="3017">
          <cell r="Z3017" t="str">
            <v>MOBILIARIO CLINICO</v>
          </cell>
          <cell r="AA3017" t="str">
            <v>SERVICIO DE SALUD CHILOE</v>
          </cell>
        </row>
        <row r="3018">
          <cell r="Z3018" t="str">
            <v>MOBILIARIO CLINICO</v>
          </cell>
          <cell r="AA3018" t="str">
            <v>SERVICIO DE SALUD CHILOE</v>
          </cell>
        </row>
        <row r="3019">
          <cell r="Z3019" t="str">
            <v>MOBILIARIO CLINICO</v>
          </cell>
          <cell r="AA3019" t="str">
            <v>SERVICIO DE SALUD CHILOE</v>
          </cell>
        </row>
        <row r="3020">
          <cell r="Z3020" t="str">
            <v>MOBILIARIO CLINICO</v>
          </cell>
          <cell r="AA3020" t="str">
            <v>SERVICIO DE SALUD CHILOE</v>
          </cell>
        </row>
        <row r="3021">
          <cell r="Z3021" t="str">
            <v>MOBILIARIO CLINICO</v>
          </cell>
          <cell r="AA3021" t="str">
            <v>SERVICIO DE SALUD CHILOE</v>
          </cell>
        </row>
        <row r="3022">
          <cell r="Z3022" t="str">
            <v>MOBILIARIO CLINICO</v>
          </cell>
          <cell r="AA3022" t="str">
            <v>SERVICIO DE SALUD CHILOE</v>
          </cell>
        </row>
        <row r="3023">
          <cell r="Z3023" t="str">
            <v>MOBILIARIO CLINICO</v>
          </cell>
          <cell r="AA3023" t="str">
            <v>SERVICIO DE SALUD CHILOE</v>
          </cell>
        </row>
        <row r="3024">
          <cell r="Z3024" t="str">
            <v>MOBILIARIO CLINICO</v>
          </cell>
          <cell r="AA3024" t="str">
            <v>SERVICIO DE SALUD CHILOE</v>
          </cell>
        </row>
        <row r="3025">
          <cell r="Z3025" t="str">
            <v>MOBILIARIO CLINICO</v>
          </cell>
          <cell r="AA3025" t="str">
            <v>SERVICIO DE SALUD CHILOE</v>
          </cell>
        </row>
        <row r="3026">
          <cell r="Z3026" t="str">
            <v>MOBILIARIO CLINICO</v>
          </cell>
          <cell r="AA3026" t="str">
            <v>SERVICIO DE SALUD CHILOE</v>
          </cell>
        </row>
        <row r="3027">
          <cell r="Z3027" t="str">
            <v>MOBILIARIO CLINICO</v>
          </cell>
          <cell r="AA3027" t="str">
            <v>SERVICIO DE SALUD CHILOE</v>
          </cell>
        </row>
        <row r="3028">
          <cell r="Z3028" t="str">
            <v>MOBILIARIO CLINICO</v>
          </cell>
          <cell r="AA3028" t="str">
            <v>SERVICIO DE SALUD CHILOE</v>
          </cell>
        </row>
        <row r="3029">
          <cell r="Z3029" t="str">
            <v>MOBILIARIO CLINICO</v>
          </cell>
          <cell r="AA3029" t="str">
            <v>SERVICIO DE SALUD CHILOE</v>
          </cell>
        </row>
        <row r="3030">
          <cell r="Z3030" t="str">
            <v>MOBILIARIO CLINICO</v>
          </cell>
          <cell r="AA3030" t="str">
            <v>SERVICIO DE SALUD CHILOE</v>
          </cell>
        </row>
        <row r="3031">
          <cell r="Z3031" t="str">
            <v>MOBILIARIO CLINICO</v>
          </cell>
          <cell r="AA3031" t="str">
            <v>SERVICIO DE SALUD CHILOE</v>
          </cell>
        </row>
        <row r="3032">
          <cell r="Z3032" t="str">
            <v>MOBILIARIO CLINICO</v>
          </cell>
          <cell r="AA3032" t="str">
            <v>SERVICIO DE SALUD CHILOE</v>
          </cell>
        </row>
        <row r="3033">
          <cell r="Z3033" t="str">
            <v>MOBILIARIO CLINICO</v>
          </cell>
          <cell r="AA3033" t="str">
            <v>SERVICIO DE SALUD CHILOE</v>
          </cell>
        </row>
        <row r="3034">
          <cell r="Z3034" t="str">
            <v>MOBILIARIO CLINICO</v>
          </cell>
          <cell r="AA3034" t="str">
            <v>SERVICIO DE SALUD CHILOE</v>
          </cell>
        </row>
        <row r="3035">
          <cell r="Z3035" t="str">
            <v>MOBILIARIO CLINICO</v>
          </cell>
          <cell r="AA3035" t="str">
            <v>SERVICIO DE SALUD CHILOE</v>
          </cell>
        </row>
        <row r="3036">
          <cell r="Z3036" t="str">
            <v>MOBILIARIO CLINICO</v>
          </cell>
          <cell r="AA3036" t="str">
            <v>SERVICIO DE SALUD CHILOE</v>
          </cell>
        </row>
        <row r="3037">
          <cell r="Z3037" t="str">
            <v>MOBILIARIO CLINICO</v>
          </cell>
          <cell r="AA3037" t="str">
            <v>SERVICIO DE SALUD CHILOE</v>
          </cell>
        </row>
        <row r="3038">
          <cell r="Z3038" t="str">
            <v>MOBILIARIO CLINICO</v>
          </cell>
          <cell r="AA3038" t="str">
            <v>SERVICIO DE SALUD CHILOE</v>
          </cell>
        </row>
        <row r="3039">
          <cell r="Z3039" t="str">
            <v>MOBILIARIO CLINICO</v>
          </cell>
          <cell r="AA3039" t="str">
            <v>SERVICIO DE SALUD CHILOE</v>
          </cell>
        </row>
        <row r="3040">
          <cell r="Z3040" t="str">
            <v>MOBILIARIO CLINICO</v>
          </cell>
          <cell r="AA3040" t="str">
            <v>SERVICIO DE SALUD CHILOE</v>
          </cell>
        </row>
        <row r="3041">
          <cell r="Z3041" t="str">
            <v>MOBILIARIO CLINICO</v>
          </cell>
          <cell r="AA3041" t="str">
            <v>SERVICIO DE SALUD CHILOE</v>
          </cell>
        </row>
        <row r="3042">
          <cell r="Z3042" t="str">
            <v>MOBILIARIO CLINICO</v>
          </cell>
          <cell r="AA3042" t="str">
            <v>SERVICIO DE SALUD CHILOE</v>
          </cell>
        </row>
        <row r="3043">
          <cell r="Z3043" t="str">
            <v>MOBILIARIO CLINICO</v>
          </cell>
          <cell r="AA3043" t="str">
            <v>SERVICIO DE SALUD CHILOE</v>
          </cell>
        </row>
        <row r="3044">
          <cell r="Z3044" t="str">
            <v>MOBILIARIO CLINICO</v>
          </cell>
          <cell r="AA3044" t="str">
            <v>SERVICIO DE SALUD CHILOE</v>
          </cell>
        </row>
        <row r="3045">
          <cell r="Z3045" t="str">
            <v>MOBILIARIO CLINICO</v>
          </cell>
          <cell r="AA3045" t="str">
            <v>SERVICIO DE SALUD CHILOE</v>
          </cell>
        </row>
        <row r="3046">
          <cell r="Z3046" t="str">
            <v>MOBILIARIO CLINICO</v>
          </cell>
          <cell r="AA3046" t="str">
            <v>SERVICIO DE SALUD CHILOE</v>
          </cell>
        </row>
        <row r="3047">
          <cell r="Z3047" t="str">
            <v>MOBILIARIO CLINICO</v>
          </cell>
          <cell r="AA3047" t="str">
            <v>SERVICIO DE SALUD CHILOE</v>
          </cell>
        </row>
        <row r="3048">
          <cell r="Z3048" t="str">
            <v>MOBILIARIO CLINICO</v>
          </cell>
          <cell r="AA3048" t="str">
            <v>SERVICIO DE SALUD CHILOE</v>
          </cell>
        </row>
        <row r="3049">
          <cell r="Z3049" t="str">
            <v>MOBILIARIO CLINICO</v>
          </cell>
          <cell r="AA3049" t="str">
            <v>SERVICIO DE SALUD CHILOE</v>
          </cell>
        </row>
        <row r="3050">
          <cell r="Z3050" t="str">
            <v>MOBILIARIO CLINICO</v>
          </cell>
          <cell r="AA3050" t="str">
            <v>SERVICIO DE SALUD CHILOE</v>
          </cell>
        </row>
        <row r="3051">
          <cell r="Z3051" t="str">
            <v>MOBILIARIO CLINICO</v>
          </cell>
          <cell r="AA3051" t="str">
            <v>SERVICIO DE SALUD CHILOE</v>
          </cell>
        </row>
        <row r="3052">
          <cell r="Z3052" t="str">
            <v>MOBILIARIO CLINICO</v>
          </cell>
          <cell r="AA3052" t="str">
            <v>SERVICIO DE SALUD CHILOE</v>
          </cell>
        </row>
        <row r="3053">
          <cell r="Z3053" t="str">
            <v>MOBILIARIO CLINICO</v>
          </cell>
          <cell r="AA3053" t="str">
            <v>SERVICIO DE SALUD CHILOE</v>
          </cell>
        </row>
        <row r="3054">
          <cell r="Z3054" t="str">
            <v>MOBILIARIO CLINICO</v>
          </cell>
          <cell r="AA3054" t="str">
            <v>SERVICIO DE SALUD CHILOE</v>
          </cell>
        </row>
        <row r="3055">
          <cell r="Z3055" t="str">
            <v>MOBILIARIO CLINICO</v>
          </cell>
          <cell r="AA3055" t="str">
            <v>SERVICIO DE SALUD CHILOE</v>
          </cell>
        </row>
        <row r="3056">
          <cell r="Z3056" t="str">
            <v>MOBILIARIO CLINICO</v>
          </cell>
          <cell r="AA3056" t="str">
            <v>SERVICIO DE SALUD CHILOE</v>
          </cell>
        </row>
        <row r="3057">
          <cell r="Z3057" t="str">
            <v>MOBILIARIO CLINICO</v>
          </cell>
          <cell r="AA3057" t="str">
            <v>HOSPITAL CLINICO SAN BORJA-ARRIARAN</v>
          </cell>
        </row>
        <row r="3058">
          <cell r="Z3058" t="str">
            <v>MOBILIARIO CLINICO</v>
          </cell>
          <cell r="AA3058" t="str">
            <v>HOSPITAL CLINICO SAN BORJA-ARRIARAN</v>
          </cell>
        </row>
        <row r="3059">
          <cell r="Z3059" t="str">
            <v>MOBILIARIO CLINICO</v>
          </cell>
          <cell r="AA3059" t="str">
            <v>HOSPITAL CLINICO SAN BORJA-ARRIARAN</v>
          </cell>
        </row>
        <row r="3060">
          <cell r="Z3060" t="str">
            <v>MOBILIARIO CLINICO</v>
          </cell>
          <cell r="AA3060" t="str">
            <v>HOSPITAL CLINICO SAN BORJA-ARRIARAN</v>
          </cell>
        </row>
        <row r="3061">
          <cell r="Z3061" t="str">
            <v>MOBILIARIO CLINICO</v>
          </cell>
          <cell r="AA3061" t="str">
            <v>HOSPITAL CLINICO SAN BORJA-ARRIARAN</v>
          </cell>
        </row>
        <row r="3062">
          <cell r="Z3062" t="str">
            <v>MOBILIARIO CLINICO</v>
          </cell>
          <cell r="AA3062" t="str">
            <v>HOSPITAL CLINICO SAN BORJA-ARRIARAN</v>
          </cell>
        </row>
        <row r="3063">
          <cell r="Z3063" t="str">
            <v>MOBILIARIO CLINICO</v>
          </cell>
          <cell r="AA3063" t="str">
            <v>HOSPITAL CLINICO SAN BORJA-ARRIARAN</v>
          </cell>
        </row>
        <row r="3064">
          <cell r="Z3064" t="str">
            <v>MOBILIARIO CLINICO</v>
          </cell>
          <cell r="AA3064" t="str">
            <v>HOSPITAL CLINICO SAN BORJA-ARRIARAN</v>
          </cell>
        </row>
        <row r="3065">
          <cell r="Z3065" t="str">
            <v>MOBILIARIO CLINICO</v>
          </cell>
          <cell r="AA3065" t="str">
            <v>HOSPITAL DE LA FLORIDA</v>
          </cell>
        </row>
        <row r="3066">
          <cell r="Z3066" t="str">
            <v>MOBILIARIO CLINICO</v>
          </cell>
          <cell r="AA3066" t="str">
            <v>HOSPITAL CLINICO SAN BORJA-ARRIARAN</v>
          </cell>
        </row>
        <row r="3067">
          <cell r="Z3067" t="str">
            <v>MOBILIARIO CLINICO</v>
          </cell>
        </row>
        <row r="3068">
          <cell r="Z3068" t="str">
            <v>MOBILIARIO CLINICO</v>
          </cell>
          <cell r="AA3068" t="str">
            <v>HOSPITAL CLINICO SAN BORJA-ARRIARAN</v>
          </cell>
        </row>
        <row r="3069">
          <cell r="Z3069" t="str">
            <v>MOBILIARIO CLINICO</v>
          </cell>
          <cell r="AA3069" t="str">
            <v>HOSPITAL CLINICO SAN BORJA-ARRIARAN</v>
          </cell>
        </row>
        <row r="3070">
          <cell r="Z3070" t="str">
            <v>MOBILIARIO CLINICO</v>
          </cell>
          <cell r="AA3070" t="str">
            <v>HOSPITAL CLINICO SAN BORJA-ARRIARAN</v>
          </cell>
        </row>
        <row r="3071">
          <cell r="Z3071" t="str">
            <v>MOBILIARIO CLINICO</v>
          </cell>
          <cell r="AA3071" t="str">
            <v>HOSPITAL DR. LUIS TISNE B.</v>
          </cell>
        </row>
        <row r="3072">
          <cell r="Z3072" t="str">
            <v>MOBILIARIO CLINICO</v>
          </cell>
          <cell r="AA3072" t="str">
            <v>GEMCO GENERAL MACHINERY S.A.</v>
          </cell>
        </row>
        <row r="3073">
          <cell r="Z3073" t="str">
            <v>MOBILIARIO CLINICO</v>
          </cell>
          <cell r="AA3073" t="str">
            <v>INSTITUTO NACIONAL DEL TORAX</v>
          </cell>
        </row>
        <row r="3074">
          <cell r="Z3074" t="str">
            <v>MOBILIARIO CLINICO</v>
          </cell>
          <cell r="AA3074" t="str">
            <v>HOSPITAL CLINICO SAN BORJA-ARRIARAN</v>
          </cell>
        </row>
        <row r="3075">
          <cell r="Z3075" t="str">
            <v>MOBILIARIO CLINICO</v>
          </cell>
          <cell r="AA3075" t="str">
            <v>HOSPITAL NAVAL ALMIRANTE ADRIAZOLA</v>
          </cell>
        </row>
        <row r="3076">
          <cell r="Z3076" t="str">
            <v>MOBILIARIO CLINICO</v>
          </cell>
        </row>
        <row r="3077">
          <cell r="Z3077" t="str">
            <v>MOBILIARIO CLINICO</v>
          </cell>
        </row>
        <row r="3078">
          <cell r="Z3078" t="str">
            <v>MOBILIARIO CLINICO</v>
          </cell>
          <cell r="AA3078" t="str">
            <v>HOSPITAL REGIONAL DE RANCAGUA</v>
          </cell>
        </row>
        <row r="3079">
          <cell r="Z3079" t="str">
            <v>MOBILIARIO CLINICO</v>
          </cell>
          <cell r="AA3079" t="str">
            <v>HOSPITAL REGIONAL DE RANCAGUA</v>
          </cell>
        </row>
        <row r="3080">
          <cell r="Z3080" t="str">
            <v>MOBILIARIO CLINICO</v>
          </cell>
          <cell r="AA3080" t="str">
            <v>HOSPITAL REGIONAL DE RANCAGUA</v>
          </cell>
        </row>
        <row r="3081">
          <cell r="Z3081" t="str">
            <v>MOBILIARIO CLINICO</v>
          </cell>
          <cell r="AA3081" t="str">
            <v>HOSPITAL REGIONAL DE RANCAGUA</v>
          </cell>
        </row>
        <row r="3082">
          <cell r="Z3082" t="str">
            <v>MOBILIARIO CLINICO</v>
          </cell>
          <cell r="AA3082" t="str">
            <v>HOSPITAL REGIONAL DE RANCAGUA</v>
          </cell>
        </row>
        <row r="3083">
          <cell r="Z3083" t="str">
            <v>MOBILIARIO CLINICO</v>
          </cell>
          <cell r="AA3083" t="str">
            <v>HOSPITAL REGIONAL DE RANCAGUA</v>
          </cell>
        </row>
        <row r="3084">
          <cell r="Z3084" t="str">
            <v>MOBILIARIO CLINICO</v>
          </cell>
          <cell r="AA3084" t="str">
            <v>HOSPITAL REGIONAL DE RANCAGUA</v>
          </cell>
        </row>
        <row r="3085">
          <cell r="Z3085" t="str">
            <v>MOBILIARIO CLINICO</v>
          </cell>
          <cell r="AA3085" t="str">
            <v>HOSPITAL REGIONAL DE RANCAGUA</v>
          </cell>
        </row>
        <row r="3086">
          <cell r="Z3086" t="str">
            <v>MOBILIARIO CLINICO</v>
          </cell>
        </row>
        <row r="3087">
          <cell r="Z3087" t="str">
            <v>MOBILIARIO CLINICO</v>
          </cell>
          <cell r="AA3087" t="str">
            <v>HOSPITAL DE LA FLORIDA</v>
          </cell>
        </row>
        <row r="3088">
          <cell r="Z3088" t="str">
            <v>MOBILIARIO CLINICO</v>
          </cell>
          <cell r="AA3088" t="str">
            <v>SERVICIO DE SALUD BIO-BIO</v>
          </cell>
        </row>
        <row r="3089">
          <cell r="Z3089" t="str">
            <v>MOBILIARIO CLINICO</v>
          </cell>
          <cell r="AA3089" t="str">
            <v>SERVICIO DE SALUD BIO-BIO</v>
          </cell>
        </row>
        <row r="3090">
          <cell r="Z3090" t="str">
            <v>MOBILIARIO CLINICO</v>
          </cell>
          <cell r="AA3090" t="str">
            <v>SERVICIO DE SALUD BIO-BIO</v>
          </cell>
        </row>
        <row r="3091">
          <cell r="Z3091" t="str">
            <v>MOBILIARIO CLINICO</v>
          </cell>
          <cell r="AA3091" t="str">
            <v>SERVICIO DE SALUD BIO-BIO</v>
          </cell>
        </row>
        <row r="3092">
          <cell r="Z3092" t="str">
            <v>MOBILIARIO CLINICO</v>
          </cell>
          <cell r="AA3092" t="str">
            <v>SERVICIO DE SALUD BIO-BIO</v>
          </cell>
        </row>
        <row r="3093">
          <cell r="Z3093" t="str">
            <v>MOBILIARIO CLINICO</v>
          </cell>
          <cell r="AA3093" t="str">
            <v>SERVICIO DE SALUD BIO-BIO</v>
          </cell>
        </row>
        <row r="3094">
          <cell r="Z3094" t="str">
            <v>MOBILIARIO CLINICO</v>
          </cell>
          <cell r="AA3094" t="str">
            <v>SERVICIO DE SALUD BIO-BIO</v>
          </cell>
        </row>
        <row r="3095">
          <cell r="Z3095" t="str">
            <v>MOBILIARIO CLINICO</v>
          </cell>
          <cell r="AA3095" t="str">
            <v>SERVICIO DE SALUD BIO-BIO</v>
          </cell>
        </row>
        <row r="3096">
          <cell r="Z3096" t="str">
            <v>MOBILIARIO CLINICO</v>
          </cell>
          <cell r="AA3096" t="str">
            <v>SERVICIO DE SALUD BIO-BIO</v>
          </cell>
        </row>
        <row r="3097">
          <cell r="Z3097" t="str">
            <v>MOBILIARIO CLINICO</v>
          </cell>
          <cell r="AA3097" t="str">
            <v>SERVICIO DE SALUD BIO-BIO</v>
          </cell>
        </row>
        <row r="3098">
          <cell r="Z3098" t="str">
            <v>MOBILIARIO CLINICO</v>
          </cell>
          <cell r="AA3098" t="str">
            <v>SERVICIO DE SALUD BIO-BIO</v>
          </cell>
        </row>
        <row r="3099">
          <cell r="Z3099" t="str">
            <v>MOBILIARIO CLINICO</v>
          </cell>
          <cell r="AA3099" t="str">
            <v>SERVICIO DE SALUD BIO-BIO</v>
          </cell>
        </row>
        <row r="3100">
          <cell r="Z3100" t="str">
            <v>MOBILIARIO CLINICO</v>
          </cell>
          <cell r="AA3100" t="str">
            <v>SERVICIO DE SALUD BIO-BIO</v>
          </cell>
        </row>
        <row r="3101">
          <cell r="Z3101" t="str">
            <v>MOBILIARIO CLINICO</v>
          </cell>
          <cell r="AA3101" t="str">
            <v>SERVICIO DE SALUD BIO-BIO</v>
          </cell>
        </row>
        <row r="3102">
          <cell r="Z3102" t="str">
            <v>MOBILIARIO CLINICO</v>
          </cell>
          <cell r="AA3102" t="str">
            <v>SERVICIO DE SALUD BIO-BIO</v>
          </cell>
        </row>
        <row r="3103">
          <cell r="Z3103" t="str">
            <v>MOBILIARIO CLINICO</v>
          </cell>
          <cell r="AA3103" t="str">
            <v>SERVICIO DE SALUD BIO-BIO</v>
          </cell>
        </row>
        <row r="3104">
          <cell r="Z3104" t="str">
            <v>MOBILIARIO CLINICO</v>
          </cell>
          <cell r="AA3104" t="str">
            <v>SERVICIO DE SALUD BIO-BIO</v>
          </cell>
        </row>
        <row r="3105">
          <cell r="Z3105" t="str">
            <v>MOBILIARIO CLINICO</v>
          </cell>
          <cell r="AA3105" t="str">
            <v>SERVICIO DE SALUD BIO-BIO</v>
          </cell>
        </row>
        <row r="3106">
          <cell r="Z3106" t="str">
            <v>MOBILIARIO CLINICO</v>
          </cell>
          <cell r="AA3106" t="str">
            <v>SERVICIO DE SALUD BIO-BIO</v>
          </cell>
        </row>
        <row r="3107">
          <cell r="Z3107" t="str">
            <v>MOBILIARIO CLINICO</v>
          </cell>
          <cell r="AA3107" t="str">
            <v>SERVICIO DE SALUD BIO-BIO</v>
          </cell>
        </row>
        <row r="3108">
          <cell r="Z3108" t="str">
            <v>MOBILIARIO CLINICO</v>
          </cell>
          <cell r="AA3108" t="str">
            <v>SOCIEDAD CONCESIONARIA METROPOLITANA DE SALUD S.A.</v>
          </cell>
        </row>
        <row r="3109">
          <cell r="Z3109" t="str">
            <v>MOBILIARIO CLINICO</v>
          </cell>
          <cell r="AA3109" t="str">
            <v>HOSPITAL SAN JUAN DE DIOS</v>
          </cell>
        </row>
        <row r="3110">
          <cell r="Z3110" t="str">
            <v>MOBILIARIO CLINICO</v>
          </cell>
          <cell r="AA3110" t="str">
            <v>HOSPITAL SAN JUAN DE DIOS</v>
          </cell>
        </row>
        <row r="3111">
          <cell r="Z3111" t="str">
            <v>MOBILIARIO CLINICO</v>
          </cell>
          <cell r="AA3111" t="str">
            <v>HOSPITAL SAN JUAN DE DIOS</v>
          </cell>
        </row>
        <row r="3112">
          <cell r="Z3112" t="str">
            <v>MOBILIARIO CLINICO</v>
          </cell>
          <cell r="AA3112" t="str">
            <v>HOSPITAL SAN JUAN DE DIOS</v>
          </cell>
        </row>
        <row r="3113">
          <cell r="Z3113" t="str">
            <v>MOBILIARIO CLINICO</v>
          </cell>
          <cell r="AA3113" t="str">
            <v>SOCIEDAD CONCESIONARIA METROPOLITANA DE SALUD S.A.</v>
          </cell>
        </row>
        <row r="3114">
          <cell r="Z3114" t="str">
            <v>MOBILIARIO CLINICO</v>
          </cell>
          <cell r="AA3114" t="str">
            <v>GENDARMERIA DE CHILE</v>
          </cell>
        </row>
        <row r="3115">
          <cell r="Z3115" t="str">
            <v>MOBILIARIO CLINICO</v>
          </cell>
          <cell r="AA3115" t="str">
            <v>GENDARMERIA DE CHILE</v>
          </cell>
        </row>
        <row r="3116">
          <cell r="Z3116" t="str">
            <v>MOBILIARIO CLINICO</v>
          </cell>
          <cell r="AA3116" t="str">
            <v>GENDARMERIA DE CHILE</v>
          </cell>
        </row>
        <row r="3117">
          <cell r="Z3117" t="str">
            <v>MOBILIARIO CLINICO</v>
          </cell>
          <cell r="AA3117" t="str">
            <v>GENDARMERIA DE CHILE</v>
          </cell>
        </row>
        <row r="3118">
          <cell r="Z3118" t="str">
            <v>MOBILIARIO CLINICO</v>
          </cell>
          <cell r="AA3118" t="str">
            <v>GENDARMERIA DE CHILE</v>
          </cell>
        </row>
        <row r="3119">
          <cell r="Z3119" t="str">
            <v>MOBILIARIO CLINICO</v>
          </cell>
          <cell r="AA3119" t="str">
            <v>GENDARMERIA DE CHILE</v>
          </cell>
        </row>
        <row r="3120">
          <cell r="Z3120" t="str">
            <v>MOBILIARIO CLINICO</v>
          </cell>
          <cell r="AA3120" t="str">
            <v>GENDARMERIA DE CHILE</v>
          </cell>
        </row>
        <row r="3121">
          <cell r="Z3121" t="str">
            <v>MOBILIARIO CLINICO</v>
          </cell>
          <cell r="AA3121" t="str">
            <v>GENDARMERIA DE CHILE</v>
          </cell>
        </row>
        <row r="3122">
          <cell r="Z3122" t="str">
            <v>MOBILIARIO CLINICO</v>
          </cell>
          <cell r="AA3122" t="str">
            <v>GENDARMERIA DE CHILE</v>
          </cell>
        </row>
        <row r="3123">
          <cell r="Z3123" t="str">
            <v>MOBILIARIO CLINICO</v>
          </cell>
          <cell r="AA3123" t="str">
            <v>GENDARMERIA DE CHILE</v>
          </cell>
        </row>
        <row r="3124">
          <cell r="Z3124" t="str">
            <v>MOBILIARIO CLINICO</v>
          </cell>
          <cell r="AA3124" t="str">
            <v>GENDARMERIA DE CHILE</v>
          </cell>
        </row>
        <row r="3125">
          <cell r="Z3125" t="str">
            <v>MOBILIARIO CLINICO</v>
          </cell>
          <cell r="AA3125" t="str">
            <v>GENDARMERIA DE CHILE</v>
          </cell>
        </row>
        <row r="3126">
          <cell r="Z3126" t="str">
            <v>MOBILIARIO CLINICO</v>
          </cell>
          <cell r="AA3126" t="str">
            <v>GENDARMERIA DE CHILE</v>
          </cell>
        </row>
        <row r="3127">
          <cell r="Z3127" t="str">
            <v>MOBILIARIO CLINICO</v>
          </cell>
          <cell r="AA3127" t="str">
            <v>GENDARMERIA DE CHILE</v>
          </cell>
        </row>
        <row r="3128">
          <cell r="Z3128" t="str">
            <v>MOBILIARIO CLINICO</v>
          </cell>
          <cell r="AA3128" t="str">
            <v>GENDARMERIA DE CHILE</v>
          </cell>
        </row>
        <row r="3129">
          <cell r="Z3129" t="str">
            <v>MOBILIARIO CLINICO</v>
          </cell>
          <cell r="AA3129" t="str">
            <v>GENDARMERIA DE CHILE</v>
          </cell>
        </row>
        <row r="3130">
          <cell r="Z3130" t="str">
            <v>MOBILIARIO CLINICO</v>
          </cell>
          <cell r="AA3130" t="str">
            <v>GENDARMERIA DE CHILE</v>
          </cell>
        </row>
        <row r="3131">
          <cell r="Z3131" t="str">
            <v>MOBILIARIO CLINICO</v>
          </cell>
          <cell r="AA3131" t="str">
            <v>GENDARMERIA DE CHILE</v>
          </cell>
        </row>
        <row r="3132">
          <cell r="Z3132" t="str">
            <v>MOBILIARIO CLINICO</v>
          </cell>
          <cell r="AA3132" t="str">
            <v>GENDARMERIA DE CHILE</v>
          </cell>
        </row>
        <row r="3133">
          <cell r="Z3133" t="str">
            <v>MOBILIARIO CLINICO</v>
          </cell>
          <cell r="AA3133" t="str">
            <v>GENDARMERIA DE CHILE</v>
          </cell>
        </row>
        <row r="3134">
          <cell r="Z3134" t="str">
            <v>MOBILIARIO CLINICO</v>
          </cell>
          <cell r="AA3134" t="str">
            <v>GENDARMERIA DE CHILE</v>
          </cell>
        </row>
        <row r="3135">
          <cell r="Z3135" t="str">
            <v>MOBILIARIO CLINICO</v>
          </cell>
          <cell r="AA3135" t="str">
            <v>GENDARMERIA DE CHILE</v>
          </cell>
        </row>
        <row r="3136">
          <cell r="Z3136" t="str">
            <v>MOBILIARIO CLINICO</v>
          </cell>
          <cell r="AA3136" t="str">
            <v>GENDARMERIA DE CHILE</v>
          </cell>
        </row>
        <row r="3137">
          <cell r="Z3137" t="str">
            <v>MOBILIARIO CLINICO</v>
          </cell>
          <cell r="AA3137" t="str">
            <v>GENDARMERIA DE CHILE</v>
          </cell>
        </row>
        <row r="3138">
          <cell r="Z3138" t="str">
            <v>MOBILIARIO CLINICO</v>
          </cell>
          <cell r="AA3138" t="str">
            <v>GENDARMERIA DE CHILE</v>
          </cell>
        </row>
        <row r="3139">
          <cell r="Z3139" t="str">
            <v>MOBILIARIO CLINICO</v>
          </cell>
          <cell r="AA3139" t="str">
            <v>GENDARMERIA DE CHILE</v>
          </cell>
        </row>
        <row r="3140">
          <cell r="Z3140" t="str">
            <v>MOBILIARIO CLINICO</v>
          </cell>
          <cell r="AA3140" t="str">
            <v>S.S VIÑA DEL MAR-QUILLOTA</v>
          </cell>
        </row>
        <row r="3141">
          <cell r="Z3141" t="str">
            <v>MOBILIARIO CLINICO</v>
          </cell>
          <cell r="AA3141" t="str">
            <v>S.S VIÑA DEL MAR-QUILLOTA</v>
          </cell>
        </row>
        <row r="3142">
          <cell r="Z3142" t="str">
            <v>MOBILIARIO CLINICO</v>
          </cell>
          <cell r="AA3142" t="str">
            <v>S.S VIÑA DEL MAR-QUILLOTA</v>
          </cell>
        </row>
        <row r="3143">
          <cell r="Z3143" t="str">
            <v>MOBILIARIO CLINICO</v>
          </cell>
          <cell r="AA3143" t="str">
            <v>S.S VIÑA DEL MAR-QUILLOTA</v>
          </cell>
        </row>
        <row r="3144">
          <cell r="Z3144" t="str">
            <v>MOBILIARIO CLINICO</v>
          </cell>
          <cell r="AA3144" t="str">
            <v>S.S VIÑA DEL MAR-QUILLOTA</v>
          </cell>
        </row>
        <row r="3145">
          <cell r="Z3145" t="str">
            <v>MOBILIARIO CLINICO</v>
          </cell>
          <cell r="AA3145" t="str">
            <v>S.S VIÑA DEL MAR-QUILLOTA</v>
          </cell>
        </row>
        <row r="3146">
          <cell r="Z3146" t="str">
            <v>MOBILIARIO CLINICO</v>
          </cell>
          <cell r="AA3146" t="str">
            <v>S.S VIÑA DEL MAR-QUILLOTA</v>
          </cell>
        </row>
        <row r="3147">
          <cell r="Z3147" t="str">
            <v>MOBILIARIO CLINICO</v>
          </cell>
          <cell r="AA3147" t="str">
            <v>S.S VIÑA DEL MAR-QUILLOTA</v>
          </cell>
        </row>
        <row r="3148">
          <cell r="Z3148" t="str">
            <v>MOBILIARIO CLINICO</v>
          </cell>
          <cell r="AA3148" t="str">
            <v>S.S VIÑA DEL MAR-QUILLOTA</v>
          </cell>
        </row>
        <row r="3149">
          <cell r="Z3149" t="str">
            <v>MOBILIARIO CLINICO</v>
          </cell>
          <cell r="AA3149" t="str">
            <v>S.S VIÑA DEL MAR-QUILLOTA</v>
          </cell>
        </row>
        <row r="3150">
          <cell r="Z3150" t="str">
            <v>MOBILIARIO CLINICO</v>
          </cell>
          <cell r="AA3150" t="str">
            <v>S.S VIÑA DEL MAR-QUILLOTA</v>
          </cell>
        </row>
        <row r="3151">
          <cell r="Z3151" t="str">
            <v>MOBILIARIO CLINICO</v>
          </cell>
          <cell r="AA3151" t="str">
            <v>S.S VIÑA DEL MAR-QUILLOTA</v>
          </cell>
        </row>
        <row r="3152">
          <cell r="Z3152" t="str">
            <v>MOBILIARIO CLINICO</v>
          </cell>
          <cell r="AA3152" t="str">
            <v>S.S VIÑA DEL MAR-QUILLOTA</v>
          </cell>
        </row>
        <row r="3153">
          <cell r="Z3153" t="str">
            <v>MOBILIARIO CLINICO</v>
          </cell>
          <cell r="AA3153" t="str">
            <v>S.S VIÑA DEL MAR-QUILLOTA</v>
          </cell>
        </row>
        <row r="3154">
          <cell r="Z3154" t="str">
            <v>MOBILIARIO CLINICO</v>
          </cell>
          <cell r="AA3154" t="str">
            <v>S.S VIÑA DEL MAR-QUILLOTA</v>
          </cell>
        </row>
        <row r="3155">
          <cell r="Z3155" t="str">
            <v>MOBILIARIO CLINICO</v>
          </cell>
          <cell r="AA3155" t="str">
            <v>S.S VIÑA DEL MAR-QUILLOTA</v>
          </cell>
        </row>
        <row r="3156">
          <cell r="Z3156" t="str">
            <v>MOBILIARIO CLINICO</v>
          </cell>
          <cell r="AA3156" t="str">
            <v>S.S VIÑA DEL MAR-QUILLOTA</v>
          </cell>
        </row>
        <row r="3157">
          <cell r="Z3157" t="str">
            <v>MOBILIARIO CLINICO</v>
          </cell>
          <cell r="AA3157" t="str">
            <v>S.S VIÑA DEL MAR-QUILLOTA</v>
          </cell>
        </row>
        <row r="3158">
          <cell r="Z3158" t="str">
            <v>MOBILIARIO CLINICO</v>
          </cell>
          <cell r="AA3158" t="str">
            <v>S.S VIÑA DEL MAR-QUILLOTA</v>
          </cell>
        </row>
        <row r="3159">
          <cell r="Z3159" t="str">
            <v>MOBILIARIO CLINICO</v>
          </cell>
          <cell r="AA3159" t="str">
            <v>S.S VIÑA DEL MAR-QUILLOTA</v>
          </cell>
        </row>
        <row r="3160">
          <cell r="Z3160" t="str">
            <v>MOBILIARIO CLINICO</v>
          </cell>
          <cell r="AA3160" t="str">
            <v>S.S VIÑA DEL MAR-QUILLOTA</v>
          </cell>
        </row>
        <row r="3161">
          <cell r="Z3161" t="str">
            <v>MOBILIARIO CLINICO</v>
          </cell>
          <cell r="AA3161" t="str">
            <v>S.S VIÑA DEL MAR-QUILLOTA</v>
          </cell>
        </row>
        <row r="3162">
          <cell r="Z3162" t="str">
            <v>MOBILIARIO CLINICO</v>
          </cell>
          <cell r="AA3162" t="str">
            <v>S.S VIÑA DEL MAR-QUILLOTA</v>
          </cell>
        </row>
        <row r="3163">
          <cell r="Z3163" t="str">
            <v>MOBILIARIO CLINICO</v>
          </cell>
          <cell r="AA3163" t="str">
            <v>S.S VIÑA DEL MAR-QUILLOTA</v>
          </cell>
        </row>
        <row r="3164">
          <cell r="Z3164" t="str">
            <v>MOBILIARIO CLINICO</v>
          </cell>
          <cell r="AA3164" t="str">
            <v>S.S VIÑA DEL MAR-QUILLOTA</v>
          </cell>
        </row>
        <row r="3165">
          <cell r="Z3165" t="str">
            <v>MOBILIARIO CLINICO</v>
          </cell>
          <cell r="AA3165" t="str">
            <v>S.S VIÑA DEL MAR-QUILLOTA</v>
          </cell>
        </row>
        <row r="3166">
          <cell r="Z3166" t="str">
            <v>MOBILIARIO CLINICO</v>
          </cell>
          <cell r="AA3166" t="str">
            <v>S.S VIÑA DEL MAR-QUILLOTA</v>
          </cell>
        </row>
        <row r="3167">
          <cell r="Z3167" t="str">
            <v>MOBILIARIO CLINICO</v>
          </cell>
          <cell r="AA3167" t="str">
            <v>S.S VIÑA DEL MAR-QUILLOTA</v>
          </cell>
        </row>
        <row r="3168">
          <cell r="Z3168" t="str">
            <v>MOBILIARIO CLINICO</v>
          </cell>
          <cell r="AA3168" t="str">
            <v>S.S VIÑA DEL MAR-QUILLOTA</v>
          </cell>
        </row>
        <row r="3169">
          <cell r="Z3169" t="str">
            <v>MOBILIARIO CLINICO</v>
          </cell>
          <cell r="AA3169" t="str">
            <v>S.S VIÑA DEL MAR-QUILLOTA</v>
          </cell>
        </row>
        <row r="3170">
          <cell r="Z3170" t="str">
            <v>MOBILIARIO CLINICO</v>
          </cell>
          <cell r="AA3170" t="str">
            <v>S.S VIÑA DEL MAR-QUILLOTA</v>
          </cell>
        </row>
        <row r="3171">
          <cell r="Z3171" t="str">
            <v>MOBILIARIO CLINICO</v>
          </cell>
          <cell r="AA3171" t="str">
            <v>S.S VIÑA DEL MAR-QUILLOTA</v>
          </cell>
        </row>
        <row r="3172">
          <cell r="Z3172" t="str">
            <v>MOBILIARIO CLINICO</v>
          </cell>
          <cell r="AA3172" t="str">
            <v>S.S VIÑA DEL MAR-QUILLOTA</v>
          </cell>
        </row>
        <row r="3173">
          <cell r="Z3173" t="str">
            <v>MOBILIARIO CLINICO</v>
          </cell>
          <cell r="AA3173" t="str">
            <v>S.S VIÑA DEL MAR-QUILLOTA</v>
          </cell>
        </row>
        <row r="3174">
          <cell r="Z3174" t="str">
            <v>MOBILIARIO CLINICO</v>
          </cell>
          <cell r="AA3174" t="str">
            <v>S.S VIÑA DEL MAR-QUILLOTA</v>
          </cell>
        </row>
        <row r="3175">
          <cell r="Z3175" t="str">
            <v>MOBILIARIO CLINICO</v>
          </cell>
          <cell r="AA3175" t="str">
            <v>S.S VIÑA DEL MAR-QUILLOTA</v>
          </cell>
        </row>
        <row r="3176">
          <cell r="Z3176" t="str">
            <v>MOBILIARIO CLINICO</v>
          </cell>
          <cell r="AA3176" t="str">
            <v>S.S VIÑA DEL MAR-QUILLOTA</v>
          </cell>
        </row>
        <row r="3177">
          <cell r="Z3177" t="str">
            <v>MOBILIARIO CLINICO</v>
          </cell>
          <cell r="AA3177" t="str">
            <v>S.S VIÑA DEL MAR-QUILLOTA</v>
          </cell>
        </row>
        <row r="3178">
          <cell r="Z3178" t="str">
            <v>MOBILIARIO CLINICO</v>
          </cell>
          <cell r="AA3178" t="str">
            <v>S.S VIÑA DEL MAR-QUILLOTA</v>
          </cell>
        </row>
        <row r="3179">
          <cell r="Z3179" t="str">
            <v>MOBILIARIO CLINICO</v>
          </cell>
          <cell r="AA3179" t="str">
            <v>S.S VIÑA DEL MAR-QUILLOTA</v>
          </cell>
        </row>
        <row r="3180">
          <cell r="Z3180" t="str">
            <v>MOBILIARIO CLINICO</v>
          </cell>
          <cell r="AA3180" t="str">
            <v>S.S VIÑA DEL MAR-QUILLOTA</v>
          </cell>
        </row>
        <row r="3181">
          <cell r="Z3181" t="str">
            <v>MOBILIARIO CLINICO</v>
          </cell>
          <cell r="AA3181" t="str">
            <v>S.S VIÑA DEL MAR-QUILLOTA</v>
          </cell>
        </row>
        <row r="3182">
          <cell r="Z3182" t="str">
            <v>MOBILIARIO CLINICO</v>
          </cell>
          <cell r="AA3182" t="str">
            <v>S.S VIÑA DEL MAR-QUILLOTA</v>
          </cell>
        </row>
        <row r="3183">
          <cell r="Z3183" t="str">
            <v>MOBILIARIO CLINICO</v>
          </cell>
          <cell r="AA3183" t="str">
            <v>S.S VIÑA DEL MAR-QUILLOTA</v>
          </cell>
        </row>
        <row r="3184">
          <cell r="Z3184" t="str">
            <v>MOBILIARIO CLINICO</v>
          </cell>
          <cell r="AA3184" t="str">
            <v>S.S VIÑA DEL MAR-QUILLOTA</v>
          </cell>
        </row>
        <row r="3185">
          <cell r="Z3185" t="str">
            <v>MOBILIARIO CLINICO</v>
          </cell>
          <cell r="AA3185" t="str">
            <v>S.S VIÑA DEL MAR-QUILLOTA</v>
          </cell>
        </row>
        <row r="3186">
          <cell r="Z3186" t="str">
            <v>MOBILIARIO CLINICO</v>
          </cell>
          <cell r="AA3186" t="str">
            <v>S.S VIÑA DEL MAR-QUILLOTA</v>
          </cell>
        </row>
        <row r="3187">
          <cell r="Z3187" t="str">
            <v>MOBILIARIO CLINICO</v>
          </cell>
          <cell r="AA3187" t="str">
            <v>S.S VIÑA DEL MAR-QUILLOTA</v>
          </cell>
        </row>
        <row r="3188">
          <cell r="Z3188" t="str">
            <v>MOBILIARIO CLINICO</v>
          </cell>
          <cell r="AA3188" t="str">
            <v>S.S VIÑA DEL MAR-QUILLOTA</v>
          </cell>
        </row>
        <row r="3189">
          <cell r="Z3189" t="str">
            <v>MOBILIARIO CLINICO</v>
          </cell>
          <cell r="AA3189" t="str">
            <v>S.S VIÑA DEL MAR-QUILLOTA</v>
          </cell>
        </row>
        <row r="3190">
          <cell r="Z3190" t="str">
            <v>MOBILIARIO CLINICO</v>
          </cell>
          <cell r="AA3190" t="str">
            <v>S.S VIÑA DEL MAR-QUILLOTA</v>
          </cell>
        </row>
        <row r="3191">
          <cell r="Z3191" t="str">
            <v>MOBILIARIO CLINICO</v>
          </cell>
          <cell r="AA3191" t="str">
            <v>S.S VIÑA DEL MAR-QUILLOTA</v>
          </cell>
        </row>
        <row r="3192">
          <cell r="Z3192" t="str">
            <v>MOBILIARIO CLINICO</v>
          </cell>
          <cell r="AA3192" t="str">
            <v>S.S VIÑA DEL MAR-QUILLOTA</v>
          </cell>
        </row>
        <row r="3193">
          <cell r="Z3193" t="str">
            <v>MOBILIARIO CLINICO</v>
          </cell>
          <cell r="AA3193" t="str">
            <v>S.S VIÑA DEL MAR-QUILLOTA</v>
          </cell>
        </row>
        <row r="3194">
          <cell r="Z3194" t="str">
            <v>MOBILIARIO CLINICO</v>
          </cell>
          <cell r="AA3194" t="str">
            <v>S.S VIÑA DEL MAR-QUILLOTA</v>
          </cell>
        </row>
        <row r="3195">
          <cell r="Z3195" t="str">
            <v>MOBILIARIO CLINICO</v>
          </cell>
          <cell r="AA3195" t="str">
            <v>S.S VIÑA DEL MAR-QUILLOTA</v>
          </cell>
        </row>
        <row r="3196">
          <cell r="Z3196" t="str">
            <v>MOBILIARIO CLINICO</v>
          </cell>
          <cell r="AA3196" t="str">
            <v>S.S VIÑA DEL MAR-QUILLOTA</v>
          </cell>
        </row>
        <row r="3197">
          <cell r="Z3197" t="str">
            <v>MOBILIARIO CLINICO</v>
          </cell>
          <cell r="AA3197" t="str">
            <v>S.S VIÑA DEL MAR-QUILLOTA</v>
          </cell>
        </row>
        <row r="3198">
          <cell r="Z3198" t="str">
            <v>MOBILIARIO CLINICO</v>
          </cell>
          <cell r="AA3198" t="str">
            <v>S.S VIÑA DEL MAR-QUILLOTA</v>
          </cell>
        </row>
        <row r="3199">
          <cell r="Z3199" t="str">
            <v>MOBILIARIO CLINICO</v>
          </cell>
          <cell r="AA3199" t="str">
            <v>S.S VIÑA DEL MAR-QUILLOTA</v>
          </cell>
        </row>
        <row r="3200">
          <cell r="Z3200" t="str">
            <v>MOBILIARIO CLINICO</v>
          </cell>
          <cell r="AA3200" t="str">
            <v>S.S VIÑA DEL MAR-QUILLOTA</v>
          </cell>
        </row>
        <row r="3201">
          <cell r="Z3201" t="str">
            <v>MOBILIARIO CLINICO</v>
          </cell>
          <cell r="AA3201" t="str">
            <v>S.S VIÑA DEL MAR-QUILLOTA</v>
          </cell>
        </row>
        <row r="3202">
          <cell r="Z3202" t="str">
            <v>MOBILIARIO CLINICO</v>
          </cell>
          <cell r="AA3202" t="str">
            <v>S.S VIÑA DEL MAR-QUILLOTA</v>
          </cell>
        </row>
        <row r="3203">
          <cell r="Z3203" t="str">
            <v>MOBILIARIO CLINICO</v>
          </cell>
          <cell r="AA3203" t="str">
            <v>S.S VIÑA DEL MAR-QUILLOTA</v>
          </cell>
        </row>
        <row r="3204">
          <cell r="Z3204" t="str">
            <v>MOBILIARIO CLINICO</v>
          </cell>
          <cell r="AA3204" t="str">
            <v>S.S VIÑA DEL MAR-QUILLOTA</v>
          </cell>
        </row>
        <row r="3205">
          <cell r="Z3205" t="str">
            <v>MOBILIARIO CLINICO</v>
          </cell>
          <cell r="AA3205" t="str">
            <v>S.S VIÑA DEL MAR-QUILLOTA</v>
          </cell>
        </row>
        <row r="3206">
          <cell r="Z3206" t="str">
            <v>MOBILIARIO CLINICO</v>
          </cell>
          <cell r="AA3206" t="str">
            <v>S.S VIÑA DEL MAR-QUILLOTA</v>
          </cell>
        </row>
        <row r="3207">
          <cell r="Z3207" t="str">
            <v>MOBILIARIO CLINICO</v>
          </cell>
          <cell r="AA3207" t="str">
            <v>S.S VIÑA DEL MAR-QUILLOTA</v>
          </cell>
        </row>
        <row r="3208">
          <cell r="Z3208" t="str">
            <v>MOBILIARIO CLINICO</v>
          </cell>
          <cell r="AA3208" t="str">
            <v>S.S VIÑA DEL MAR-QUILLOTA</v>
          </cell>
        </row>
        <row r="3209">
          <cell r="Z3209" t="str">
            <v>MOBILIARIO CLINICO</v>
          </cell>
          <cell r="AA3209" t="str">
            <v>S.S VIÑA DEL MAR-QUILLOTA</v>
          </cell>
        </row>
        <row r="3210">
          <cell r="Z3210" t="str">
            <v>MOBILIARIO CLINICO</v>
          </cell>
          <cell r="AA3210" t="str">
            <v>S.S VIÑA DEL MAR-QUILLOTA</v>
          </cell>
        </row>
        <row r="3211">
          <cell r="Z3211" t="str">
            <v>MOBILIARIO CLINICO</v>
          </cell>
          <cell r="AA3211" t="str">
            <v>S.S VIÑA DEL MAR-QUILLOTA</v>
          </cell>
        </row>
        <row r="3212">
          <cell r="Z3212" t="str">
            <v>MOBILIARIO CLINICO</v>
          </cell>
          <cell r="AA3212" t="str">
            <v>S.S VIÑA DEL MAR-QUILLOTA</v>
          </cell>
        </row>
        <row r="3213">
          <cell r="Z3213" t="str">
            <v>MOBILIARIO CLINICO</v>
          </cell>
          <cell r="AA3213" t="str">
            <v>S.S VIÑA DEL MAR-QUILLOTA</v>
          </cell>
        </row>
        <row r="3214">
          <cell r="Z3214" t="str">
            <v>MOBILIARIO CLINICO</v>
          </cell>
          <cell r="AA3214" t="str">
            <v>S.S VIÑA DEL MAR-QUILLOTA</v>
          </cell>
        </row>
        <row r="3215">
          <cell r="Z3215" t="str">
            <v>MOBILIARIO CLINICO</v>
          </cell>
          <cell r="AA3215" t="str">
            <v>S.S VIÑA DEL MAR-QUILLOTA</v>
          </cell>
        </row>
        <row r="3216">
          <cell r="Z3216" t="str">
            <v>MOBILIARIO CLINICO</v>
          </cell>
          <cell r="AA3216" t="str">
            <v>S.S VIÑA DEL MAR-QUILLOTA</v>
          </cell>
        </row>
        <row r="3217">
          <cell r="Z3217" t="str">
            <v>MOBILIARIO CLINICO</v>
          </cell>
          <cell r="AA3217" t="str">
            <v>S.S VIÑA DEL MAR-QUILLOTA</v>
          </cell>
        </row>
        <row r="3218">
          <cell r="Z3218" t="str">
            <v>MOBILIARIO CLINICO</v>
          </cell>
          <cell r="AA3218" t="str">
            <v>S.S VIÑA DEL MAR-QUILLOTA</v>
          </cell>
        </row>
        <row r="3219">
          <cell r="Z3219" t="str">
            <v>MOBILIARIO CLINICO</v>
          </cell>
          <cell r="AA3219" t="str">
            <v>S.S VIÑA DEL MAR-QUILLOTA</v>
          </cell>
        </row>
        <row r="3220">
          <cell r="Z3220" t="str">
            <v>MOBILIARIO CLINICO</v>
          </cell>
          <cell r="AA3220" t="str">
            <v>S.S VIÑA DEL MAR-QUILLOTA</v>
          </cell>
        </row>
        <row r="3221">
          <cell r="Z3221" t="str">
            <v>MOBILIARIO CLINICO</v>
          </cell>
          <cell r="AA3221" t="str">
            <v>S.S VIÑA DEL MAR-QUILLOTA</v>
          </cell>
        </row>
        <row r="3222">
          <cell r="Z3222" t="str">
            <v>MOBILIARIO CLINICO</v>
          </cell>
          <cell r="AA3222" t="str">
            <v>S.S VIÑA DEL MAR-QUILLOTA</v>
          </cell>
        </row>
        <row r="3223">
          <cell r="Z3223" t="str">
            <v>MOBILIARIO CLINICO</v>
          </cell>
          <cell r="AA3223" t="str">
            <v>S.S VIÑA DEL MAR-QUILLOTA</v>
          </cell>
        </row>
        <row r="3224">
          <cell r="Z3224" t="str">
            <v>MOBILIARIO CLINICO</v>
          </cell>
          <cell r="AA3224" t="str">
            <v>S.S VIÑA DEL MAR-QUILLOTA</v>
          </cell>
        </row>
        <row r="3225">
          <cell r="Z3225" t="str">
            <v>MOBILIARIO CLINICO</v>
          </cell>
          <cell r="AA3225" t="str">
            <v>S.S VIÑA DEL MAR-QUILLOTA</v>
          </cell>
        </row>
        <row r="3226">
          <cell r="Z3226" t="str">
            <v>MOBILIARIO CLINICO</v>
          </cell>
          <cell r="AA3226" t="str">
            <v>S.S VIÑA DEL MAR-QUILLOTA</v>
          </cell>
        </row>
        <row r="3227">
          <cell r="Z3227" t="str">
            <v>MOBILIARIO CLINICO</v>
          </cell>
          <cell r="AA3227" t="str">
            <v>S.S VIÑA DEL MAR-QUILLOTA</v>
          </cell>
        </row>
        <row r="3228">
          <cell r="Z3228" t="str">
            <v>MOBILIARIO CLINICO</v>
          </cell>
          <cell r="AA3228" t="str">
            <v>S.S VIÑA DEL MAR-QUILLOTA</v>
          </cell>
        </row>
        <row r="3229">
          <cell r="Z3229" t="str">
            <v>MOBILIARIO CLINICO</v>
          </cell>
          <cell r="AA3229" t="str">
            <v>S.S VIÑA DEL MAR-QUILLOTA</v>
          </cell>
        </row>
        <row r="3230">
          <cell r="Z3230" t="str">
            <v>MOBILIARIO CLINICO</v>
          </cell>
          <cell r="AA3230" t="str">
            <v>S.S VIÑA DEL MAR-QUILLOTA</v>
          </cell>
        </row>
        <row r="3231">
          <cell r="Z3231" t="str">
            <v>MOBILIARIO CLINICO</v>
          </cell>
          <cell r="AA3231" t="str">
            <v>S.S VIÑA DEL MAR-QUILLOTA</v>
          </cell>
        </row>
        <row r="3232">
          <cell r="Z3232" t="str">
            <v>MOBILIARIO CLINICO</v>
          </cell>
          <cell r="AA3232" t="str">
            <v>S.S VIÑA DEL MAR-QUILLOTA</v>
          </cell>
        </row>
        <row r="3233">
          <cell r="Z3233" t="str">
            <v>MOBILIARIO CLINICO</v>
          </cell>
          <cell r="AA3233" t="str">
            <v>S.S VIÑA DEL MAR-QUILLOTA</v>
          </cell>
        </row>
        <row r="3234">
          <cell r="Z3234" t="str">
            <v>MOBILIARIO CLINICO</v>
          </cell>
          <cell r="AA3234" t="str">
            <v>S.S VIÑA DEL MAR-QUILLOTA</v>
          </cell>
        </row>
        <row r="3235">
          <cell r="Z3235" t="str">
            <v>MOBILIARIO CLINICO</v>
          </cell>
          <cell r="AA3235" t="str">
            <v>S.S VIÑA DEL MAR-QUILLOTA</v>
          </cell>
        </row>
        <row r="3236">
          <cell r="Z3236" t="str">
            <v>MOBILIARIO CLINICO</v>
          </cell>
          <cell r="AA3236" t="str">
            <v>S.S VIÑA DEL MAR-QUILLOTA</v>
          </cell>
        </row>
        <row r="3237">
          <cell r="Z3237" t="str">
            <v>MOBILIARIO CLINICO</v>
          </cell>
          <cell r="AA3237" t="str">
            <v>S.S VIÑA DEL MAR-QUILLOTA</v>
          </cell>
        </row>
        <row r="3238">
          <cell r="Z3238" t="str">
            <v>MOBILIARIO CLINICO</v>
          </cell>
          <cell r="AA3238" t="str">
            <v>S.S VIÑA DEL MAR-QUILLOTA</v>
          </cell>
        </row>
        <row r="3239">
          <cell r="Z3239" t="str">
            <v>MOBILIARIO CLINICO</v>
          </cell>
          <cell r="AA3239" t="str">
            <v>S.S VIÑA DEL MAR-QUILLOTA</v>
          </cell>
        </row>
        <row r="3240">
          <cell r="Z3240" t="str">
            <v>MOBILIARIO CLINICO</v>
          </cell>
          <cell r="AA3240" t="str">
            <v>S.S VIÑA DEL MAR-QUILLOTA</v>
          </cell>
        </row>
        <row r="3241">
          <cell r="Z3241" t="str">
            <v>MOBILIARIO CLINICO</v>
          </cell>
          <cell r="AA3241" t="str">
            <v>S.S VIÑA DEL MAR-QUILLOTA</v>
          </cell>
        </row>
        <row r="3242">
          <cell r="Z3242" t="str">
            <v>MOBILIARIO CLINICO</v>
          </cell>
          <cell r="AA3242" t="str">
            <v>S.S VIÑA DEL MAR-QUILLOTA</v>
          </cell>
        </row>
        <row r="3243">
          <cell r="Z3243" t="str">
            <v>MOBILIARIO CLINICO</v>
          </cell>
          <cell r="AA3243" t="str">
            <v>S.S VIÑA DEL MAR-QUILLOTA</v>
          </cell>
        </row>
        <row r="3244">
          <cell r="Z3244" t="str">
            <v>MOBILIARIO CLINICO</v>
          </cell>
          <cell r="AA3244" t="str">
            <v>S.S VIÑA DEL MAR-QUILLOTA</v>
          </cell>
        </row>
        <row r="3245">
          <cell r="Z3245" t="str">
            <v>MOBILIARIO CLINICO</v>
          </cell>
          <cell r="AA3245" t="str">
            <v>S.S VIÑA DEL MAR-QUILLOTA</v>
          </cell>
        </row>
        <row r="3246">
          <cell r="Z3246" t="str">
            <v>MOBILIARIO CLINICO</v>
          </cell>
          <cell r="AA3246" t="str">
            <v>S.S VIÑA DEL MAR-QUILLOTA</v>
          </cell>
        </row>
        <row r="3247">
          <cell r="Z3247" t="str">
            <v>MOBILIARIO CLINICO</v>
          </cell>
          <cell r="AA3247" t="str">
            <v>S.S VIÑA DEL MAR-QUILLOTA</v>
          </cell>
        </row>
        <row r="3248">
          <cell r="Z3248" t="str">
            <v>MOBILIARIO CLINICO</v>
          </cell>
          <cell r="AA3248" t="str">
            <v>S.S VIÑA DEL MAR-QUILLOTA</v>
          </cell>
        </row>
        <row r="3249">
          <cell r="Z3249" t="str">
            <v>MOBILIARIO CLINICO</v>
          </cell>
          <cell r="AA3249" t="str">
            <v>S.S VIÑA DEL MAR-QUILLOTA</v>
          </cell>
        </row>
        <row r="3250">
          <cell r="Z3250" t="str">
            <v>MOBILIARIO CLINICO</v>
          </cell>
          <cell r="AA3250" t="str">
            <v>S.S VIÑA DEL MAR-QUILLOTA</v>
          </cell>
        </row>
        <row r="3251">
          <cell r="Z3251" t="str">
            <v>MOBILIARIO CLINICO</v>
          </cell>
          <cell r="AA3251" t="str">
            <v>S.S VIÑA DEL MAR-QUILLOTA</v>
          </cell>
        </row>
        <row r="3252">
          <cell r="Z3252" t="str">
            <v>MOBILIARIO CLINICO</v>
          </cell>
          <cell r="AA3252" t="str">
            <v>S.S VIÑA DEL MAR-QUILLOTA</v>
          </cell>
        </row>
        <row r="3253">
          <cell r="Z3253" t="str">
            <v>MOBILIARIO CLINICO</v>
          </cell>
          <cell r="AA3253" t="str">
            <v>S.S VIÑA DEL MAR-QUILLOTA</v>
          </cell>
        </row>
        <row r="3254">
          <cell r="Z3254" t="str">
            <v>MOBILIARIO CLINICO</v>
          </cell>
          <cell r="AA3254" t="str">
            <v>S.S VIÑA DEL MAR-QUILLOTA</v>
          </cell>
        </row>
        <row r="3255">
          <cell r="Z3255" t="str">
            <v>MOBILIARIO CLINICO</v>
          </cell>
          <cell r="AA3255" t="str">
            <v>S.S VIÑA DEL MAR-QUILLOTA</v>
          </cell>
        </row>
        <row r="3256">
          <cell r="Z3256" t="str">
            <v>MOBILIARIO CLINICO</v>
          </cell>
          <cell r="AA3256" t="str">
            <v>S.S VIÑA DEL MAR-QUILLOTA</v>
          </cell>
        </row>
        <row r="3257">
          <cell r="Z3257" t="str">
            <v>MOBILIARIO CLINICO</v>
          </cell>
          <cell r="AA3257" t="str">
            <v>S.S VIÑA DEL MAR-QUILLOTA</v>
          </cell>
        </row>
        <row r="3258">
          <cell r="Z3258" t="str">
            <v>MOBILIARIO CLINICO</v>
          </cell>
          <cell r="AA3258" t="str">
            <v>S.S VIÑA DEL MAR-QUILLOTA</v>
          </cell>
        </row>
        <row r="3259">
          <cell r="Z3259" t="str">
            <v>MOBILIARIO CLINICO</v>
          </cell>
          <cell r="AA3259" t="str">
            <v>S.S VIÑA DEL MAR-QUILLOTA</v>
          </cell>
        </row>
        <row r="3260">
          <cell r="Z3260" t="str">
            <v>MOBILIARIO CLINICO</v>
          </cell>
          <cell r="AA3260" t="str">
            <v>S.S VIÑA DEL MAR-QUILLOTA</v>
          </cell>
        </row>
        <row r="3261">
          <cell r="Z3261" t="str">
            <v>MOBILIARIO CLINICO</v>
          </cell>
          <cell r="AA3261" t="str">
            <v>S.S VIÑA DEL MAR-QUILLOTA</v>
          </cell>
        </row>
        <row r="3262">
          <cell r="Z3262" t="str">
            <v>MOBILIARIO CLINICO</v>
          </cell>
          <cell r="AA3262" t="str">
            <v>S.S VIÑA DEL MAR-QUILLOTA</v>
          </cell>
        </row>
        <row r="3263">
          <cell r="Z3263" t="str">
            <v>MOBILIARIO CLINICO</v>
          </cell>
          <cell r="AA3263" t="str">
            <v>S.S VIÑA DEL MAR-QUILLOTA</v>
          </cell>
        </row>
        <row r="3264">
          <cell r="Z3264" t="str">
            <v>MOBILIARIO CLINICO</v>
          </cell>
          <cell r="AA3264" t="str">
            <v>S.S VIÑA DEL MAR-QUILLOTA</v>
          </cell>
        </row>
        <row r="3265">
          <cell r="Z3265" t="str">
            <v>MOBILIARIO CLINICO</v>
          </cell>
          <cell r="AA3265" t="str">
            <v>S.S VIÑA DEL MAR-QUILLOTA</v>
          </cell>
        </row>
        <row r="3266">
          <cell r="Z3266" t="str">
            <v>MOBILIARIO CLINICO</v>
          </cell>
          <cell r="AA3266" t="str">
            <v>S.S VIÑA DEL MAR-QUILLOTA</v>
          </cell>
        </row>
        <row r="3267">
          <cell r="Z3267" t="str">
            <v>MOBILIARIO CLINICO</v>
          </cell>
          <cell r="AA3267" t="str">
            <v>S.S VIÑA DEL MAR-QUILLOTA</v>
          </cell>
        </row>
        <row r="3268">
          <cell r="Z3268" t="str">
            <v>MOBILIARIO CLINICO</v>
          </cell>
          <cell r="AA3268" t="str">
            <v>S.S VIÑA DEL MAR-QUILLOTA</v>
          </cell>
        </row>
        <row r="3269">
          <cell r="Z3269" t="str">
            <v>MOBILIARIO CLINICO</v>
          </cell>
          <cell r="AA3269" t="str">
            <v>S.S VIÑA DEL MAR-QUILLOTA</v>
          </cell>
        </row>
        <row r="3270">
          <cell r="Z3270" t="str">
            <v>MOBILIARIO CLINICO</v>
          </cell>
          <cell r="AA3270" t="str">
            <v>S.S VIÑA DEL MAR-QUILLOTA</v>
          </cell>
        </row>
        <row r="3271">
          <cell r="Z3271" t="str">
            <v>MOBILIARIO CLINICO</v>
          </cell>
          <cell r="AA3271" t="str">
            <v>S.S VIÑA DEL MAR-QUILLOTA</v>
          </cell>
        </row>
        <row r="3272">
          <cell r="Z3272" t="str">
            <v>MOBILIARIO CLINICO</v>
          </cell>
          <cell r="AA3272" t="str">
            <v>S.S VIÑA DEL MAR-QUILLOTA</v>
          </cell>
        </row>
        <row r="3273">
          <cell r="Z3273" t="str">
            <v>MOBILIARIO CLINICO</v>
          </cell>
          <cell r="AA3273" t="str">
            <v>S.S VIÑA DEL MAR-QUILLOTA</v>
          </cell>
        </row>
        <row r="3274">
          <cell r="Z3274" t="str">
            <v>MOBILIARIO CLINICO</v>
          </cell>
          <cell r="AA3274" t="str">
            <v>S.S VIÑA DEL MAR-QUILLOTA</v>
          </cell>
        </row>
        <row r="3275">
          <cell r="Z3275" t="str">
            <v>MOBILIARIO CLINICO</v>
          </cell>
          <cell r="AA3275" t="str">
            <v>S.S VIÑA DEL MAR-QUILLOTA</v>
          </cell>
        </row>
        <row r="3276">
          <cell r="Z3276" t="str">
            <v>MOBILIARIO CLINICO</v>
          </cell>
          <cell r="AA3276" t="str">
            <v>S.S VIÑA DEL MAR-QUILLOTA</v>
          </cell>
        </row>
        <row r="3277">
          <cell r="Z3277" t="str">
            <v>MOBILIARIO CLINICO</v>
          </cell>
          <cell r="AA3277" t="str">
            <v>S.S VIÑA DEL MAR-QUILLOTA</v>
          </cell>
        </row>
        <row r="3278">
          <cell r="Z3278" t="str">
            <v>MOBILIARIO CLINICO</v>
          </cell>
          <cell r="AA3278" t="str">
            <v>S.S VIÑA DEL MAR-QUILLOTA</v>
          </cell>
        </row>
        <row r="3279">
          <cell r="Z3279" t="str">
            <v>MOBILIARIO CLINICO</v>
          </cell>
          <cell r="AA3279" t="str">
            <v>S.S VIÑA DEL MAR-QUILLOTA</v>
          </cell>
        </row>
        <row r="3280">
          <cell r="Z3280" t="str">
            <v>MOBILIARIO CLINICO</v>
          </cell>
          <cell r="AA3280" t="str">
            <v>S.S VIÑA DEL MAR-QUILLOTA</v>
          </cell>
        </row>
        <row r="3281">
          <cell r="Z3281" t="str">
            <v>MOBILIARIO CLINICO</v>
          </cell>
          <cell r="AA3281" t="str">
            <v>S.S VIÑA DEL MAR-QUILLOTA</v>
          </cell>
        </row>
        <row r="3282">
          <cell r="Z3282" t="str">
            <v>MOBILIARIO CLINICO</v>
          </cell>
          <cell r="AA3282" t="str">
            <v>S.S VIÑA DEL MAR-QUILLOTA</v>
          </cell>
        </row>
        <row r="3283">
          <cell r="Z3283" t="str">
            <v>MOBILIARIO CLINICO</v>
          </cell>
          <cell r="AA3283" t="str">
            <v>S.S VIÑA DEL MAR-QUILLOTA</v>
          </cell>
        </row>
        <row r="3284">
          <cell r="Z3284" t="str">
            <v>MOBILIARIO CLINICO</v>
          </cell>
          <cell r="AA3284" t="str">
            <v>S.S VIÑA DEL MAR-QUILLOTA</v>
          </cell>
        </row>
        <row r="3285">
          <cell r="Z3285" t="str">
            <v>MOBILIARIO CLINICO</v>
          </cell>
          <cell r="AA3285" t="str">
            <v>S.S VIÑA DEL MAR-QUILLOTA</v>
          </cell>
        </row>
        <row r="3286">
          <cell r="Z3286" t="str">
            <v>MOBILIARIO CLINICO</v>
          </cell>
          <cell r="AA3286" t="str">
            <v>S.S VIÑA DEL MAR-QUILLOTA</v>
          </cell>
        </row>
        <row r="3287">
          <cell r="Z3287" t="str">
            <v>MOBILIARIO CLINICO</v>
          </cell>
          <cell r="AA3287" t="str">
            <v>S.S VIÑA DEL MAR-QUILLOTA</v>
          </cell>
        </row>
        <row r="3288">
          <cell r="Z3288" t="str">
            <v>MOBILIARIO CLINICO</v>
          </cell>
          <cell r="AA3288" t="str">
            <v>S.S VIÑA DEL MAR-QUILLOTA</v>
          </cell>
        </row>
        <row r="3289">
          <cell r="Z3289" t="str">
            <v>MOBILIARIO CLINICO</v>
          </cell>
          <cell r="AA3289" t="str">
            <v>S.S VIÑA DEL MAR-QUILLOTA</v>
          </cell>
        </row>
        <row r="3290">
          <cell r="Z3290" t="str">
            <v>MOBILIARIO CLINICO</v>
          </cell>
          <cell r="AA3290" t="str">
            <v>S.S VIÑA DEL MAR-QUILLOTA</v>
          </cell>
        </row>
        <row r="3291">
          <cell r="Z3291" t="str">
            <v>MOBILIARIO CLINICO</v>
          </cell>
          <cell r="AA3291" t="str">
            <v>S.S VIÑA DEL MAR-QUILLOTA</v>
          </cell>
        </row>
        <row r="3292">
          <cell r="Z3292" t="str">
            <v>MOBILIARIO CLINICO</v>
          </cell>
          <cell r="AA3292" t="str">
            <v>S.S VIÑA DEL MAR-QUILLOTA</v>
          </cell>
        </row>
        <row r="3293">
          <cell r="Z3293" t="str">
            <v>MOBILIARIO CLINICO</v>
          </cell>
          <cell r="AA3293" t="str">
            <v>S.S VIÑA DEL MAR-QUILLOTA</v>
          </cell>
        </row>
        <row r="3294">
          <cell r="Z3294" t="str">
            <v>MOBILIARIO CLINICO</v>
          </cell>
          <cell r="AA3294" t="str">
            <v>S.S VIÑA DEL MAR-QUILLOTA</v>
          </cell>
        </row>
        <row r="3295">
          <cell r="Z3295" t="str">
            <v>MOBILIARIO CLINICO</v>
          </cell>
          <cell r="AA3295" t="str">
            <v>S.S VIÑA DEL MAR-QUILLOTA</v>
          </cell>
        </row>
        <row r="3296">
          <cell r="Z3296" t="str">
            <v>MOBILIARIO CLINICO</v>
          </cell>
          <cell r="AA3296" t="str">
            <v>S.S VIÑA DEL MAR-QUILLOTA</v>
          </cell>
        </row>
        <row r="3297">
          <cell r="Z3297" t="str">
            <v>MOBILIARIO CLINICO</v>
          </cell>
          <cell r="AA3297" t="str">
            <v>S.S VIÑA DEL MAR-QUILLOTA</v>
          </cell>
        </row>
        <row r="3298">
          <cell r="Z3298" t="str">
            <v>MOBILIARIO CLINICO</v>
          </cell>
          <cell r="AA3298" t="str">
            <v>S.S VIÑA DEL MAR-QUILLOTA</v>
          </cell>
        </row>
        <row r="3299">
          <cell r="Z3299" t="str">
            <v>MOBILIARIO CLINICO</v>
          </cell>
          <cell r="AA3299" t="str">
            <v>S.S VIÑA DEL MAR-QUILLOTA</v>
          </cell>
        </row>
        <row r="3300">
          <cell r="Z3300" t="str">
            <v>MOBILIARIO CLINICO</v>
          </cell>
          <cell r="AA3300" t="str">
            <v>S.S VIÑA DEL MAR-QUILLOTA</v>
          </cell>
        </row>
        <row r="3301">
          <cell r="Z3301" t="str">
            <v>MOBILIARIO CLINICO</v>
          </cell>
          <cell r="AA3301" t="str">
            <v>S.S VIÑA DEL MAR-QUILLOTA</v>
          </cell>
        </row>
        <row r="3302">
          <cell r="Z3302" t="str">
            <v>MOBILIARIO CLINICO</v>
          </cell>
          <cell r="AA3302" t="str">
            <v>S.S VIÑA DEL MAR-QUILLOTA</v>
          </cell>
        </row>
        <row r="3303">
          <cell r="Z3303" t="str">
            <v>MOBILIARIO CLINICO</v>
          </cell>
          <cell r="AA3303" t="str">
            <v>S.S VIÑA DEL MAR-QUILLOTA</v>
          </cell>
        </row>
        <row r="3304">
          <cell r="Z3304" t="str">
            <v>MOBILIARIO CLINICO</v>
          </cell>
          <cell r="AA3304" t="str">
            <v>S.S VIÑA DEL MAR-QUILLOTA</v>
          </cell>
        </row>
        <row r="3305">
          <cell r="Z3305" t="str">
            <v>MOBILIARIO CLINICO</v>
          </cell>
          <cell r="AA3305" t="str">
            <v>S.S VIÑA DEL MAR-QUILLOTA</v>
          </cell>
        </row>
        <row r="3306">
          <cell r="Z3306" t="str">
            <v>MOBILIARIO CLINICO</v>
          </cell>
          <cell r="AA3306" t="str">
            <v>S.S VIÑA DEL MAR-QUILLOTA</v>
          </cell>
        </row>
        <row r="3307">
          <cell r="Z3307" t="str">
            <v>MOBILIARIO CLINICO</v>
          </cell>
          <cell r="AA3307" t="str">
            <v>S.S VIÑA DEL MAR-QUILLOTA</v>
          </cell>
        </row>
        <row r="3308">
          <cell r="Z3308" t="str">
            <v>MOBILIARIO CLINICO</v>
          </cell>
          <cell r="AA3308" t="str">
            <v>S.S VIÑA DEL MAR-QUILLOTA</v>
          </cell>
        </row>
        <row r="3309">
          <cell r="Z3309" t="str">
            <v>MOBILIARIO CLINICO</v>
          </cell>
          <cell r="AA3309" t="str">
            <v>S.S VIÑA DEL MAR-QUILLOTA</v>
          </cell>
        </row>
        <row r="3310">
          <cell r="Z3310" t="str">
            <v>MOBILIARIO CLINICO</v>
          </cell>
          <cell r="AA3310" t="str">
            <v>S.S VIÑA DEL MAR-QUILLOTA</v>
          </cell>
        </row>
        <row r="3311">
          <cell r="Z3311" t="str">
            <v>MOBILIARIO CLINICO</v>
          </cell>
          <cell r="AA3311" t="str">
            <v>S.S VIÑA DEL MAR-QUILLOTA</v>
          </cell>
        </row>
        <row r="3312">
          <cell r="Z3312" t="str">
            <v>MOBILIARIO CLINICO</v>
          </cell>
          <cell r="AA3312" t="str">
            <v>S.S VIÑA DEL MAR-QUILLOTA</v>
          </cell>
        </row>
        <row r="3313">
          <cell r="Z3313" t="str">
            <v>MOBILIARIO CLINICO</v>
          </cell>
          <cell r="AA3313" t="str">
            <v>S.S VIÑA DEL MAR-QUILLOTA</v>
          </cell>
        </row>
        <row r="3314">
          <cell r="Z3314" t="str">
            <v>MOBILIARIO CLINICO</v>
          </cell>
          <cell r="AA3314" t="str">
            <v>S.S VIÑA DEL MAR-QUILLOTA</v>
          </cell>
        </row>
        <row r="3315">
          <cell r="Z3315" t="str">
            <v>MOBILIARIO CLINICO</v>
          </cell>
          <cell r="AA3315" t="str">
            <v>S.S VIÑA DEL MAR-QUILLOTA</v>
          </cell>
        </row>
        <row r="3316">
          <cell r="Z3316" t="str">
            <v>MOBILIARIO CLINICO</v>
          </cell>
          <cell r="AA3316" t="str">
            <v>S.S VIÑA DEL MAR-QUILLOTA</v>
          </cell>
        </row>
        <row r="3317">
          <cell r="Z3317" t="str">
            <v>MOBILIARIO CLINICO</v>
          </cell>
          <cell r="AA3317" t="str">
            <v>S.S VIÑA DEL MAR-QUILLOTA</v>
          </cell>
        </row>
        <row r="3318">
          <cell r="Z3318" t="str">
            <v>MOBILIARIO CLINICO</v>
          </cell>
          <cell r="AA3318" t="str">
            <v>S.S VIÑA DEL MAR-QUILLOTA</v>
          </cell>
        </row>
        <row r="3319">
          <cell r="Z3319" t="str">
            <v>MOBILIARIO CLINICO</v>
          </cell>
          <cell r="AA3319" t="str">
            <v>S.S VIÑA DEL MAR-QUILLOTA</v>
          </cell>
        </row>
        <row r="3320">
          <cell r="Z3320" t="str">
            <v>MOBILIARIO CLINICO</v>
          </cell>
          <cell r="AA3320" t="str">
            <v>S.S VIÑA DEL MAR-QUILLOTA</v>
          </cell>
        </row>
        <row r="3321">
          <cell r="Z3321" t="str">
            <v>MOBILIARIO CLINICO</v>
          </cell>
          <cell r="AA3321" t="str">
            <v>S.S VIÑA DEL MAR-QUILLOTA</v>
          </cell>
        </row>
        <row r="3322">
          <cell r="Z3322" t="str">
            <v>MOBILIARIO CLINICO</v>
          </cell>
          <cell r="AA3322" t="str">
            <v>S.S VIÑA DEL MAR-QUILLOTA</v>
          </cell>
        </row>
        <row r="3323">
          <cell r="Z3323" t="str">
            <v>MOBILIARIO CLINICO</v>
          </cell>
          <cell r="AA3323" t="str">
            <v>S.S VIÑA DEL MAR-QUILLOTA</v>
          </cell>
        </row>
        <row r="3324">
          <cell r="Z3324" t="str">
            <v>MOBILIARIO CLINICO</v>
          </cell>
          <cell r="AA3324" t="str">
            <v>S.S VIÑA DEL MAR-QUILLOTA</v>
          </cell>
        </row>
        <row r="3325">
          <cell r="Z3325" t="str">
            <v>MOBILIARIO CLINICO</v>
          </cell>
          <cell r="AA3325" t="str">
            <v>S.S VIÑA DEL MAR-QUILLOTA</v>
          </cell>
        </row>
        <row r="3326">
          <cell r="Z3326" t="str">
            <v>MOBILIARIO CLINICO</v>
          </cell>
          <cell r="AA3326" t="str">
            <v>S.S VIÑA DEL MAR-QUILLOTA</v>
          </cell>
        </row>
        <row r="3327">
          <cell r="Z3327" t="str">
            <v>MOBILIARIO CLINICO</v>
          </cell>
          <cell r="AA3327" t="str">
            <v>S.S VIÑA DEL MAR-QUILLOTA</v>
          </cell>
        </row>
        <row r="3328">
          <cell r="Z3328" t="str">
            <v>MOBILIARIO CLINICO</v>
          </cell>
          <cell r="AA3328" t="str">
            <v>S.S VIÑA DEL MAR-QUILLOTA</v>
          </cell>
        </row>
        <row r="3329">
          <cell r="Z3329" t="str">
            <v>MOBILIARIO CLINICO</v>
          </cell>
          <cell r="AA3329" t="str">
            <v>S.S VIÑA DEL MAR-QUILLOTA</v>
          </cell>
        </row>
        <row r="3330">
          <cell r="Z3330" t="str">
            <v>MOBILIARIO CLINICO</v>
          </cell>
          <cell r="AA3330" t="str">
            <v>S.S VIÑA DEL MAR-QUILLOTA</v>
          </cell>
        </row>
        <row r="3331">
          <cell r="Z3331" t="str">
            <v>MOBILIARIO CLINICO</v>
          </cell>
          <cell r="AA3331" t="str">
            <v>S.S VIÑA DEL MAR-QUILLOTA</v>
          </cell>
        </row>
        <row r="3332">
          <cell r="Z3332" t="str">
            <v>MOBILIARIO CLINICO</v>
          </cell>
          <cell r="AA3332" t="str">
            <v>S.S VIÑA DEL MAR-QUILLOTA</v>
          </cell>
        </row>
        <row r="3333">
          <cell r="Z3333" t="str">
            <v>MOBILIARIO CLINICO</v>
          </cell>
          <cell r="AA3333" t="str">
            <v>S.S VIÑA DEL MAR-QUILLOTA</v>
          </cell>
        </row>
        <row r="3334">
          <cell r="Z3334" t="str">
            <v>MOBILIARIO CLINICO</v>
          </cell>
          <cell r="AA3334" t="str">
            <v>S.S VIÑA DEL MAR-QUILLOTA</v>
          </cell>
        </row>
        <row r="3335">
          <cell r="Z3335" t="str">
            <v>MOBILIARIO CLINICO</v>
          </cell>
          <cell r="AA3335" t="str">
            <v>S.S VIÑA DEL MAR-QUILLOTA</v>
          </cell>
        </row>
        <row r="3336">
          <cell r="Z3336" t="str">
            <v>MOBILIARIO CLINICO</v>
          </cell>
          <cell r="AA3336" t="str">
            <v>S.S VIÑA DEL MAR-QUILLOTA</v>
          </cell>
        </row>
        <row r="3337">
          <cell r="Z3337" t="str">
            <v>MOBILIARIO CLINICO</v>
          </cell>
          <cell r="AA3337" t="str">
            <v>S.S VIÑA DEL MAR-QUILLOTA</v>
          </cell>
        </row>
        <row r="3338">
          <cell r="Z3338" t="str">
            <v>MOBILIARIO CLINICO</v>
          </cell>
          <cell r="AA3338" t="str">
            <v>S.S VIÑA DEL MAR-QUILLOTA</v>
          </cell>
        </row>
        <row r="3339">
          <cell r="Z3339" t="str">
            <v>MOBILIARIO CLINICO</v>
          </cell>
          <cell r="AA3339" t="str">
            <v>S.S VIÑA DEL MAR-QUILLOTA</v>
          </cell>
        </row>
        <row r="3340">
          <cell r="Z3340" t="str">
            <v>MOBILIARIO CLINICO</v>
          </cell>
          <cell r="AA3340" t="str">
            <v>S.S VIÑA DEL MAR-QUILLOTA</v>
          </cell>
        </row>
        <row r="3341">
          <cell r="Z3341" t="str">
            <v>MOBILIARIO CLINICO</v>
          </cell>
          <cell r="AA3341" t="str">
            <v>S.S VIÑA DEL MAR-QUILLOTA</v>
          </cell>
        </row>
        <row r="3342">
          <cell r="Z3342" t="str">
            <v>MOBILIARIO CLINICO</v>
          </cell>
          <cell r="AA3342" t="str">
            <v>S.S VIÑA DEL MAR-QUILLOTA</v>
          </cell>
        </row>
        <row r="3343">
          <cell r="Z3343" t="str">
            <v>MOBILIARIO CLINICO</v>
          </cell>
          <cell r="AA3343" t="str">
            <v>S.S VIÑA DEL MAR-QUILLOTA</v>
          </cell>
        </row>
        <row r="3344">
          <cell r="Z3344" t="str">
            <v>MOBILIARIO CLINICO</v>
          </cell>
          <cell r="AA3344" t="str">
            <v>S.S VIÑA DEL MAR-QUILLOTA</v>
          </cell>
        </row>
        <row r="3345">
          <cell r="Z3345" t="str">
            <v>MOBILIARIO CLINICO</v>
          </cell>
          <cell r="AA3345" t="str">
            <v>S.S VIÑA DEL MAR-QUILLOTA</v>
          </cell>
        </row>
        <row r="3346">
          <cell r="Z3346" t="str">
            <v>MOBILIARIO CLINICO</v>
          </cell>
          <cell r="AA3346" t="str">
            <v>S.S VIÑA DEL MAR-QUILLOTA</v>
          </cell>
        </row>
        <row r="3347">
          <cell r="Z3347" t="str">
            <v>MOBILIARIO CLINICO</v>
          </cell>
          <cell r="AA3347" t="str">
            <v>S.S VIÑA DEL MAR-QUILLOTA</v>
          </cell>
        </row>
        <row r="3348">
          <cell r="Z3348" t="str">
            <v>MOBILIARIO CLINICO</v>
          </cell>
          <cell r="AA3348" t="str">
            <v>S.S VIÑA DEL MAR-QUILLOTA</v>
          </cell>
        </row>
        <row r="3349">
          <cell r="Z3349" t="str">
            <v>MOBILIARIO CLINICO</v>
          </cell>
          <cell r="AA3349" t="str">
            <v>S.S VIÑA DEL MAR-QUILLOTA</v>
          </cell>
        </row>
        <row r="3350">
          <cell r="Z3350" t="str">
            <v>MOBILIARIO CLINICO</v>
          </cell>
          <cell r="AA3350" t="str">
            <v>S.S VIÑA DEL MAR-QUILLOTA</v>
          </cell>
        </row>
        <row r="3351">
          <cell r="Z3351" t="str">
            <v>MOBILIARIO CLINICO</v>
          </cell>
          <cell r="AA3351" t="str">
            <v>S.S VIÑA DEL MAR-QUILLOTA</v>
          </cell>
        </row>
        <row r="3352">
          <cell r="Z3352" t="str">
            <v>MOBILIARIO CLINICO</v>
          </cell>
          <cell r="AA3352" t="str">
            <v>S.S VIÑA DEL MAR-QUILLOTA</v>
          </cell>
        </row>
        <row r="3353">
          <cell r="Z3353" t="str">
            <v>MOBILIARIO CLINICO</v>
          </cell>
          <cell r="AA3353" t="str">
            <v>S.S VIÑA DEL MAR-QUILLOTA</v>
          </cell>
        </row>
        <row r="3354">
          <cell r="Z3354" t="str">
            <v>MOBILIARIO CLINICO</v>
          </cell>
          <cell r="AA3354" t="str">
            <v>S.S VIÑA DEL MAR-QUILLOTA</v>
          </cell>
        </row>
        <row r="3355">
          <cell r="Z3355" t="str">
            <v>MOBILIARIO CLINICO</v>
          </cell>
          <cell r="AA3355" t="str">
            <v>S.S VIÑA DEL MAR-QUILLOTA</v>
          </cell>
        </row>
        <row r="3356">
          <cell r="Z3356" t="str">
            <v>MOBILIARIO CLINICO</v>
          </cell>
          <cell r="AA3356" t="str">
            <v>S.S VIÑA DEL MAR-QUILLOTA</v>
          </cell>
        </row>
        <row r="3357">
          <cell r="Z3357" t="str">
            <v>MOBILIARIO CLINICO</v>
          </cell>
          <cell r="AA3357" t="str">
            <v>S.S VIÑA DEL MAR-QUILLOTA</v>
          </cell>
        </row>
        <row r="3358">
          <cell r="Z3358" t="str">
            <v>MOBILIARIO CLINICO</v>
          </cell>
          <cell r="AA3358" t="str">
            <v>S.S VIÑA DEL MAR-QUILLOTA</v>
          </cell>
        </row>
        <row r="3359">
          <cell r="Z3359" t="str">
            <v>MOBILIARIO CLINICO</v>
          </cell>
          <cell r="AA3359" t="str">
            <v>S.S VIÑA DEL MAR-QUILLOTA</v>
          </cell>
        </row>
        <row r="3360">
          <cell r="Z3360" t="str">
            <v>MOBILIARIO CLINICO</v>
          </cell>
          <cell r="AA3360" t="str">
            <v>S.S VIÑA DEL MAR-QUILLOTA</v>
          </cell>
        </row>
        <row r="3361">
          <cell r="Z3361" t="str">
            <v>MOBILIARIO CLINICO</v>
          </cell>
          <cell r="AA3361" t="str">
            <v>S.S VIÑA DEL MAR-QUILLOTA</v>
          </cell>
        </row>
        <row r="3362">
          <cell r="Z3362" t="str">
            <v>MOBILIARIO CLINICO</v>
          </cell>
          <cell r="AA3362" t="str">
            <v>S.S VIÑA DEL MAR-QUILLOTA</v>
          </cell>
        </row>
        <row r="3363">
          <cell r="Z3363" t="str">
            <v>MOBILIARIO CLINICO</v>
          </cell>
          <cell r="AA3363" t="str">
            <v>S.S VIÑA DEL MAR-QUILLOTA</v>
          </cell>
        </row>
        <row r="3364">
          <cell r="Z3364" t="str">
            <v>MOBILIARIO CLINICO</v>
          </cell>
          <cell r="AA3364" t="str">
            <v>S.S VIÑA DEL MAR-QUILLOTA</v>
          </cell>
        </row>
        <row r="3365">
          <cell r="Z3365" t="str">
            <v>MOBILIARIO CLINICO</v>
          </cell>
          <cell r="AA3365" t="str">
            <v>S.S VIÑA DEL MAR-QUILLOTA</v>
          </cell>
        </row>
        <row r="3366">
          <cell r="Z3366" t="str">
            <v>MOBILIARIO CLINICO</v>
          </cell>
          <cell r="AA3366" t="str">
            <v>S.S VIÑA DEL MAR-QUILLOTA</v>
          </cell>
        </row>
        <row r="3367">
          <cell r="Z3367" t="str">
            <v>MOBILIARIO CLINICO</v>
          </cell>
          <cell r="AA3367" t="str">
            <v>S.S VIÑA DEL MAR-QUILLOTA</v>
          </cell>
        </row>
        <row r="3368">
          <cell r="Z3368" t="str">
            <v>MOBILIARIO CLINICO</v>
          </cell>
          <cell r="AA3368" t="str">
            <v>S.S VIÑA DEL MAR-QUILLOTA</v>
          </cell>
        </row>
        <row r="3369">
          <cell r="Z3369" t="str">
            <v>MOBILIARIO CLINICO</v>
          </cell>
          <cell r="AA3369" t="str">
            <v>S.S VIÑA DEL MAR-QUILLOTA</v>
          </cell>
        </row>
        <row r="3370">
          <cell r="Z3370" t="str">
            <v>MOBILIARIO CLINICO</v>
          </cell>
          <cell r="AA3370" t="str">
            <v>S.S VIÑA DEL MAR-QUILLOTA</v>
          </cell>
        </row>
        <row r="3371">
          <cell r="Z3371" t="str">
            <v>MOBILIARIO CLINICO</v>
          </cell>
          <cell r="AA3371" t="str">
            <v>S.S VIÑA DEL MAR-QUILLOTA</v>
          </cell>
        </row>
        <row r="3372">
          <cell r="Z3372" t="str">
            <v>MOBILIARIO CLINICO</v>
          </cell>
          <cell r="AA3372" t="str">
            <v>S.S VIÑA DEL MAR-QUILLOTA</v>
          </cell>
        </row>
        <row r="3373">
          <cell r="Z3373" t="str">
            <v>MOBILIARIO CLINICO</v>
          </cell>
          <cell r="AA3373" t="str">
            <v>S.S VIÑA DEL MAR-QUILLOTA</v>
          </cell>
        </row>
        <row r="3374">
          <cell r="Z3374" t="str">
            <v>MOBILIARIO CLINICO</v>
          </cell>
          <cell r="AA3374" t="str">
            <v>S.S VIÑA DEL MAR-QUILLOTA</v>
          </cell>
        </row>
        <row r="3375">
          <cell r="Z3375" t="str">
            <v>MOBILIARIO CLINICO</v>
          </cell>
          <cell r="AA3375" t="str">
            <v>S.S VIÑA DEL MAR-QUILLOTA</v>
          </cell>
        </row>
        <row r="3376">
          <cell r="Z3376" t="str">
            <v>MOBILIARIO CLINICO</v>
          </cell>
          <cell r="AA3376" t="str">
            <v>S.S VIÑA DEL MAR-QUILLOTA</v>
          </cell>
        </row>
        <row r="3377">
          <cell r="Z3377" t="str">
            <v>MOBILIARIO CLINICO</v>
          </cell>
          <cell r="AA3377" t="str">
            <v>S.S VIÑA DEL MAR-QUILLOTA</v>
          </cell>
        </row>
        <row r="3378">
          <cell r="Z3378" t="str">
            <v>MOBILIARIO CLINICO</v>
          </cell>
          <cell r="AA3378" t="str">
            <v>S.S VIÑA DEL MAR-QUILLOTA</v>
          </cell>
        </row>
        <row r="3379">
          <cell r="Z3379" t="str">
            <v>MOBILIARIO CLINICO</v>
          </cell>
          <cell r="AA3379" t="str">
            <v>S.S VIÑA DEL MAR-QUILLOTA</v>
          </cell>
        </row>
        <row r="3380">
          <cell r="Z3380" t="str">
            <v>MOBILIARIO CLINICO</v>
          </cell>
          <cell r="AA3380" t="str">
            <v>S.S VIÑA DEL MAR-QUILLOTA</v>
          </cell>
        </row>
        <row r="3381">
          <cell r="Z3381" t="str">
            <v>MOBILIARIO CLINICO</v>
          </cell>
          <cell r="AA3381" t="str">
            <v>S.S VIÑA DEL MAR-QUILLOTA</v>
          </cell>
        </row>
        <row r="3382">
          <cell r="Z3382" t="str">
            <v>MOBILIARIO CLINICO</v>
          </cell>
          <cell r="AA3382" t="str">
            <v>S.S VIÑA DEL MAR-QUILLOTA</v>
          </cell>
        </row>
        <row r="3383">
          <cell r="Z3383" t="str">
            <v>MOBILIARIO CLINICO</v>
          </cell>
          <cell r="AA3383" t="str">
            <v>S.S VIÑA DEL MAR-QUILLOTA</v>
          </cell>
        </row>
        <row r="3384">
          <cell r="Z3384" t="str">
            <v>MOBILIARIO CLINICO</v>
          </cell>
          <cell r="AA3384" t="str">
            <v>S.S VIÑA DEL MAR-QUILLOTA</v>
          </cell>
        </row>
        <row r="3385">
          <cell r="Z3385" t="str">
            <v>MOBILIARIO CLINICO</v>
          </cell>
          <cell r="AA3385" t="str">
            <v>S.S VIÑA DEL MAR-QUILLOTA</v>
          </cell>
        </row>
        <row r="3386">
          <cell r="Z3386" t="str">
            <v>MOBILIARIO CLINICO</v>
          </cell>
          <cell r="AA3386" t="str">
            <v>S.S VIÑA DEL MAR-QUILLOTA</v>
          </cell>
        </row>
        <row r="3387">
          <cell r="Z3387" t="str">
            <v>MOBILIARIO CLINICO</v>
          </cell>
          <cell r="AA3387" t="str">
            <v>S.S VIÑA DEL MAR-QUILLOTA</v>
          </cell>
        </row>
        <row r="3388">
          <cell r="Z3388" t="str">
            <v>MOBILIARIO CLINICO</v>
          </cell>
          <cell r="AA3388" t="str">
            <v>S.S VIÑA DEL MAR-QUILLOTA</v>
          </cell>
        </row>
        <row r="3389">
          <cell r="Z3389" t="str">
            <v>MOBILIARIO CLINICO</v>
          </cell>
          <cell r="AA3389" t="str">
            <v>S.S VIÑA DEL MAR-QUILLOTA</v>
          </cell>
        </row>
        <row r="3390">
          <cell r="Z3390" t="str">
            <v>MOBILIARIO CLINICO</v>
          </cell>
          <cell r="AA3390" t="str">
            <v>S.S VIÑA DEL MAR-QUILLOTA</v>
          </cell>
        </row>
        <row r="3391">
          <cell r="Z3391" t="str">
            <v>MOBILIARIO CLINICO</v>
          </cell>
          <cell r="AA3391" t="str">
            <v>S.S VIÑA DEL MAR-QUILLOTA</v>
          </cell>
        </row>
        <row r="3392">
          <cell r="Z3392" t="str">
            <v>MOBILIARIO CLINICO</v>
          </cell>
          <cell r="AA3392" t="str">
            <v>S.S VIÑA DEL MAR-QUILLOTA</v>
          </cell>
        </row>
        <row r="3393">
          <cell r="Z3393" t="str">
            <v>MOBILIARIO CLINICO</v>
          </cell>
          <cell r="AA3393" t="str">
            <v>S.S VIÑA DEL MAR-QUILLOTA</v>
          </cell>
        </row>
        <row r="3394">
          <cell r="Z3394" t="str">
            <v>MOBILIARIO CLINICO</v>
          </cell>
          <cell r="AA3394" t="str">
            <v>S.S VIÑA DEL MAR-QUILLOTA</v>
          </cell>
        </row>
        <row r="3395">
          <cell r="Z3395" t="str">
            <v>MOBILIARIO CLINICO</v>
          </cell>
          <cell r="AA3395" t="str">
            <v>S.S VIÑA DEL MAR-QUILLOTA</v>
          </cell>
        </row>
        <row r="3396">
          <cell r="Z3396" t="str">
            <v>MOBILIARIO CLINICO</v>
          </cell>
          <cell r="AA3396" t="str">
            <v>S.S VIÑA DEL MAR-QUILLOTA</v>
          </cell>
        </row>
        <row r="3397">
          <cell r="Z3397" t="str">
            <v>MOBILIARIO CLINICO</v>
          </cell>
          <cell r="AA3397" t="str">
            <v>S.S VIÑA DEL MAR-QUILLOTA</v>
          </cell>
        </row>
        <row r="3398">
          <cell r="Z3398" t="str">
            <v>MOBILIARIO CLINICO</v>
          </cell>
          <cell r="AA3398" t="str">
            <v>S.S VIÑA DEL MAR-QUILLOTA</v>
          </cell>
        </row>
        <row r="3399">
          <cell r="Z3399" t="str">
            <v>MOBILIARIO CLINICO</v>
          </cell>
          <cell r="AA3399" t="str">
            <v>S.S VIÑA DEL MAR-QUILLOTA</v>
          </cell>
        </row>
        <row r="3400">
          <cell r="Z3400" t="str">
            <v>MOBILIARIO CLINICO</v>
          </cell>
          <cell r="AA3400" t="str">
            <v>S.S VIÑA DEL MAR-QUILLOTA</v>
          </cell>
        </row>
        <row r="3401">
          <cell r="Z3401" t="str">
            <v>MOBILIARIO CLINICO</v>
          </cell>
          <cell r="AA3401" t="str">
            <v>S.S VIÑA DEL MAR-QUILLOTA</v>
          </cell>
        </row>
        <row r="3402">
          <cell r="Z3402" t="str">
            <v>MOBILIARIO CLINICO</v>
          </cell>
          <cell r="AA3402" t="str">
            <v>S.S VIÑA DEL MAR-QUILLOTA</v>
          </cell>
        </row>
        <row r="3403">
          <cell r="Z3403" t="str">
            <v>MOBILIARIO CLINICO</v>
          </cell>
          <cell r="AA3403" t="str">
            <v>S.S VIÑA DEL MAR-QUILLOTA</v>
          </cell>
        </row>
        <row r="3404">
          <cell r="Z3404" t="str">
            <v>MOBILIARIO CLINICO</v>
          </cell>
          <cell r="AA3404" t="str">
            <v>S.S VIÑA DEL MAR-QUILLOTA</v>
          </cell>
        </row>
        <row r="3405">
          <cell r="Z3405" t="str">
            <v>MOBILIARIO CLINICO</v>
          </cell>
          <cell r="AA3405" t="str">
            <v>S.S VIÑA DEL MAR-QUILLOTA</v>
          </cell>
        </row>
        <row r="3406">
          <cell r="Z3406" t="str">
            <v>MOBILIARIO CLINICO</v>
          </cell>
          <cell r="AA3406" t="str">
            <v>S.S VIÑA DEL MAR-QUILLOTA</v>
          </cell>
        </row>
        <row r="3407">
          <cell r="Z3407" t="str">
            <v>MOBILIARIO CLINICO</v>
          </cell>
          <cell r="AA3407" t="str">
            <v>S.S VIÑA DEL MAR-QUILLOTA</v>
          </cell>
        </row>
        <row r="3408">
          <cell r="Z3408" t="str">
            <v>MOBILIARIO CLINICO</v>
          </cell>
          <cell r="AA3408" t="str">
            <v>S.S VIÑA DEL MAR-QUILLOTA</v>
          </cell>
        </row>
        <row r="3409">
          <cell r="Z3409" t="str">
            <v>MOBILIARIO CLINICO</v>
          </cell>
          <cell r="AA3409" t="str">
            <v>S.S VIÑA DEL MAR-QUILLOTA</v>
          </cell>
        </row>
        <row r="3410">
          <cell r="Z3410" t="str">
            <v>MOBILIARIO CLINICO</v>
          </cell>
          <cell r="AA3410" t="str">
            <v>S.S VIÑA DEL MAR-QUILLOTA</v>
          </cell>
        </row>
        <row r="3411">
          <cell r="Z3411" t="str">
            <v>MOBILIARIO CLINICO</v>
          </cell>
          <cell r="AA3411" t="str">
            <v>S.S VIÑA DEL MAR-QUILLOTA</v>
          </cell>
        </row>
        <row r="3412">
          <cell r="Z3412" t="str">
            <v>MOBILIARIO CLINICO</v>
          </cell>
          <cell r="AA3412" t="str">
            <v>S.S VIÑA DEL MAR-QUILLOTA</v>
          </cell>
        </row>
        <row r="3413">
          <cell r="Z3413" t="str">
            <v>MOBILIARIO CLINICO</v>
          </cell>
          <cell r="AA3413" t="str">
            <v>S.S VIÑA DEL MAR-QUILLOTA</v>
          </cell>
        </row>
        <row r="3414">
          <cell r="Z3414" t="str">
            <v>MOBILIARIO CLINICO</v>
          </cell>
          <cell r="AA3414" t="str">
            <v>S.S VIÑA DEL MAR-QUILLOTA</v>
          </cell>
        </row>
        <row r="3415">
          <cell r="Z3415" t="str">
            <v>MOBILIARIO CLINICO</v>
          </cell>
          <cell r="AA3415" t="str">
            <v>S.S VIÑA DEL MAR-QUILLOTA</v>
          </cell>
        </row>
        <row r="3416">
          <cell r="Z3416" t="str">
            <v>MOBILIARIO CLINICO</v>
          </cell>
          <cell r="AA3416" t="str">
            <v>S.S VIÑA DEL MAR-QUILLOTA</v>
          </cell>
        </row>
        <row r="3417">
          <cell r="Z3417" t="str">
            <v>MOBILIARIO CLINICO</v>
          </cell>
          <cell r="AA3417" t="str">
            <v>S.S VIÑA DEL MAR-QUILLOTA</v>
          </cell>
        </row>
        <row r="3418">
          <cell r="Z3418" t="str">
            <v>MOBILIARIO CLINICO</v>
          </cell>
          <cell r="AA3418" t="str">
            <v>S.S VIÑA DEL MAR-QUILLOTA</v>
          </cell>
        </row>
        <row r="3419">
          <cell r="Z3419" t="str">
            <v>MOBILIARIO CLINICO</v>
          </cell>
          <cell r="AA3419" t="str">
            <v>S.S VIÑA DEL MAR-QUILLOTA</v>
          </cell>
        </row>
        <row r="3420">
          <cell r="Z3420" t="str">
            <v>MOBILIARIO CLINICO</v>
          </cell>
          <cell r="AA3420" t="str">
            <v>S.S VIÑA DEL MAR-QUILLOTA</v>
          </cell>
        </row>
        <row r="3421">
          <cell r="Z3421" t="str">
            <v>MOBILIARIO CLINICO</v>
          </cell>
          <cell r="AA3421" t="str">
            <v>S.S VIÑA DEL MAR-QUILLOTA</v>
          </cell>
        </row>
        <row r="3422">
          <cell r="Z3422" t="str">
            <v>MOBILIARIO CLINICO</v>
          </cell>
          <cell r="AA3422" t="str">
            <v>S.S VIÑA DEL MAR-QUILLOTA</v>
          </cell>
        </row>
        <row r="3423">
          <cell r="Z3423" t="str">
            <v>MOBILIARIO CLINICO</v>
          </cell>
          <cell r="AA3423" t="str">
            <v>S.S VIÑA DEL MAR-QUILLOTA</v>
          </cell>
        </row>
        <row r="3424">
          <cell r="Z3424" t="str">
            <v>MOBILIARIO CLINICO</v>
          </cell>
          <cell r="AA3424" t="str">
            <v>S.S VIÑA DEL MAR-QUILLOTA</v>
          </cell>
        </row>
        <row r="3425">
          <cell r="Z3425" t="str">
            <v>MOBILIARIO CLINICO</v>
          </cell>
          <cell r="AA3425" t="str">
            <v>S.S VIÑA DEL MAR-QUILLOTA</v>
          </cell>
        </row>
        <row r="3426">
          <cell r="Z3426" t="str">
            <v>MOBILIARIO CLINICO</v>
          </cell>
          <cell r="AA3426" t="str">
            <v>S.S VIÑA DEL MAR-QUILLOTA</v>
          </cell>
        </row>
        <row r="3427">
          <cell r="Z3427" t="str">
            <v>MOBILIARIO CLINICO</v>
          </cell>
          <cell r="AA3427" t="str">
            <v>S.S VIÑA DEL MAR-QUILLOTA</v>
          </cell>
        </row>
        <row r="3428">
          <cell r="Z3428" t="str">
            <v>MOBILIARIO CLINICO</v>
          </cell>
          <cell r="AA3428" t="str">
            <v>S.S VIÑA DEL MAR-QUILLOTA</v>
          </cell>
        </row>
        <row r="3429">
          <cell r="Z3429" t="str">
            <v>MOBILIARIO CLINICO</v>
          </cell>
          <cell r="AA3429" t="str">
            <v>S.S VIÑA DEL MAR-QUILLOTA</v>
          </cell>
        </row>
        <row r="3430">
          <cell r="Z3430" t="str">
            <v>MOBILIARIO CLINICO</v>
          </cell>
          <cell r="AA3430" t="str">
            <v>S.S VIÑA DEL MAR-QUILLOTA</v>
          </cell>
        </row>
        <row r="3431">
          <cell r="Z3431" t="str">
            <v>MOBILIARIO CLINICO</v>
          </cell>
          <cell r="AA3431" t="str">
            <v>S.S VIÑA DEL MAR-QUILLOTA</v>
          </cell>
        </row>
        <row r="3432">
          <cell r="Z3432" t="str">
            <v>MOBILIARIO CLINICO</v>
          </cell>
          <cell r="AA3432" t="str">
            <v>S.S VIÑA DEL MAR-QUILLOTA</v>
          </cell>
        </row>
        <row r="3433">
          <cell r="Z3433" t="str">
            <v>MOBILIARIO CLINICO</v>
          </cell>
          <cell r="AA3433" t="str">
            <v>S.S VIÑA DEL MAR-QUILLOTA</v>
          </cell>
        </row>
        <row r="3434">
          <cell r="Z3434" t="str">
            <v>MOBILIARIO CLINICO</v>
          </cell>
          <cell r="AA3434" t="str">
            <v>S.S VIÑA DEL MAR-QUILLOTA</v>
          </cell>
        </row>
        <row r="3435">
          <cell r="Z3435" t="str">
            <v>MOBILIARIO CLINICO</v>
          </cell>
          <cell r="AA3435" t="str">
            <v>S.S VIÑA DEL MAR-QUILLOTA</v>
          </cell>
        </row>
        <row r="3436">
          <cell r="Z3436" t="str">
            <v>MOBILIARIO CLINICO</v>
          </cell>
          <cell r="AA3436" t="str">
            <v>S.S VIÑA DEL MAR-QUILLOTA</v>
          </cell>
        </row>
        <row r="3437">
          <cell r="Z3437" t="str">
            <v>MOBILIARIO CLINICO</v>
          </cell>
          <cell r="AA3437" t="str">
            <v>S.S VIÑA DEL MAR-QUILLOTA</v>
          </cell>
        </row>
        <row r="3438">
          <cell r="Z3438" t="str">
            <v>MOBILIARIO CLINICO</v>
          </cell>
          <cell r="AA3438" t="str">
            <v>S.S VIÑA DEL MAR-QUILLOTA</v>
          </cell>
        </row>
        <row r="3439">
          <cell r="Z3439" t="str">
            <v>MOBILIARIO CLINICO</v>
          </cell>
          <cell r="AA3439" t="str">
            <v>S.S VIÑA DEL MAR-QUILLOTA</v>
          </cell>
        </row>
        <row r="3440">
          <cell r="Z3440" t="str">
            <v>MOBILIARIO CLINICO</v>
          </cell>
          <cell r="AA3440" t="str">
            <v>S.S VIÑA DEL MAR-QUILLOTA</v>
          </cell>
        </row>
        <row r="3441">
          <cell r="Z3441" t="str">
            <v>MOBILIARIO CLINICO</v>
          </cell>
          <cell r="AA3441" t="str">
            <v>S.S VIÑA DEL MAR-QUILLOTA</v>
          </cell>
        </row>
        <row r="3442">
          <cell r="Z3442" t="str">
            <v>MOBILIARIO CLINICO</v>
          </cell>
          <cell r="AA3442" t="str">
            <v>S.S VIÑA DEL MAR-QUILLOTA</v>
          </cell>
        </row>
        <row r="3443">
          <cell r="Z3443" t="str">
            <v>MOBILIARIO CLINICO</v>
          </cell>
          <cell r="AA3443" t="str">
            <v>S.S VIÑA DEL MAR-QUILLOTA</v>
          </cell>
        </row>
        <row r="3444">
          <cell r="Z3444" t="str">
            <v>MOBILIARIO CLINICO</v>
          </cell>
          <cell r="AA3444" t="str">
            <v>S.S VIÑA DEL MAR-QUILLOTA</v>
          </cell>
        </row>
        <row r="3445">
          <cell r="Z3445" t="str">
            <v>MOBILIARIO CLINICO</v>
          </cell>
          <cell r="AA3445" t="str">
            <v>S.S VIÑA DEL MAR-QUILLOTA</v>
          </cell>
        </row>
        <row r="3446">
          <cell r="Z3446" t="str">
            <v>MOBILIARIO CLINICO</v>
          </cell>
          <cell r="AA3446" t="str">
            <v>S.S VIÑA DEL MAR-QUILLOTA</v>
          </cell>
        </row>
        <row r="3447">
          <cell r="Z3447" t="str">
            <v>MOBILIARIO CLINICO</v>
          </cell>
          <cell r="AA3447" t="str">
            <v>S.S VIÑA DEL MAR-QUILLOTA</v>
          </cell>
        </row>
        <row r="3448">
          <cell r="Z3448" t="str">
            <v>MOBILIARIO CLINICO</v>
          </cell>
          <cell r="AA3448" t="str">
            <v>S.S VIÑA DEL MAR-QUILLOTA</v>
          </cell>
        </row>
        <row r="3449">
          <cell r="Z3449" t="str">
            <v>MOBILIARIO CLINICO</v>
          </cell>
          <cell r="AA3449" t="str">
            <v>S.S VIÑA DEL MAR-QUILLOTA</v>
          </cell>
        </row>
        <row r="3450">
          <cell r="Z3450" t="str">
            <v>MOBILIARIO CLINICO</v>
          </cell>
          <cell r="AA3450" t="str">
            <v>S.S VIÑA DEL MAR-QUILLOTA</v>
          </cell>
        </row>
        <row r="3451">
          <cell r="Z3451" t="str">
            <v>MOBILIARIO CLINICO</v>
          </cell>
          <cell r="AA3451" t="str">
            <v>S.S VIÑA DEL MAR-QUILLOTA</v>
          </cell>
        </row>
        <row r="3452">
          <cell r="Z3452" t="str">
            <v>MOBILIARIO CLINICO</v>
          </cell>
          <cell r="AA3452" t="str">
            <v>S.S VIÑA DEL MAR-QUILLOTA</v>
          </cell>
        </row>
        <row r="3453">
          <cell r="Z3453" t="str">
            <v>MOBILIARIO CLINICO</v>
          </cell>
          <cell r="AA3453" t="str">
            <v>S.S VIÑA DEL MAR-QUILLOTA</v>
          </cell>
        </row>
        <row r="3454">
          <cell r="Z3454" t="str">
            <v>MOBILIARIO CLINICO</v>
          </cell>
          <cell r="AA3454" t="str">
            <v>S.S VIÑA DEL MAR-QUILLOTA</v>
          </cell>
        </row>
        <row r="3455">
          <cell r="Z3455" t="str">
            <v>MOBILIARIO CLINICO</v>
          </cell>
          <cell r="AA3455" t="str">
            <v>S.S VIÑA DEL MAR-QUILLOTA</v>
          </cell>
        </row>
        <row r="3456">
          <cell r="Z3456" t="str">
            <v>MOBILIARIO CLINICO</v>
          </cell>
          <cell r="AA3456" t="str">
            <v>S.S VIÑA DEL MAR-QUILLOTA</v>
          </cell>
        </row>
        <row r="3457">
          <cell r="Z3457" t="str">
            <v>MOBILIARIO CLINICO</v>
          </cell>
          <cell r="AA3457" t="str">
            <v>S.S VIÑA DEL MAR-QUILLOTA</v>
          </cell>
        </row>
        <row r="3458">
          <cell r="Z3458" t="str">
            <v>MOBILIARIO CLINICO</v>
          </cell>
          <cell r="AA3458" t="str">
            <v>S.S VIÑA DEL MAR-QUILLOTA</v>
          </cell>
        </row>
        <row r="3459">
          <cell r="Z3459" t="str">
            <v>MOBILIARIO CLINICO</v>
          </cell>
          <cell r="AA3459" t="str">
            <v>S.S VIÑA DEL MAR-QUILLOTA</v>
          </cell>
        </row>
        <row r="3460">
          <cell r="Z3460" t="str">
            <v>MOBILIARIO CLINICO</v>
          </cell>
          <cell r="AA3460" t="str">
            <v>S.S VIÑA DEL MAR-QUILLOTA</v>
          </cell>
        </row>
        <row r="3461">
          <cell r="Z3461" t="str">
            <v>MOBILIARIO CLINICO</v>
          </cell>
          <cell r="AA3461" t="str">
            <v>S.S VIÑA DEL MAR-QUILLOTA</v>
          </cell>
        </row>
        <row r="3462">
          <cell r="Z3462" t="str">
            <v>MOBILIARIO CLINICO</v>
          </cell>
          <cell r="AA3462" t="str">
            <v>S.S VIÑA DEL MAR-QUILLOTA</v>
          </cell>
        </row>
        <row r="3463">
          <cell r="Z3463" t="str">
            <v>MOBILIARIO CLINICO</v>
          </cell>
          <cell r="AA3463" t="str">
            <v>S.S VIÑA DEL MAR-QUILLOTA</v>
          </cell>
        </row>
        <row r="3464">
          <cell r="Z3464" t="str">
            <v>MOBILIARIO CLINICO</v>
          </cell>
          <cell r="AA3464" t="str">
            <v>S.S VIÑA DEL MAR-QUILLOTA</v>
          </cell>
        </row>
        <row r="3465">
          <cell r="Z3465" t="str">
            <v>MOBILIARIO CLINICO</v>
          </cell>
          <cell r="AA3465" t="str">
            <v>S.S VIÑA DEL MAR-QUILLOTA</v>
          </cell>
        </row>
        <row r="3466">
          <cell r="Z3466" t="str">
            <v>MOBILIARIO CLINICO</v>
          </cell>
          <cell r="AA3466" t="str">
            <v>S.S VIÑA DEL MAR-QUILLOTA</v>
          </cell>
        </row>
        <row r="3467">
          <cell r="Z3467" t="str">
            <v>MOBILIARIO CLINICO</v>
          </cell>
          <cell r="AA3467" t="str">
            <v>S.S VIÑA DEL MAR-QUILLOTA</v>
          </cell>
        </row>
        <row r="3468">
          <cell r="Z3468" t="str">
            <v>MOBILIARIO CLINICO</v>
          </cell>
          <cell r="AA3468" t="str">
            <v>S.S VIÑA DEL MAR-QUILLOTA</v>
          </cell>
        </row>
        <row r="3469">
          <cell r="Z3469" t="str">
            <v>MOBILIARIO CLINICO</v>
          </cell>
          <cell r="AA3469" t="str">
            <v>S.S VIÑA DEL MAR-QUILLOTA</v>
          </cell>
        </row>
        <row r="3470">
          <cell r="Z3470" t="str">
            <v>MOBILIARIO CLINICO</v>
          </cell>
          <cell r="AA3470" t="str">
            <v>S.S VIÑA DEL MAR-QUILLOTA</v>
          </cell>
        </row>
        <row r="3471">
          <cell r="Z3471" t="str">
            <v>MOBILIARIO CLINICO</v>
          </cell>
          <cell r="AA3471" t="str">
            <v>S.S VIÑA DEL MAR-QUILLOTA</v>
          </cell>
        </row>
        <row r="3472">
          <cell r="Z3472" t="str">
            <v>MOBILIARIO CLINICO</v>
          </cell>
          <cell r="AA3472" t="str">
            <v>S.S VIÑA DEL MAR-QUILLOTA</v>
          </cell>
        </row>
        <row r="3473">
          <cell r="Z3473" t="str">
            <v>MOBILIARIO CLINICO</v>
          </cell>
          <cell r="AA3473" t="str">
            <v>S.S VIÑA DEL MAR-QUILLOTA</v>
          </cell>
        </row>
        <row r="3474">
          <cell r="Z3474" t="str">
            <v>MOBILIARIO CLINICO</v>
          </cell>
          <cell r="AA3474" t="str">
            <v>S.S VIÑA DEL MAR-QUILLOTA</v>
          </cell>
        </row>
        <row r="3475">
          <cell r="Z3475" t="str">
            <v>MOBILIARIO CLINICO</v>
          </cell>
          <cell r="AA3475" t="str">
            <v>S.S VIÑA DEL MAR-QUILLOTA</v>
          </cell>
        </row>
        <row r="3476">
          <cell r="Z3476" t="str">
            <v>MOBILIARIO CLINICO</v>
          </cell>
          <cell r="AA3476" t="str">
            <v>S.S VIÑA DEL MAR-QUILLOTA</v>
          </cell>
        </row>
        <row r="3477">
          <cell r="Z3477" t="str">
            <v>MOBILIARIO CLINICO</v>
          </cell>
          <cell r="AA3477" t="str">
            <v>S.S VIÑA DEL MAR-QUILLOTA</v>
          </cell>
        </row>
        <row r="3478">
          <cell r="Z3478" t="str">
            <v>MOBILIARIO CLINICO</v>
          </cell>
          <cell r="AA3478" t="str">
            <v>S.S VIÑA DEL MAR-QUILLOTA</v>
          </cell>
        </row>
        <row r="3479">
          <cell r="Z3479" t="str">
            <v>MOBILIARIO CLINICO</v>
          </cell>
          <cell r="AA3479" t="str">
            <v>S.S VIÑA DEL MAR-QUILLOTA</v>
          </cell>
        </row>
        <row r="3480">
          <cell r="Z3480" t="str">
            <v>MOBILIARIO CLINICO</v>
          </cell>
          <cell r="AA3480" t="str">
            <v>S.S VIÑA DEL MAR-QUILLOTA</v>
          </cell>
        </row>
        <row r="3481">
          <cell r="Z3481" t="str">
            <v>MOBILIARIO CLINICO</v>
          </cell>
          <cell r="AA3481" t="str">
            <v>S.S VIÑA DEL MAR-QUILLOTA</v>
          </cell>
        </row>
        <row r="3482">
          <cell r="Z3482" t="str">
            <v>MOBILIARIO CLINICO</v>
          </cell>
          <cell r="AA3482" t="str">
            <v>S.S VIÑA DEL MAR-QUILLOTA</v>
          </cell>
        </row>
        <row r="3483">
          <cell r="Z3483" t="str">
            <v>MOBILIARIO CLINICO</v>
          </cell>
          <cell r="AA3483" t="str">
            <v>S.S VIÑA DEL MAR-QUILLOTA</v>
          </cell>
        </row>
        <row r="3484">
          <cell r="Z3484" t="str">
            <v>MOBILIARIO CLINICO</v>
          </cell>
          <cell r="AA3484" t="str">
            <v>S.S VIÑA DEL MAR-QUILLOTA</v>
          </cell>
        </row>
        <row r="3485">
          <cell r="Z3485" t="str">
            <v>MOBILIARIO CLINICO</v>
          </cell>
          <cell r="AA3485" t="str">
            <v>S.S VIÑA DEL MAR-QUILLOTA</v>
          </cell>
        </row>
        <row r="3486">
          <cell r="Z3486" t="str">
            <v>MOBILIARIO CLINICO</v>
          </cell>
          <cell r="AA3486" t="str">
            <v>S.S VIÑA DEL MAR-QUILLOTA</v>
          </cell>
        </row>
        <row r="3487">
          <cell r="Z3487" t="str">
            <v>MOBILIARIO CLINICO</v>
          </cell>
          <cell r="AA3487" t="str">
            <v>S.S VIÑA DEL MAR-QUILLOTA</v>
          </cell>
        </row>
        <row r="3488">
          <cell r="Z3488" t="str">
            <v>MOBILIARIO CLINICO</v>
          </cell>
          <cell r="AA3488" t="str">
            <v>S.S VIÑA DEL MAR-QUILLOTA</v>
          </cell>
        </row>
        <row r="3489">
          <cell r="Z3489" t="str">
            <v>MOBILIARIO CLINICO</v>
          </cell>
          <cell r="AA3489" t="str">
            <v>S.S VIÑA DEL MAR-QUILLOTA</v>
          </cell>
        </row>
        <row r="3490">
          <cell r="Z3490" t="str">
            <v>MOBILIARIO CLINICO</v>
          </cell>
          <cell r="AA3490" t="str">
            <v>SERVICIO DE SALUD DEL MAULE</v>
          </cell>
        </row>
        <row r="3491">
          <cell r="Z3491" t="str">
            <v>MOBILIARIO CLINICO</v>
          </cell>
          <cell r="AA3491" t="str">
            <v>SERVICIO DE SALUD DEL MAULE</v>
          </cell>
        </row>
        <row r="3492">
          <cell r="Z3492" t="str">
            <v>MOBILIARIO CLINICO</v>
          </cell>
          <cell r="AA3492" t="str">
            <v>SERVICIO DE SALUD DEL MAULE</v>
          </cell>
        </row>
        <row r="3493">
          <cell r="Z3493" t="str">
            <v>MOBILIARIO CLINICO</v>
          </cell>
          <cell r="AA3493" t="str">
            <v>SERVICIO DE SALUD DEL MAULE</v>
          </cell>
        </row>
        <row r="3494">
          <cell r="Z3494" t="str">
            <v>MOBILIARIO CLINICO</v>
          </cell>
          <cell r="AA3494" t="str">
            <v>SERVICIO DE SALUD DEL MAULE</v>
          </cell>
        </row>
        <row r="3495">
          <cell r="Z3495" t="str">
            <v>MOBILIARIO CLINICO</v>
          </cell>
          <cell r="AA3495" t="str">
            <v>SERVICIO DE SALUD DEL MAULE</v>
          </cell>
        </row>
        <row r="3496">
          <cell r="Z3496" t="str">
            <v>MOBILIARIO CLINICO</v>
          </cell>
          <cell r="AA3496" t="str">
            <v>SERVICIO DE SALUD DEL MAULE</v>
          </cell>
        </row>
        <row r="3497">
          <cell r="Z3497" t="str">
            <v>MOBILIARIO CLINICO</v>
          </cell>
          <cell r="AA3497" t="str">
            <v>SERVICIO DE SALUD DEL MAULE</v>
          </cell>
        </row>
        <row r="3498">
          <cell r="Z3498" t="str">
            <v>MOBILIARIO CLINICO</v>
          </cell>
          <cell r="AA3498" t="str">
            <v>SERVICIO DE SALUD DEL MAULE</v>
          </cell>
        </row>
        <row r="3499">
          <cell r="Z3499" t="str">
            <v>MOBILIARIO CLINICO</v>
          </cell>
          <cell r="AA3499" t="str">
            <v>SERVICIO DE SALUD DEL MAULE</v>
          </cell>
        </row>
        <row r="3500">
          <cell r="Z3500" t="str">
            <v>MOBILIARIO CLINICO</v>
          </cell>
          <cell r="AA3500" t="str">
            <v>SERVICIO DE SALUD DEL MAULE</v>
          </cell>
        </row>
        <row r="3501">
          <cell r="Z3501" t="str">
            <v>MOBILIARIO CLINICO</v>
          </cell>
          <cell r="AA3501" t="str">
            <v>SERVICIO DE SALUD DEL MAULE</v>
          </cell>
        </row>
        <row r="3502">
          <cell r="Z3502" t="str">
            <v>MOBILIARIO CLINICO</v>
          </cell>
          <cell r="AA3502" t="str">
            <v>SERVICIO DE SALUD DEL MAULE</v>
          </cell>
        </row>
        <row r="3503">
          <cell r="Z3503" t="str">
            <v>MOBILIARIO CLINICO</v>
          </cell>
          <cell r="AA3503" t="str">
            <v>SERVICIO DE SALUD DEL MAULE</v>
          </cell>
        </row>
        <row r="3504">
          <cell r="Z3504" t="str">
            <v>MOBILIARIO CLINICO</v>
          </cell>
          <cell r="AA3504" t="str">
            <v>SERVICIO DE SALUD DEL MAULE</v>
          </cell>
        </row>
        <row r="3505">
          <cell r="Z3505" t="str">
            <v>MOBILIARIO CLINICO</v>
          </cell>
          <cell r="AA3505" t="str">
            <v>SERVICIO DE SALUD DEL MAULE</v>
          </cell>
        </row>
        <row r="3506">
          <cell r="Z3506" t="str">
            <v>MOBILIARIO CLINICO</v>
          </cell>
          <cell r="AA3506" t="str">
            <v>SERVICIO DE SALUD DEL MAULE</v>
          </cell>
        </row>
        <row r="3507">
          <cell r="Z3507" t="str">
            <v>MOBILIARIO CLINICO</v>
          </cell>
          <cell r="AA3507" t="str">
            <v>SERVICIO DE SALUD DEL MAULE</v>
          </cell>
        </row>
        <row r="3508">
          <cell r="Z3508" t="str">
            <v>MOBILIARIO CLINICO</v>
          </cell>
          <cell r="AA3508" t="str">
            <v>SERVICIO DE SALUD DEL MAULE</v>
          </cell>
        </row>
        <row r="3509">
          <cell r="Z3509" t="str">
            <v>MOBILIARIO CLINICO</v>
          </cell>
          <cell r="AA3509" t="str">
            <v>SERVICIO DE SALUD DEL MAULE</v>
          </cell>
        </row>
        <row r="3510">
          <cell r="Z3510" t="str">
            <v>MOBILIARIO CLINICO</v>
          </cell>
          <cell r="AA3510" t="str">
            <v>SERVICIO DE SALUD DEL MAULE</v>
          </cell>
        </row>
        <row r="3511">
          <cell r="Z3511" t="str">
            <v>MOBILIARIO CLINICO</v>
          </cell>
          <cell r="AA3511" t="str">
            <v>SERVICIO DE SALUD DEL MAULE</v>
          </cell>
        </row>
        <row r="3512">
          <cell r="Z3512" t="str">
            <v>MOBILIARIO CLINICO</v>
          </cell>
          <cell r="AA3512" t="str">
            <v>SERVICIO DE SALUD DEL MAULE</v>
          </cell>
        </row>
        <row r="3513">
          <cell r="Z3513" t="str">
            <v>MOBILIARIO CLINICO</v>
          </cell>
          <cell r="AA3513" t="str">
            <v>SERVICIO DE SALUD DEL MAULE</v>
          </cell>
        </row>
        <row r="3514">
          <cell r="Z3514" t="str">
            <v>MOBILIARIO CLINICO</v>
          </cell>
          <cell r="AA3514" t="str">
            <v>SERVICIO DE SALUD DEL MAULE</v>
          </cell>
        </row>
        <row r="3515">
          <cell r="Z3515" t="str">
            <v>MOBILIARIO CLINICO</v>
          </cell>
          <cell r="AA3515" t="str">
            <v>SERVICIO DE SALUD DEL MAULE</v>
          </cell>
        </row>
        <row r="3516">
          <cell r="Z3516" t="str">
            <v>MOBILIARIO CLINICO</v>
          </cell>
          <cell r="AA3516" t="str">
            <v>SERVICIO DE SALUD DEL MAULE</v>
          </cell>
        </row>
        <row r="3517">
          <cell r="Z3517" t="str">
            <v>MOBILIARIO CLINICO</v>
          </cell>
          <cell r="AA3517" t="str">
            <v>SERVICIO DE SALUD DEL MAULE</v>
          </cell>
        </row>
        <row r="3518">
          <cell r="Z3518" t="str">
            <v>MOBILIARIO CLINICO</v>
          </cell>
          <cell r="AA3518" t="str">
            <v>SERVICIO DE SALUD DEL MAULE</v>
          </cell>
        </row>
        <row r="3519">
          <cell r="Z3519" t="str">
            <v>MOBILIARIO CLINICO</v>
          </cell>
          <cell r="AA3519" t="str">
            <v>SERVICIO DE SALUD DEL MAULE</v>
          </cell>
        </row>
        <row r="3520">
          <cell r="Z3520" t="str">
            <v>MOBILIARIO CLINICO</v>
          </cell>
          <cell r="AA3520" t="str">
            <v>SERVICIO DE SALUD DEL MAULE</v>
          </cell>
        </row>
        <row r="3521">
          <cell r="Z3521" t="str">
            <v>MOBILIARIO CLINICO</v>
          </cell>
          <cell r="AA3521" t="str">
            <v>SERVICIO DE SALUD DEL MAULE</v>
          </cell>
        </row>
        <row r="3522">
          <cell r="Z3522" t="str">
            <v>MOBILIARIO CLINICO</v>
          </cell>
          <cell r="AA3522" t="str">
            <v>SERVICIO DE SALUD DEL MAULE</v>
          </cell>
        </row>
        <row r="3523">
          <cell r="Z3523" t="str">
            <v>MOBILIARIO CLINICO</v>
          </cell>
          <cell r="AA3523" t="str">
            <v>SERVICIO DE SALUD DEL MAULE</v>
          </cell>
        </row>
        <row r="3524">
          <cell r="Z3524" t="str">
            <v>MOBILIARIO CLINICO</v>
          </cell>
          <cell r="AA3524" t="str">
            <v>SERVICIO DE SALUD DEL MAULE</v>
          </cell>
        </row>
        <row r="3525">
          <cell r="Z3525" t="str">
            <v>MOBILIARIO CLINICO</v>
          </cell>
          <cell r="AA3525" t="str">
            <v>SERVICIO DE SALUD DEL MAULE</v>
          </cell>
        </row>
        <row r="3526">
          <cell r="Z3526" t="str">
            <v>MOBILIARIO CLINICO</v>
          </cell>
          <cell r="AA3526" t="str">
            <v>SERVICIO DE SALUD DEL MAULE</v>
          </cell>
        </row>
        <row r="3527">
          <cell r="Z3527" t="str">
            <v>MOBILIARIO CLINICO</v>
          </cell>
          <cell r="AA3527" t="str">
            <v>SERVICIO DE SALUD DEL MAULE</v>
          </cell>
        </row>
        <row r="3528">
          <cell r="Z3528" t="str">
            <v>MOBILIARIO CLINICO</v>
          </cell>
          <cell r="AA3528" t="str">
            <v>SERVICIO DE SALUD DEL MAULE</v>
          </cell>
        </row>
        <row r="3529">
          <cell r="Z3529" t="str">
            <v>MOBILIARIO CLINICO</v>
          </cell>
          <cell r="AA3529" t="str">
            <v>SERVICIO DE SALUD DEL MAULE</v>
          </cell>
        </row>
        <row r="3530">
          <cell r="Z3530" t="str">
            <v>MOBILIARIO CLINICO</v>
          </cell>
          <cell r="AA3530" t="str">
            <v>SERVICIO DE SALUD DEL MAULE</v>
          </cell>
        </row>
        <row r="3531">
          <cell r="Z3531" t="str">
            <v>MOBILIARIO CLINICO</v>
          </cell>
          <cell r="AA3531" t="str">
            <v>SERVICIO DE SALUD DEL MAULE</v>
          </cell>
        </row>
        <row r="3532">
          <cell r="Z3532" t="str">
            <v>MOBILIARIO CLINICO</v>
          </cell>
          <cell r="AA3532" t="str">
            <v>SERVICIO DE SALUD DEL MAULE</v>
          </cell>
        </row>
        <row r="3533">
          <cell r="Z3533" t="str">
            <v>MOBILIARIO CLINICO</v>
          </cell>
          <cell r="AA3533" t="str">
            <v>SERVICIO DE SALUD DEL MAULE</v>
          </cell>
        </row>
        <row r="3534">
          <cell r="Z3534" t="str">
            <v>MOBILIARIO CLINICO</v>
          </cell>
          <cell r="AA3534" t="str">
            <v>SERVICIO DE SALUD DEL MAULE</v>
          </cell>
        </row>
        <row r="3535">
          <cell r="Z3535" t="str">
            <v>MOBILIARIO CLINICO</v>
          </cell>
          <cell r="AA3535" t="str">
            <v>SERVICIO DE SALUD DEL MAULE</v>
          </cell>
        </row>
        <row r="3536">
          <cell r="Z3536" t="str">
            <v>MOBILIARIO CLINICO</v>
          </cell>
          <cell r="AA3536" t="str">
            <v>SERVICIO DE SALUD DEL MAULE</v>
          </cell>
        </row>
        <row r="3537">
          <cell r="Z3537" t="str">
            <v>MOBILIARIO CLINICO</v>
          </cell>
          <cell r="AA3537" t="str">
            <v>SERVICIO DE SALUD DEL MAULE</v>
          </cell>
        </row>
        <row r="3538">
          <cell r="Z3538" t="str">
            <v>MOBILIARIO CLINICO</v>
          </cell>
          <cell r="AA3538" t="str">
            <v>SERVICIO DE SALUD DEL MAULE</v>
          </cell>
        </row>
        <row r="3539">
          <cell r="Z3539" t="str">
            <v>MOBILIARIO CLINICO</v>
          </cell>
          <cell r="AA3539" t="str">
            <v>SERVICIO DE SALUD DEL MAULE</v>
          </cell>
        </row>
        <row r="3540">
          <cell r="Z3540" t="str">
            <v>MOBILIARIO CLINICO</v>
          </cell>
          <cell r="AA3540" t="str">
            <v>SERVICIO DE SALUD DEL MAULE</v>
          </cell>
        </row>
        <row r="3541">
          <cell r="Z3541" t="str">
            <v>MOBILIARIO CLINICO</v>
          </cell>
          <cell r="AA3541" t="str">
            <v>SERVICIO DE SALUD DEL MAULE</v>
          </cell>
        </row>
        <row r="3542">
          <cell r="Z3542" t="str">
            <v>MOBILIARIO CLINICO</v>
          </cell>
          <cell r="AA3542" t="str">
            <v>SERVICIO DE SALUD DEL MAULE</v>
          </cell>
        </row>
        <row r="3543">
          <cell r="Z3543" t="str">
            <v>MOBILIARIO CLINICO</v>
          </cell>
          <cell r="AA3543" t="str">
            <v>SERVICIO DE SALUD DEL MAULE</v>
          </cell>
        </row>
        <row r="3544">
          <cell r="Z3544" t="str">
            <v>MOBILIARIO CLINICO</v>
          </cell>
          <cell r="AA3544" t="str">
            <v>SERVICIO DE SALUD DEL MAULE</v>
          </cell>
        </row>
        <row r="3545">
          <cell r="Z3545" t="str">
            <v>MOBILIARIO CLINICO</v>
          </cell>
          <cell r="AA3545" t="str">
            <v>SERVICIO DE SALUD DEL MAULE</v>
          </cell>
        </row>
        <row r="3546">
          <cell r="Z3546" t="str">
            <v>MOBILIARIO CLINICO</v>
          </cell>
          <cell r="AA3546" t="str">
            <v>SERVICIO DE SALUD DEL MAULE</v>
          </cell>
        </row>
        <row r="3547">
          <cell r="Z3547" t="str">
            <v>MOBILIARIO CLINICO</v>
          </cell>
          <cell r="AA3547" t="str">
            <v>SERVICIO DE SALUD DEL MAULE</v>
          </cell>
        </row>
        <row r="3548">
          <cell r="Z3548" t="str">
            <v>MOBILIARIO CLINICO</v>
          </cell>
          <cell r="AA3548" t="str">
            <v>SERVICIO DE SALUD DEL MAULE</v>
          </cell>
        </row>
        <row r="3549">
          <cell r="Z3549" t="str">
            <v>MOBILIARIO CLINICO</v>
          </cell>
          <cell r="AA3549" t="str">
            <v>SERVICIO DE SALUD DEL MAULE</v>
          </cell>
        </row>
        <row r="3550">
          <cell r="Z3550" t="str">
            <v>MOBILIARIO CLINICO</v>
          </cell>
          <cell r="AA3550" t="str">
            <v>SERVICIO DE SALUD DEL MAULE</v>
          </cell>
        </row>
        <row r="3551">
          <cell r="Z3551" t="str">
            <v>MOBILIARIO CLINICO</v>
          </cell>
          <cell r="AA3551" t="str">
            <v>SERVICIO DE SALUD DEL MAULE</v>
          </cell>
        </row>
        <row r="3552">
          <cell r="Z3552" t="str">
            <v>MOBILIARIO CLINICO</v>
          </cell>
          <cell r="AA3552" t="str">
            <v>SERVICIO DE SALUD DEL MAULE</v>
          </cell>
        </row>
        <row r="3553">
          <cell r="Z3553" t="str">
            <v>MOBILIARIO CLINICO</v>
          </cell>
          <cell r="AA3553" t="str">
            <v>SERVICIO DE SALUD DEL MAULE</v>
          </cell>
        </row>
        <row r="3554">
          <cell r="Z3554" t="str">
            <v>MOBILIARIO CLINICO</v>
          </cell>
          <cell r="AA3554" t="str">
            <v>SERVICIO DE SALUD DEL MAULE</v>
          </cell>
        </row>
        <row r="3555">
          <cell r="Z3555" t="str">
            <v>MOBILIARIO CLINICO</v>
          </cell>
          <cell r="AA3555" t="str">
            <v>SERVICIO DE SALUD DEL MAULE</v>
          </cell>
        </row>
        <row r="3556">
          <cell r="Z3556" t="str">
            <v>MOBILIARIO CLINICO</v>
          </cell>
          <cell r="AA3556" t="str">
            <v>SERVICIO DE SALUD DEL MAULE</v>
          </cell>
        </row>
        <row r="3557">
          <cell r="Z3557" t="str">
            <v>MOBILIARIO CLINICO</v>
          </cell>
          <cell r="AA3557" t="str">
            <v>SERVICIO DE SALUD DEL MAULE</v>
          </cell>
        </row>
        <row r="3558">
          <cell r="Z3558" t="str">
            <v>MOBILIARIO CLINICO</v>
          </cell>
          <cell r="AA3558" t="str">
            <v>SERVICIO DE SALUD DEL MAULE</v>
          </cell>
        </row>
        <row r="3559">
          <cell r="Z3559" t="str">
            <v>MOBILIARIO CLINICO</v>
          </cell>
          <cell r="AA3559" t="str">
            <v>SERVICIO DE SALUD DEL MAULE</v>
          </cell>
        </row>
        <row r="3560">
          <cell r="Z3560" t="str">
            <v>MOBILIARIO CLINICO</v>
          </cell>
          <cell r="AA3560" t="str">
            <v>SERVICIO DE SALUD DEL MAULE</v>
          </cell>
        </row>
        <row r="3561">
          <cell r="Z3561" t="str">
            <v>MOBILIARIO CLINICO</v>
          </cell>
          <cell r="AA3561" t="str">
            <v>SERVICIO DE SALUD DEL MAULE</v>
          </cell>
        </row>
        <row r="3562">
          <cell r="Z3562" t="str">
            <v>MOBILIARIO CLINICO</v>
          </cell>
          <cell r="AA3562" t="str">
            <v>SERVICIO DE SALUD DEL MAULE</v>
          </cell>
        </row>
        <row r="3563">
          <cell r="Z3563" t="str">
            <v>MOBILIARIO CLINICO</v>
          </cell>
          <cell r="AA3563" t="str">
            <v>SERVICIO DE SALUD DEL MAULE</v>
          </cell>
        </row>
        <row r="3564">
          <cell r="Z3564" t="str">
            <v>MOBILIARIO CLINICO</v>
          </cell>
          <cell r="AA3564" t="str">
            <v>SERVICIO DE SALUD DEL MAULE</v>
          </cell>
        </row>
        <row r="3565">
          <cell r="Z3565" t="str">
            <v>MOBILIARIO CLINICO</v>
          </cell>
          <cell r="AA3565" t="str">
            <v>SERVICIO DE SALUD DEL MAULE</v>
          </cell>
        </row>
        <row r="3566">
          <cell r="Z3566" t="str">
            <v>MOBILIARIO CLINICO</v>
          </cell>
          <cell r="AA3566" t="str">
            <v>SERVICIO DE SALUD DEL MAULE</v>
          </cell>
        </row>
        <row r="3567">
          <cell r="Z3567" t="str">
            <v>MOBILIARIO CLINICO</v>
          </cell>
          <cell r="AA3567" t="str">
            <v>SERVICIO DE SALUD DEL MAULE</v>
          </cell>
        </row>
        <row r="3568">
          <cell r="Z3568" t="str">
            <v>MOBILIARIO CLINICO</v>
          </cell>
          <cell r="AA3568" t="str">
            <v>SERVICIO DE SALUD DEL MAULE</v>
          </cell>
        </row>
        <row r="3569">
          <cell r="Z3569" t="str">
            <v>MOBILIARIO CLINICO</v>
          </cell>
          <cell r="AA3569" t="str">
            <v>SERVICIO DE SALUD DEL MAULE</v>
          </cell>
        </row>
        <row r="3570">
          <cell r="Z3570" t="str">
            <v>MOBILIARIO CLINICO</v>
          </cell>
          <cell r="AA3570" t="str">
            <v>SERVICIO DE SALUD DEL MAULE</v>
          </cell>
        </row>
        <row r="3571">
          <cell r="Z3571" t="str">
            <v>MOBILIARIO CLINICO</v>
          </cell>
          <cell r="AA3571" t="str">
            <v>SERVICIO DE SALUD DEL MAULE</v>
          </cell>
        </row>
        <row r="3572">
          <cell r="Z3572" t="str">
            <v>MOBILIARIO CLINICO</v>
          </cell>
          <cell r="AA3572" t="str">
            <v>SERVICIO DE SALUD DEL MAULE</v>
          </cell>
        </row>
        <row r="3573">
          <cell r="Z3573" t="str">
            <v>MOBILIARIO CLINICO</v>
          </cell>
          <cell r="AA3573" t="str">
            <v>SERVICIO DE SALUD DEL MAULE</v>
          </cell>
        </row>
        <row r="3574">
          <cell r="Z3574" t="str">
            <v>MOBILIARIO CLINICO</v>
          </cell>
          <cell r="AA3574" t="str">
            <v>SERVICIO DE SALUD DEL MAULE</v>
          </cell>
        </row>
        <row r="3575">
          <cell r="Z3575" t="str">
            <v>MOBILIARIO CLINICO</v>
          </cell>
          <cell r="AA3575" t="str">
            <v>SERVICIO DE SALUD DEL MAULE</v>
          </cell>
        </row>
        <row r="3576">
          <cell r="Z3576" t="str">
            <v>MOBILIARIO CLINICO</v>
          </cell>
          <cell r="AA3576" t="str">
            <v>SERVICIO DE SALUD DEL MAULE</v>
          </cell>
        </row>
        <row r="3577">
          <cell r="Z3577" t="str">
            <v>MOBILIARIO CLINICO</v>
          </cell>
          <cell r="AA3577" t="str">
            <v>SERVICIO DE SALUD DEL MAULE</v>
          </cell>
        </row>
        <row r="3578">
          <cell r="Z3578" t="str">
            <v>MOBILIARIO CLINICO</v>
          </cell>
          <cell r="AA3578" t="str">
            <v>SERVICIO DE SALUD DEL MAULE</v>
          </cell>
        </row>
        <row r="3579">
          <cell r="Z3579" t="str">
            <v>MOBILIARIO CLINICO</v>
          </cell>
          <cell r="AA3579" t="str">
            <v>SERVICIO DE SALUD DEL MAULE</v>
          </cell>
        </row>
        <row r="3580">
          <cell r="Z3580" t="str">
            <v>MOBILIARIO CLINICO</v>
          </cell>
          <cell r="AA3580" t="str">
            <v>SERVICIO DE SALUD DEL MAULE</v>
          </cell>
        </row>
        <row r="3581">
          <cell r="Z3581" t="str">
            <v>MOBILIARIO CLINICO</v>
          </cell>
          <cell r="AA3581" t="str">
            <v>SERVICIO DE SALUD DEL MAULE</v>
          </cell>
        </row>
        <row r="3582">
          <cell r="Z3582" t="str">
            <v>MOBILIARIO CLINICO</v>
          </cell>
          <cell r="AA3582" t="str">
            <v>SERVICIO DE SALUD DEL MAULE</v>
          </cell>
        </row>
        <row r="3583">
          <cell r="Z3583" t="str">
            <v>MOBILIARIO CLINICO</v>
          </cell>
          <cell r="AA3583" t="str">
            <v>SERVICIO DE SALUD DEL MAULE</v>
          </cell>
        </row>
        <row r="3584">
          <cell r="Z3584" t="str">
            <v>MOBILIARIO CLINICO</v>
          </cell>
          <cell r="AA3584" t="str">
            <v>SERVICIO DE SALUD DEL MAULE</v>
          </cell>
        </row>
        <row r="3585">
          <cell r="Z3585" t="str">
            <v>MOBILIARIO CLINICO</v>
          </cell>
          <cell r="AA3585" t="str">
            <v>SERVICIO DE SALUD DEL MAULE</v>
          </cell>
        </row>
        <row r="3586">
          <cell r="Z3586" t="str">
            <v>MOBILIARIO CLINICO</v>
          </cell>
          <cell r="AA3586" t="str">
            <v>SERVICIO DE SALUD DEL MAULE</v>
          </cell>
        </row>
        <row r="3587">
          <cell r="Z3587" t="str">
            <v>MOBILIARIO CLINICO</v>
          </cell>
          <cell r="AA3587" t="str">
            <v>SERVICIO DE SALUD DEL MAULE</v>
          </cell>
        </row>
        <row r="3588">
          <cell r="Z3588" t="str">
            <v>MOBILIARIO CLINICO</v>
          </cell>
          <cell r="AA3588" t="str">
            <v>SERVICIO DE SALUD DEL MAULE</v>
          </cell>
        </row>
        <row r="3589">
          <cell r="Z3589" t="str">
            <v>MOBILIARIO CLINICO</v>
          </cell>
          <cell r="AA3589" t="str">
            <v>SERVICIO DE SALUD DEL MAULE</v>
          </cell>
        </row>
        <row r="3590">
          <cell r="Z3590" t="str">
            <v>MOBILIARIO CLINICO</v>
          </cell>
          <cell r="AA3590" t="str">
            <v>SERVICIO DE SALUD DEL MAULE</v>
          </cell>
        </row>
        <row r="3591">
          <cell r="Z3591" t="str">
            <v>MOBILIARIO CLINICO</v>
          </cell>
          <cell r="AA3591" t="str">
            <v>SERVICIO DE SALUD OSORNO</v>
          </cell>
        </row>
        <row r="3592">
          <cell r="Z3592" t="str">
            <v>MOBILIARIO CLINICO</v>
          </cell>
          <cell r="AA3592" t="str">
            <v>SERVICIO DE SALUD OSORNO</v>
          </cell>
        </row>
        <row r="3593">
          <cell r="Z3593" t="str">
            <v>MOBILIARIO CLINICO</v>
          </cell>
          <cell r="AA3593" t="str">
            <v>SERVICIO DE SALUD OSORNO</v>
          </cell>
        </row>
        <row r="3594">
          <cell r="Z3594" t="str">
            <v>MOBILIARIO CLINICO</v>
          </cell>
          <cell r="AA3594" t="str">
            <v>SERVICIO DE SALUD OSORNO</v>
          </cell>
        </row>
        <row r="3595">
          <cell r="Z3595" t="str">
            <v>MOBILIARIO CLINICO</v>
          </cell>
          <cell r="AA3595" t="str">
            <v>SERVICIO DE SALUD OSORNO</v>
          </cell>
        </row>
        <row r="3596">
          <cell r="Z3596" t="str">
            <v>MOBILIARIO CLINICO</v>
          </cell>
          <cell r="AA3596" t="str">
            <v>SERVICIO DE SALUD OSORNO</v>
          </cell>
        </row>
        <row r="3597">
          <cell r="Z3597" t="str">
            <v>MOBILIARIO CLINICO</v>
          </cell>
          <cell r="AA3597" t="str">
            <v>SERVICIO DE SALUD OSORNO</v>
          </cell>
        </row>
        <row r="3598">
          <cell r="Z3598" t="str">
            <v>MOBILIARIO CLINICO</v>
          </cell>
          <cell r="AA3598" t="str">
            <v>SERVICIO DE SALUD OSORNO</v>
          </cell>
        </row>
        <row r="3599">
          <cell r="Z3599" t="str">
            <v>MOBILIARIO CLINICO</v>
          </cell>
          <cell r="AA3599" t="str">
            <v>SERVICIO DE SALUD OSORNO</v>
          </cell>
        </row>
        <row r="3600">
          <cell r="Z3600" t="str">
            <v>MOBILIARIO CLINICO</v>
          </cell>
          <cell r="AA3600" t="str">
            <v>SERVICIO DE SALUD OSORNO</v>
          </cell>
        </row>
        <row r="3601">
          <cell r="Z3601" t="str">
            <v>MOBILIARIO CLINICO</v>
          </cell>
          <cell r="AA3601" t="str">
            <v>HOSPITAL SAN JOSÉ</v>
          </cell>
        </row>
        <row r="3602">
          <cell r="Z3602" t="str">
            <v>MOBILIARIO CLINICO</v>
          </cell>
          <cell r="AA3602" t="str">
            <v>HOSPITAL SAN JOSÉ</v>
          </cell>
        </row>
        <row r="3603">
          <cell r="Z3603" t="str">
            <v>MOBILIARIO CLINICO</v>
          </cell>
          <cell r="AA3603" t="str">
            <v>HOSPITAL SAN JOSÉ</v>
          </cell>
        </row>
        <row r="3604">
          <cell r="Z3604" t="str">
            <v>MOBILIARIO CLINICO</v>
          </cell>
          <cell r="AA3604" t="str">
            <v>HOSPITAL SAN JOSÉ</v>
          </cell>
        </row>
        <row r="3605">
          <cell r="Z3605" t="str">
            <v>MOBILIARIO CLINICO</v>
          </cell>
          <cell r="AA3605" t="str">
            <v>HOSPITAL SAN JOSÉ</v>
          </cell>
        </row>
        <row r="3606">
          <cell r="Z3606" t="str">
            <v>MOBILIARIO CLINICO</v>
          </cell>
          <cell r="AA3606" t="str">
            <v>HOSPITAL SAN JOSÉ</v>
          </cell>
        </row>
        <row r="3607">
          <cell r="Z3607" t="str">
            <v>MOBILIARIO CLINICO</v>
          </cell>
          <cell r="AA3607" t="str">
            <v>HOSPITAL SAN JOSÉ</v>
          </cell>
        </row>
        <row r="3608">
          <cell r="Z3608" t="str">
            <v>MOBILIARIO CLINICO</v>
          </cell>
          <cell r="AA3608" t="str">
            <v>HOSPITAL SAN JOSÉ</v>
          </cell>
        </row>
        <row r="3609">
          <cell r="Z3609" t="str">
            <v>MOBILIARIO CLINICO</v>
          </cell>
          <cell r="AA3609" t="str">
            <v>HOSPITAL SAN JOSÉ</v>
          </cell>
        </row>
        <row r="3610">
          <cell r="Z3610" t="str">
            <v>MOBILIARIO CLINICO</v>
          </cell>
          <cell r="AA3610" t="str">
            <v>HOSPITAL SAN JOSÉ</v>
          </cell>
        </row>
        <row r="3611">
          <cell r="Z3611" t="str">
            <v>MOBILIARIO CLINICO</v>
          </cell>
          <cell r="AA3611" t="str">
            <v>HOSPITAL SAN JOSÉ</v>
          </cell>
        </row>
        <row r="3612">
          <cell r="Z3612" t="str">
            <v>MOBILIARIO CLINICO</v>
          </cell>
          <cell r="AA3612" t="str">
            <v>HOSPITAL SAN JOSÉ</v>
          </cell>
        </row>
        <row r="3613">
          <cell r="Z3613" t="str">
            <v>MOBILIARIO CLINICO</v>
          </cell>
          <cell r="AA3613" t="str">
            <v>HOSPITAL SAN JOSÉ</v>
          </cell>
        </row>
        <row r="3614">
          <cell r="Z3614" t="str">
            <v>MOBILIARIO CLINICO</v>
          </cell>
          <cell r="AA3614" t="str">
            <v>HOSPITAL SAN JOSÉ</v>
          </cell>
        </row>
        <row r="3615">
          <cell r="Z3615" t="str">
            <v>MOBILIARIO CLINICO</v>
          </cell>
          <cell r="AA3615" t="str">
            <v>HOSPITAL SAN JOSÉ</v>
          </cell>
        </row>
        <row r="3616">
          <cell r="Z3616" t="str">
            <v>MOBILIARIO CLINICO</v>
          </cell>
          <cell r="AA3616" t="str">
            <v>HOSPITAL SAN JOSÉ</v>
          </cell>
        </row>
        <row r="3617">
          <cell r="Z3617" t="str">
            <v>MOBILIARIO CLINICO</v>
          </cell>
          <cell r="AA3617" t="str">
            <v>HOSPITAL SAN JOSÉ</v>
          </cell>
        </row>
        <row r="3618">
          <cell r="Z3618" t="str">
            <v>MOBILIARIO CLINICO</v>
          </cell>
          <cell r="AA3618" t="str">
            <v>HOSPITAL SAN JOSÉ</v>
          </cell>
        </row>
        <row r="3619">
          <cell r="Z3619" t="str">
            <v>MOBILIARIO CLINICO</v>
          </cell>
          <cell r="AA3619" t="str">
            <v>HOSPITAL SAN JOSÉ</v>
          </cell>
        </row>
        <row r="3620">
          <cell r="Z3620" t="str">
            <v>MOBILIARIO CLINICO</v>
          </cell>
          <cell r="AA3620" t="str">
            <v>HOSPITAL SAN JOSÉ</v>
          </cell>
        </row>
        <row r="3621">
          <cell r="Z3621" t="str">
            <v>MOBILIARIO CLINICO</v>
          </cell>
          <cell r="AA3621" t="str">
            <v>HOSPITAL SAN JOSÉ</v>
          </cell>
        </row>
        <row r="3622">
          <cell r="Z3622" t="str">
            <v>MOBILIARIO CLINICO</v>
          </cell>
          <cell r="AA3622" t="str">
            <v>HOSPITAL SAN JOSÉ</v>
          </cell>
        </row>
        <row r="3623">
          <cell r="Z3623" t="str">
            <v>MOBILIARIO CLINICO</v>
          </cell>
          <cell r="AA3623" t="str">
            <v>HOSPITAL SAN JOSÉ</v>
          </cell>
        </row>
        <row r="3624">
          <cell r="Z3624" t="str">
            <v>MOBILIARIO CLINICO</v>
          </cell>
          <cell r="AA3624" t="str">
            <v>HOSPITAL SAN JOSÉ</v>
          </cell>
        </row>
        <row r="3625">
          <cell r="Z3625" t="str">
            <v>MOBILIARIO CLINICO</v>
          </cell>
          <cell r="AA3625" t="str">
            <v>HOSPITAL DR. LUIS TISNE B.</v>
          </cell>
        </row>
        <row r="3626">
          <cell r="Z3626" t="str">
            <v>MOBILIARIO CLINICO</v>
          </cell>
          <cell r="AA3626" t="str">
            <v>HOSPITAL DR. LUIS TISNE B.</v>
          </cell>
        </row>
        <row r="3627">
          <cell r="Z3627" t="str">
            <v>MOBILIARIO CLINICO</v>
          </cell>
          <cell r="AA3627" t="str">
            <v>HOSPITAL DR. LUIS TISNE B.</v>
          </cell>
        </row>
        <row r="3628">
          <cell r="Z3628" t="str">
            <v>MOBILIARIO CLINICO</v>
          </cell>
          <cell r="AA3628" t="str">
            <v>HOSPITAL DR. LUIS TISNE B.</v>
          </cell>
        </row>
        <row r="3629">
          <cell r="Z3629" t="str">
            <v>MOBILIARIO CLINICO</v>
          </cell>
          <cell r="AA3629" t="str">
            <v>HOSPITAL DR. LUIS TISNE B.</v>
          </cell>
        </row>
        <row r="3630">
          <cell r="Z3630" t="str">
            <v>MOBILIARIO CLINICO</v>
          </cell>
          <cell r="AA3630" t="str">
            <v>HOSPITAL DR. LUIS TISNE B.</v>
          </cell>
        </row>
        <row r="3631">
          <cell r="Z3631" t="str">
            <v>MOBILIARIO CLINICO</v>
          </cell>
          <cell r="AA3631" t="str">
            <v>HOSPITAL DR. LUIS TISNE B.</v>
          </cell>
        </row>
        <row r="3632">
          <cell r="Z3632" t="str">
            <v>MOBILIARIO CLINICO</v>
          </cell>
          <cell r="AA3632" t="str">
            <v>HOSPITAL DR. LUIS TISNE B.</v>
          </cell>
        </row>
        <row r="3633">
          <cell r="Z3633" t="str">
            <v>MOBILIARIO CLINICO</v>
          </cell>
          <cell r="AA3633" t="str">
            <v>HOSPITAL DR. LUIS TISNE B.</v>
          </cell>
        </row>
        <row r="3634">
          <cell r="Z3634" t="str">
            <v>MOBILIARIO CLINICO</v>
          </cell>
          <cell r="AA3634" t="str">
            <v>HOSPITAL DR. LUIS TISNE B.</v>
          </cell>
        </row>
        <row r="3635">
          <cell r="Z3635" t="str">
            <v>MOBILIARIO CLINICO</v>
          </cell>
          <cell r="AA3635" t="str">
            <v>HOSPITAL DR. LUIS TISNE B.</v>
          </cell>
        </row>
        <row r="3636">
          <cell r="Z3636" t="str">
            <v>MOBILIARIO CLINICO</v>
          </cell>
          <cell r="AA3636" t="str">
            <v>HOSPITAL DR. LUIS TISNE B.</v>
          </cell>
        </row>
        <row r="3637">
          <cell r="Z3637" t="str">
            <v>MOBILIARIO CLINICO</v>
          </cell>
          <cell r="AA3637" t="str">
            <v>HOSPITAL DR. LUIS TISNE B.</v>
          </cell>
        </row>
        <row r="3638">
          <cell r="Z3638" t="str">
            <v>MOBILIARIO CLINICO</v>
          </cell>
          <cell r="AA3638" t="str">
            <v>HOSPITAL DR. LUIS TISNE B.</v>
          </cell>
        </row>
        <row r="3639">
          <cell r="Z3639" t="str">
            <v>MOBILIARIO CLINICO</v>
          </cell>
          <cell r="AA3639" t="str">
            <v>HOSPITAL DR. LUIS TISNE B.</v>
          </cell>
        </row>
        <row r="3640">
          <cell r="Z3640" t="str">
            <v>MOBILIARIO CLINICO</v>
          </cell>
          <cell r="AA3640" t="str">
            <v>HOSPITAL DR. LUIS TISNE B.</v>
          </cell>
        </row>
        <row r="3641">
          <cell r="Z3641" t="str">
            <v>MOBILIARIO CLINICO</v>
          </cell>
          <cell r="AA3641" t="str">
            <v>HOSPITAL DR. LUIS TISNE B.</v>
          </cell>
        </row>
        <row r="3642">
          <cell r="Z3642" t="str">
            <v>MOBILIARIO CLINICO</v>
          </cell>
          <cell r="AA3642" t="str">
            <v>HOSPITAL DR. LUIS TISNE B.</v>
          </cell>
        </row>
        <row r="3643">
          <cell r="Z3643" t="str">
            <v>MOBILIARIO CLINICO</v>
          </cell>
          <cell r="AA3643" t="str">
            <v>HOSPITAL DR. LUIS TISNE B.</v>
          </cell>
        </row>
        <row r="3644">
          <cell r="Z3644" t="str">
            <v>MOBILIARIO CLINICO</v>
          </cell>
          <cell r="AA3644" t="str">
            <v>HOSPITAL DR. LUIS TISNE B.</v>
          </cell>
        </row>
        <row r="3645">
          <cell r="Z3645" t="str">
            <v>MOBILIARIO CLINICO</v>
          </cell>
          <cell r="AA3645" t="str">
            <v>HOSPITAL DR. LUIS TISNE B.</v>
          </cell>
        </row>
        <row r="3646">
          <cell r="Z3646" t="str">
            <v>MOBILIARIO CLINICO</v>
          </cell>
          <cell r="AA3646" t="str">
            <v>HOSPITAL DR. LUIS TISNE B.</v>
          </cell>
        </row>
        <row r="3647">
          <cell r="Z3647" t="str">
            <v>MOBILIARIO CLINICO</v>
          </cell>
          <cell r="AA3647" t="str">
            <v>HOSPITAL DR. LUIS TISNE B.</v>
          </cell>
        </row>
        <row r="3648">
          <cell r="Z3648" t="str">
            <v>MOBILIARIO CLINICO</v>
          </cell>
          <cell r="AA3648" t="str">
            <v>HOSPITAL DR. LUIS TISNE B.</v>
          </cell>
        </row>
        <row r="3649">
          <cell r="Z3649" t="str">
            <v>MOBILIARIO CLINICO</v>
          </cell>
          <cell r="AA3649" t="str">
            <v>HOSPITAL DR. LUIS TISNE B.</v>
          </cell>
        </row>
        <row r="3650">
          <cell r="Z3650" t="str">
            <v>MOBILIARIO CLINICO</v>
          </cell>
          <cell r="AA3650" t="str">
            <v>HOSPITAL DR. LUIS TISNE B.</v>
          </cell>
        </row>
        <row r="3651">
          <cell r="Z3651" t="str">
            <v>MOBILIARIO CLINICO</v>
          </cell>
          <cell r="AA3651" t="str">
            <v>HOSPITAL DR. LUIS TISNE B.</v>
          </cell>
        </row>
        <row r="3652">
          <cell r="Z3652" t="str">
            <v>MOBILIARIO CLINICO</v>
          </cell>
          <cell r="AA3652" t="str">
            <v>HOSPITAL DR. LUIS TISNE B.</v>
          </cell>
        </row>
        <row r="3653">
          <cell r="Z3653" t="str">
            <v>MOBILIARIO CLINICO</v>
          </cell>
          <cell r="AA3653" t="str">
            <v>HOSPITAL DR. LUIS TISNE B.</v>
          </cell>
        </row>
        <row r="3654">
          <cell r="Z3654" t="str">
            <v>MOBILIARIO CLINICO</v>
          </cell>
          <cell r="AA3654" t="str">
            <v>HOSPITAL DR. LUIS TISNE B.</v>
          </cell>
        </row>
        <row r="3655">
          <cell r="Z3655" t="str">
            <v>MOBILIARIO CLINICO</v>
          </cell>
          <cell r="AA3655" t="str">
            <v>HOSPITAL DR. LUIS TISNE B.</v>
          </cell>
        </row>
        <row r="3656">
          <cell r="Z3656" t="str">
            <v>MOBILIARIO CLINICO</v>
          </cell>
          <cell r="AA3656" t="str">
            <v>HOSPITAL DR. LUIS TISNE B.</v>
          </cell>
        </row>
        <row r="3657">
          <cell r="Z3657" t="str">
            <v>MOBILIARIO CLINICO</v>
          </cell>
          <cell r="AA3657" t="str">
            <v>HOSPITAL DR. LUIS TISNE B.</v>
          </cell>
        </row>
        <row r="3658">
          <cell r="Z3658" t="str">
            <v>MOBILIARIO CLINICO</v>
          </cell>
          <cell r="AA3658" t="str">
            <v>UNIVERSIDAD FINIS TERRAE</v>
          </cell>
        </row>
        <row r="3659">
          <cell r="Z3659" t="str">
            <v>MOBILIARIO CLINICO</v>
          </cell>
          <cell r="AA3659" t="str">
            <v>HOSPITAL DE QUILLOTA</v>
          </cell>
        </row>
        <row r="3660">
          <cell r="Z3660" t="str">
            <v>MOBILIARIO CLINICO</v>
          </cell>
          <cell r="AA3660" t="str">
            <v>HOSPITAL DE QUILLOTA</v>
          </cell>
        </row>
        <row r="3661">
          <cell r="Z3661" t="str">
            <v>MOBILIARIO CLINICO</v>
          </cell>
          <cell r="AA3661" t="str">
            <v>HOSPITAL DE QUILLOTA</v>
          </cell>
        </row>
        <row r="3662">
          <cell r="Z3662" t="str">
            <v>MOBILIARIO CLINICO</v>
          </cell>
          <cell r="AA3662" t="str">
            <v>HOSPITAL DE QUILLOTA</v>
          </cell>
        </row>
        <row r="3663">
          <cell r="Z3663" t="str">
            <v>MOBILIARIO CLINICO</v>
          </cell>
          <cell r="AA3663" t="str">
            <v>HOSPITAL DE QUILLOTA</v>
          </cell>
        </row>
        <row r="3664">
          <cell r="Z3664" t="str">
            <v>MOBILIARIO CLINICO</v>
          </cell>
          <cell r="AA3664" t="str">
            <v>HOSPITAL DE QUILLOTA</v>
          </cell>
        </row>
        <row r="3665">
          <cell r="Z3665" t="str">
            <v>MOBILIARIO CLINICO</v>
          </cell>
          <cell r="AA3665" t="str">
            <v>HOSPITAL DE QUILLOTA</v>
          </cell>
        </row>
        <row r="3666">
          <cell r="Z3666" t="str">
            <v>MOBILIARIO CLINICO</v>
          </cell>
          <cell r="AA3666" t="str">
            <v>HOSPITAL DE QUILLOTA</v>
          </cell>
        </row>
        <row r="3667">
          <cell r="Z3667" t="str">
            <v>MOBILIARIO CLINICO</v>
          </cell>
          <cell r="AA3667" t="str">
            <v>HOSPITAL DE QUILLOTA</v>
          </cell>
        </row>
        <row r="3668">
          <cell r="Z3668" t="str">
            <v>MOBILIARIO CLINICO</v>
          </cell>
          <cell r="AA3668" t="str">
            <v>HOSPITAL DE QUILLOTA</v>
          </cell>
        </row>
        <row r="3669">
          <cell r="Z3669" t="str">
            <v>MOBILIARIO CLINICO</v>
          </cell>
          <cell r="AA3669" t="str">
            <v>HOSPITAL DE QUILLOTA</v>
          </cell>
        </row>
        <row r="3670">
          <cell r="Z3670" t="str">
            <v>MOBILIARIO CLINICO</v>
          </cell>
          <cell r="AA3670" t="str">
            <v>HOSPITAL DE QUILLOTA</v>
          </cell>
        </row>
        <row r="3671">
          <cell r="Z3671" t="str">
            <v>MOBILIARIO CLINICO</v>
          </cell>
          <cell r="AA3671" t="str">
            <v>HOSPITAL DE QUILLOTA</v>
          </cell>
        </row>
        <row r="3672">
          <cell r="Z3672" t="str">
            <v>MOBILIARIO CLINICO</v>
          </cell>
          <cell r="AA3672" t="str">
            <v>HOSPITAL DE QUILLOTA</v>
          </cell>
        </row>
        <row r="3673">
          <cell r="Z3673" t="str">
            <v>MOBILIARIO CLINICO</v>
          </cell>
          <cell r="AA3673" t="str">
            <v>HOSPITAL DE QUILLOTA</v>
          </cell>
        </row>
        <row r="3674">
          <cell r="Z3674" t="str">
            <v>MOBILIARIO CLINICO</v>
          </cell>
          <cell r="AA3674" t="str">
            <v>HOSPITAL DE QUILLOTA</v>
          </cell>
        </row>
        <row r="3675">
          <cell r="Z3675" t="str">
            <v>MOBILIARIO CLINICO</v>
          </cell>
          <cell r="AA3675" t="str">
            <v>HOSPITAL DE QUILLOTA</v>
          </cell>
        </row>
        <row r="3676">
          <cell r="Z3676" t="str">
            <v>MOBILIARIO CLINICO</v>
          </cell>
          <cell r="AA3676" t="str">
            <v>HOSPITAL DE QUILLOTA</v>
          </cell>
        </row>
        <row r="3677">
          <cell r="Z3677" t="str">
            <v>MOBILIARIO CLINICO</v>
          </cell>
          <cell r="AA3677" t="str">
            <v>HOSPITAL DE QUILLOTA</v>
          </cell>
        </row>
        <row r="3678">
          <cell r="Z3678" t="str">
            <v>MOBILIARIO CLINICO</v>
          </cell>
        </row>
        <row r="3679">
          <cell r="Z3679" t="str">
            <v>MOBILIARIO CLINICO</v>
          </cell>
        </row>
        <row r="3680">
          <cell r="Z3680" t="str">
            <v>MOBILIARIO CLINICO</v>
          </cell>
        </row>
        <row r="3681">
          <cell r="Z3681" t="str">
            <v>MOBILIARIO CLINICO</v>
          </cell>
        </row>
        <row r="3682">
          <cell r="Z3682" t="str">
            <v>MOBILIARIO CLINICO</v>
          </cell>
        </row>
        <row r="3683">
          <cell r="Z3683" t="str">
            <v>MOBILIARIO CLINICO</v>
          </cell>
        </row>
        <row r="3684">
          <cell r="Z3684" t="str">
            <v>MOBILIARIO CLINICO</v>
          </cell>
        </row>
        <row r="3685">
          <cell r="Z3685" t="str">
            <v>MOBILIARIO CLINICO</v>
          </cell>
        </row>
        <row r="3686">
          <cell r="Z3686" t="str">
            <v>MOBILIARIO CLINICO</v>
          </cell>
        </row>
        <row r="3687">
          <cell r="Z3687" t="str">
            <v>MOBILIARIO CLINICO</v>
          </cell>
        </row>
        <row r="3688">
          <cell r="Z3688" t="str">
            <v>MOBILIARIO CLINICO</v>
          </cell>
        </row>
        <row r="3689">
          <cell r="Z3689" t="str">
            <v>MOBILIARIO CLINICO</v>
          </cell>
        </row>
        <row r="3690">
          <cell r="Z3690" t="str">
            <v>MOBILIARIO CLINICO</v>
          </cell>
        </row>
        <row r="3691">
          <cell r="Z3691" t="str">
            <v>MOBILIARIO CLINICO</v>
          </cell>
        </row>
        <row r="3692">
          <cell r="Z3692" t="str">
            <v>MOBILIARIO CLINICO</v>
          </cell>
        </row>
        <row r="3693">
          <cell r="Z3693" t="str">
            <v>MOBILIARIO CLINICO</v>
          </cell>
        </row>
        <row r="3694">
          <cell r="Z3694" t="str">
            <v>MOBILIARIO CLINICO</v>
          </cell>
        </row>
        <row r="3695">
          <cell r="Z3695" t="str">
            <v>MOBILIARIO CLINICO</v>
          </cell>
        </row>
        <row r="3696">
          <cell r="Z3696" t="str">
            <v>MOBILIARIO CLINICO</v>
          </cell>
        </row>
        <row r="3697">
          <cell r="Z3697" t="str">
            <v>MOBILIARIO CLINICO</v>
          </cell>
        </row>
        <row r="3698">
          <cell r="Z3698" t="str">
            <v>MOBILIARIO CLINICO</v>
          </cell>
        </row>
        <row r="3699">
          <cell r="Z3699" t="str">
            <v>MOBILIARIO CLINICO</v>
          </cell>
        </row>
        <row r="3700">
          <cell r="Z3700" t="str">
            <v>MOBILIARIO CLINICO</v>
          </cell>
        </row>
        <row r="3701">
          <cell r="Z3701" t="str">
            <v>MOBILIARIO CLINICO</v>
          </cell>
        </row>
        <row r="3702">
          <cell r="Z3702" t="str">
            <v>MOBILIARIO CLINICO</v>
          </cell>
        </row>
        <row r="3703">
          <cell r="Z3703" t="str">
            <v>MOBILIARIO CLINICO</v>
          </cell>
        </row>
        <row r="3704">
          <cell r="Z3704" t="str">
            <v>MOBILIARIO CLINICO</v>
          </cell>
        </row>
        <row r="3705">
          <cell r="Z3705" t="str">
            <v>MOBILIARIO CLINICO</v>
          </cell>
        </row>
        <row r="3706">
          <cell r="Z3706" t="str">
            <v>MOBILIARIO CLINICO</v>
          </cell>
        </row>
        <row r="3707">
          <cell r="Z3707" t="str">
            <v>MOBILIARIO CLINICO</v>
          </cell>
        </row>
        <row r="3708">
          <cell r="Z3708" t="str">
            <v>MOBILIARIO CLINICO</v>
          </cell>
        </row>
        <row r="3709">
          <cell r="Z3709" t="str">
            <v>MOBILIARIO CLINICO</v>
          </cell>
        </row>
        <row r="3710">
          <cell r="Z3710" t="str">
            <v>MOBILIARIO CLINICO</v>
          </cell>
        </row>
        <row r="3711">
          <cell r="Z3711" t="str">
            <v>MOBILIARIO CLINICO</v>
          </cell>
        </row>
        <row r="3712">
          <cell r="Z3712" t="str">
            <v>MOBILIARIO CLINICO</v>
          </cell>
        </row>
        <row r="3713">
          <cell r="Z3713" t="str">
            <v>MOBILIARIO CLINICO</v>
          </cell>
        </row>
        <row r="3714">
          <cell r="Z3714" t="str">
            <v>MOBILIARIO CLINICO</v>
          </cell>
        </row>
        <row r="3715">
          <cell r="Z3715" t="str">
            <v>MOBILIARIO CLINICO</v>
          </cell>
        </row>
        <row r="3716">
          <cell r="Z3716" t="str">
            <v>MOBILIARIO CLINICO</v>
          </cell>
        </row>
        <row r="3717">
          <cell r="Z3717" t="str">
            <v>MOBILIARIO CLINICO</v>
          </cell>
        </row>
        <row r="3718">
          <cell r="Z3718" t="str">
            <v>MOBILIARIO CLINICO</v>
          </cell>
          <cell r="AA3718" t="str">
            <v>HOSPITAL DE CONSTITUCION</v>
          </cell>
        </row>
        <row r="3719">
          <cell r="Z3719" t="str">
            <v>MOBILIARIO CLINICO</v>
          </cell>
          <cell r="AA3719" t="str">
            <v>HOSPITAL DE CONSTITUCION</v>
          </cell>
        </row>
        <row r="3720">
          <cell r="Z3720" t="str">
            <v>MOBILIARIO CLINICO</v>
          </cell>
          <cell r="AA3720" t="str">
            <v>HOSPITAL DE CONSTITUCION</v>
          </cell>
        </row>
        <row r="3721">
          <cell r="Z3721" t="str">
            <v>MOBILIARIO CLINICO</v>
          </cell>
          <cell r="AA3721" t="str">
            <v>HOSPITAL DE CONSTITUCION</v>
          </cell>
        </row>
        <row r="3722">
          <cell r="Z3722" t="str">
            <v>MOBILIARIO CLINICO</v>
          </cell>
          <cell r="AA3722" t="str">
            <v>HOSPITAL DE CONSTITUCION</v>
          </cell>
        </row>
        <row r="3723">
          <cell r="Z3723" t="str">
            <v>MOBILIARIO CLINICO</v>
          </cell>
          <cell r="AA3723" t="str">
            <v>HOSPITAL DE CONSTITUCION</v>
          </cell>
        </row>
        <row r="3724">
          <cell r="Z3724" t="str">
            <v>MOBILIARIO CLINICO</v>
          </cell>
          <cell r="AA3724" t="str">
            <v>HOSPITAL DR. GUSTAVO FRICKE</v>
          </cell>
        </row>
        <row r="3725">
          <cell r="Z3725" t="str">
            <v>MOBILIARIO CLINICO</v>
          </cell>
          <cell r="AA3725" t="str">
            <v>HOSPITAL DE QUILLOTA</v>
          </cell>
        </row>
        <row r="3726">
          <cell r="Z3726" t="str">
            <v>MOBILIARIO CLINICO</v>
          </cell>
          <cell r="AA3726" t="str">
            <v>HOSPITAL DE QUILLOTA</v>
          </cell>
        </row>
        <row r="3727">
          <cell r="Z3727" t="str">
            <v>MOBILIARIO CLINICO</v>
          </cell>
          <cell r="AA3727" t="str">
            <v>HOSPITAL DE QUILLOTA</v>
          </cell>
        </row>
        <row r="3728">
          <cell r="Z3728" t="str">
            <v>MOBILIARIO CLINICO</v>
          </cell>
          <cell r="AA3728" t="str">
            <v>HOSPITAL DE QUILLOTA</v>
          </cell>
        </row>
        <row r="3729">
          <cell r="Z3729" t="str">
            <v>MOBILIARIO CLINICO</v>
          </cell>
          <cell r="AA3729" t="str">
            <v>HOSPITAL DE QUILLOTA</v>
          </cell>
        </row>
        <row r="3730">
          <cell r="Z3730" t="str">
            <v>MOBILIARIO CLINICO</v>
          </cell>
          <cell r="AA3730" t="str">
            <v>HOSPITAL DE QUILLOTA</v>
          </cell>
        </row>
        <row r="3731">
          <cell r="Z3731" t="str">
            <v>MOBILIARIO CLINICO</v>
          </cell>
          <cell r="AA3731" t="str">
            <v>HOSPITAL DE QUILLOTA</v>
          </cell>
        </row>
        <row r="3732">
          <cell r="Z3732" t="str">
            <v>MOBILIARIO CLINICO</v>
          </cell>
          <cell r="AA3732" t="str">
            <v>HOSPITAL DE QUILLOTA</v>
          </cell>
        </row>
        <row r="3733">
          <cell r="Z3733" t="str">
            <v>MOBILIARIO CLINICO</v>
          </cell>
          <cell r="AA3733" t="str">
            <v>HOSPITAL DE QUILLOTA</v>
          </cell>
        </row>
        <row r="3734">
          <cell r="Z3734" t="str">
            <v>MOBILIARIO CLINICO</v>
          </cell>
          <cell r="AA3734" t="str">
            <v>HOSPITAL DE QUILLOTA</v>
          </cell>
        </row>
        <row r="3735">
          <cell r="Z3735" t="str">
            <v>MOBILIARIO CLINICO</v>
          </cell>
          <cell r="AA3735" t="str">
            <v>HOSPITAL DE QUILLOTA</v>
          </cell>
        </row>
        <row r="3736">
          <cell r="Z3736" t="str">
            <v>MOBILIARIO CLINICO</v>
          </cell>
          <cell r="AA3736" t="str">
            <v>HOSPITAL DE QUILLOTA</v>
          </cell>
        </row>
        <row r="3737">
          <cell r="Z3737" t="str">
            <v>MOBILIARIO CLINICO</v>
          </cell>
          <cell r="AA3737" t="str">
            <v>HOSPITAL DE QUILPUE</v>
          </cell>
        </row>
        <row r="3738">
          <cell r="Z3738" t="str">
            <v>MOBILIARIO CLINICO</v>
          </cell>
          <cell r="AA3738" t="str">
            <v>HOSPITAL DE COPIAPO</v>
          </cell>
        </row>
        <row r="3739">
          <cell r="Z3739" t="str">
            <v>MOBILIARIO CLINICO</v>
          </cell>
          <cell r="AA3739" t="str">
            <v>HOSPITAL DR. GUSTAVO FRICKE</v>
          </cell>
        </row>
        <row r="3740">
          <cell r="Z3740" t="str">
            <v>MOBILIARIO CLINICO</v>
          </cell>
          <cell r="AA3740" t="str">
            <v>HOSPITAL DR. GUSTAVO FRICKE</v>
          </cell>
        </row>
        <row r="3741">
          <cell r="Z3741" t="str">
            <v>MOBILIARIO CLINICO</v>
          </cell>
          <cell r="AA3741" t="str">
            <v>HOSPITAL DR. GUSTAVO FRICKE</v>
          </cell>
        </row>
        <row r="3742">
          <cell r="Z3742" t="str">
            <v>MOBILIARIO CLINICO</v>
          </cell>
          <cell r="AA3742" t="str">
            <v>HOSPITAL DR. GUSTAVO FRICKE</v>
          </cell>
        </row>
        <row r="3743">
          <cell r="Z3743" t="str">
            <v>MOBILIARIO CLINICO</v>
          </cell>
          <cell r="AA3743" t="str">
            <v>HOSPITAL DR. GUSTAVO FRICKE</v>
          </cell>
        </row>
        <row r="3744">
          <cell r="Z3744" t="str">
            <v>MOBILIARIO CLINICO</v>
          </cell>
          <cell r="AA3744" t="str">
            <v>HOSPITAL DR. GUSTAVO FRICKE</v>
          </cell>
        </row>
        <row r="3745">
          <cell r="Z3745" t="str">
            <v>MOBILIARIO CLINICO</v>
          </cell>
          <cell r="AA3745" t="str">
            <v>HOSPITAL DR. GUSTAVO FRICKE</v>
          </cell>
        </row>
        <row r="3746">
          <cell r="Z3746" t="str">
            <v>MOBILIARIO CLINICO</v>
          </cell>
          <cell r="AA3746" t="str">
            <v>HOSPITAL DR. GUSTAVO FRICKE</v>
          </cell>
        </row>
        <row r="3747">
          <cell r="Z3747" t="str">
            <v>MOBILIARIO CLINICO</v>
          </cell>
          <cell r="AA3747" t="str">
            <v>HOSPITAL DE QUILPUE</v>
          </cell>
        </row>
        <row r="3748">
          <cell r="Z3748" t="str">
            <v>MOBILIARIO CLINICO</v>
          </cell>
          <cell r="AA3748" t="str">
            <v>HOSPITAL DR. GUSTAVO FRICKE</v>
          </cell>
        </row>
        <row r="3749">
          <cell r="Z3749" t="str">
            <v>MOBILIARIO CLINICO</v>
          </cell>
          <cell r="AA3749" t="str">
            <v>HOSPITAL DR. GUSTAVO FRICKE</v>
          </cell>
        </row>
        <row r="3750">
          <cell r="Z3750" t="str">
            <v>MOBILIARIO CLINICO</v>
          </cell>
          <cell r="AA3750" t="str">
            <v>HOSPITAL DR. GUSTAVO FRICKE</v>
          </cell>
        </row>
        <row r="3751">
          <cell r="Z3751" t="str">
            <v>MOBILIARIO CLINICO</v>
          </cell>
          <cell r="AA3751" t="str">
            <v>HOSPITAL DR. GUSTAVO FRICKE</v>
          </cell>
        </row>
        <row r="3752">
          <cell r="Z3752" t="str">
            <v>MOBILIARIO CLINICO</v>
          </cell>
          <cell r="AA3752" t="str">
            <v>HOSPITAL DR. GUSTAVO FRICKE</v>
          </cell>
        </row>
        <row r="3753">
          <cell r="Z3753" t="str">
            <v>MOBILIARIO CLINICO</v>
          </cell>
          <cell r="AA3753" t="str">
            <v>HOSPITAL DR. GUSTAVO FRICKE</v>
          </cell>
        </row>
        <row r="3754">
          <cell r="Z3754" t="str">
            <v>MOBILIARIO CLINICO</v>
          </cell>
          <cell r="AA3754" t="str">
            <v>HOSPITAL DR. GUSTAVO FRICKE</v>
          </cell>
        </row>
        <row r="3755">
          <cell r="Z3755" t="str">
            <v>MOBILIARIO CLINICO</v>
          </cell>
          <cell r="AA3755" t="str">
            <v>HOSPITAL DR. GUSTAVO FRICKE</v>
          </cell>
        </row>
        <row r="3756">
          <cell r="Z3756" t="str">
            <v>MOBILIARIO CLINICO</v>
          </cell>
          <cell r="AA3756" t="str">
            <v>HOSPITAL DR. GUSTAVO FRICKE</v>
          </cell>
        </row>
        <row r="3757">
          <cell r="Z3757" t="str">
            <v>MOBILIARIO CLINICO</v>
          </cell>
          <cell r="AA3757" t="str">
            <v>HOSPITAL DR. GUSTAVO FRICKE</v>
          </cell>
        </row>
        <row r="3758">
          <cell r="Z3758" t="str">
            <v>MOBILIARIO CLINICO</v>
          </cell>
          <cell r="AA3758" t="str">
            <v>HOSPITAL DE QUILPUE</v>
          </cell>
        </row>
        <row r="3759">
          <cell r="Z3759" t="str">
            <v>MOBILIARIO CLINICO</v>
          </cell>
          <cell r="AA3759" t="str">
            <v>HOSPITAL DR. GUSTAVO FRICKE</v>
          </cell>
        </row>
        <row r="3760">
          <cell r="Z3760" t="str">
            <v>MOBILIARIO CLINICO</v>
          </cell>
          <cell r="AA3760" t="str">
            <v>HOSPITAL DE COPIAPO</v>
          </cell>
        </row>
        <row r="3761">
          <cell r="Z3761" t="str">
            <v>MOBILIARIO CLINICO</v>
          </cell>
          <cell r="AA3761" t="str">
            <v>HOSPITAL DR. LUIS TISNE B.</v>
          </cell>
        </row>
        <row r="3762">
          <cell r="Z3762" t="str">
            <v>MOBILIARIO CLINICO</v>
          </cell>
          <cell r="AA3762" t="str">
            <v>HOSPITAL DE COPIAPO</v>
          </cell>
        </row>
        <row r="3763">
          <cell r="Z3763" t="str">
            <v>MOBILIARIO CLINICO</v>
          </cell>
          <cell r="AA3763" t="str">
            <v>HOSPITAL DR. LUIS TISNE B.</v>
          </cell>
        </row>
        <row r="3764">
          <cell r="Z3764" t="str">
            <v>MOBILIARIO CLINICO</v>
          </cell>
          <cell r="AA3764" t="str">
            <v>HOSPITAL DE COPIAPO</v>
          </cell>
        </row>
        <row r="3765">
          <cell r="Z3765" t="str">
            <v>MOBILIARIO CLINICO</v>
          </cell>
          <cell r="AA3765" t="str">
            <v>HOSPITAL DE COPIAPO</v>
          </cell>
        </row>
        <row r="3766">
          <cell r="Z3766" t="str">
            <v>MOBILIARIO CLINICO</v>
          </cell>
          <cell r="AA3766" t="str">
            <v>HOSPITAL DE COPIAPO</v>
          </cell>
        </row>
        <row r="3767">
          <cell r="Z3767" t="str">
            <v>MOBILIARIO CLINICO</v>
          </cell>
          <cell r="AA3767" t="str">
            <v>HOSPITAL DE COPIAPO</v>
          </cell>
        </row>
        <row r="3768">
          <cell r="Z3768" t="str">
            <v>MOBILIARIO CLINICO</v>
          </cell>
          <cell r="AA3768" t="str">
            <v>HOSPITAL DE COPIAPO</v>
          </cell>
        </row>
        <row r="3769">
          <cell r="Z3769" t="str">
            <v>MOBILIARIO CLINICO</v>
          </cell>
          <cell r="AA3769" t="str">
            <v>HOSPITAL DE COPIAPO</v>
          </cell>
        </row>
        <row r="3770">
          <cell r="Z3770" t="str">
            <v>MOBILIARIO CLINICO</v>
          </cell>
          <cell r="AA3770" t="str">
            <v>HOSPITAL DE COPIAPO</v>
          </cell>
        </row>
        <row r="3771">
          <cell r="Z3771" t="str">
            <v>MOBILIARIO CLINICO</v>
          </cell>
          <cell r="AA3771" t="str">
            <v>HOSPITAL DE COPIAPO</v>
          </cell>
        </row>
        <row r="3772">
          <cell r="Z3772" t="str">
            <v>MOBILIARIO CLINICO</v>
          </cell>
          <cell r="AA3772" t="str">
            <v>HOSPITAL DE COPIAPO</v>
          </cell>
        </row>
        <row r="3773">
          <cell r="Z3773" t="str">
            <v>MOBILIARIO CLINICO</v>
          </cell>
          <cell r="AA3773" t="str">
            <v>HOSPITAL DE COPIAPO</v>
          </cell>
        </row>
        <row r="3774">
          <cell r="Z3774" t="str">
            <v>MOBILIARIO CLINICO</v>
          </cell>
          <cell r="AA3774" t="str">
            <v>HOSPITAL DE COPIAPO</v>
          </cell>
        </row>
        <row r="3775">
          <cell r="Z3775" t="str">
            <v>MOBILIARIO CLINICO</v>
          </cell>
          <cell r="AA3775" t="str">
            <v>HOSPITAL DE COPIAPO</v>
          </cell>
        </row>
        <row r="3776">
          <cell r="Z3776" t="str">
            <v>MOBILIARIO CLINICO</v>
          </cell>
          <cell r="AA3776" t="str">
            <v>HOSPITAL DE COPIAPO</v>
          </cell>
        </row>
        <row r="3777">
          <cell r="Z3777" t="str">
            <v>MOBILIARIO CLINICO</v>
          </cell>
          <cell r="AA3777" t="str">
            <v>HOSPITAL DE COPIAPO</v>
          </cell>
        </row>
        <row r="3778">
          <cell r="Z3778" t="str">
            <v>MOBILIARIO CLINICO</v>
          </cell>
          <cell r="AA3778" t="str">
            <v>HOSPITAL DE COPIAPO</v>
          </cell>
        </row>
        <row r="3779">
          <cell r="Z3779" t="str">
            <v>MOBILIARIO CLINICO</v>
          </cell>
          <cell r="AA3779" t="str">
            <v>HOSPITAL DE COPIAPO</v>
          </cell>
        </row>
        <row r="3780">
          <cell r="Z3780" t="str">
            <v>MOBILIARIO CLINICO</v>
          </cell>
          <cell r="AA3780" t="str">
            <v>HOSPITAL DE COPIAPO</v>
          </cell>
        </row>
        <row r="3781">
          <cell r="Z3781" t="str">
            <v>MOBILIARIO CLINICO</v>
          </cell>
          <cell r="AA3781" t="str">
            <v>HOSPITAL DE COPIAPO</v>
          </cell>
        </row>
        <row r="3782">
          <cell r="Z3782" t="str">
            <v>MOBILIARIO CLINICO</v>
          </cell>
          <cell r="AA3782" t="str">
            <v>HOSPITAL DE COPIAPO</v>
          </cell>
        </row>
        <row r="3783">
          <cell r="Z3783" t="str">
            <v>MOBILIARIO CLINICO</v>
          </cell>
          <cell r="AA3783" t="str">
            <v>HOSPITAL DE COPIAPO</v>
          </cell>
        </row>
        <row r="3784">
          <cell r="Z3784" t="str">
            <v>MOBILIARIO CLINICO</v>
          </cell>
          <cell r="AA3784" t="str">
            <v>HOSPITAL DE COPIAPO</v>
          </cell>
        </row>
        <row r="3785">
          <cell r="Z3785" t="str">
            <v>MOBILIARIO CLINICO</v>
          </cell>
          <cell r="AA3785" t="str">
            <v>HOSPITAL DE COPIAPO</v>
          </cell>
        </row>
        <row r="3786">
          <cell r="Z3786" t="str">
            <v>MOBILIARIO CLINICO</v>
          </cell>
          <cell r="AA3786" t="str">
            <v>HOSPITAL DE COPIAPO</v>
          </cell>
        </row>
        <row r="3787">
          <cell r="Z3787" t="str">
            <v>MOBILIARIO CLINICO</v>
          </cell>
          <cell r="AA3787" t="str">
            <v>HOSPITAL DE COPIAPO</v>
          </cell>
        </row>
        <row r="3788">
          <cell r="Z3788" t="str">
            <v>MOBILIARIO CLINICO</v>
          </cell>
          <cell r="AA3788" t="str">
            <v>HOSPITAL DE COPIAPO</v>
          </cell>
        </row>
        <row r="3789">
          <cell r="Z3789" t="str">
            <v>MOBILIARIO CLINICO</v>
          </cell>
          <cell r="AA3789" t="str">
            <v>HOSPITAL DE COPIAPO</v>
          </cell>
        </row>
        <row r="3790">
          <cell r="Z3790" t="str">
            <v>MOBILIARIO CLINICO</v>
          </cell>
          <cell r="AA3790" t="str">
            <v>HOSPITAL DE COPIAPO</v>
          </cell>
        </row>
        <row r="3791">
          <cell r="Z3791" t="str">
            <v>MOBILIARIO CLINICO</v>
          </cell>
          <cell r="AA3791" t="str">
            <v>HOSPITAL DE COPIAPO</v>
          </cell>
        </row>
        <row r="3792">
          <cell r="Z3792" t="str">
            <v>MOBILIARIO CLINICO</v>
          </cell>
          <cell r="AA3792" t="str">
            <v>HOSPITAL DE COPIAPO</v>
          </cell>
        </row>
        <row r="3793">
          <cell r="Z3793" t="str">
            <v>MOBILIARIO CLINICO</v>
          </cell>
          <cell r="AA3793" t="str">
            <v>HOSPITAL DE COPIAPO</v>
          </cell>
        </row>
        <row r="3794">
          <cell r="Z3794" t="str">
            <v>MOBILIARIO CLINICO</v>
          </cell>
          <cell r="AA3794" t="str">
            <v>HOSPITAL DE COPIAPO</v>
          </cell>
        </row>
        <row r="3795">
          <cell r="Z3795" t="str">
            <v>MOBILIARIO CLINICO</v>
          </cell>
          <cell r="AA3795" t="str">
            <v>HOSPITAL DE COPIAPO</v>
          </cell>
        </row>
        <row r="3796">
          <cell r="Z3796" t="str">
            <v>MOBILIARIO CLINICO</v>
          </cell>
          <cell r="AA3796" t="str">
            <v>HOSPITAL DE COPIAPO</v>
          </cell>
        </row>
        <row r="3797">
          <cell r="Z3797" t="str">
            <v>MOBILIARIO CLINICO</v>
          </cell>
          <cell r="AA3797" t="str">
            <v>HOSPITAL DE COPIAPO</v>
          </cell>
        </row>
        <row r="3798">
          <cell r="Z3798" t="str">
            <v>MOBILIARIO CLINICO</v>
          </cell>
          <cell r="AA3798" t="str">
            <v>HOSPITAL DE COPIAPO</v>
          </cell>
        </row>
        <row r="3799">
          <cell r="Z3799" t="str">
            <v>MOBILIARIO CLINICO</v>
          </cell>
          <cell r="AA3799" t="str">
            <v>HOSPITAL DE COPIAPO</v>
          </cell>
        </row>
        <row r="3800">
          <cell r="Z3800" t="str">
            <v>MOBILIARIO CLINICO</v>
          </cell>
          <cell r="AA3800" t="str">
            <v>HOSPITAL DE COPIAPO</v>
          </cell>
        </row>
        <row r="3801">
          <cell r="Z3801" t="str">
            <v>MOBILIARIO CLINICO</v>
          </cell>
          <cell r="AA3801" t="str">
            <v>HOSPITAL DE COPIAPO</v>
          </cell>
        </row>
        <row r="3802">
          <cell r="Z3802" t="str">
            <v>MOBILIARIO CLINICO</v>
          </cell>
          <cell r="AA3802" t="str">
            <v>HOSPITAL DE COPIAPO</v>
          </cell>
        </row>
        <row r="3803">
          <cell r="Z3803" t="str">
            <v>MOBILIARIO CLINICO</v>
          </cell>
          <cell r="AA3803" t="str">
            <v>HOSPITAL DE COPIAPO</v>
          </cell>
        </row>
        <row r="3804">
          <cell r="Z3804" t="str">
            <v>MOBILIARIO CLINICO</v>
          </cell>
          <cell r="AA3804" t="str">
            <v>HOSPITAL DE COPIAPO</v>
          </cell>
        </row>
        <row r="3805">
          <cell r="Z3805" t="str">
            <v>MOBILIARIO CLINICO</v>
          </cell>
          <cell r="AA3805" t="str">
            <v>HOSPITAL DE COPIAPO</v>
          </cell>
        </row>
        <row r="3806">
          <cell r="Z3806" t="str">
            <v>MOBILIARIO CLINICO</v>
          </cell>
          <cell r="AA3806" t="str">
            <v>HOSPITAL DE COPIAPO</v>
          </cell>
        </row>
        <row r="3807">
          <cell r="Z3807" t="str">
            <v>MOBILIARIO CLINICO</v>
          </cell>
          <cell r="AA3807" t="str">
            <v>HOSPITAL DE COPIAPO</v>
          </cell>
        </row>
        <row r="3808">
          <cell r="Z3808" t="str">
            <v>MOBILIARIO CLINICO</v>
          </cell>
          <cell r="AA3808" t="str">
            <v>HOSPITAL DE COPIAPO</v>
          </cell>
        </row>
        <row r="3809">
          <cell r="Z3809" t="str">
            <v>MOBILIARIO CLINICO</v>
          </cell>
          <cell r="AA3809" t="str">
            <v>HOSPITAL DE COPIAPO</v>
          </cell>
        </row>
        <row r="3810">
          <cell r="Z3810" t="str">
            <v>MOBILIARIO CLINICO</v>
          </cell>
          <cell r="AA3810" t="str">
            <v>HOSPITAL DE COPIAPO</v>
          </cell>
        </row>
        <row r="3811">
          <cell r="Z3811" t="str">
            <v>MOBILIARIO CLINICO</v>
          </cell>
          <cell r="AA3811" t="str">
            <v>HOSPITAL DE COPIAPO</v>
          </cell>
        </row>
        <row r="3812">
          <cell r="Z3812" t="str">
            <v>MOBILIARIO CLINICO</v>
          </cell>
          <cell r="AA3812" t="str">
            <v>HOSPITAL DE COPIAPO</v>
          </cell>
        </row>
        <row r="3813">
          <cell r="Z3813" t="str">
            <v>MOBILIARIO CLINICO</v>
          </cell>
          <cell r="AA3813" t="str">
            <v>HOSPITAL DE COPIAPO</v>
          </cell>
        </row>
        <row r="3814">
          <cell r="Z3814" t="str">
            <v>MOBILIARIO CLINICO</v>
          </cell>
          <cell r="AA3814" t="str">
            <v>HOSPITAL DE COPIAPO</v>
          </cell>
        </row>
        <row r="3815">
          <cell r="Z3815" t="str">
            <v>MOBILIARIO CLINICO</v>
          </cell>
          <cell r="AA3815" t="str">
            <v>HOSPITAL DE COPIAPO</v>
          </cell>
        </row>
        <row r="3816">
          <cell r="Z3816" t="str">
            <v>MOBILIARIO CLINICO</v>
          </cell>
          <cell r="AA3816" t="str">
            <v>HOSPITAL DE COPIAPO</v>
          </cell>
        </row>
        <row r="3817">
          <cell r="Z3817" t="str">
            <v>MOBILIARIO CLINICO</v>
          </cell>
          <cell r="AA3817" t="str">
            <v>HOSPITAL DE COPIAPO</v>
          </cell>
        </row>
        <row r="3818">
          <cell r="Z3818" t="str">
            <v>MOBILIARIO CLINICO</v>
          </cell>
          <cell r="AA3818" t="str">
            <v>HOSPITAL DE COPIAPO</v>
          </cell>
        </row>
        <row r="3819">
          <cell r="Z3819" t="str">
            <v>MOBILIARIO CLINICO</v>
          </cell>
          <cell r="AA3819" t="str">
            <v>HOSPITAL DE COPIAPO</v>
          </cell>
        </row>
        <row r="3820">
          <cell r="Z3820" t="str">
            <v>MOBILIARIO CLINICO</v>
          </cell>
          <cell r="AA3820" t="str">
            <v>HOSPITAL DE COPIAPO</v>
          </cell>
        </row>
        <row r="3821">
          <cell r="Z3821" t="str">
            <v>MOBILIARIO CLINICO</v>
          </cell>
          <cell r="AA3821" t="str">
            <v>HOSPITAL DE COPIAPO</v>
          </cell>
        </row>
        <row r="3822">
          <cell r="Z3822" t="str">
            <v>MOBILIARIO CLINICO</v>
          </cell>
          <cell r="AA3822" t="str">
            <v>HOSPITAL DE COPIAPO</v>
          </cell>
        </row>
        <row r="3823">
          <cell r="Z3823" t="str">
            <v>MOBILIARIO CLINICO</v>
          </cell>
          <cell r="AA3823" t="str">
            <v>HOSPITAL DE COPIAPO</v>
          </cell>
        </row>
        <row r="3824">
          <cell r="Z3824" t="str">
            <v>MOBILIARIO CLINICO</v>
          </cell>
          <cell r="AA3824" t="str">
            <v>HOSPITAL DE COPIAPO</v>
          </cell>
        </row>
        <row r="3825">
          <cell r="Z3825" t="str">
            <v>MOBILIARIO CLINICO</v>
          </cell>
          <cell r="AA3825" t="str">
            <v>HOSPITAL DE COPIAPO</v>
          </cell>
        </row>
        <row r="3826">
          <cell r="Z3826" t="str">
            <v>MOBILIARIO CLINICO</v>
          </cell>
          <cell r="AA3826" t="str">
            <v>HOSPITAL DE COPIAPO</v>
          </cell>
        </row>
        <row r="3827">
          <cell r="Z3827" t="str">
            <v>MOBILIARIO CLINICO</v>
          </cell>
          <cell r="AA3827" t="str">
            <v>HOSPITAL DE COPIAPO</v>
          </cell>
        </row>
        <row r="3828">
          <cell r="Z3828" t="str">
            <v>MOBILIARIO CLINICO</v>
          </cell>
          <cell r="AA3828" t="str">
            <v>HOSPITAL DE COPIAPO</v>
          </cell>
        </row>
        <row r="3829">
          <cell r="Z3829" t="str">
            <v>MOBILIARIO CLINICO</v>
          </cell>
          <cell r="AA3829" t="str">
            <v>HOSPITAL DE COPIAPO</v>
          </cell>
        </row>
        <row r="3830">
          <cell r="Z3830" t="str">
            <v>MOBILIARIO CLINICO</v>
          </cell>
          <cell r="AA3830" t="str">
            <v>HOSPITAL DE COPIAPO</v>
          </cell>
        </row>
        <row r="3831">
          <cell r="Z3831" t="str">
            <v>MOBILIARIO CLINICO</v>
          </cell>
          <cell r="AA3831" t="str">
            <v>HOSPITAL DE COPIAPO</v>
          </cell>
        </row>
        <row r="3832">
          <cell r="Z3832" t="str">
            <v>MOBILIARIO CLINICO</v>
          </cell>
          <cell r="AA3832" t="str">
            <v>HOSPITAL DE COPIAPO</v>
          </cell>
        </row>
        <row r="3833">
          <cell r="Z3833" t="str">
            <v>MOBILIARIO CLINICO</v>
          </cell>
          <cell r="AA3833" t="str">
            <v>HOSPITAL DE COPIAPO</v>
          </cell>
        </row>
        <row r="3834">
          <cell r="Z3834" t="str">
            <v>MOBILIARIO CLINICO</v>
          </cell>
          <cell r="AA3834" t="str">
            <v>HOSPITAL DE COPIAPO</v>
          </cell>
        </row>
        <row r="3835">
          <cell r="Z3835" t="str">
            <v>MOBILIARIO CLINICO</v>
          </cell>
          <cell r="AA3835" t="str">
            <v>HOSPITAL DE COPIAPO</v>
          </cell>
        </row>
        <row r="3836">
          <cell r="Z3836" t="str">
            <v>MOBILIARIO CLINICO</v>
          </cell>
          <cell r="AA3836" t="str">
            <v>HOSPITAL DE COPIAPO</v>
          </cell>
        </row>
        <row r="3837">
          <cell r="Z3837" t="str">
            <v>MOBILIARIO CLINICO</v>
          </cell>
          <cell r="AA3837" t="str">
            <v>HOSPITAL DE COPIAPO</v>
          </cell>
        </row>
        <row r="3838">
          <cell r="Z3838" t="str">
            <v>MOBILIARIO CLINICO</v>
          </cell>
          <cell r="AA3838" t="str">
            <v>HOSPITAL DE COPIAPO</v>
          </cell>
        </row>
        <row r="3839">
          <cell r="Z3839" t="str">
            <v>MOBILIARIO CLINICO</v>
          </cell>
          <cell r="AA3839" t="str">
            <v>HOSPITAL DE COPIAPO</v>
          </cell>
        </row>
        <row r="3840">
          <cell r="Z3840" t="str">
            <v>MOBILIARIO CLINICO</v>
          </cell>
          <cell r="AA3840" t="str">
            <v>HOSPITAL DE COPIAPO</v>
          </cell>
        </row>
        <row r="3841">
          <cell r="Z3841" t="str">
            <v>MOBILIARIO CLINICO</v>
          </cell>
          <cell r="AA3841" t="str">
            <v>HOSPITAL DE COPIAPO</v>
          </cell>
        </row>
        <row r="3842">
          <cell r="Z3842" t="str">
            <v>MOBILIARIO CLINICO</v>
          </cell>
          <cell r="AA3842" t="str">
            <v>HOSPITAL DE COPIAPO</v>
          </cell>
        </row>
        <row r="3843">
          <cell r="Z3843" t="str">
            <v>MOBILIARIO CLINICO</v>
          </cell>
          <cell r="AA3843" t="str">
            <v>HOSPITAL DE COPIAPO</v>
          </cell>
        </row>
        <row r="3844">
          <cell r="Z3844" t="str">
            <v>MOBILIARIO CLINICO</v>
          </cell>
          <cell r="AA3844" t="str">
            <v>HOSPITAL DE COPIAPO</v>
          </cell>
        </row>
        <row r="3845">
          <cell r="Z3845" t="str">
            <v>MOBILIARIO CLINICO</v>
          </cell>
          <cell r="AA3845" t="str">
            <v>HOSPITAL DE COPIAPO</v>
          </cell>
        </row>
        <row r="3846">
          <cell r="Z3846" t="str">
            <v>MOBILIARIO CLINICO</v>
          </cell>
          <cell r="AA3846" t="str">
            <v>HOSPITAL DE COPIAPO</v>
          </cell>
        </row>
        <row r="3847">
          <cell r="Z3847" t="str">
            <v>MOBILIARIO CLINICO</v>
          </cell>
          <cell r="AA3847" t="str">
            <v>HOSPITAL DE COPIAPO</v>
          </cell>
        </row>
        <row r="3848">
          <cell r="Z3848" t="str">
            <v>MOBILIARIO CLINICO</v>
          </cell>
          <cell r="AA3848" t="str">
            <v>HOSPITAL DE COPIAPO</v>
          </cell>
        </row>
        <row r="3849">
          <cell r="Z3849" t="str">
            <v>MOBILIARIO CLINICO</v>
          </cell>
          <cell r="AA3849" t="str">
            <v>HOSPITAL DE COPIAPO</v>
          </cell>
        </row>
        <row r="3850">
          <cell r="Z3850" t="str">
            <v>MOBILIARIO CLINICO</v>
          </cell>
          <cell r="AA3850" t="str">
            <v>HOSPITAL DE COPIAPO</v>
          </cell>
        </row>
        <row r="3851">
          <cell r="Z3851" t="str">
            <v>MOBILIARIO CLINICO</v>
          </cell>
          <cell r="AA3851" t="str">
            <v>HOSPITAL DE COPIAPO</v>
          </cell>
        </row>
        <row r="3852">
          <cell r="Z3852" t="str">
            <v>MOBILIARIO CLINICO</v>
          </cell>
          <cell r="AA3852" t="str">
            <v>HOSPITAL DE COPIAPO</v>
          </cell>
        </row>
        <row r="3853">
          <cell r="Z3853" t="str">
            <v>MOBILIARIO CLINICO</v>
          </cell>
          <cell r="AA3853" t="str">
            <v>HOSPITAL DE COPIAPO</v>
          </cell>
        </row>
        <row r="3854">
          <cell r="Z3854" t="str">
            <v>MOBILIARIO CLINICO</v>
          </cell>
          <cell r="AA3854" t="str">
            <v>HOSPITAL DE COPIAPO</v>
          </cell>
        </row>
        <row r="3855">
          <cell r="Z3855" t="str">
            <v>MOBILIARIO CLINICO</v>
          </cell>
          <cell r="AA3855" t="str">
            <v>HOSPITAL DE COPIAPO</v>
          </cell>
        </row>
        <row r="3856">
          <cell r="Z3856" t="str">
            <v>MOBILIARIO CLINICO</v>
          </cell>
          <cell r="AA3856" t="str">
            <v>HOSPITAL DE COPIAPO</v>
          </cell>
        </row>
        <row r="3857">
          <cell r="Z3857" t="str">
            <v>MOBILIARIO CLINICO</v>
          </cell>
          <cell r="AA3857" t="str">
            <v>HOSPITAL DE COPIAPO</v>
          </cell>
        </row>
        <row r="3858">
          <cell r="Z3858" t="str">
            <v>MOBILIARIO CLINICO</v>
          </cell>
          <cell r="AA3858" t="str">
            <v>HOSPITAL DE COPIAPO</v>
          </cell>
        </row>
        <row r="3859">
          <cell r="Z3859" t="str">
            <v>MOBILIARIO CLINICO</v>
          </cell>
          <cell r="AA3859" t="str">
            <v>HOSPITAL DE COPIAPO</v>
          </cell>
        </row>
        <row r="3860">
          <cell r="Z3860" t="str">
            <v>MOBILIARIO CLINICO</v>
          </cell>
          <cell r="AA3860" t="str">
            <v>HOSPITAL DE COPIAPO</v>
          </cell>
        </row>
        <row r="3861">
          <cell r="Z3861" t="str">
            <v>MOBILIARIO CLINICO</v>
          </cell>
          <cell r="AA3861" t="str">
            <v>HOSPITAL DE COPIAPO</v>
          </cell>
        </row>
        <row r="3862">
          <cell r="Z3862" t="str">
            <v>MOBILIARIO CLINICO</v>
          </cell>
          <cell r="AA3862" t="str">
            <v>HOSPITAL DE COPIAPO</v>
          </cell>
        </row>
        <row r="3863">
          <cell r="Z3863" t="str">
            <v>MOBILIARIO CLINICO</v>
          </cell>
          <cell r="AA3863" t="str">
            <v>HOSPITAL DE COPIAPO</v>
          </cell>
        </row>
        <row r="3864">
          <cell r="Z3864" t="str">
            <v>MOBILIARIO CLINICO</v>
          </cell>
          <cell r="AA3864" t="str">
            <v>HOSPITAL DE COPIAPO</v>
          </cell>
        </row>
        <row r="3865">
          <cell r="Z3865" t="str">
            <v>MOBILIARIO CLINICO</v>
          </cell>
          <cell r="AA3865" t="str">
            <v>HOSPITAL DE COPIAPO</v>
          </cell>
        </row>
        <row r="3866">
          <cell r="Z3866" t="str">
            <v>MOBILIARIO CLINICO</v>
          </cell>
          <cell r="AA3866" t="str">
            <v>HOSPITAL DE COPIAPO</v>
          </cell>
        </row>
        <row r="3867">
          <cell r="Z3867" t="str">
            <v>MOBILIARIO CLINICO</v>
          </cell>
          <cell r="AA3867" t="str">
            <v>HOSPITAL DE COPIAPO</v>
          </cell>
        </row>
        <row r="3868">
          <cell r="Z3868" t="str">
            <v>MOBILIARIO CLINICO</v>
          </cell>
          <cell r="AA3868" t="str">
            <v>HOSPITAL DE COPIAPO</v>
          </cell>
        </row>
        <row r="3869">
          <cell r="Z3869" t="str">
            <v>MOBILIARIO CLINICO</v>
          </cell>
          <cell r="AA3869" t="str">
            <v>HOSPITAL DE COPIAPO</v>
          </cell>
        </row>
        <row r="3870">
          <cell r="Z3870" t="str">
            <v>MOBILIARIO CLINICO</v>
          </cell>
          <cell r="AA3870" t="str">
            <v>HOSPITAL DE COPIAPO</v>
          </cell>
        </row>
        <row r="3871">
          <cell r="Z3871" t="str">
            <v>MOBILIARIO CLINICO</v>
          </cell>
          <cell r="AA3871" t="str">
            <v>HOSPITAL DE COPIAPO</v>
          </cell>
        </row>
        <row r="3872">
          <cell r="Z3872" t="str">
            <v>MOBILIARIO CLINICO</v>
          </cell>
          <cell r="AA3872" t="str">
            <v>HOSPITAL DE COPIAPO</v>
          </cell>
        </row>
        <row r="3873">
          <cell r="Z3873" t="str">
            <v>MOBILIARIO CLINICO</v>
          </cell>
          <cell r="AA3873" t="str">
            <v>HOSPITAL DE COPIAPO</v>
          </cell>
        </row>
        <row r="3874">
          <cell r="Z3874" t="str">
            <v>MOBILIARIO CLINICO</v>
          </cell>
          <cell r="AA3874" t="str">
            <v>HOSPITAL DE COPIAPO</v>
          </cell>
        </row>
        <row r="3875">
          <cell r="Z3875" t="str">
            <v>MOBILIARIO CLINICO</v>
          </cell>
          <cell r="AA3875" t="str">
            <v>HOSPITAL DE COPIAPO</v>
          </cell>
        </row>
        <row r="3876">
          <cell r="Z3876" t="str">
            <v>MOBILIARIO CLINICO</v>
          </cell>
          <cell r="AA3876" t="str">
            <v>HOSPITAL DE COPIAPO</v>
          </cell>
        </row>
        <row r="3877">
          <cell r="Z3877" t="str">
            <v>MOBILIARIO CLINICO</v>
          </cell>
          <cell r="AA3877" t="str">
            <v>HOSPITAL DE COPIAPO</v>
          </cell>
        </row>
        <row r="3878">
          <cell r="Z3878" t="str">
            <v>MOBILIARIO CLINICO</v>
          </cell>
          <cell r="AA3878" t="str">
            <v>HOSPITAL DE COPIAPO</v>
          </cell>
        </row>
        <row r="3879">
          <cell r="Z3879" t="str">
            <v>MOBILIARIO CLINICO</v>
          </cell>
          <cell r="AA3879" t="str">
            <v>HOSPITAL DE COPIAPO</v>
          </cell>
        </row>
        <row r="3880">
          <cell r="Z3880" t="str">
            <v>MOBILIARIO CLINICO</v>
          </cell>
          <cell r="AA3880" t="str">
            <v>HOSPITAL DE COPIAPO</v>
          </cell>
        </row>
        <row r="3881">
          <cell r="Z3881" t="str">
            <v>MOBILIARIO CLINICO</v>
          </cell>
          <cell r="AA3881" t="str">
            <v>HOSPITAL DE COPIAPO</v>
          </cell>
        </row>
        <row r="3882">
          <cell r="Z3882" t="str">
            <v>MOBILIARIO CLINICO</v>
          </cell>
          <cell r="AA3882" t="str">
            <v>HOSPITAL DE COPIAPO</v>
          </cell>
        </row>
        <row r="3883">
          <cell r="Z3883" t="str">
            <v>MOBILIARIO CLINICO</v>
          </cell>
          <cell r="AA3883" t="str">
            <v>HOSPITAL DE COPIAPO</v>
          </cell>
        </row>
        <row r="3884">
          <cell r="Z3884" t="str">
            <v>MOBILIARIO CLINICO</v>
          </cell>
          <cell r="AA3884" t="str">
            <v>HOSPITAL DE COPIAPO</v>
          </cell>
        </row>
        <row r="3885">
          <cell r="Z3885" t="str">
            <v>MOBILIARIO CLINICO</v>
          </cell>
          <cell r="AA3885" t="str">
            <v>HOSPITAL DE COPIAPO</v>
          </cell>
        </row>
        <row r="3886">
          <cell r="Z3886" t="str">
            <v>MOBILIARIO CLINICO</v>
          </cell>
          <cell r="AA3886" t="str">
            <v>HOSPITAL DE COPIAPO</v>
          </cell>
        </row>
        <row r="3887">
          <cell r="Z3887" t="str">
            <v>MOBILIARIO CLINICO</v>
          </cell>
          <cell r="AA3887" t="str">
            <v>HOSPITAL DE COPIAPO</v>
          </cell>
        </row>
        <row r="3888">
          <cell r="Z3888" t="str">
            <v>MOBILIARIO CLINICO</v>
          </cell>
          <cell r="AA3888" t="str">
            <v>HOSPITAL DE COPIAPO</v>
          </cell>
        </row>
        <row r="3889">
          <cell r="Z3889" t="str">
            <v>MOBILIARIO CLINICO</v>
          </cell>
          <cell r="AA3889" t="str">
            <v>HOSPITAL DE COPIAPO</v>
          </cell>
        </row>
        <row r="3890">
          <cell r="Z3890" t="str">
            <v>MOBILIARIO CLINICO</v>
          </cell>
          <cell r="AA3890" t="str">
            <v>HOSPITAL DE COPIAPO</v>
          </cell>
        </row>
        <row r="3891">
          <cell r="Z3891" t="str">
            <v>MOBILIARIO CLINICO</v>
          </cell>
          <cell r="AA3891" t="str">
            <v>HOSPITAL DE COPIAPO</v>
          </cell>
        </row>
        <row r="3892">
          <cell r="Z3892" t="str">
            <v>MOBILIARIO CLINICO</v>
          </cell>
          <cell r="AA3892" t="str">
            <v>HOSPITAL DE COPIAPO</v>
          </cell>
        </row>
        <row r="3893">
          <cell r="Z3893" t="str">
            <v>MOBILIARIO CLINICO</v>
          </cell>
          <cell r="AA3893" t="str">
            <v>HOSPITAL DE COPIAPO</v>
          </cell>
        </row>
        <row r="3894">
          <cell r="Z3894" t="str">
            <v>MOBILIARIO CLINICO</v>
          </cell>
          <cell r="AA3894" t="str">
            <v>HOSPITAL DE COPIAPO</v>
          </cell>
        </row>
        <row r="3895">
          <cell r="Z3895" t="str">
            <v>MOBILIARIO CLINICO</v>
          </cell>
          <cell r="AA3895" t="str">
            <v>HOSPITAL DE COPIAPO</v>
          </cell>
        </row>
        <row r="3896">
          <cell r="Z3896" t="str">
            <v>MOBILIARIO CLINICO</v>
          </cell>
          <cell r="AA3896" t="str">
            <v>HOSPITAL DE COPIAPO</v>
          </cell>
        </row>
        <row r="3897">
          <cell r="Z3897" t="str">
            <v>MOBILIARIO CLINICO</v>
          </cell>
          <cell r="AA3897" t="str">
            <v>HOSPITAL DE COPIAPO</v>
          </cell>
        </row>
        <row r="3898">
          <cell r="Z3898" t="str">
            <v>MOBILIARIO CLINICO</v>
          </cell>
          <cell r="AA3898" t="str">
            <v>HOSPITAL DR. GUSTAVO FRICKE</v>
          </cell>
        </row>
        <row r="3899">
          <cell r="Z3899" t="str">
            <v>MOBILIARIO CLINICO</v>
          </cell>
          <cell r="AA3899" t="str">
            <v>HOSPITAL DE COPIAPO</v>
          </cell>
        </row>
        <row r="3900">
          <cell r="Z3900" t="str">
            <v>MOBILIARIO CLINICO</v>
          </cell>
          <cell r="AA3900" t="str">
            <v>HOSPITAL DE COPIAPO</v>
          </cell>
        </row>
        <row r="3901">
          <cell r="Z3901" t="str">
            <v>MOBILIARIO CLINICO</v>
          </cell>
          <cell r="AA3901" t="str">
            <v>HOSPITAL DE COPIAPO</v>
          </cell>
        </row>
        <row r="3902">
          <cell r="Z3902" t="str">
            <v>MOBILIARIO CLINICO</v>
          </cell>
          <cell r="AA3902" t="str">
            <v>HOSPITAL PENCO -LIRQUEN</v>
          </cell>
        </row>
        <row r="3903">
          <cell r="Z3903" t="str">
            <v>MOBILIARIO CLINICO</v>
          </cell>
          <cell r="AA3903" t="str">
            <v>HOSPITAL PENCO -LIRQUEN</v>
          </cell>
        </row>
        <row r="3904">
          <cell r="Z3904" t="str">
            <v>MOBILIARIO CLINICO</v>
          </cell>
          <cell r="AA3904" t="str">
            <v>HOSPITAL PENCO -LIRQUEN</v>
          </cell>
        </row>
        <row r="3905">
          <cell r="Z3905" t="str">
            <v>MOBILIARIO CLINICO</v>
          </cell>
          <cell r="AA3905" t="str">
            <v>HOSPITAL PENCO -LIRQUEN</v>
          </cell>
        </row>
        <row r="3906">
          <cell r="Z3906" t="str">
            <v>MOBILIARIO CLINICO</v>
          </cell>
          <cell r="AA3906" t="str">
            <v>HOSPITAL DR. LUIS TISNE B.</v>
          </cell>
        </row>
        <row r="3907">
          <cell r="Z3907" t="str">
            <v>MOBILIARIO CLINICO</v>
          </cell>
          <cell r="AA3907" t="str">
            <v>HOSPITAL DE QUILLOTA</v>
          </cell>
        </row>
        <row r="3908">
          <cell r="Z3908" t="str">
            <v>MOBILIARIO CLINICO</v>
          </cell>
          <cell r="AA3908" t="str">
            <v>HOSPITAL DE QUILLOTA</v>
          </cell>
        </row>
        <row r="3909">
          <cell r="Z3909" t="str">
            <v>MOBILIARIO CLINICO</v>
          </cell>
          <cell r="AA3909" t="str">
            <v>HOSPITAL DE CABILDO</v>
          </cell>
        </row>
        <row r="3910">
          <cell r="Z3910" t="str">
            <v>MOBILIARIO CLINICO</v>
          </cell>
          <cell r="AA3910" t="str">
            <v>HOSPITAL DE CABILDO</v>
          </cell>
        </row>
        <row r="3911">
          <cell r="Z3911" t="str">
            <v>MOBILIARIO CLINICO</v>
          </cell>
          <cell r="AA3911" t="str">
            <v>HOSPITAL DE CABILDO</v>
          </cell>
        </row>
        <row r="3912">
          <cell r="Z3912" t="str">
            <v>MOBILIARIO CLINICO</v>
          </cell>
          <cell r="AA3912" t="str">
            <v>HOSPITAL DE CABILDO</v>
          </cell>
        </row>
        <row r="3913">
          <cell r="Z3913" t="str">
            <v>MOBILIARIO CLINICO</v>
          </cell>
          <cell r="AA3913" t="str">
            <v>HOSPITAL DE CABILDO</v>
          </cell>
        </row>
        <row r="3914">
          <cell r="Z3914" t="str">
            <v>MOBILIARIO CLINICO</v>
          </cell>
          <cell r="AA3914" t="str">
            <v>HOSPITAL DE CABILDO</v>
          </cell>
        </row>
        <row r="3915">
          <cell r="Z3915" t="str">
            <v>MOBILIARIO CLINICO</v>
          </cell>
          <cell r="AA3915" t="str">
            <v>HOSPITAL DE CABILDO</v>
          </cell>
        </row>
        <row r="3916">
          <cell r="Z3916" t="str">
            <v>MOBILIARIO CLINICO</v>
          </cell>
          <cell r="AA3916" t="str">
            <v>HOSPITAL DE CABILDO</v>
          </cell>
        </row>
        <row r="3917">
          <cell r="Z3917" t="str">
            <v>MOBILIARIO CLINICO</v>
          </cell>
          <cell r="AA3917" t="str">
            <v>HOSPITAL DE CABILDO</v>
          </cell>
        </row>
        <row r="3918">
          <cell r="Z3918" t="str">
            <v>MOBILIARIO CLINICO</v>
          </cell>
          <cell r="AA3918" t="str">
            <v>HOSPITAL DE CABILDO</v>
          </cell>
        </row>
        <row r="3919">
          <cell r="Z3919" t="str">
            <v>MOBILIARIO CLINICO</v>
          </cell>
          <cell r="AA3919" t="str">
            <v>HOSPITAL DE CABILDO</v>
          </cell>
        </row>
        <row r="3920">
          <cell r="Z3920" t="str">
            <v>MOBILIARIO CLINICO</v>
          </cell>
          <cell r="AA3920" t="str">
            <v>HOSPITAL DE CABILDO</v>
          </cell>
        </row>
        <row r="3921">
          <cell r="Z3921" t="str">
            <v>MOBILIARIO CLINICO</v>
          </cell>
          <cell r="AA3921" t="str">
            <v>HOSPITAL DE CABILDO</v>
          </cell>
        </row>
        <row r="3922">
          <cell r="Z3922" t="str">
            <v>MOBILIARIO CLINICO</v>
          </cell>
          <cell r="AA3922" t="str">
            <v>HOSPITAL DE CABILDO</v>
          </cell>
        </row>
        <row r="3923">
          <cell r="Z3923" t="str">
            <v>MOBILIARIO CLINICO</v>
          </cell>
          <cell r="AA3923" t="str">
            <v>HOSPITAL DE CABILDO</v>
          </cell>
        </row>
        <row r="3924">
          <cell r="Z3924" t="str">
            <v>MOBILIARIO CLINICO</v>
          </cell>
          <cell r="AA3924" t="str">
            <v>HOSPITAL DE CABILDO</v>
          </cell>
        </row>
        <row r="3925">
          <cell r="Z3925" t="str">
            <v>MOBILIARIO CLINICO</v>
          </cell>
          <cell r="AA3925" t="str">
            <v>HOSPITAL DE CABILDO</v>
          </cell>
        </row>
        <row r="3926">
          <cell r="Z3926" t="str">
            <v>MOBILIARIO CLINICO</v>
          </cell>
          <cell r="AA3926" t="str">
            <v>HOSPITAL DE CABILDO</v>
          </cell>
        </row>
        <row r="3927">
          <cell r="Z3927" t="str">
            <v>MOBILIARIO CLINICO</v>
          </cell>
          <cell r="AA3927" t="str">
            <v>HOSPITAL DE CABILDO</v>
          </cell>
        </row>
        <row r="3928">
          <cell r="Z3928" t="str">
            <v>MOBILIARIO CLINICO</v>
          </cell>
          <cell r="AA3928" t="str">
            <v>HOSPITAL DE CABILDO</v>
          </cell>
        </row>
        <row r="3929">
          <cell r="Z3929" t="str">
            <v>MOBILIARIO CLINICO</v>
          </cell>
          <cell r="AA3929" t="str">
            <v>HOSPITAL DE CABILDO</v>
          </cell>
        </row>
        <row r="3930">
          <cell r="Z3930" t="str">
            <v>MOBILIARIO CLINICO</v>
          </cell>
          <cell r="AA3930" t="str">
            <v>HOSPITAL DE CABILDO</v>
          </cell>
        </row>
        <row r="3931">
          <cell r="Z3931" t="str">
            <v>MOBILIARIO CLINICO</v>
          </cell>
          <cell r="AA3931" t="str">
            <v>HOSPITAL DE CABILDO</v>
          </cell>
        </row>
        <row r="3932">
          <cell r="Z3932" t="str">
            <v>MOBILIARIO CLINICO</v>
          </cell>
          <cell r="AA3932" t="str">
            <v>HOSPITAL DE CABILDO</v>
          </cell>
        </row>
        <row r="3933">
          <cell r="Z3933" t="str">
            <v>MOBILIARIO CLINICO</v>
          </cell>
          <cell r="AA3933" t="str">
            <v>HOSPITAL DE CABILDO</v>
          </cell>
        </row>
        <row r="3934">
          <cell r="Z3934" t="str">
            <v>MOBILIARIO CLINICO</v>
          </cell>
          <cell r="AA3934" t="str">
            <v>HOSPITAL DE CABILDO</v>
          </cell>
        </row>
        <row r="3935">
          <cell r="Z3935" t="str">
            <v>MOBILIARIO CLINICO</v>
          </cell>
          <cell r="AA3935" t="str">
            <v>HOSPITAL DE CABILDO</v>
          </cell>
        </row>
        <row r="3936">
          <cell r="Z3936" t="str">
            <v>MOBILIARIO CLINICO</v>
          </cell>
          <cell r="AA3936" t="str">
            <v>HOSPITAL DE CABILDO</v>
          </cell>
        </row>
        <row r="3937">
          <cell r="Z3937" t="str">
            <v>MOBILIARIO CLINICO</v>
          </cell>
          <cell r="AA3937" t="str">
            <v>HOSPITAL DE CABILDO</v>
          </cell>
        </row>
        <row r="3938">
          <cell r="Z3938" t="str">
            <v>MOBILIARIO CLINICO</v>
          </cell>
          <cell r="AA3938" t="str">
            <v>HOSPITAL DE CABILDO</v>
          </cell>
        </row>
        <row r="3939">
          <cell r="Z3939" t="str">
            <v>MOBILIARIO CLINICO</v>
          </cell>
          <cell r="AA3939" t="str">
            <v>HOSPITAL DE CABILDO</v>
          </cell>
        </row>
        <row r="3940">
          <cell r="Z3940" t="str">
            <v>MOBILIARIO CLINICO</v>
          </cell>
          <cell r="AA3940" t="str">
            <v>HOSPITAL DE CABILDO</v>
          </cell>
        </row>
        <row r="3941">
          <cell r="Z3941" t="str">
            <v>MOBILIARIO CLINICO</v>
          </cell>
          <cell r="AA3941" t="str">
            <v>HOSPITAL DE CABILDO</v>
          </cell>
        </row>
        <row r="3942">
          <cell r="Z3942" t="str">
            <v>MOBILIARIO CLINICO</v>
          </cell>
          <cell r="AA3942" t="str">
            <v>HOSPITAL DE CABILDO</v>
          </cell>
        </row>
        <row r="3943">
          <cell r="Z3943" t="str">
            <v>MOBILIARIO CLINICO</v>
          </cell>
          <cell r="AA3943" t="str">
            <v>HOSPITAL DE CABILDO</v>
          </cell>
        </row>
        <row r="3944">
          <cell r="Z3944" t="str">
            <v>MOBILIARIO CLINICO</v>
          </cell>
          <cell r="AA3944" t="str">
            <v>HOSPITAL BASE DE VALDIVIA</v>
          </cell>
        </row>
        <row r="3945">
          <cell r="Z3945" t="str">
            <v>MOBILIARIO CLINICO</v>
          </cell>
          <cell r="AA3945" t="str">
            <v>HOSPITAL BASE DE VALDIVIA</v>
          </cell>
        </row>
        <row r="3946">
          <cell r="Z3946" t="str">
            <v>MOBILIARIO CLINICO</v>
          </cell>
          <cell r="AA3946" t="str">
            <v>HOSPITAL BASE DE VALDIVIA</v>
          </cell>
        </row>
        <row r="3947">
          <cell r="Z3947" t="str">
            <v>MOBILIARIO CLINICO</v>
          </cell>
          <cell r="AA3947" t="str">
            <v>HOSPITAL BASE DE VALDIVIA</v>
          </cell>
        </row>
        <row r="3948">
          <cell r="Z3948" t="str">
            <v>MOBILIARIO CLINICO</v>
          </cell>
          <cell r="AA3948" t="str">
            <v>HOSPITAL BASE DE VALDIVIA</v>
          </cell>
        </row>
        <row r="3949">
          <cell r="Z3949" t="str">
            <v>MOBILIARIO CLINICO</v>
          </cell>
          <cell r="AA3949" t="str">
            <v>HOSPITAL BASE DE VALDIVIA</v>
          </cell>
        </row>
        <row r="3950">
          <cell r="Z3950" t="str">
            <v>MOBILIARIO CLINICO</v>
          </cell>
          <cell r="AA3950" t="str">
            <v>HOSPITAL BASE DE VALDIVIA</v>
          </cell>
        </row>
        <row r="3951">
          <cell r="Z3951" t="str">
            <v>MOBILIARIO CLINICO</v>
          </cell>
          <cell r="AA3951" t="str">
            <v>HOSPITAL BASE DE VALDIVIA</v>
          </cell>
        </row>
        <row r="3952">
          <cell r="Z3952" t="str">
            <v>MOBILIARIO CLINICO</v>
          </cell>
          <cell r="AA3952" t="str">
            <v>HOSPITAL BASE DE VALDIVIA</v>
          </cell>
        </row>
        <row r="3953">
          <cell r="Z3953" t="str">
            <v>MOBILIARIO CLINICO</v>
          </cell>
          <cell r="AA3953" t="str">
            <v>HOSPITAL BASE DE VALDIVIA</v>
          </cell>
        </row>
        <row r="3954">
          <cell r="Z3954" t="str">
            <v>MOBILIARIO CLINICO</v>
          </cell>
          <cell r="AA3954" t="str">
            <v>GEMCO GENERAL MACHINERY S.A.</v>
          </cell>
        </row>
        <row r="3955">
          <cell r="Z3955" t="str">
            <v>MOBILIARIO CLINICO</v>
          </cell>
          <cell r="AA3955" t="str">
            <v>HOSPITAL PENCO -LIRQUEN</v>
          </cell>
        </row>
        <row r="3956">
          <cell r="Z3956" t="str">
            <v>MOBILIARIO CLINICO</v>
          </cell>
          <cell r="AA3956" t="str">
            <v>GEMCO GENERAL MACHINERY S.A.</v>
          </cell>
        </row>
        <row r="3957">
          <cell r="Z3957" t="str">
            <v>MOBILIARIO CLINICO</v>
          </cell>
        </row>
        <row r="3958">
          <cell r="Z3958" t="str">
            <v>MOBILIARIO CLINICO</v>
          </cell>
          <cell r="AA3958" t="str">
            <v>HOSPITAL DE COPIAPO</v>
          </cell>
        </row>
        <row r="3959">
          <cell r="Z3959" t="str">
            <v>MOBILIARIO CLINICO</v>
          </cell>
          <cell r="AA3959" t="str">
            <v>HOSPITAL DE COPIAPO</v>
          </cell>
        </row>
        <row r="3960">
          <cell r="Z3960" t="str">
            <v>MOBILIARIO CLINICO</v>
          </cell>
          <cell r="AA3960" t="str">
            <v>HOSPITAL DE COPIAPO</v>
          </cell>
        </row>
        <row r="3961">
          <cell r="Z3961" t="str">
            <v>MOBILIARIO CLINICO</v>
          </cell>
          <cell r="AA3961" t="str">
            <v>HOSPITAL DE COPIAPO</v>
          </cell>
        </row>
        <row r="3962">
          <cell r="Z3962" t="str">
            <v>MOBILIARIO CLINICO</v>
          </cell>
          <cell r="AA3962" t="str">
            <v>HOSPITAL DE COPIAPO</v>
          </cell>
        </row>
        <row r="3963">
          <cell r="Z3963" t="str">
            <v>MOBILIARIO CLINICO</v>
          </cell>
          <cell r="AA3963" t="str">
            <v>HOSPITAL DE COPIAPO</v>
          </cell>
        </row>
        <row r="3964">
          <cell r="Z3964" t="str">
            <v>MOBILIARIO CLINICO</v>
          </cell>
          <cell r="AA3964" t="str">
            <v>HOSPITAL DE COPIAPO</v>
          </cell>
        </row>
        <row r="3965">
          <cell r="Z3965" t="str">
            <v>MOBILIARIO CLINICO</v>
          </cell>
          <cell r="AA3965" t="str">
            <v>HOSPITAL DE COPIAPO</v>
          </cell>
        </row>
        <row r="3966">
          <cell r="Z3966" t="str">
            <v>MOBILIARIO CLINICO</v>
          </cell>
          <cell r="AA3966" t="str">
            <v>HOSPITAL DE COPIAPO</v>
          </cell>
        </row>
        <row r="3967">
          <cell r="Z3967" t="str">
            <v>MOBILIARIO CLINICO</v>
          </cell>
          <cell r="AA3967" t="str">
            <v>HOSPITAL DE COPIAPO</v>
          </cell>
        </row>
        <row r="3968">
          <cell r="Z3968" t="str">
            <v>MOBILIARIO CLINICO</v>
          </cell>
          <cell r="AA3968" t="str">
            <v>HOSPITAL DE COPIAPO</v>
          </cell>
        </row>
        <row r="3969">
          <cell r="Z3969" t="str">
            <v>MOBILIARIO CLINICO</v>
          </cell>
          <cell r="AA3969" t="str">
            <v>HOSPITAL DE COPIAPO</v>
          </cell>
        </row>
        <row r="3970">
          <cell r="Z3970" t="str">
            <v>MOBILIARIO CLINICO</v>
          </cell>
          <cell r="AA3970" t="str">
            <v>HOSPITAL DE COPIAPO</v>
          </cell>
        </row>
        <row r="3971">
          <cell r="Z3971" t="str">
            <v>MOBILIARIO CLINICO</v>
          </cell>
          <cell r="AA3971" t="str">
            <v>HOSPITAL DE COPIAPO</v>
          </cell>
        </row>
        <row r="3972">
          <cell r="Z3972" t="str">
            <v>MOBILIARIO CLINICO</v>
          </cell>
          <cell r="AA3972" t="str">
            <v>HOSPITAL DE COPIAPO</v>
          </cell>
        </row>
        <row r="3973">
          <cell r="Z3973" t="str">
            <v>MOBILIARIO CLINICO</v>
          </cell>
          <cell r="AA3973" t="str">
            <v>HOSPITAL DE COPIAPO</v>
          </cell>
        </row>
        <row r="3974">
          <cell r="Z3974" t="str">
            <v>MOBILIARIO CLINICO</v>
          </cell>
          <cell r="AA3974" t="str">
            <v>HOSPITAL DE COPIAPO</v>
          </cell>
        </row>
        <row r="3975">
          <cell r="Z3975" t="str">
            <v>MOBILIARIO CLINICO</v>
          </cell>
          <cell r="AA3975" t="str">
            <v>HOSPITAL DE COPIAPO</v>
          </cell>
        </row>
        <row r="3976">
          <cell r="Z3976" t="str">
            <v>MOBILIARIO CLINICO</v>
          </cell>
          <cell r="AA3976" t="str">
            <v>HOSPITAL DE COPIAPO</v>
          </cell>
        </row>
        <row r="3977">
          <cell r="Z3977" t="str">
            <v>MOBILIARIO CLINICO</v>
          </cell>
          <cell r="AA3977" t="str">
            <v>HOSPITAL DE COPIAPO</v>
          </cell>
        </row>
        <row r="3978">
          <cell r="Z3978" t="str">
            <v>MOBILIARIO CLINICO</v>
          </cell>
          <cell r="AA3978" t="str">
            <v>HOSPITAL DE COPIAPO</v>
          </cell>
        </row>
        <row r="3979">
          <cell r="Z3979" t="str">
            <v>MOBILIARIO CLINICO</v>
          </cell>
          <cell r="AA3979" t="str">
            <v>HOSPITAL DE COPIAPO</v>
          </cell>
        </row>
        <row r="3980">
          <cell r="Z3980" t="str">
            <v>MOBILIARIO CLINICO</v>
          </cell>
          <cell r="AA3980" t="str">
            <v>HOSPITAL DE COPIAPO</v>
          </cell>
        </row>
        <row r="3981">
          <cell r="Z3981" t="str">
            <v>MOBILIARIO CLINICO</v>
          </cell>
          <cell r="AA3981" t="str">
            <v>HOSPITAL DE COPIAPO</v>
          </cell>
        </row>
        <row r="3982">
          <cell r="Z3982" t="str">
            <v>MOBILIARIO CLINICO</v>
          </cell>
          <cell r="AA3982" t="str">
            <v>HOSPITAL DE COPIAPO</v>
          </cell>
        </row>
        <row r="3983">
          <cell r="Z3983" t="str">
            <v>MOBILIARIO CLINICO</v>
          </cell>
          <cell r="AA3983" t="str">
            <v>HOSPITAL DE COPIAPO</v>
          </cell>
        </row>
        <row r="3984">
          <cell r="Z3984" t="str">
            <v>MOBILIARIO CLINICO</v>
          </cell>
          <cell r="AA3984" t="str">
            <v>HOSPITAL DE COPIAPO</v>
          </cell>
        </row>
        <row r="3985">
          <cell r="Z3985" t="str">
            <v>MOBILIARIO CLINICO</v>
          </cell>
          <cell r="AA3985" t="str">
            <v>HOSPITAL DE COPIAPO</v>
          </cell>
        </row>
        <row r="3986">
          <cell r="Z3986" t="str">
            <v>MOBILIARIO CLINICO</v>
          </cell>
          <cell r="AA3986" t="str">
            <v>HOSPITAL DE COPIAPO</v>
          </cell>
        </row>
        <row r="3987">
          <cell r="Z3987" t="str">
            <v>MOBILIARIO CLINICO</v>
          </cell>
          <cell r="AA3987" t="str">
            <v>HOSPITAL DE COPIAPO</v>
          </cell>
        </row>
        <row r="3988">
          <cell r="Z3988" t="str">
            <v>MOBILIARIO CLINICO</v>
          </cell>
        </row>
        <row r="3989">
          <cell r="Z3989" t="str">
            <v>MOBILIARIO CLINICO</v>
          </cell>
          <cell r="AA3989" t="str">
            <v>GEMCO GENERAL MACHINERY S.A.</v>
          </cell>
        </row>
        <row r="3990">
          <cell r="Z3990" t="str">
            <v>MOBILIARIO CLINICO</v>
          </cell>
          <cell r="AA3990" t="str">
            <v>GEMCO GENERAL MACHINERY S.A.</v>
          </cell>
        </row>
        <row r="3991">
          <cell r="Z3991" t="str">
            <v>MOBILIARIO CLINICO</v>
          </cell>
        </row>
        <row r="3992">
          <cell r="Z3992" t="str">
            <v>MOBILIARIO CLINICO</v>
          </cell>
          <cell r="AA3992" t="str">
            <v>HOSPITAL DE COPIAPO</v>
          </cell>
        </row>
        <row r="3993">
          <cell r="Z3993" t="str">
            <v>MOBILIARIO CLINICO</v>
          </cell>
          <cell r="AA3993" t="str">
            <v>HOSPITAL DE COPIAPO</v>
          </cell>
        </row>
        <row r="3994">
          <cell r="Z3994" t="str">
            <v>MOBILIARIO CLINICO</v>
          </cell>
          <cell r="AA3994" t="str">
            <v>HOSPITAL DE COPIAPO</v>
          </cell>
        </row>
        <row r="3995">
          <cell r="Z3995" t="str">
            <v>MOBILIARIO CLINICO</v>
          </cell>
          <cell r="AA3995" t="str">
            <v>HOSPITAL DE COPIAPO</v>
          </cell>
        </row>
        <row r="3996">
          <cell r="Z3996" t="str">
            <v>MOBILIARIO CLINICO</v>
          </cell>
          <cell r="AA3996" t="str">
            <v>HOSPITAL DE COPIAPO</v>
          </cell>
        </row>
        <row r="3997">
          <cell r="Z3997" t="str">
            <v>MOBILIARIO CLINICO</v>
          </cell>
          <cell r="AA3997" t="str">
            <v>HOSPITAL DE COPIAPO</v>
          </cell>
        </row>
        <row r="3998">
          <cell r="Z3998" t="str">
            <v>MOBILIARIO CLINICO</v>
          </cell>
          <cell r="AA3998" t="str">
            <v>HOSPITAL DE COPIAPO</v>
          </cell>
        </row>
        <row r="3999">
          <cell r="Z3999" t="str">
            <v>MOBILIARIO CLINICO</v>
          </cell>
          <cell r="AA3999" t="str">
            <v>HOSPITAL DE COPIAPO</v>
          </cell>
        </row>
        <row r="4000">
          <cell r="Z4000" t="str">
            <v>MOBILIARIO CLINICO</v>
          </cell>
          <cell r="AA4000" t="str">
            <v>HOSPITAL DE COPIAPO</v>
          </cell>
        </row>
        <row r="4001">
          <cell r="Z4001" t="str">
            <v>MOBILIARIO CLINICO</v>
          </cell>
          <cell r="AA4001" t="str">
            <v>HOSPITAL DE COPIAPO</v>
          </cell>
        </row>
        <row r="4002">
          <cell r="Z4002" t="str">
            <v>MOBILIARIO CLINICO</v>
          </cell>
          <cell r="AA4002" t="str">
            <v>HOSPITAL DE COPIAPO</v>
          </cell>
        </row>
        <row r="4003">
          <cell r="Z4003" t="str">
            <v>MOBILIARIO CLINICO</v>
          </cell>
          <cell r="AA4003" t="str">
            <v>HOSPITAL DE COPIAPO</v>
          </cell>
        </row>
        <row r="4004">
          <cell r="Z4004" t="str">
            <v>MOBILIARIO CLINICO</v>
          </cell>
          <cell r="AA4004" t="str">
            <v>HOSPITAL DE COPIAPO</v>
          </cell>
        </row>
        <row r="4005">
          <cell r="Z4005" t="str">
            <v>MOBILIARIO CLINICO</v>
          </cell>
          <cell r="AA4005" t="str">
            <v>HOSPITAL DE COPIAPO</v>
          </cell>
        </row>
        <row r="4006">
          <cell r="Z4006" t="str">
            <v>MOBILIARIO CLINICO</v>
          </cell>
          <cell r="AA4006" t="str">
            <v>HOSPITAL DE COPIAPO</v>
          </cell>
        </row>
        <row r="4007">
          <cell r="Z4007" t="str">
            <v>MOBILIARIO CLINICO</v>
          </cell>
          <cell r="AA4007" t="str">
            <v>HOSPITAL DE COPIAPO</v>
          </cell>
        </row>
        <row r="4008">
          <cell r="Z4008" t="str">
            <v>MOBILIARIO CLINICO</v>
          </cell>
          <cell r="AA4008" t="str">
            <v>HOSPITAL DE COPIAPO</v>
          </cell>
        </row>
        <row r="4009">
          <cell r="Z4009" t="str">
            <v>MOBILIARIO CLINICO</v>
          </cell>
          <cell r="AA4009" t="str">
            <v>HOSPITAL DE COPIAPO</v>
          </cell>
        </row>
        <row r="4010">
          <cell r="Z4010" t="str">
            <v>MOBILIARIO CLINICO</v>
          </cell>
          <cell r="AA4010" t="str">
            <v>HOSPITAL DE COPIAPO</v>
          </cell>
        </row>
        <row r="4011">
          <cell r="Z4011" t="str">
            <v>MOBILIARIO CLINICO</v>
          </cell>
          <cell r="AA4011" t="str">
            <v>HOSPITAL DE COPIAPO</v>
          </cell>
        </row>
        <row r="4012">
          <cell r="Z4012" t="str">
            <v>MOBILIARIO CLINICO</v>
          </cell>
          <cell r="AA4012" t="str">
            <v>HOSPITAL DE COPIAPO</v>
          </cell>
        </row>
        <row r="4013">
          <cell r="Z4013" t="str">
            <v>MOBILIARIO CLINICO</v>
          </cell>
          <cell r="AA4013" t="str">
            <v>HOSPITAL DE COPIAPO</v>
          </cell>
        </row>
        <row r="4014">
          <cell r="Z4014" t="str">
            <v>MOBILIARIO CLINICO</v>
          </cell>
          <cell r="AA4014" t="str">
            <v>HOSPITAL DE COPIAPO</v>
          </cell>
        </row>
        <row r="4015">
          <cell r="Z4015" t="str">
            <v>MOBILIARIO CLINICO</v>
          </cell>
          <cell r="AA4015" t="str">
            <v>HOSPITAL DE COPIAPO</v>
          </cell>
        </row>
        <row r="4016">
          <cell r="Z4016" t="str">
            <v>MOBILIARIO CLINICO</v>
          </cell>
          <cell r="AA4016" t="str">
            <v>HOSPITAL DE COPIAPO</v>
          </cell>
        </row>
        <row r="4017">
          <cell r="Z4017" t="str">
            <v>MOBILIARIO CLINICO</v>
          </cell>
          <cell r="AA4017" t="str">
            <v>HOSPITAL DE COPIAPO</v>
          </cell>
        </row>
        <row r="4018">
          <cell r="Z4018" t="str">
            <v>MOBILIARIO CLINICO</v>
          </cell>
          <cell r="AA4018" t="str">
            <v>HOSPITAL DE COPIAPO</v>
          </cell>
        </row>
        <row r="4019">
          <cell r="Z4019" t="str">
            <v>MOBILIARIO CLINICO</v>
          </cell>
          <cell r="AA4019" t="str">
            <v>HOSPITAL DE COPIAPO</v>
          </cell>
        </row>
        <row r="4020">
          <cell r="Z4020" t="str">
            <v>MOBILIARIO CLINICO</v>
          </cell>
          <cell r="AA4020" t="str">
            <v>HOSPITAL DE COPIAPO</v>
          </cell>
        </row>
        <row r="4021">
          <cell r="Z4021" t="str">
            <v>MOBILIARIO CLINICO</v>
          </cell>
          <cell r="AA4021" t="str">
            <v>HOSPITAL DE COPIAPO</v>
          </cell>
        </row>
        <row r="4022">
          <cell r="Z4022" t="str">
            <v>MOBILIARIO CLINICO</v>
          </cell>
          <cell r="AA4022" t="str">
            <v>HOSPITAL DE COPIAPO</v>
          </cell>
        </row>
        <row r="4023">
          <cell r="Z4023" t="str">
            <v>MOBILIARIO CLINICO</v>
          </cell>
          <cell r="AA4023" t="str">
            <v>HOSPITAL DE COPIAPO</v>
          </cell>
        </row>
        <row r="4024">
          <cell r="Z4024" t="str">
            <v>MOBILIARIO CLINICO</v>
          </cell>
          <cell r="AA4024" t="str">
            <v>HOSPITAL DE COPIAPO</v>
          </cell>
        </row>
        <row r="4025">
          <cell r="Z4025" t="str">
            <v>MOBILIARIO CLINICO</v>
          </cell>
          <cell r="AA4025" t="str">
            <v>HOSPITAL DE COPIAPO</v>
          </cell>
        </row>
        <row r="4026">
          <cell r="Z4026" t="str">
            <v>MOBILIARIO CLINICO</v>
          </cell>
          <cell r="AA4026" t="str">
            <v>HOSPITAL DE COPIAPO</v>
          </cell>
        </row>
        <row r="4027">
          <cell r="Z4027" t="str">
            <v>MOBILIARIO CLINICO</v>
          </cell>
          <cell r="AA4027" t="str">
            <v>HOSPITAL DE COPIAPO</v>
          </cell>
        </row>
        <row r="4028">
          <cell r="Z4028" t="str">
            <v>MOBILIARIO CLINICO</v>
          </cell>
          <cell r="AA4028" t="str">
            <v>HOSPITAL DE COPIAPO</v>
          </cell>
        </row>
        <row r="4029">
          <cell r="Z4029" t="str">
            <v>MOBILIARIO CLINICO</v>
          </cell>
          <cell r="AA4029" t="str">
            <v>HOSPITAL DE COPIAPO</v>
          </cell>
        </row>
        <row r="4030">
          <cell r="Z4030" t="str">
            <v>MOBILIARIO CLINICO</v>
          </cell>
          <cell r="AA4030" t="str">
            <v>HOSPITAL DE COPIAPO</v>
          </cell>
        </row>
        <row r="4031">
          <cell r="Z4031" t="str">
            <v>MOBILIARIO CLINICO</v>
          </cell>
          <cell r="AA4031" t="str">
            <v>HOSPITAL DE COPIAPO</v>
          </cell>
        </row>
        <row r="4032">
          <cell r="Z4032" t="str">
            <v>MOBILIARIO CLINICO</v>
          </cell>
          <cell r="AA4032" t="str">
            <v>HOSPITAL DE COPIAPO</v>
          </cell>
        </row>
        <row r="4033">
          <cell r="Z4033" t="str">
            <v>MOBILIARIO CLINICO</v>
          </cell>
          <cell r="AA4033" t="str">
            <v>HOSPITAL DE COPIAPO</v>
          </cell>
        </row>
        <row r="4034">
          <cell r="Z4034" t="str">
            <v>MOBILIARIO CLINICO</v>
          </cell>
          <cell r="AA4034" t="str">
            <v>HOSPITAL DE COPIAPO</v>
          </cell>
        </row>
        <row r="4035">
          <cell r="Z4035" t="str">
            <v>MOBILIARIO CLINICO</v>
          </cell>
          <cell r="AA4035" t="str">
            <v>HOSPITAL DE COPIAPO</v>
          </cell>
        </row>
        <row r="4036">
          <cell r="Z4036" t="str">
            <v>MOBILIARIO CLINICO</v>
          </cell>
          <cell r="AA4036" t="str">
            <v>HOSPITAL DE COPIAPO</v>
          </cell>
        </row>
        <row r="4037">
          <cell r="Z4037" t="str">
            <v>MOBILIARIO CLINICO</v>
          </cell>
          <cell r="AA4037" t="str">
            <v>HOSPITAL DE COPIAPO</v>
          </cell>
        </row>
        <row r="4038">
          <cell r="Z4038" t="str">
            <v>MOBILIARIO CLINICO</v>
          </cell>
          <cell r="AA4038" t="str">
            <v>HOSPITAL DE COPIAPO</v>
          </cell>
        </row>
        <row r="4039">
          <cell r="Z4039" t="str">
            <v>MOBILIARIO CLINICO</v>
          </cell>
          <cell r="AA4039" t="str">
            <v>HOSPITAL DE COPIAPO</v>
          </cell>
        </row>
        <row r="4040">
          <cell r="Z4040" t="str">
            <v>MOBILIARIO CLINICO</v>
          </cell>
          <cell r="AA4040" t="str">
            <v>HOSPITAL DE COPIAPO</v>
          </cell>
        </row>
        <row r="4041">
          <cell r="Z4041" t="str">
            <v>MOBILIARIO CLINICO</v>
          </cell>
          <cell r="AA4041" t="str">
            <v>HOSPITAL DE COPIAPO</v>
          </cell>
        </row>
        <row r="4042">
          <cell r="Z4042" t="str">
            <v>MOBILIARIO CLINICO</v>
          </cell>
          <cell r="AA4042" t="str">
            <v>HOSPITAL DE COPIAPO</v>
          </cell>
        </row>
        <row r="4043">
          <cell r="Z4043" t="str">
            <v>MOBILIARIO CLINICO</v>
          </cell>
          <cell r="AA4043" t="str">
            <v>HOSPITAL DE COPIAPO</v>
          </cell>
        </row>
        <row r="4044">
          <cell r="Z4044" t="str">
            <v>MOBILIARIO CLINICO</v>
          </cell>
          <cell r="AA4044" t="str">
            <v>HOSPITAL DE COPIAPO</v>
          </cell>
        </row>
        <row r="4045">
          <cell r="Z4045" t="str">
            <v>MOBILIARIO CLINICO</v>
          </cell>
          <cell r="AA4045" t="str">
            <v>HOSPITAL DE COPIAPO</v>
          </cell>
        </row>
        <row r="4046">
          <cell r="Z4046" t="str">
            <v>MOBILIARIO CLINICO</v>
          </cell>
          <cell r="AA4046" t="str">
            <v>HOSPITAL DE COPIAPO</v>
          </cell>
        </row>
        <row r="4047">
          <cell r="Z4047" t="str">
            <v>MOBILIARIO CLINICO</v>
          </cell>
          <cell r="AA4047" t="str">
            <v>HOSPITAL DE COPIAPO</v>
          </cell>
        </row>
        <row r="4048">
          <cell r="Z4048" t="str">
            <v>MOBILIARIO CLINICO</v>
          </cell>
          <cell r="AA4048" t="str">
            <v>HOSPITAL DE COPIAPO</v>
          </cell>
        </row>
        <row r="4049">
          <cell r="Z4049" t="str">
            <v>MOBILIARIO CLINICO</v>
          </cell>
          <cell r="AA4049" t="str">
            <v>HOSPITAL DE COPIAPO</v>
          </cell>
        </row>
        <row r="4050">
          <cell r="Z4050" t="str">
            <v>MOBILIARIO CLINICO</v>
          </cell>
          <cell r="AA4050" t="str">
            <v>HOSPITAL DE COPIAPO</v>
          </cell>
        </row>
        <row r="4051">
          <cell r="Z4051" t="str">
            <v>MOBILIARIO CLINICO</v>
          </cell>
          <cell r="AA4051" t="str">
            <v>HOSPITAL DE COPIAPO</v>
          </cell>
        </row>
        <row r="4052">
          <cell r="Z4052" t="str">
            <v>MOBILIARIO CLINICO</v>
          </cell>
          <cell r="AA4052" t="str">
            <v>GEMCO GENERAL MACHINERY S.A.</v>
          </cell>
        </row>
        <row r="4053">
          <cell r="Z4053" t="str">
            <v>MOBILIARIO CLINICO</v>
          </cell>
          <cell r="AA4053" t="str">
            <v>GEMCO GENERAL MACHINERY S.A.</v>
          </cell>
        </row>
        <row r="4054">
          <cell r="Z4054" t="str">
            <v>MOBILIARIO CLINICO</v>
          </cell>
          <cell r="AA4054" t="str">
            <v>HOSPITAL DE COPIAPO</v>
          </cell>
        </row>
        <row r="4055">
          <cell r="Z4055" t="str">
            <v>MOBILIARIO CLINICO</v>
          </cell>
          <cell r="AA4055" t="str">
            <v>HOSPITAL DE COPIAPO</v>
          </cell>
        </row>
        <row r="4056">
          <cell r="Z4056" t="str">
            <v>MOBILIARIO CLINICO</v>
          </cell>
          <cell r="AA4056" t="str">
            <v>HOSPITAL DE COPIAPO</v>
          </cell>
        </row>
        <row r="4057">
          <cell r="Z4057" t="str">
            <v>MOBILIARIO CLINICO</v>
          </cell>
          <cell r="AA4057" t="str">
            <v>HOSPITAL DE COPIAPO</v>
          </cell>
        </row>
        <row r="4058">
          <cell r="Z4058" t="str">
            <v>MOBILIARIO CLINICO</v>
          </cell>
          <cell r="AA4058" t="str">
            <v>HOSPITAL DE COPIAPO</v>
          </cell>
        </row>
        <row r="4059">
          <cell r="Z4059" t="str">
            <v>MOBILIARIO CLINICO</v>
          </cell>
          <cell r="AA4059" t="str">
            <v>HOSPITAL DE COPIAPO</v>
          </cell>
        </row>
        <row r="4060">
          <cell r="Z4060" t="str">
            <v>MOBILIARIO CLINICO</v>
          </cell>
          <cell r="AA4060" t="str">
            <v>HOSPITAL DE COPIAPO</v>
          </cell>
        </row>
        <row r="4061">
          <cell r="Z4061" t="str">
            <v>MOBILIARIO CLINICO</v>
          </cell>
          <cell r="AA4061" t="str">
            <v>HOSPITAL DE COPIAPO</v>
          </cell>
        </row>
        <row r="4062">
          <cell r="Z4062" t="str">
            <v>MOBILIARIO CLINICO</v>
          </cell>
          <cell r="AA4062" t="str">
            <v>HOSPITAL DE COPIAPO</v>
          </cell>
        </row>
        <row r="4063">
          <cell r="Z4063" t="str">
            <v>MOBILIARIO CLINICO</v>
          </cell>
          <cell r="AA4063" t="str">
            <v>HOSPITAL DE COPIAPO</v>
          </cell>
        </row>
        <row r="4064">
          <cell r="Z4064" t="str">
            <v>MOBILIARIO CLINICO</v>
          </cell>
          <cell r="AA4064" t="str">
            <v>HOSPITAL DE COPIAPO</v>
          </cell>
        </row>
        <row r="4065">
          <cell r="Z4065" t="str">
            <v>MOBILIARIO CLINICO</v>
          </cell>
          <cell r="AA4065" t="str">
            <v>HOSPITAL DE COPIAPO</v>
          </cell>
        </row>
        <row r="4066">
          <cell r="Z4066" t="str">
            <v>MOBILIARIO CLINICO</v>
          </cell>
          <cell r="AA4066" t="str">
            <v>HOSPITAL DE COPIAPO</v>
          </cell>
        </row>
        <row r="4067">
          <cell r="Z4067" t="str">
            <v>MOBILIARIO CLINICO</v>
          </cell>
          <cell r="AA4067" t="str">
            <v>HOSPITAL DE COPIAPO</v>
          </cell>
        </row>
        <row r="4068">
          <cell r="Z4068" t="str">
            <v>MOBILIARIO CLINICO</v>
          </cell>
          <cell r="AA4068" t="str">
            <v>HOSPITAL DE COPIAPO</v>
          </cell>
        </row>
        <row r="4069">
          <cell r="Z4069" t="str">
            <v>MOBILIARIO CLINICO</v>
          </cell>
          <cell r="AA4069" t="str">
            <v>HOSPITAL DE COPIAPO</v>
          </cell>
        </row>
        <row r="4070">
          <cell r="Z4070" t="str">
            <v>MOBILIARIO CLINICO</v>
          </cell>
          <cell r="AA4070" t="str">
            <v>HOSPITAL DE COPIAPO</v>
          </cell>
        </row>
        <row r="4071">
          <cell r="Z4071" t="str">
            <v>MOBILIARIO CLINICO</v>
          </cell>
          <cell r="AA4071" t="str">
            <v>HOSPITAL DE COPIAPO</v>
          </cell>
        </row>
        <row r="4072">
          <cell r="Z4072" t="str">
            <v>MOBILIARIO CLINICO</v>
          </cell>
          <cell r="AA4072" t="str">
            <v>HOSPITAL DE COPIAPO</v>
          </cell>
        </row>
        <row r="4073">
          <cell r="Z4073" t="str">
            <v>MOBILIARIO CLINICO</v>
          </cell>
          <cell r="AA4073" t="str">
            <v>HOSPITAL DE COPIAPO</v>
          </cell>
        </row>
        <row r="4074">
          <cell r="Z4074" t="str">
            <v>MOBILIARIO CLINICO</v>
          </cell>
          <cell r="AA4074" t="str">
            <v>HOSPITAL DE COPIAPO</v>
          </cell>
        </row>
        <row r="4075">
          <cell r="Z4075" t="str">
            <v>MOBILIARIO CLINICO</v>
          </cell>
          <cell r="AA4075" t="str">
            <v>HOSPITAL DE COPIAPO</v>
          </cell>
        </row>
        <row r="4076">
          <cell r="Z4076" t="str">
            <v>MOBILIARIO CLINICO</v>
          </cell>
          <cell r="AA4076" t="str">
            <v>HOSPITAL DE COPIAPO</v>
          </cell>
        </row>
        <row r="4077">
          <cell r="Z4077" t="str">
            <v>MOBILIARIO CLINICO</v>
          </cell>
          <cell r="AA4077" t="str">
            <v>HOSPITAL DE COPIAPO</v>
          </cell>
        </row>
        <row r="4078">
          <cell r="Z4078" t="str">
            <v>MOBILIARIO CLINICO</v>
          </cell>
          <cell r="AA4078" t="str">
            <v>HOSPITAL DE COPIAPO</v>
          </cell>
        </row>
        <row r="4079">
          <cell r="Z4079" t="str">
            <v>MOBILIARIO CLINICO</v>
          </cell>
          <cell r="AA4079" t="str">
            <v>HOSPITAL DE COPIAPO</v>
          </cell>
        </row>
        <row r="4080">
          <cell r="Z4080" t="str">
            <v>MOBILIARIO CLINICO</v>
          </cell>
          <cell r="AA4080" t="str">
            <v>HOSPITAL DE COPIAPO</v>
          </cell>
        </row>
        <row r="4081">
          <cell r="Z4081" t="str">
            <v>MOBILIARIO CLINICO</v>
          </cell>
          <cell r="AA4081" t="str">
            <v>HOSPITAL DE COPIAPO</v>
          </cell>
        </row>
        <row r="4082">
          <cell r="Z4082" t="str">
            <v>MOBILIARIO CLINICO</v>
          </cell>
          <cell r="AA4082" t="str">
            <v>HOSPITAL DE COPIAPO</v>
          </cell>
        </row>
        <row r="4083">
          <cell r="Z4083" t="str">
            <v>MOBILIARIO CLINICO</v>
          </cell>
          <cell r="AA4083" t="str">
            <v>HOSPITAL DE COPIAPO</v>
          </cell>
        </row>
        <row r="4084">
          <cell r="Z4084" t="str">
            <v>MOBILIARIO CLINICO</v>
          </cell>
          <cell r="AA4084" t="str">
            <v>HOSPITAL DE COPIAPO</v>
          </cell>
        </row>
        <row r="4085">
          <cell r="Z4085" t="str">
            <v>MOBILIARIO CLINICO</v>
          </cell>
          <cell r="AA4085" t="str">
            <v>HOSPITAL DE COPIAPO</v>
          </cell>
        </row>
        <row r="4086">
          <cell r="Z4086" t="str">
            <v>MOBILIARIO CLINICO</v>
          </cell>
          <cell r="AA4086" t="str">
            <v>HOSPITAL DE COPIAPO</v>
          </cell>
        </row>
        <row r="4087">
          <cell r="Z4087" t="str">
            <v>MOBILIARIO CLINICO</v>
          </cell>
          <cell r="AA4087" t="str">
            <v>HOSPITAL DE COPIAPO</v>
          </cell>
        </row>
        <row r="4088">
          <cell r="Z4088" t="str">
            <v>MOBILIARIO CLINICO</v>
          </cell>
          <cell r="AA4088" t="str">
            <v>HOSPITAL DE COPIAPO</v>
          </cell>
        </row>
        <row r="4089">
          <cell r="Z4089" t="str">
            <v>MOBILIARIO CLINICO</v>
          </cell>
          <cell r="AA4089" t="str">
            <v>HOSPITAL DE COPIAPO</v>
          </cell>
        </row>
        <row r="4090">
          <cell r="Z4090" t="str">
            <v>MOBILIARIO CLINICO</v>
          </cell>
          <cell r="AA4090" t="str">
            <v>HOSPITAL DE COPIAPO</v>
          </cell>
        </row>
        <row r="4091">
          <cell r="Z4091" t="str">
            <v>MOBILIARIO CLINICO</v>
          </cell>
          <cell r="AA4091" t="str">
            <v>HOSPITAL DE COPIAPO</v>
          </cell>
        </row>
        <row r="4092">
          <cell r="Z4092" t="str">
            <v>MOBILIARIO CLINICO</v>
          </cell>
          <cell r="AA4092" t="str">
            <v>HOSPITAL DE COPIAPO</v>
          </cell>
        </row>
        <row r="4093">
          <cell r="Z4093" t="str">
            <v>MOBILIARIO CLINICO</v>
          </cell>
          <cell r="AA4093" t="str">
            <v>HOSPITAL DE COPIAPO</v>
          </cell>
        </row>
        <row r="4094">
          <cell r="Z4094" t="str">
            <v>MOBILIARIO CLINICO</v>
          </cell>
          <cell r="AA4094" t="str">
            <v>HOSPITAL DE COPIAPO</v>
          </cell>
        </row>
        <row r="4095">
          <cell r="Z4095" t="str">
            <v>MOBILIARIO CLINICO</v>
          </cell>
          <cell r="AA4095" t="str">
            <v>HOSPITAL DE COPIAPO</v>
          </cell>
        </row>
        <row r="4096">
          <cell r="Z4096" t="str">
            <v>MOBILIARIO CLINICO</v>
          </cell>
          <cell r="AA4096" t="str">
            <v>HOSPITAL DE COPIAPO</v>
          </cell>
        </row>
        <row r="4097">
          <cell r="Z4097" t="str">
            <v>MOBILIARIO CLINICO</v>
          </cell>
          <cell r="AA4097" t="str">
            <v>HOSPITAL DE COPIAPO</v>
          </cell>
        </row>
        <row r="4098">
          <cell r="Z4098" t="str">
            <v>MOBILIARIO CLINICO</v>
          </cell>
          <cell r="AA4098" t="str">
            <v>HOSPITAL DE COPIAPO</v>
          </cell>
        </row>
        <row r="4099">
          <cell r="Z4099" t="str">
            <v>MOBILIARIO CLINICO</v>
          </cell>
          <cell r="AA4099" t="str">
            <v>HOSPITAL DE COPIAPO</v>
          </cell>
        </row>
        <row r="4100">
          <cell r="Z4100" t="str">
            <v>MOBILIARIO CLINICO</v>
          </cell>
          <cell r="AA4100" t="str">
            <v>HOSPITAL DE COPIAPO</v>
          </cell>
        </row>
        <row r="4101">
          <cell r="Z4101" t="str">
            <v>MOBILIARIO CLINICO</v>
          </cell>
          <cell r="AA4101" t="str">
            <v>HOSPITAL DE COPIAPO</v>
          </cell>
        </row>
        <row r="4102">
          <cell r="Z4102" t="str">
            <v>MOBILIARIO CLINICO</v>
          </cell>
          <cell r="AA4102" t="str">
            <v>HOSPITAL DE COPIAPO</v>
          </cell>
        </row>
        <row r="4103">
          <cell r="Z4103" t="str">
            <v>MOBILIARIO CLINICO</v>
          </cell>
          <cell r="AA4103" t="str">
            <v>HOSPITAL DE COPIAPO</v>
          </cell>
        </row>
        <row r="4104">
          <cell r="Z4104" t="str">
            <v>MOBILIARIO CLINICO</v>
          </cell>
          <cell r="AA4104" t="str">
            <v>HOSPITAL DE COPIAPO</v>
          </cell>
        </row>
        <row r="4105">
          <cell r="Z4105" t="str">
            <v>MOBILIARIO CLINICO</v>
          </cell>
          <cell r="AA4105" t="str">
            <v>HOSPITAL DE COPIAPO</v>
          </cell>
        </row>
        <row r="4106">
          <cell r="Z4106" t="str">
            <v>MOBILIARIO CLINICO</v>
          </cell>
          <cell r="AA4106" t="str">
            <v>HOSPITAL DE COPIAPO</v>
          </cell>
        </row>
        <row r="4107">
          <cell r="Z4107" t="str">
            <v>MOBILIARIO CLINICO</v>
          </cell>
          <cell r="AA4107" t="str">
            <v>HOSPITAL DE COPIAPO</v>
          </cell>
        </row>
        <row r="4108">
          <cell r="Z4108" t="str">
            <v>MOBILIARIO CLINICO</v>
          </cell>
          <cell r="AA4108" t="str">
            <v>HOSPITAL DE COPIAPO</v>
          </cell>
        </row>
        <row r="4109">
          <cell r="Z4109" t="str">
            <v>MOBILIARIO CLINICO</v>
          </cell>
          <cell r="AA4109" t="str">
            <v>HOSPITAL DE COPIAPO</v>
          </cell>
        </row>
        <row r="4110">
          <cell r="Z4110" t="str">
            <v>MOBILIARIO CLINICO</v>
          </cell>
          <cell r="AA4110" t="str">
            <v>HOSPITAL DE COPIAPO</v>
          </cell>
        </row>
        <row r="4111">
          <cell r="Z4111" t="str">
            <v>MOBILIARIO CLINICO</v>
          </cell>
          <cell r="AA4111" t="str">
            <v>HOSPITAL DE COPIAPO</v>
          </cell>
        </row>
        <row r="4112">
          <cell r="Z4112" t="str">
            <v>MOBILIARIO CLINICO</v>
          </cell>
          <cell r="AA4112" t="str">
            <v>HOSPITAL DE COPIAPO</v>
          </cell>
        </row>
        <row r="4113">
          <cell r="Z4113" t="str">
            <v>MOBILIARIO CLINICO</v>
          </cell>
          <cell r="AA4113" t="str">
            <v>HOSPITAL DE COPIAPO</v>
          </cell>
        </row>
        <row r="4114">
          <cell r="Z4114" t="str">
            <v>MOBILIARIO CLINICO</v>
          </cell>
          <cell r="AA4114" t="str">
            <v>HOSPITAL DE COPIAPO</v>
          </cell>
        </row>
        <row r="4115">
          <cell r="Z4115" t="str">
            <v>MOBILIARIO CLINICO</v>
          </cell>
          <cell r="AA4115" t="str">
            <v>HOSPITAL DE COPIAPO</v>
          </cell>
        </row>
        <row r="4116">
          <cell r="Z4116" t="str">
            <v>MOBILIARIO CLINICO</v>
          </cell>
          <cell r="AA4116" t="str">
            <v>HOSPITAL DE COPIAPO</v>
          </cell>
        </row>
        <row r="4117">
          <cell r="Z4117" t="str">
            <v>MOBILIARIO CLINICO</v>
          </cell>
          <cell r="AA4117" t="str">
            <v>HOSPITAL DE COPIAPO</v>
          </cell>
        </row>
        <row r="4118">
          <cell r="Z4118" t="str">
            <v>MOBILIARIO CLINICO</v>
          </cell>
          <cell r="AA4118" t="str">
            <v>HOSPITAL DE COPIAPO</v>
          </cell>
        </row>
        <row r="4119">
          <cell r="Z4119" t="str">
            <v>MOBILIARIO CLINICO</v>
          </cell>
          <cell r="AA4119" t="str">
            <v>HOSPITAL DE COPIAPO</v>
          </cell>
        </row>
        <row r="4120">
          <cell r="Z4120" t="str">
            <v>MOBILIARIO CLINICO</v>
          </cell>
          <cell r="AA4120" t="str">
            <v>HOSPITAL DE COPIAPO</v>
          </cell>
        </row>
        <row r="4121">
          <cell r="Z4121" t="str">
            <v>MOBILIARIO CLINICO</v>
          </cell>
          <cell r="AA4121" t="str">
            <v>HOSPITAL DE COPIAPO</v>
          </cell>
        </row>
        <row r="4122">
          <cell r="Z4122" t="str">
            <v>MOBILIARIO CLINICO</v>
          </cell>
          <cell r="AA4122" t="str">
            <v>HOSPITAL DE COPIAPO</v>
          </cell>
        </row>
        <row r="4123">
          <cell r="Z4123" t="str">
            <v>MOBILIARIO CLINICO</v>
          </cell>
          <cell r="AA4123" t="str">
            <v>HOSPITAL DE COPIAPO</v>
          </cell>
        </row>
        <row r="4124">
          <cell r="Z4124" t="str">
            <v>MOBILIARIO CLINICO</v>
          </cell>
          <cell r="AA4124" t="str">
            <v>HOSPITAL DE COPIAPO</v>
          </cell>
        </row>
        <row r="4125">
          <cell r="Z4125" t="str">
            <v>MOBILIARIO CLINICO</v>
          </cell>
          <cell r="AA4125" t="str">
            <v>HOSPITAL DE COPIAPO</v>
          </cell>
        </row>
        <row r="4126">
          <cell r="Z4126" t="str">
            <v>MOBILIARIO CLINICO</v>
          </cell>
          <cell r="AA4126" t="str">
            <v>HOSPITAL DE COPIAPO</v>
          </cell>
        </row>
        <row r="4127">
          <cell r="Z4127" t="str">
            <v>MOBILIARIO CLINICO</v>
          </cell>
          <cell r="AA4127" t="str">
            <v>HOSPITAL DE COPIAPO</v>
          </cell>
        </row>
        <row r="4128">
          <cell r="Z4128" t="str">
            <v>MOBILIARIO CLINICO</v>
          </cell>
          <cell r="AA4128" t="str">
            <v>HOSPITAL DE COPIAPO</v>
          </cell>
        </row>
        <row r="4129">
          <cell r="Z4129" t="str">
            <v>MOBILIARIO CLINICO</v>
          </cell>
          <cell r="AA4129" t="str">
            <v>GEMCO GENERAL MACHINERY S.A.</v>
          </cell>
        </row>
        <row r="4130">
          <cell r="Z4130" t="str">
            <v>MOBILIARIO CLINICO</v>
          </cell>
          <cell r="AA4130" t="str">
            <v>HOSPITAL VICTOR RIOS RUIZ</v>
          </cell>
        </row>
        <row r="4131">
          <cell r="Z4131" t="str">
            <v>MOBILIARIO CLINICO</v>
          </cell>
          <cell r="AA4131" t="str">
            <v>GENDARMERIA DE CHILE</v>
          </cell>
        </row>
        <row r="4132">
          <cell r="Z4132" t="str">
            <v>MOBILIARIO CLINICO</v>
          </cell>
          <cell r="AA4132" t="str">
            <v>GENDARMERIA DE CHILE</v>
          </cell>
        </row>
        <row r="4133">
          <cell r="Z4133" t="str">
            <v>MOBILIARIO CLINICO</v>
          </cell>
          <cell r="AA4133" t="str">
            <v>GENDARMERIA DE CHILE</v>
          </cell>
        </row>
        <row r="4134">
          <cell r="Z4134" t="str">
            <v>MOBILIARIO CLINICO</v>
          </cell>
        </row>
        <row r="4135">
          <cell r="Z4135" t="str">
            <v>MOBILIARIO CLINICO</v>
          </cell>
          <cell r="AA4135" t="str">
            <v>GEMCO GENERAL MACHINERY S.A.</v>
          </cell>
        </row>
        <row r="4136">
          <cell r="Z4136" t="str">
            <v>MOBILIARIO CLINICO</v>
          </cell>
          <cell r="AA4136" t="str">
            <v>HOSPITAL VICTOR RIOS RUIZ</v>
          </cell>
        </row>
        <row r="4137">
          <cell r="Z4137" t="str">
            <v>MOBILIARIO CLINICO</v>
          </cell>
          <cell r="AA4137" t="str">
            <v>HOSPITAL VICTOR RIOS RUIZ</v>
          </cell>
        </row>
        <row r="4138">
          <cell r="Z4138" t="str">
            <v>MOBILIARIO CLINICO</v>
          </cell>
          <cell r="AA4138" t="str">
            <v>HOSPITAL VICTOR RIOS RUIZ</v>
          </cell>
        </row>
        <row r="4139">
          <cell r="Z4139" t="str">
            <v>MOBILIARIO CLINICO</v>
          </cell>
          <cell r="AA4139" t="str">
            <v>HOSPITAL LOS VILOS</v>
          </cell>
        </row>
        <row r="4140">
          <cell r="Z4140" t="str">
            <v>MOBILIARIO CLINICO</v>
          </cell>
          <cell r="AA4140" t="str">
            <v>HOSPITAL VICTOR RIOS RUIZ</v>
          </cell>
        </row>
        <row r="4141">
          <cell r="Z4141" t="str">
            <v>MOBILIARIO CLINICO</v>
          </cell>
          <cell r="AA4141" t="str">
            <v>HOSPITAL VICTOR RIOS RUIZ</v>
          </cell>
        </row>
        <row r="4142">
          <cell r="Z4142" t="str">
            <v>MOBILIARIO CLINICO</v>
          </cell>
          <cell r="AA4142" t="str">
            <v>HOSPITAL VICTOR RIOS RUIZ</v>
          </cell>
        </row>
        <row r="4143">
          <cell r="Z4143" t="str">
            <v>MOBILIARIO CLINICO</v>
          </cell>
          <cell r="AA4143" t="str">
            <v>HOSPITAL VICTOR RIOS RUIZ</v>
          </cell>
        </row>
        <row r="4144">
          <cell r="Z4144" t="str">
            <v>MOBILIARIO CLINICO</v>
          </cell>
          <cell r="AA4144" t="str">
            <v>HOSPITAL VICTOR RIOS RUIZ</v>
          </cell>
        </row>
        <row r="4145">
          <cell r="Z4145" t="str">
            <v>MOBILIARIO CLINICO</v>
          </cell>
          <cell r="AA4145" t="str">
            <v>HOSPITAL VICTOR RIOS RUIZ</v>
          </cell>
        </row>
        <row r="4146">
          <cell r="Z4146" t="str">
            <v>MOBILIARIO CLINICO</v>
          </cell>
          <cell r="AA4146" t="str">
            <v>HOSPITAL VICTOR RIOS RUIZ</v>
          </cell>
        </row>
        <row r="4147">
          <cell r="Z4147" t="str">
            <v>MOBILIARIO CLINICO</v>
          </cell>
          <cell r="AA4147" t="str">
            <v>HOSPITAL VICTOR RIOS RUIZ</v>
          </cell>
        </row>
        <row r="4148">
          <cell r="Z4148" t="str">
            <v>MOBILIARIO CLINICO</v>
          </cell>
          <cell r="AA4148" t="str">
            <v>HOSPITAL VICTOR RIOS RUIZ</v>
          </cell>
        </row>
        <row r="4149">
          <cell r="Z4149" t="str">
            <v>MOBILIARIO CLINICO</v>
          </cell>
          <cell r="AA4149" t="str">
            <v>HOSPITAL VICTOR RIOS RUIZ</v>
          </cell>
        </row>
        <row r="4150">
          <cell r="Z4150" t="str">
            <v>MOBILIARIO CLINICO</v>
          </cell>
          <cell r="AA4150" t="str">
            <v>INSTITUTO NACIONAL DE GERIATRIA</v>
          </cell>
        </row>
        <row r="4151">
          <cell r="Z4151" t="str">
            <v>MOBILIARIO CLINICO</v>
          </cell>
          <cell r="AA4151" t="str">
            <v>INSTITUTO NACIONAL DE GERIATRIA</v>
          </cell>
        </row>
        <row r="4152">
          <cell r="Z4152" t="str">
            <v>MOBILIARIO CLINICO</v>
          </cell>
          <cell r="AA4152" t="str">
            <v>INSTITUTO NACIONAL DE GERIATRIA</v>
          </cell>
        </row>
        <row r="4153">
          <cell r="Z4153" t="str">
            <v>MOBILIARIO CLINICO</v>
          </cell>
          <cell r="AA4153" t="str">
            <v>INSTITUTO NACIONAL DE GERIATRIA</v>
          </cell>
        </row>
        <row r="4154">
          <cell r="Z4154" t="str">
            <v>MOBILIARIO CLINICO</v>
          </cell>
          <cell r="AA4154" t="str">
            <v>INSTITUTO NACIONAL DE GERIATRIA</v>
          </cell>
        </row>
        <row r="4155">
          <cell r="Z4155" t="str">
            <v>MOBILIARIO CLINICO</v>
          </cell>
          <cell r="AA4155" t="str">
            <v>INSTITUTO NACIONAL DE GERIATRIA</v>
          </cell>
        </row>
        <row r="4156">
          <cell r="Z4156" t="str">
            <v>MOBILIARIO CLINICO</v>
          </cell>
          <cell r="AA4156" t="str">
            <v>HOSPITAL DEL SALVADOR</v>
          </cell>
        </row>
        <row r="4157">
          <cell r="Z4157" t="str">
            <v>MOBILIARIO CLINICO</v>
          </cell>
          <cell r="AA4157" t="str">
            <v>INSTITUTO NACIONAL DE GERIATRIA</v>
          </cell>
        </row>
        <row r="4158">
          <cell r="Z4158" t="str">
            <v>MOBILIARIO CLINICO</v>
          </cell>
          <cell r="AA4158" t="str">
            <v>INSTITUTO NACIONAL DE GERIATRIA</v>
          </cell>
        </row>
        <row r="4159">
          <cell r="Z4159" t="str">
            <v>MOBILIARIO CLINICO</v>
          </cell>
          <cell r="AA4159" t="str">
            <v>HOSPITAL DEL SALVADOR</v>
          </cell>
        </row>
        <row r="4160">
          <cell r="Z4160" t="str">
            <v>MOBILIARIO CLINICO</v>
          </cell>
          <cell r="AA4160" t="str">
            <v>INSTITUTO NACIONAL DE GERIATRIA</v>
          </cell>
        </row>
        <row r="4161">
          <cell r="Z4161" t="str">
            <v>MOBILIARIO CLINICO</v>
          </cell>
          <cell r="AA4161" t="str">
            <v>INSTITUTO NACIONAL DE GERIATRIA</v>
          </cell>
        </row>
        <row r="4162">
          <cell r="Z4162" t="str">
            <v>MOBILIARIO CLINICO</v>
          </cell>
          <cell r="AA4162" t="str">
            <v>INSTITUTO NACIONAL DE GERIATRIA</v>
          </cell>
        </row>
        <row r="4163">
          <cell r="Z4163" t="str">
            <v>MOBILIARIO CLINICO</v>
          </cell>
          <cell r="AA4163" t="str">
            <v>INSTITUTO NACIONAL DE GERIATRIA</v>
          </cell>
        </row>
        <row r="4164">
          <cell r="Z4164" t="str">
            <v>MOBILIARIO CLINICO</v>
          </cell>
          <cell r="AA4164" t="str">
            <v>INSTITUTO NACIONAL DE GERIATRIA</v>
          </cell>
        </row>
        <row r="4165">
          <cell r="Z4165" t="str">
            <v>MOBILIARIO CLINICO</v>
          </cell>
          <cell r="AA4165" t="str">
            <v>INSTITUTO NACIONAL DE GERIATRIA</v>
          </cell>
        </row>
        <row r="4166">
          <cell r="Z4166" t="str">
            <v>MOBILIARIO CLINICO</v>
          </cell>
          <cell r="AA4166" t="str">
            <v>INSTITUTO NACIONAL DE GERIATRIA</v>
          </cell>
        </row>
        <row r="4167">
          <cell r="Z4167" t="str">
            <v>MOBILIARIO CLINICO</v>
          </cell>
          <cell r="AA4167" t="str">
            <v>INSTITUTO NACIONAL DE GERIATRIA</v>
          </cell>
        </row>
        <row r="4168">
          <cell r="Z4168" t="str">
            <v>MOBILIARIO CLINICO</v>
          </cell>
          <cell r="AA4168" t="str">
            <v>INSTITUTO NACIONAL DE GERIATRIA</v>
          </cell>
        </row>
        <row r="4169">
          <cell r="Z4169" t="str">
            <v>MOBILIARIO CLINICO</v>
          </cell>
          <cell r="AA4169" t="str">
            <v>INSTITUTO NACIONAL DE GERIATRIA</v>
          </cell>
        </row>
        <row r="4170">
          <cell r="Z4170" t="str">
            <v>MOBILIARIO CLINICO</v>
          </cell>
          <cell r="AA4170" t="str">
            <v>INSTITUTO NACIONAL DE GERIATRIA</v>
          </cell>
        </row>
        <row r="4171">
          <cell r="Z4171" t="str">
            <v>MOBILIARIO CLINICO</v>
          </cell>
          <cell r="AA4171" t="str">
            <v>INSTITUTO NACIONAL DE GERIATRIA</v>
          </cell>
        </row>
        <row r="4172">
          <cell r="Z4172" t="str">
            <v>MOBILIARIO CLINICO</v>
          </cell>
          <cell r="AA4172" t="str">
            <v>INSTITUTO NACIONAL DE GERIATRIA</v>
          </cell>
        </row>
        <row r="4173">
          <cell r="Z4173" t="str">
            <v>MOBILIARIO CLINICO</v>
          </cell>
          <cell r="AA4173" t="str">
            <v>INSTITUTO NACIONAL DE GERIATRIA</v>
          </cell>
        </row>
        <row r="4174">
          <cell r="Z4174" t="str">
            <v>MOBILIARIO CLINICO</v>
          </cell>
        </row>
        <row r="4175">
          <cell r="Z4175" t="str">
            <v>MOBILIARIO CLINICO</v>
          </cell>
          <cell r="AA4175" t="str">
            <v>INSTITUTO NACIONAL DE GERIATRIA</v>
          </cell>
        </row>
        <row r="4176">
          <cell r="Z4176" t="str">
            <v>MOBILIARIO CLINICO</v>
          </cell>
          <cell r="AA4176" t="str">
            <v>INSTITUTO NACIONAL DE GERIATRIA</v>
          </cell>
        </row>
        <row r="4177">
          <cell r="Z4177" t="str">
            <v>MOBILIARIO CLINICO</v>
          </cell>
          <cell r="AA4177" t="str">
            <v>INSTITUTO NACIONAL DE GERIATRIA</v>
          </cell>
        </row>
        <row r="4178">
          <cell r="Z4178" t="str">
            <v>MOBILIARIO CLINICO</v>
          </cell>
        </row>
        <row r="4179">
          <cell r="Z4179" t="str">
            <v>MOBILIARIO CLINICO</v>
          </cell>
        </row>
        <row r="4180">
          <cell r="Z4180" t="str">
            <v>MOBILIARIO CLINICO</v>
          </cell>
        </row>
        <row r="4181">
          <cell r="Z4181" t="str">
            <v>MOBILIARIO CLINICO</v>
          </cell>
        </row>
        <row r="4182">
          <cell r="Z4182" t="str">
            <v>MOBILIARIO CLINICO</v>
          </cell>
        </row>
        <row r="4183">
          <cell r="Z4183" t="str">
            <v>MOBILIARIO CLINICO</v>
          </cell>
        </row>
        <row r="4184">
          <cell r="Z4184" t="str">
            <v>MOBILIARIO CLINICO</v>
          </cell>
          <cell r="AA4184" t="str">
            <v>HOSPITAL VICTOR RIOS RUIZ</v>
          </cell>
        </row>
        <row r="4185">
          <cell r="Z4185" t="str">
            <v>MOBILIARIO CLINICO</v>
          </cell>
        </row>
        <row r="4186">
          <cell r="Z4186" t="str">
            <v>MOBILIARIO CLINICO</v>
          </cell>
          <cell r="AA4186" t="str">
            <v>INSTITUTO NACIONAL DE GERIATRIA</v>
          </cell>
        </row>
        <row r="4187">
          <cell r="Z4187" t="str">
            <v>MOBILIARIO CLINICO</v>
          </cell>
        </row>
        <row r="4188">
          <cell r="Z4188" t="str">
            <v>MOBILIARIO CLINICO</v>
          </cell>
          <cell r="AA4188" t="str">
            <v>HOSPITAL BASE DE VALDIVIA</v>
          </cell>
        </row>
        <row r="4189">
          <cell r="Z4189" t="str">
            <v>MOBILIARIO CLINICO</v>
          </cell>
        </row>
        <row r="4190">
          <cell r="Z4190" t="str">
            <v>MOBILIARIO CLINICO</v>
          </cell>
          <cell r="AA4190" t="str">
            <v>HOSPITAL DR. GUSTAVO FRICKE</v>
          </cell>
        </row>
        <row r="4191">
          <cell r="Z4191" t="str">
            <v>MOBILIARIO CLINICO</v>
          </cell>
          <cell r="AA4191" t="str">
            <v>HOSPITAL DR. GUSTAVO FRICKE</v>
          </cell>
        </row>
        <row r="4192">
          <cell r="Z4192" t="str">
            <v>MOBILIARIO CLINICO</v>
          </cell>
          <cell r="AA4192" t="str">
            <v>HOSPITAL DR. GUSTAVO FRICKE</v>
          </cell>
        </row>
        <row r="4193">
          <cell r="Z4193" t="str">
            <v>MOBILIARIO CLINICO</v>
          </cell>
          <cell r="AA4193" t="str">
            <v>HOSPITAL DE ILLAPEL</v>
          </cell>
        </row>
        <row r="4194">
          <cell r="Z4194" t="str">
            <v>MOBILIARIO CLINICO</v>
          </cell>
          <cell r="AA4194" t="str">
            <v>HOSPITAL DE ILLAPEL</v>
          </cell>
        </row>
        <row r="4195">
          <cell r="Z4195" t="str">
            <v>MOBILIARIO CLINICO</v>
          </cell>
          <cell r="AA4195" t="str">
            <v>HOSPITAL DE ILLAPEL</v>
          </cell>
        </row>
        <row r="4196">
          <cell r="Z4196" t="str">
            <v>MOBILIARIO CLINICO</v>
          </cell>
          <cell r="AA4196" t="str">
            <v>HOSPITAL DE ILLAPEL</v>
          </cell>
        </row>
        <row r="4197">
          <cell r="Z4197" t="str">
            <v>MOBILIARIO CLINICO</v>
          </cell>
          <cell r="AA4197" t="str">
            <v>HOSPITAL DR. GUSTAVO FRICKE</v>
          </cell>
        </row>
        <row r="4198">
          <cell r="Z4198" t="str">
            <v>DENTAL</v>
          </cell>
        </row>
        <row r="4199">
          <cell r="Z4199" t="str">
            <v>DENTAL</v>
          </cell>
        </row>
        <row r="4200">
          <cell r="Z4200" t="str">
            <v>DENTAL</v>
          </cell>
        </row>
        <row r="4201">
          <cell r="Z4201" t="str">
            <v>DENTAL</v>
          </cell>
        </row>
        <row r="4202">
          <cell r="Z4202" t="str">
            <v>DENTAL</v>
          </cell>
          <cell r="AA4202" t="str">
            <v>EQUIPOS E INSUMOS MEDICOS LTDA.</v>
          </cell>
        </row>
        <row r="4203">
          <cell r="Z4203" t="str">
            <v>MOBILIARIO CLINICO</v>
          </cell>
          <cell r="AA4203" t="str">
            <v>GEMCO GENERAL MACHINERY S.A.</v>
          </cell>
        </row>
        <row r="4204">
          <cell r="Z4204" t="str">
            <v>MOBILIARIO CLINICO</v>
          </cell>
          <cell r="AA4204" t="str">
            <v>INSTITUTO NACIONAL DEL CANCER</v>
          </cell>
        </row>
        <row r="4205">
          <cell r="Z4205" t="str">
            <v>MOBILIARIO CLINICO</v>
          </cell>
          <cell r="AA4205" t="str">
            <v>SERVICIO DE SALUD OSORNO</v>
          </cell>
        </row>
        <row r="4206">
          <cell r="Z4206" t="str">
            <v>MOBILIARIO CLINICO</v>
          </cell>
        </row>
        <row r="4207">
          <cell r="Z4207" t="str">
            <v>MOBILIARIO CLINICO</v>
          </cell>
          <cell r="AA4207" t="str">
            <v>HOSPITAL DR. GUSTAVO FRICKE</v>
          </cell>
        </row>
        <row r="4208">
          <cell r="Z4208" t="str">
            <v>MOBILIARIO CLINICO</v>
          </cell>
          <cell r="AA4208" t="str">
            <v>HOSPITAL DR. GUSTAVO FRICKE</v>
          </cell>
        </row>
        <row r="4209">
          <cell r="Z4209" t="str">
            <v>MOBILIARIO CLINICO</v>
          </cell>
          <cell r="AA4209" t="str">
            <v>HOSPITAL DR. GUSTAVO FRICKE</v>
          </cell>
        </row>
        <row r="4210">
          <cell r="Z4210" t="str">
            <v>MOBILIARIO CLINICO</v>
          </cell>
          <cell r="AA4210" t="str">
            <v>HOSPITAL DR. GUSTAVO FRICKE</v>
          </cell>
        </row>
        <row r="4211">
          <cell r="Z4211" t="str">
            <v>MOBILIARIO CLINICO</v>
          </cell>
          <cell r="AA4211" t="str">
            <v>HOSPITAL DR. GUSTAVO FRICKE</v>
          </cell>
        </row>
        <row r="4212">
          <cell r="Z4212" t="str">
            <v>MOBILIARIO CLINICO</v>
          </cell>
          <cell r="AA4212" t="str">
            <v>HOSPITAL DR. GUSTAVO FRICKE</v>
          </cell>
        </row>
        <row r="4213">
          <cell r="Z4213" t="str">
            <v>MOBILIARIO CLINICO</v>
          </cell>
          <cell r="AA4213" t="str">
            <v>INSTITUTO DE SEGURIDAD DEL TRABAJO</v>
          </cell>
        </row>
        <row r="4214">
          <cell r="Z4214" t="str">
            <v>MOBILIARIO CLINICO</v>
          </cell>
          <cell r="AA4214" t="str">
            <v>INSTITUTO DE SEGURIDAD DEL TRABAJO</v>
          </cell>
        </row>
        <row r="4215">
          <cell r="Z4215" t="str">
            <v>MOBILIARIO CLINICO</v>
          </cell>
          <cell r="AA4215" t="str">
            <v>HOSPITAL DE PURRANQUE</v>
          </cell>
        </row>
        <row r="4216">
          <cell r="Z4216" t="str">
            <v>MOBILIARIO CLINICO</v>
          </cell>
          <cell r="AA4216" t="str">
            <v>HOSPITAL DE PURRANQUE</v>
          </cell>
        </row>
        <row r="4217">
          <cell r="Z4217" t="str">
            <v>MOBILIARIO CLINICO</v>
          </cell>
          <cell r="AA4217" t="str">
            <v>HOSPITAL REGIONAL DE ARICA DR. JUAN NOÉ CREVANI</v>
          </cell>
        </row>
        <row r="4218">
          <cell r="Z4218" t="str">
            <v>MOBILIARIO CLINICO</v>
          </cell>
          <cell r="AA4218" t="str">
            <v>HOSPITAL REGIONAL DE ARICA DR. JUAN NOÉ CREVANI</v>
          </cell>
        </row>
        <row r="4219">
          <cell r="Z4219" t="str">
            <v>MOBILIARIO CLINICO</v>
          </cell>
          <cell r="AA4219" t="str">
            <v>HOSPITAL REGIONAL DE ARICA DR. JUAN NOÉ CREVANI</v>
          </cell>
        </row>
        <row r="4220">
          <cell r="Z4220" t="str">
            <v>MOBILIARIO CLINICO</v>
          </cell>
          <cell r="AA4220" t="str">
            <v>HOSPITAL REGIONAL DE ARICA DR. JUAN NOÉ CREVANI</v>
          </cell>
        </row>
        <row r="4221">
          <cell r="Z4221" t="str">
            <v>MOBILIARIO CLINICO</v>
          </cell>
          <cell r="AA4221" t="str">
            <v>HOSPITAL REGIONAL DE ARICA DR. JUAN NOÉ CREVANI</v>
          </cell>
        </row>
        <row r="4222">
          <cell r="Z4222" t="str">
            <v>MOBILIARIO CLINICO</v>
          </cell>
          <cell r="AA4222" t="str">
            <v>HOSPITAL REGIONAL DE ARICA DR. JUAN NOÉ CREVANI</v>
          </cell>
        </row>
        <row r="4223">
          <cell r="Z4223" t="str">
            <v>MOBILIARIO CLINICO</v>
          </cell>
          <cell r="AA4223" t="str">
            <v>HOSPITAL REGIONAL DE ARICA DR. JUAN NOÉ CREVANI</v>
          </cell>
        </row>
        <row r="4224">
          <cell r="Z4224" t="str">
            <v>MOBILIARIO CLINICO</v>
          </cell>
          <cell r="AA4224" t="str">
            <v>HOSPITAL REGIONAL DE ARICA DR. JUAN NOÉ CREVANI</v>
          </cell>
        </row>
        <row r="4225">
          <cell r="Z4225" t="str">
            <v>MOBILIARIO CLINICO</v>
          </cell>
          <cell r="AA4225" t="str">
            <v>HOSPITAL REGIONAL DE ARICA DR. JUAN NOÉ CREVANI</v>
          </cell>
        </row>
        <row r="4226">
          <cell r="Z4226" t="str">
            <v>MOBILIARIO CLINICO</v>
          </cell>
          <cell r="AA4226" t="str">
            <v>HOSPITAL REGIONAL DE ARICA DR. JUAN NOÉ CREVANI</v>
          </cell>
        </row>
        <row r="4227">
          <cell r="Z4227" t="str">
            <v>MOBILIARIO CLINICO</v>
          </cell>
          <cell r="AA4227" t="str">
            <v>HOSPITAL REGIONAL DE ARICA DR. JUAN NOÉ CREVANI</v>
          </cell>
        </row>
        <row r="4228">
          <cell r="Z4228" t="str">
            <v>MOBILIARIO CLINICO</v>
          </cell>
          <cell r="AA4228" t="str">
            <v>HOSPITAL REGIONAL DE ARICA DR. JUAN NOÉ CREVANI</v>
          </cell>
        </row>
        <row r="4229">
          <cell r="Z4229" t="str">
            <v>MOBILIARIO CLINICO</v>
          </cell>
          <cell r="AA4229" t="str">
            <v>HOSPITAL REGIONAL DE ARICA DR. JUAN NOÉ CREVANI</v>
          </cell>
        </row>
        <row r="4230">
          <cell r="Z4230" t="str">
            <v>MOBILIARIO CLINICO</v>
          </cell>
          <cell r="AA4230" t="str">
            <v>HOSPITAL REGIONAL DE ARICA DR. JUAN NOÉ CREVANI</v>
          </cell>
        </row>
        <row r="4231">
          <cell r="Z4231" t="str">
            <v>MOBILIARIO CLINICO</v>
          </cell>
          <cell r="AA4231" t="str">
            <v>HOSPITAL REGIONAL DE ARICA DR. JUAN NOÉ CREVANI</v>
          </cell>
        </row>
        <row r="4232">
          <cell r="Z4232" t="str">
            <v>MOBILIARIO CLINICO</v>
          </cell>
          <cell r="AA4232" t="str">
            <v>HOSPITAL REGIONAL DE ARICA DR. JUAN NOÉ CREVANI</v>
          </cell>
        </row>
        <row r="4233">
          <cell r="Z4233" t="str">
            <v>MOBILIARIO CLINICO</v>
          </cell>
          <cell r="AA4233" t="str">
            <v>HOSPITAL REGIONAL DE ARICA DR. JUAN NOÉ CREVANI</v>
          </cell>
        </row>
        <row r="4234">
          <cell r="Z4234" t="str">
            <v>MOBILIARIO CLINICO</v>
          </cell>
          <cell r="AA4234" t="str">
            <v>HOSPITAL REGIONAL DE ARICA DR. JUAN NOÉ CREVANI</v>
          </cell>
        </row>
        <row r="4235">
          <cell r="Z4235" t="str">
            <v>MOBILIARIO CLINICO</v>
          </cell>
          <cell r="AA4235" t="str">
            <v>HOSPITAL REGIONAL DE ARICA DR. JUAN NOÉ CREVANI</v>
          </cell>
        </row>
        <row r="4236">
          <cell r="Z4236" t="str">
            <v>MOBILIARIO CLINICO</v>
          </cell>
          <cell r="AA4236" t="str">
            <v>HOSPITAL REGIONAL DE ARICA DR. JUAN NOÉ CREVANI</v>
          </cell>
        </row>
        <row r="4237">
          <cell r="Z4237" t="str">
            <v>MOBILIARIO CLINICO</v>
          </cell>
          <cell r="AA4237" t="str">
            <v>HOSPITAL REGIONAL DE ARICA DR. JUAN NOÉ CREVANI</v>
          </cell>
        </row>
        <row r="4238">
          <cell r="Z4238" t="str">
            <v>MOBILIARIO CLINICO</v>
          </cell>
          <cell r="AA4238" t="str">
            <v>HOSPITAL REGIONAL DE ARICA DR. JUAN NOÉ CREVANI</v>
          </cell>
        </row>
        <row r="4239">
          <cell r="Z4239" t="str">
            <v>MOBILIARIO CLINICO</v>
          </cell>
          <cell r="AA4239" t="str">
            <v>HOSPITAL REGIONAL DE ARICA DR. JUAN NOÉ CREVANI</v>
          </cell>
        </row>
        <row r="4240">
          <cell r="Z4240" t="str">
            <v>MOBILIARIO CLINICO</v>
          </cell>
          <cell r="AA4240" t="str">
            <v>HOSPITAL REGIONAL DE ARICA DR. JUAN NOÉ CREVANI</v>
          </cell>
        </row>
        <row r="4241">
          <cell r="Z4241" t="str">
            <v>MOBILIARIO CLINICO</v>
          </cell>
          <cell r="AA4241" t="str">
            <v>HOSPITAL REGIONAL DE ARICA DR. JUAN NOÉ CREVANI</v>
          </cell>
        </row>
        <row r="4242">
          <cell r="Z4242" t="str">
            <v>MOBILIARIO CLINICO</v>
          </cell>
          <cell r="AA4242" t="str">
            <v>HOSPITAL REGIONAL DE ARICA DR. JUAN NOÉ CREVANI</v>
          </cell>
        </row>
        <row r="4243">
          <cell r="Z4243" t="str">
            <v>MOBILIARIO CLINICO</v>
          </cell>
          <cell r="AA4243" t="str">
            <v>HOSPITAL REGIONAL DE ARICA DR. JUAN NOÉ CREVANI</v>
          </cell>
        </row>
        <row r="4244">
          <cell r="Z4244" t="str">
            <v>MOBILIARIO CLINICO</v>
          </cell>
          <cell r="AA4244" t="str">
            <v>HOSPITAL REGIONAL DE ARICA DR. JUAN NOÉ CREVANI</v>
          </cell>
        </row>
        <row r="4245">
          <cell r="Z4245" t="str">
            <v>MOBILIARIO CLINICO</v>
          </cell>
          <cell r="AA4245" t="str">
            <v>HOSPITAL REGIONAL DE ARICA DR. JUAN NOÉ CREVANI</v>
          </cell>
        </row>
        <row r="4246">
          <cell r="Z4246" t="str">
            <v>MOBILIARIO CLINICO</v>
          </cell>
          <cell r="AA4246" t="str">
            <v>HOSPITAL REGIONAL DE ARICA DR. JUAN NOÉ CREVANI</v>
          </cell>
        </row>
        <row r="4247">
          <cell r="Z4247" t="str">
            <v>MOBILIARIO CLINICO</v>
          </cell>
          <cell r="AA4247" t="str">
            <v>HOSPITAL REGIONAL DE ARICA DR. JUAN NOÉ CREVANI</v>
          </cell>
        </row>
        <row r="4248">
          <cell r="Z4248" t="str">
            <v>MOBILIARIO CLINICO</v>
          </cell>
          <cell r="AA4248" t="str">
            <v>HOSPITAL REGIONAL DE ARICA DR. JUAN NOÉ CREVANI</v>
          </cell>
        </row>
        <row r="4249">
          <cell r="Z4249" t="str">
            <v>MOBILIARIO CLINICO</v>
          </cell>
        </row>
        <row r="4250">
          <cell r="Z4250" t="str">
            <v>MOBILIARIO CLINICO</v>
          </cell>
        </row>
        <row r="4251">
          <cell r="Z4251" t="str">
            <v>MOBILIARIO CLINICO</v>
          </cell>
        </row>
        <row r="4252">
          <cell r="Z4252" t="str">
            <v>MOBILIARIO CLINICO</v>
          </cell>
        </row>
        <row r="4253">
          <cell r="Z4253" t="str">
            <v>MOBILIARIO CLINICO</v>
          </cell>
        </row>
        <row r="4254">
          <cell r="Z4254" t="str">
            <v>MOBILIARIO CLINICO</v>
          </cell>
        </row>
        <row r="4255">
          <cell r="Z4255" t="str">
            <v>MOBILIARIO CLINICO</v>
          </cell>
        </row>
        <row r="4256">
          <cell r="Z4256" t="str">
            <v>MOBILIARIO CLINICO</v>
          </cell>
        </row>
        <row r="4257">
          <cell r="Z4257" t="str">
            <v>MOBILIARIO CLINICO</v>
          </cell>
        </row>
        <row r="4258">
          <cell r="Z4258" t="str">
            <v>MOBILIARIO CLINICO</v>
          </cell>
        </row>
        <row r="4259">
          <cell r="Z4259" t="str">
            <v>MOBILIARIO CLINICO</v>
          </cell>
        </row>
        <row r="4260">
          <cell r="Z4260" t="str">
            <v>MOBILIARIO CLINICO</v>
          </cell>
        </row>
        <row r="4261">
          <cell r="Z4261" t="str">
            <v>MOBILIARIO CLINICO</v>
          </cell>
        </row>
        <row r="4262">
          <cell r="Z4262" t="str">
            <v>MOBILIARIO CLINICO</v>
          </cell>
        </row>
        <row r="4263">
          <cell r="Z4263" t="str">
            <v>MOBILIARIO CLINICO</v>
          </cell>
        </row>
        <row r="4264">
          <cell r="Z4264" t="str">
            <v>MOBILIARIO CLINICO</v>
          </cell>
        </row>
        <row r="4265">
          <cell r="Z4265" t="str">
            <v>MOBILIARIO CLINICO</v>
          </cell>
        </row>
        <row r="4266">
          <cell r="Z4266" t="str">
            <v>MOBILIARIO CLINICO</v>
          </cell>
        </row>
        <row r="4267">
          <cell r="Z4267" t="str">
            <v>MOBILIARIO CLINICO</v>
          </cell>
        </row>
        <row r="4268">
          <cell r="Z4268" t="str">
            <v>MOBILIARIO CLINICO</v>
          </cell>
        </row>
        <row r="4269">
          <cell r="Z4269" t="str">
            <v>MOBILIARIO CLINICO</v>
          </cell>
        </row>
        <row r="4270">
          <cell r="Z4270" t="str">
            <v>MOBILIARIO CLINICO</v>
          </cell>
        </row>
        <row r="4271">
          <cell r="Z4271" t="str">
            <v>MOBILIARIO CLINICO</v>
          </cell>
        </row>
        <row r="4272">
          <cell r="Z4272" t="str">
            <v>MOBILIARIO CLINICO</v>
          </cell>
        </row>
        <row r="4273">
          <cell r="Z4273" t="str">
            <v>MOBILIARIO CLINICO</v>
          </cell>
        </row>
        <row r="4274">
          <cell r="Z4274" t="str">
            <v>MOBILIARIO CLINICO</v>
          </cell>
        </row>
        <row r="4275">
          <cell r="Z4275" t="str">
            <v>MOBILIARIO CLINICO</v>
          </cell>
        </row>
        <row r="4276">
          <cell r="Z4276" t="str">
            <v>MOBILIARIO CLINICO</v>
          </cell>
        </row>
        <row r="4277">
          <cell r="Z4277" t="str">
            <v>MOBILIARIO CLINICO</v>
          </cell>
        </row>
        <row r="4278">
          <cell r="Z4278" t="str">
            <v>MOBILIARIO CLINICO</v>
          </cell>
        </row>
        <row r="4279">
          <cell r="Z4279" t="str">
            <v>MOBILIARIO CLINICO</v>
          </cell>
        </row>
        <row r="4280">
          <cell r="Z4280" t="str">
            <v>MOBILIARIO CLINICO</v>
          </cell>
        </row>
        <row r="4281">
          <cell r="Z4281" t="str">
            <v>MOBILIARIO CLINICO</v>
          </cell>
        </row>
        <row r="4282">
          <cell r="Z4282" t="str">
            <v>MOBILIARIO CLINICO</v>
          </cell>
        </row>
        <row r="4283">
          <cell r="Z4283" t="str">
            <v>MOBILIARIO CLINICO</v>
          </cell>
          <cell r="AA4283" t="str">
            <v>IMPORTADORA, COMERCIALIZADORA Y DA</v>
          </cell>
        </row>
        <row r="4284">
          <cell r="Z4284" t="str">
            <v>MOBILIARIO CLINICO</v>
          </cell>
        </row>
        <row r="4285">
          <cell r="Z4285" t="str">
            <v>MOBILIARIO CLINICO</v>
          </cell>
        </row>
        <row r="4286">
          <cell r="Z4286" t="str">
            <v>MOBILIARIO CLINICO</v>
          </cell>
        </row>
        <row r="4287">
          <cell r="Z4287" t="str">
            <v>MOBILIARIO CLINICO</v>
          </cell>
          <cell r="AA4287" t="str">
            <v>IMPORTADORA, COMERCIALIZADORA Y DA</v>
          </cell>
        </row>
        <row r="4288">
          <cell r="Z4288" t="str">
            <v>MOBILIARIO CLINICO</v>
          </cell>
        </row>
        <row r="4289">
          <cell r="Z4289" t="str">
            <v>MOBILIARIO CLINICO</v>
          </cell>
          <cell r="AA4289" t="str">
            <v>IMPORTADORA, COMERCIALIZADORA Y DA</v>
          </cell>
        </row>
        <row r="4290">
          <cell r="Z4290" t="str">
            <v>MOBILIARIO CLINICO</v>
          </cell>
        </row>
        <row r="4291">
          <cell r="Z4291" t="str">
            <v>MOBILIARIO CLINICO</v>
          </cell>
        </row>
        <row r="4292">
          <cell r="Z4292" t="str">
            <v>MOBILIARIO CLINICO</v>
          </cell>
        </row>
        <row r="4293">
          <cell r="Z4293" t="str">
            <v>MOBILIARIO CLINICO</v>
          </cell>
          <cell r="AA4293" t="str">
            <v>UC CHRISTUS SERVICIOS AMBULATORIOS SPA</v>
          </cell>
        </row>
        <row r="4294">
          <cell r="Z4294" t="str">
            <v>MOBILIARIO CLINICO</v>
          </cell>
          <cell r="AA4294" t="str">
            <v>HOSPITAL BASE DE VALDIVIA</v>
          </cell>
        </row>
        <row r="4295">
          <cell r="Z4295" t="str">
            <v>MOBILIARIO CLINICO</v>
          </cell>
          <cell r="AA4295" t="str">
            <v>SOCIEDAD CONCESIONARIA METROPOLITANA DE SALUD S.A.</v>
          </cell>
        </row>
        <row r="4296">
          <cell r="Z4296" t="str">
            <v>OTRO</v>
          </cell>
        </row>
        <row r="4297">
          <cell r="Z4297" t="str">
            <v>OTRO</v>
          </cell>
        </row>
        <row r="4298">
          <cell r="Z4298" t="str">
            <v>OTRO</v>
          </cell>
        </row>
        <row r="4299">
          <cell r="Z4299" t="str">
            <v>OTRO</v>
          </cell>
        </row>
        <row r="4300">
          <cell r="Z4300" t="str">
            <v>OTRO</v>
          </cell>
        </row>
        <row r="4301">
          <cell r="Z4301" t="str">
            <v>OTRO</v>
          </cell>
        </row>
        <row r="4302">
          <cell r="Z4302" t="str">
            <v>OTRO</v>
          </cell>
        </row>
        <row r="4303">
          <cell r="Z4303" t="str">
            <v>OTRO</v>
          </cell>
        </row>
        <row r="4304">
          <cell r="Z4304" t="str">
            <v>OTRO</v>
          </cell>
        </row>
        <row r="4305">
          <cell r="Z4305" t="str">
            <v>OTRO</v>
          </cell>
        </row>
        <row r="4306">
          <cell r="Z4306" t="str">
            <v>OTRO</v>
          </cell>
        </row>
        <row r="4307">
          <cell r="Z4307" t="str">
            <v>OTRO</v>
          </cell>
        </row>
        <row r="4308">
          <cell r="Z4308" t="str">
            <v>OTRO</v>
          </cell>
        </row>
        <row r="4309">
          <cell r="Z4309" t="str">
            <v>OTRO</v>
          </cell>
        </row>
        <row r="4310">
          <cell r="Z4310" t="str">
            <v>OTRO</v>
          </cell>
        </row>
        <row r="4311">
          <cell r="Z4311" t="str">
            <v>DENTAL</v>
          </cell>
          <cell r="AA4311" t="str">
            <v>CORP. MUNICIPAL DESARROLLO SOCIAL ANTOFAGASTA</v>
          </cell>
        </row>
        <row r="4312">
          <cell r="Z4312" t="str">
            <v>DENTAL</v>
          </cell>
          <cell r="AA4312" t="str">
            <v>SERVICIO DE SALUD VALPARAISO SN ANTONIO</v>
          </cell>
        </row>
        <row r="4313">
          <cell r="Z4313" t="str">
            <v>DENTAL</v>
          </cell>
          <cell r="AA4313" t="str">
            <v>SERVICIO DE SALUD VALPARAISO SN ANTONIO</v>
          </cell>
        </row>
        <row r="4314">
          <cell r="Z4314" t="str">
            <v>DENTAL</v>
          </cell>
          <cell r="AA4314" t="str">
            <v>SERVICIO DE SALUD VALPARAISO SN ANTONIO</v>
          </cell>
        </row>
        <row r="4315">
          <cell r="Z4315" t="str">
            <v>DENTAL</v>
          </cell>
          <cell r="AA4315" t="str">
            <v>S.S VIÑA DEL MAR-QUILLOTA</v>
          </cell>
        </row>
        <row r="4316">
          <cell r="Z4316" t="str">
            <v>DENTAL</v>
          </cell>
          <cell r="AA4316" t="str">
            <v>S.S VIÑA DEL MAR-QUILLOTA</v>
          </cell>
        </row>
        <row r="4317">
          <cell r="Z4317" t="str">
            <v>DENTAL</v>
          </cell>
          <cell r="AA4317" t="str">
            <v>S.S VIÑA DEL MAR-QUILLOTA</v>
          </cell>
        </row>
        <row r="4318">
          <cell r="Z4318" t="str">
            <v>DENTAL</v>
          </cell>
          <cell r="AA4318" t="str">
            <v>HOSPITAL DE QUILLOTA</v>
          </cell>
        </row>
        <row r="4319">
          <cell r="Z4319" t="str">
            <v>DENTAL</v>
          </cell>
          <cell r="AA4319" t="str">
            <v>HOSPITAL DR. GUSTAVO FRICKE</v>
          </cell>
        </row>
        <row r="4320">
          <cell r="Z4320" t="str">
            <v>DENTAL</v>
          </cell>
          <cell r="AA4320" t="str">
            <v>HOSPITAL ROBERTO DEL RIO</v>
          </cell>
        </row>
        <row r="4321">
          <cell r="Z4321" t="str">
            <v>DENTAL</v>
          </cell>
          <cell r="AA4321" t="str">
            <v>CESFAM RAUL BRAÑES</v>
          </cell>
        </row>
        <row r="4322">
          <cell r="Z4322" t="str">
            <v>DENTAL</v>
          </cell>
          <cell r="AA4322" t="str">
            <v>CORP. MUNICIPAL DESARROLLO SOCIAL ANTOFAGASTA</v>
          </cell>
        </row>
        <row r="4323">
          <cell r="Z4323" t="str">
            <v>DENTAL</v>
          </cell>
          <cell r="AA4323" t="str">
            <v>CORP. MUNICIPAL DESARROLLO SOCIAL ANTOFAGASTA</v>
          </cell>
        </row>
        <row r="4324">
          <cell r="Z4324" t="str">
            <v>DENTAL</v>
          </cell>
          <cell r="AA4324" t="str">
            <v>SERVICIO DE SALUD VALPARAISO SN ANTONIO</v>
          </cell>
        </row>
        <row r="4325">
          <cell r="Z4325" t="str">
            <v>DENTAL</v>
          </cell>
          <cell r="AA4325" t="str">
            <v>SERVICIO DE SALUD DEL MAULE</v>
          </cell>
        </row>
        <row r="4326">
          <cell r="Z4326" t="str">
            <v>DENTAL</v>
          </cell>
          <cell r="AA4326" t="str">
            <v>HOSPITAL REGIONAL DE ARICA DR. JUAN NOÉ CREVANI</v>
          </cell>
        </row>
        <row r="4327">
          <cell r="Z4327" t="str">
            <v>DENTAL</v>
          </cell>
          <cell r="AA4327" t="str">
            <v>SERVICIO DE SALUD RELONCAVI</v>
          </cell>
        </row>
        <row r="4328">
          <cell r="Z4328" t="str">
            <v>DENTAL</v>
          </cell>
          <cell r="AA4328" t="str">
            <v>CORP. MUNICIPAL DESARROLLO SOCIAL ANTOFAGASTA</v>
          </cell>
        </row>
        <row r="4329">
          <cell r="Z4329" t="str">
            <v>DENTAL</v>
          </cell>
          <cell r="AA4329" t="str">
            <v>VICTOR PATRICIO CANALES BURGOS</v>
          </cell>
        </row>
        <row r="4330">
          <cell r="Z4330" t="str">
            <v>ENDOSCOPÍA</v>
          </cell>
        </row>
        <row r="4331">
          <cell r="Z4331" t="str">
            <v>ENDOSCOPÍA</v>
          </cell>
          <cell r="AA4331" t="str">
            <v>ACHS</v>
          </cell>
        </row>
        <row r="4332">
          <cell r="Z4332" t="str">
            <v>DENTAL</v>
          </cell>
        </row>
        <row r="4333">
          <cell r="Z4333" t="str">
            <v>MOBILIARIO CLINICO</v>
          </cell>
        </row>
        <row r="4334">
          <cell r="Z4334" t="str">
            <v>MOBILIARIO CLINICO</v>
          </cell>
        </row>
        <row r="4335">
          <cell r="Z4335" t="str">
            <v>MOBILIARIO CLINICO</v>
          </cell>
          <cell r="AA4335" t="str">
            <v>IMPORTADORA, COMERCIALIZADORA Y DA</v>
          </cell>
        </row>
        <row r="4336">
          <cell r="Z4336" t="str">
            <v>MOBILIARIO CLINICO</v>
          </cell>
          <cell r="AA4336" t="str">
            <v>IMPORTADORA, COMERCIALIZADORA Y DA</v>
          </cell>
        </row>
        <row r="4337">
          <cell r="Z4337" t="str">
            <v>MOBILIARIO CLINICO</v>
          </cell>
          <cell r="AA4337" t="str">
            <v>CLINICA HOGAR BUENA SALUD S.P.A</v>
          </cell>
        </row>
        <row r="4338">
          <cell r="Z4338" t="str">
            <v>MOBILIARIO CLINICO</v>
          </cell>
          <cell r="AA4338" t="str">
            <v>CLINICA HOGAR BUENA SALUD S.P.A</v>
          </cell>
        </row>
        <row r="4339">
          <cell r="Z4339" t="str">
            <v>MOBILIARIO CLINICO</v>
          </cell>
          <cell r="AA4339" t="str">
            <v>CLINICA HOGAR BUENA SALUD S.P.A</v>
          </cell>
        </row>
        <row r="4340">
          <cell r="Z4340" t="str">
            <v>MOBILIARIO CLINICO</v>
          </cell>
          <cell r="AA4340" t="str">
            <v>S. SALUD METROPOLITANO SUR ORIENTE</v>
          </cell>
        </row>
        <row r="4341">
          <cell r="Z4341" t="str">
            <v>MOBILIARIO CLINICO</v>
          </cell>
          <cell r="AA4341" t="str">
            <v>S. SALUD METROPOLITANO SUR ORIENTE</v>
          </cell>
        </row>
        <row r="4342">
          <cell r="Z4342" t="str">
            <v>MOBILIARIO CLINICO</v>
          </cell>
          <cell r="AA4342" t="str">
            <v>PONTIFICIA UNIVERSIDAD CATOLICA DE CHILE</v>
          </cell>
        </row>
        <row r="4343">
          <cell r="Z4343" t="str">
            <v>MOBILIARIO CLINICO</v>
          </cell>
          <cell r="AA4343" t="str">
            <v>HOSPITAL  SAN JOSE DE MAIPO</v>
          </cell>
        </row>
        <row r="4344">
          <cell r="Z4344" t="str">
            <v>MOBILIARIO CLINICO</v>
          </cell>
          <cell r="AA4344" t="str">
            <v>HOSPITAL  SAN JOSE DE MAIPO</v>
          </cell>
        </row>
        <row r="4345">
          <cell r="Z4345" t="str">
            <v>MOBILIARIO CLINICO</v>
          </cell>
        </row>
        <row r="4346">
          <cell r="Z4346" t="str">
            <v>MOBILIARIO CLINICO</v>
          </cell>
          <cell r="AA4346" t="str">
            <v>CLINICA HOGAR BUENA SALUD S.P.A</v>
          </cell>
        </row>
        <row r="4347">
          <cell r="Z4347" t="str">
            <v>MOBILIARIO CLINICO</v>
          </cell>
          <cell r="AA4347" t="str">
            <v>GEMCO GENERAL MACHINERY S.A.</v>
          </cell>
        </row>
        <row r="4348">
          <cell r="Z4348" t="str">
            <v>MOBILIARIO CLINICO</v>
          </cell>
        </row>
        <row r="4349">
          <cell r="Z4349" t="str">
            <v>MOBILIARIO CLINICO</v>
          </cell>
        </row>
        <row r="4350">
          <cell r="Z4350" t="str">
            <v>MOBILIARIO CLINICO</v>
          </cell>
          <cell r="AA4350" t="str">
            <v>HOSPITAL DE LA FLORIDA</v>
          </cell>
        </row>
        <row r="4351">
          <cell r="Z4351" t="str">
            <v>MOBILIARIO CLINICO</v>
          </cell>
          <cell r="AA4351" t="str">
            <v>HOSPITAL DE LA FLORIDA</v>
          </cell>
        </row>
        <row r="4352">
          <cell r="Z4352" t="str">
            <v>MOBILIARIO CLINICO</v>
          </cell>
          <cell r="AA4352" t="str">
            <v>HOSPITAL DE LA FLORIDA</v>
          </cell>
        </row>
        <row r="4353">
          <cell r="Z4353" t="str">
            <v>MOBILIARIO CLINICO</v>
          </cell>
          <cell r="AA4353" t="str">
            <v>HOSPITAL DE LA FLORIDA</v>
          </cell>
        </row>
        <row r="4354">
          <cell r="Z4354" t="str">
            <v>MOBILIARIO CLINICO</v>
          </cell>
          <cell r="AA4354" t="str">
            <v>HOSPITAL CARLOS VAN BUREN</v>
          </cell>
        </row>
        <row r="4355">
          <cell r="Z4355" t="str">
            <v>MOBILIARIO CLINICO</v>
          </cell>
          <cell r="AA4355" t="str">
            <v>HOSPITAL CARLOS VAN BUREN</v>
          </cell>
        </row>
        <row r="4356">
          <cell r="Z4356" t="str">
            <v>DENTAL</v>
          </cell>
          <cell r="AA4356" t="str">
            <v>MUNICIPALIDAD BARNECHEA</v>
          </cell>
        </row>
        <row r="4357">
          <cell r="Z4357" t="str">
            <v>DENTAL</v>
          </cell>
          <cell r="AA4357" t="str">
            <v>MUNICIPALIDAD BARNECHEA</v>
          </cell>
        </row>
        <row r="4358">
          <cell r="Z4358" t="str">
            <v>DENTAL</v>
          </cell>
          <cell r="AA4358" t="str">
            <v>MUNICIPALIDAD BARNECHEA</v>
          </cell>
        </row>
        <row r="4359">
          <cell r="Z4359" t="str">
            <v>DENTAL</v>
          </cell>
          <cell r="AA4359" t="str">
            <v>MUNICIPALIDAD BARNECHEA</v>
          </cell>
        </row>
        <row r="4360">
          <cell r="Z4360" t="str">
            <v>DENTAL</v>
          </cell>
        </row>
        <row r="4361">
          <cell r="Z4361" t="str">
            <v>DENTAL</v>
          </cell>
          <cell r="AA4361" t="str">
            <v>MUNICIPALIDAD BARNECHEA</v>
          </cell>
        </row>
        <row r="4362">
          <cell r="Z4362" t="str">
            <v>DENTAL</v>
          </cell>
        </row>
        <row r="4363">
          <cell r="Z4363" t="str">
            <v>DENTAL</v>
          </cell>
        </row>
        <row r="4364">
          <cell r="Z4364" t="str">
            <v>DENTAL</v>
          </cell>
        </row>
        <row r="4365">
          <cell r="Z4365" t="str">
            <v>DENTAL</v>
          </cell>
          <cell r="AA4365" t="str">
            <v>CARLOS DURAN Y CIA. LTDA.</v>
          </cell>
        </row>
        <row r="4366">
          <cell r="Z4366" t="str">
            <v>MOBILIARIO CLINICO</v>
          </cell>
          <cell r="AA4366" t="str">
            <v>HOSPITAL DE LA FLORIDA</v>
          </cell>
        </row>
        <row r="4367">
          <cell r="Z4367" t="str">
            <v>MOBILIARIO CLINICO</v>
          </cell>
          <cell r="AA4367" t="str">
            <v>HOSPITAL DE LA FLORIDA</v>
          </cell>
        </row>
        <row r="4368">
          <cell r="Z4368" t="str">
            <v>MOBILIARIO CLINICO</v>
          </cell>
          <cell r="AA4368" t="str">
            <v>HOSPITAL DE LA FLORIDA</v>
          </cell>
        </row>
        <row r="4369">
          <cell r="Z4369" t="str">
            <v>MOBILIARIO CLINICO</v>
          </cell>
          <cell r="AA4369" t="str">
            <v>HOSPITAL DE PUERTO MONTT</v>
          </cell>
        </row>
        <row r="4370">
          <cell r="Z4370" t="str">
            <v>MOBILIARIO CLINICO</v>
          </cell>
          <cell r="AA4370" t="str">
            <v>HOSPITAL DE PUERTO MONTT</v>
          </cell>
        </row>
        <row r="4371">
          <cell r="Z4371" t="str">
            <v>MOBILIARIO CLINICO</v>
          </cell>
          <cell r="AA4371" t="str">
            <v>HOSPITAL DE PUERTO MONTT</v>
          </cell>
        </row>
        <row r="4372">
          <cell r="Z4372" t="str">
            <v>MOBILIARIO CLINICO</v>
          </cell>
          <cell r="AA4372" t="str">
            <v>HOSPITAL DE PUERTO MONTT</v>
          </cell>
        </row>
        <row r="4373">
          <cell r="Z4373" t="str">
            <v>MOBILIARIO CLINICO</v>
          </cell>
          <cell r="AA4373" t="str">
            <v>HOSPITAL DE PUERTO MONTT</v>
          </cell>
        </row>
        <row r="4374">
          <cell r="Z4374" t="str">
            <v>MOBILIARIO CLINICO</v>
          </cell>
          <cell r="AA4374" t="str">
            <v>HOSPITAL DE PUERTO MONTT</v>
          </cell>
        </row>
        <row r="4375">
          <cell r="Z4375" t="str">
            <v>MOBILIARIO CLINICO</v>
          </cell>
          <cell r="AA4375" t="str">
            <v>HOSPITAL DE PUERTO MONTT</v>
          </cell>
        </row>
        <row r="4376">
          <cell r="Z4376" t="str">
            <v>MOBILIARIO CLINICO</v>
          </cell>
          <cell r="AA4376" t="str">
            <v>HOSPITAL DE PUERTO MONTT</v>
          </cell>
        </row>
        <row r="4377">
          <cell r="Z4377" t="str">
            <v>MOBILIARIO CLINICO</v>
          </cell>
          <cell r="AA4377" t="str">
            <v>HOSPITAL DE PUERTO MONTT</v>
          </cell>
        </row>
        <row r="4378">
          <cell r="Z4378" t="str">
            <v>MOBILIARIO CLINICO</v>
          </cell>
          <cell r="AA4378" t="str">
            <v>HOSPITAL DE PUERTO MONTT</v>
          </cell>
        </row>
        <row r="4379">
          <cell r="Z4379" t="str">
            <v>MOBILIARIO CLINICO</v>
          </cell>
          <cell r="AA4379" t="str">
            <v>HOSPITAL DE PUERTO MONTT</v>
          </cell>
        </row>
        <row r="4380">
          <cell r="Z4380" t="str">
            <v>MOBILIARIO CLINICO</v>
          </cell>
          <cell r="AA4380" t="str">
            <v>HOSPITAL DE LA FLORIDA</v>
          </cell>
        </row>
        <row r="4381">
          <cell r="Z4381" t="str">
            <v>MOBILIARIO CLINICO</v>
          </cell>
          <cell r="AA4381" t="str">
            <v>HOSPITAL DE LA FLORIDA</v>
          </cell>
        </row>
        <row r="4382">
          <cell r="Z4382" t="str">
            <v>MOBILIARIO CLINICO</v>
          </cell>
          <cell r="AA4382" t="str">
            <v>HOSPITAL DE LA FLORIDA</v>
          </cell>
        </row>
        <row r="4383">
          <cell r="Z4383" t="str">
            <v>MOBILIARIO CLINICO</v>
          </cell>
          <cell r="AA4383" t="str">
            <v>HOSPITAL DE LA FLORIDA</v>
          </cell>
        </row>
        <row r="4384">
          <cell r="Z4384" t="str">
            <v>MOBILIARIO CLINICO</v>
          </cell>
          <cell r="AA4384" t="str">
            <v>HOSPITAL DE LA FLORIDA</v>
          </cell>
        </row>
        <row r="4385">
          <cell r="Z4385" t="str">
            <v>MOBILIARIO CLINICO</v>
          </cell>
          <cell r="AA4385" t="str">
            <v>HOSPITAL DE LA FLORIDA</v>
          </cell>
        </row>
        <row r="4386">
          <cell r="Z4386" t="str">
            <v>MOBILIARIO CLINICO</v>
          </cell>
          <cell r="AA4386" t="str">
            <v>HOSPITAL DE LA FLORIDA</v>
          </cell>
        </row>
        <row r="4387">
          <cell r="Z4387" t="str">
            <v>MOBILIARIO CLINICO</v>
          </cell>
          <cell r="AA4387" t="str">
            <v>HOSPITAL DE LA FLORIDA</v>
          </cell>
        </row>
        <row r="4388">
          <cell r="Z4388" t="str">
            <v>MOBILIARIO CLINICO</v>
          </cell>
          <cell r="AA4388" t="str">
            <v>HOSPITAL DE LA FLORIDA</v>
          </cell>
        </row>
        <row r="4389">
          <cell r="Z4389" t="str">
            <v>MOBILIARIO CLINICO</v>
          </cell>
          <cell r="AA4389" t="str">
            <v>HOSPITAL DE LA FLORIDA</v>
          </cell>
        </row>
        <row r="4390">
          <cell r="Z4390" t="str">
            <v>MOBILIARIO CLINICO</v>
          </cell>
          <cell r="AA4390" t="str">
            <v>HOSPITAL DE LA FLORIDA</v>
          </cell>
        </row>
        <row r="4391">
          <cell r="Z4391" t="str">
            <v>MOBILIARIO CLINICO</v>
          </cell>
          <cell r="AA4391" t="str">
            <v>HOSPITAL DE LA FLORIDA</v>
          </cell>
        </row>
        <row r="4392">
          <cell r="Z4392" t="str">
            <v>MOBILIARIO CLINICO</v>
          </cell>
          <cell r="AA4392" t="str">
            <v>HOSPITAL DE LA FLORIDA</v>
          </cell>
        </row>
        <row r="4393">
          <cell r="Z4393" t="str">
            <v>MOBILIARIO CLINICO</v>
          </cell>
          <cell r="AA4393" t="str">
            <v>HOSPITAL DE LA FLORIDA</v>
          </cell>
        </row>
        <row r="4394">
          <cell r="Z4394" t="str">
            <v>MOBILIARIO CLINICO</v>
          </cell>
          <cell r="AA4394" t="str">
            <v>HOSPITAL DE LA FLORIDA</v>
          </cell>
        </row>
        <row r="4395">
          <cell r="Z4395" t="str">
            <v>MOBILIARIO CLINICO</v>
          </cell>
          <cell r="AA4395" t="str">
            <v>HOSPITAL DE LA FLORIDA</v>
          </cell>
        </row>
        <row r="4396">
          <cell r="Z4396" t="str">
            <v>MOBILIARIO CLINICO</v>
          </cell>
          <cell r="AA4396" t="str">
            <v>HOSPITAL DE LA FLORIDA</v>
          </cell>
        </row>
        <row r="4397">
          <cell r="Z4397" t="str">
            <v>MOBILIARIO CLINICO</v>
          </cell>
          <cell r="AA4397" t="str">
            <v>HOSPITAL DE LA FLORIDA</v>
          </cell>
        </row>
        <row r="4398">
          <cell r="Z4398" t="str">
            <v>MOBILIARIO CLINICO</v>
          </cell>
          <cell r="AA4398" t="str">
            <v>HOSPITAL DE LA FLORIDA</v>
          </cell>
        </row>
        <row r="4399">
          <cell r="Z4399" t="str">
            <v>MOBILIARIO CLINICO</v>
          </cell>
          <cell r="AA4399" t="str">
            <v>HOSPITAL DE LA FLORIDA</v>
          </cell>
        </row>
        <row r="4400">
          <cell r="Z4400" t="str">
            <v>MOBILIARIO CLINICO</v>
          </cell>
          <cell r="AA4400" t="str">
            <v>HOSPITAL DE LA FLORIDA</v>
          </cell>
        </row>
        <row r="4401">
          <cell r="Z4401" t="str">
            <v>MOBILIARIO CLINICO</v>
          </cell>
          <cell r="AA4401" t="str">
            <v>HOSPITAL DE LA FLORIDA</v>
          </cell>
        </row>
        <row r="4402">
          <cell r="Z4402" t="str">
            <v>MOBILIARIO CLINICO</v>
          </cell>
          <cell r="AA4402" t="str">
            <v>HOSPITAL DE LA FLORIDA</v>
          </cell>
        </row>
        <row r="4403">
          <cell r="Z4403" t="str">
            <v>MOBILIARIO CLINICO</v>
          </cell>
          <cell r="AA4403" t="str">
            <v>HOSPITAL DE LA FLORIDA</v>
          </cell>
        </row>
        <row r="4404">
          <cell r="Z4404" t="str">
            <v>MOBILIARIO CLINICO</v>
          </cell>
          <cell r="AA4404" t="str">
            <v>HOSPITAL DE LA FLORIDA</v>
          </cell>
        </row>
        <row r="4405">
          <cell r="Z4405" t="str">
            <v>MOBILIARIO CLINICO</v>
          </cell>
          <cell r="AA4405" t="str">
            <v>HOSPITAL DE LA FLORIDA</v>
          </cell>
        </row>
        <row r="4406">
          <cell r="Z4406" t="str">
            <v>MOBILIARIO CLINICO</v>
          </cell>
          <cell r="AA4406" t="str">
            <v>HOSPITAL DE LA FLORIDA</v>
          </cell>
        </row>
        <row r="4407">
          <cell r="Z4407" t="str">
            <v>MOBILIARIO CLINICO</v>
          </cell>
          <cell r="AA4407" t="str">
            <v>HOSPITAL DE LA FLORIDA</v>
          </cell>
        </row>
        <row r="4408">
          <cell r="Z4408" t="str">
            <v>MOBILIARIO CLINICO</v>
          </cell>
          <cell r="AA4408" t="str">
            <v>HOSPITAL DE LA FLORIDA</v>
          </cell>
        </row>
        <row r="4409">
          <cell r="Z4409" t="str">
            <v>MOBILIARIO CLINICO</v>
          </cell>
          <cell r="AA4409" t="str">
            <v>HOSPITAL DE LA FLORIDA</v>
          </cell>
        </row>
        <row r="4410">
          <cell r="Z4410" t="str">
            <v>MOBILIARIO CLINICO</v>
          </cell>
          <cell r="AA4410" t="str">
            <v>HOSPITAL DE LA FLORIDA</v>
          </cell>
        </row>
        <row r="4411">
          <cell r="Z4411" t="str">
            <v>MOBILIARIO CLINICO</v>
          </cell>
          <cell r="AA4411" t="str">
            <v>HOSPITAL DE LA FLORIDA</v>
          </cell>
        </row>
        <row r="4412">
          <cell r="Z4412" t="str">
            <v>MOBILIARIO CLINICO</v>
          </cell>
          <cell r="AA4412" t="str">
            <v>HOSPITAL DE LA FLORIDA</v>
          </cell>
        </row>
        <row r="4413">
          <cell r="Z4413" t="str">
            <v>MOBILIARIO CLINICO</v>
          </cell>
          <cell r="AA4413" t="str">
            <v>HOSPITAL DE LA FLORIDA</v>
          </cell>
        </row>
        <row r="4414">
          <cell r="Z4414" t="str">
            <v>MOBILIARIO CLINICO</v>
          </cell>
          <cell r="AA4414" t="str">
            <v>HOSPITAL DE LA FLORIDA</v>
          </cell>
        </row>
        <row r="4415">
          <cell r="Z4415" t="str">
            <v>MOBILIARIO CLINICO</v>
          </cell>
          <cell r="AA4415" t="str">
            <v>HOSPITAL DE LA FLORIDA</v>
          </cell>
        </row>
        <row r="4416">
          <cell r="Z4416" t="str">
            <v>MOBILIARIO CLINICO</v>
          </cell>
          <cell r="AA4416" t="str">
            <v>HOSPITAL DE LA FLORIDA</v>
          </cell>
        </row>
        <row r="4417">
          <cell r="Z4417" t="str">
            <v>MOBILIARIO CLINICO</v>
          </cell>
          <cell r="AA4417" t="str">
            <v>HOSPITAL DE LA FLORIDA</v>
          </cell>
        </row>
        <row r="4418">
          <cell r="Z4418" t="str">
            <v>MOBILIARIO CLINICO</v>
          </cell>
          <cell r="AA4418" t="str">
            <v>HOSPITAL DE LA FLORIDA</v>
          </cell>
        </row>
        <row r="4419">
          <cell r="Z4419" t="str">
            <v>MOBILIARIO CLINICO</v>
          </cell>
          <cell r="AA4419" t="str">
            <v>HOSPITAL DE LA FLORIDA</v>
          </cell>
        </row>
        <row r="4420">
          <cell r="Z4420" t="str">
            <v>MOBILIARIO CLINICO</v>
          </cell>
          <cell r="AA4420" t="str">
            <v>HOSPITAL DE LA FLORIDA</v>
          </cell>
        </row>
        <row r="4421">
          <cell r="Z4421" t="str">
            <v>MOBILIARIO CLINICO</v>
          </cell>
          <cell r="AA4421" t="str">
            <v>HOSPITAL DE LA FLORIDA</v>
          </cell>
        </row>
        <row r="4422">
          <cell r="Z4422" t="str">
            <v>MOBILIARIO CLINICO</v>
          </cell>
          <cell r="AA4422" t="str">
            <v>HOSPITAL DE LA FLORIDA</v>
          </cell>
        </row>
        <row r="4423">
          <cell r="Z4423" t="str">
            <v>MOBILIARIO CLINICO</v>
          </cell>
          <cell r="AA4423" t="str">
            <v>HOSPITAL DE LA FLORIDA</v>
          </cell>
        </row>
        <row r="4424">
          <cell r="Z4424" t="str">
            <v>MOBILIARIO CLINICO</v>
          </cell>
          <cell r="AA4424" t="str">
            <v>HOSPITAL DE LA FLORIDA</v>
          </cell>
        </row>
        <row r="4425">
          <cell r="Z4425" t="str">
            <v>MOBILIARIO CLINICO</v>
          </cell>
          <cell r="AA4425" t="str">
            <v>HOSPITAL DE LA FLORIDA</v>
          </cell>
        </row>
        <row r="4426">
          <cell r="Z4426" t="str">
            <v>MOBILIARIO CLINICO</v>
          </cell>
          <cell r="AA4426" t="str">
            <v>HOSPITAL DE LA FLORIDA</v>
          </cell>
        </row>
        <row r="4427">
          <cell r="Z4427" t="str">
            <v>MOBILIARIO CLINICO</v>
          </cell>
          <cell r="AA4427" t="str">
            <v>HOSPITAL DE LA FLORIDA</v>
          </cell>
        </row>
        <row r="4428">
          <cell r="Z4428" t="str">
            <v>MOBILIARIO CLINICO</v>
          </cell>
          <cell r="AA4428" t="str">
            <v>HOSPITAL DE LA FLORIDA</v>
          </cell>
        </row>
        <row r="4429">
          <cell r="Z4429" t="str">
            <v>MOBILIARIO CLINICO</v>
          </cell>
          <cell r="AA4429" t="str">
            <v>HOSPITAL DE LA FLORIDA</v>
          </cell>
        </row>
        <row r="4430">
          <cell r="Z4430" t="str">
            <v>MOBILIARIO CLINICO</v>
          </cell>
          <cell r="AA4430" t="str">
            <v>HOSPITAL DE LA FLORIDA</v>
          </cell>
        </row>
        <row r="4431">
          <cell r="Z4431" t="str">
            <v>MOBILIARIO CLINICO</v>
          </cell>
          <cell r="AA4431" t="str">
            <v>HOSPITAL DE LA FLORIDA</v>
          </cell>
        </row>
        <row r="4432">
          <cell r="Z4432" t="str">
            <v>MOBILIARIO CLINICO</v>
          </cell>
          <cell r="AA4432" t="str">
            <v>HOSPITAL DE LA FLORIDA</v>
          </cell>
        </row>
        <row r="4433">
          <cell r="Z4433" t="str">
            <v>MOBILIARIO CLINICO</v>
          </cell>
          <cell r="AA4433" t="str">
            <v>HOSPITAL DE LA FLORIDA</v>
          </cell>
        </row>
        <row r="4434">
          <cell r="Z4434" t="str">
            <v>MOBILIARIO CLINICO</v>
          </cell>
          <cell r="AA4434" t="str">
            <v>HOSPITAL DE LA FLORIDA</v>
          </cell>
        </row>
        <row r="4435">
          <cell r="Z4435" t="str">
            <v>MOBILIARIO CLINICO</v>
          </cell>
          <cell r="AA4435" t="str">
            <v>HOSPITAL DE LA FLORIDA</v>
          </cell>
        </row>
        <row r="4436">
          <cell r="Z4436" t="str">
            <v>MOBILIARIO CLINICO</v>
          </cell>
          <cell r="AA4436" t="str">
            <v>HOSPITAL DE LA FLORIDA</v>
          </cell>
        </row>
        <row r="4437">
          <cell r="Z4437" t="str">
            <v>MOBILIARIO CLINICO</v>
          </cell>
          <cell r="AA4437" t="str">
            <v>HOSPITAL DE LA FLORIDA</v>
          </cell>
        </row>
        <row r="4438">
          <cell r="Z4438" t="str">
            <v>MOBILIARIO CLINICO</v>
          </cell>
          <cell r="AA4438" t="str">
            <v>HOSPITAL DE LA FLORIDA</v>
          </cell>
        </row>
        <row r="4439">
          <cell r="Z4439" t="str">
            <v>MOBILIARIO CLINICO</v>
          </cell>
          <cell r="AA4439" t="str">
            <v>HOSPITAL DE LA FLORIDA</v>
          </cell>
        </row>
        <row r="4440">
          <cell r="Z4440" t="str">
            <v>MOBILIARIO CLINICO</v>
          </cell>
          <cell r="AA4440" t="str">
            <v>HOSPITAL DE LA FLORIDA</v>
          </cell>
        </row>
        <row r="4441">
          <cell r="Z4441" t="str">
            <v>MOBILIARIO CLINICO</v>
          </cell>
          <cell r="AA4441" t="str">
            <v>HOSPITAL DE LA FLORIDA</v>
          </cell>
        </row>
        <row r="4442">
          <cell r="Z4442" t="str">
            <v>MOBILIARIO CLINICO</v>
          </cell>
          <cell r="AA4442" t="str">
            <v>HOSPITAL DE LA FLORIDA</v>
          </cell>
        </row>
        <row r="4443">
          <cell r="Z4443" t="str">
            <v>MOBILIARIO CLINICO</v>
          </cell>
          <cell r="AA4443" t="str">
            <v>HOSPITAL DE LA FLORIDA</v>
          </cell>
        </row>
        <row r="4444">
          <cell r="Z4444" t="str">
            <v>MOBILIARIO CLINICO</v>
          </cell>
          <cell r="AA4444" t="str">
            <v>HOSPITAL DE LA FLORIDA</v>
          </cell>
        </row>
        <row r="4445">
          <cell r="Z4445" t="str">
            <v>MOBILIARIO CLINICO</v>
          </cell>
          <cell r="AA4445" t="str">
            <v>HOSPITAL DE LA FLORIDA</v>
          </cell>
        </row>
        <row r="4446">
          <cell r="Z4446" t="str">
            <v>MOBILIARIO CLINICO</v>
          </cell>
          <cell r="AA4446" t="str">
            <v>HOSPITAL DE LA FLORIDA</v>
          </cell>
        </row>
        <row r="4447">
          <cell r="Z4447" t="str">
            <v>MOBILIARIO CLINICO</v>
          </cell>
          <cell r="AA4447" t="str">
            <v>HOSPITAL DE LA FLORIDA</v>
          </cell>
        </row>
        <row r="4448">
          <cell r="Z4448" t="str">
            <v>MOBILIARIO CLINICO</v>
          </cell>
          <cell r="AA4448" t="str">
            <v>HOSPITAL DE LA FLORIDA</v>
          </cell>
        </row>
        <row r="4449">
          <cell r="Z4449" t="str">
            <v>MOBILIARIO CLINICO</v>
          </cell>
          <cell r="AA4449" t="str">
            <v>HOSPITAL DE LA FLORIDA</v>
          </cell>
        </row>
        <row r="4450">
          <cell r="Z4450" t="str">
            <v>MOBILIARIO CLINICO</v>
          </cell>
          <cell r="AA4450" t="str">
            <v>HOSPITAL DE LA FLORIDA</v>
          </cell>
        </row>
        <row r="4451">
          <cell r="Z4451" t="str">
            <v>MOBILIARIO CLINICO</v>
          </cell>
          <cell r="AA4451" t="str">
            <v>HOSPITAL DE LA FLORIDA</v>
          </cell>
        </row>
        <row r="4452">
          <cell r="Z4452" t="str">
            <v>MOBILIARIO CLINICO</v>
          </cell>
          <cell r="AA4452" t="str">
            <v>HOSPITAL DE LA FLORIDA</v>
          </cell>
        </row>
        <row r="4453">
          <cell r="Z4453" t="str">
            <v>MOBILIARIO CLINICO</v>
          </cell>
          <cell r="AA4453" t="str">
            <v>HOSPITAL DE LA FLORIDA</v>
          </cell>
        </row>
        <row r="4454">
          <cell r="Z4454" t="str">
            <v>MOBILIARIO CLINICO</v>
          </cell>
          <cell r="AA4454" t="str">
            <v>HOSPITAL DE LA FLORIDA</v>
          </cell>
        </row>
        <row r="4455">
          <cell r="Z4455" t="str">
            <v>MOBILIARIO CLINICO</v>
          </cell>
          <cell r="AA4455" t="str">
            <v>HOSPITAL DE LA FLORIDA</v>
          </cell>
        </row>
        <row r="4456">
          <cell r="Z4456" t="str">
            <v>MOBILIARIO CLINICO</v>
          </cell>
          <cell r="AA4456" t="str">
            <v>HOSPITAL DE LA FLORIDA</v>
          </cell>
        </row>
        <row r="4457">
          <cell r="Z4457" t="str">
            <v>MOBILIARIO CLINICO</v>
          </cell>
          <cell r="AA4457" t="str">
            <v>HOSPITAL DE LA FLORIDA</v>
          </cell>
        </row>
        <row r="4458">
          <cell r="Z4458" t="str">
            <v>MOBILIARIO CLINICO</v>
          </cell>
          <cell r="AA4458" t="str">
            <v>HOSPITAL DE LA FLORIDA</v>
          </cell>
        </row>
        <row r="4459">
          <cell r="Z4459" t="str">
            <v>MOBILIARIO CLINICO</v>
          </cell>
          <cell r="AA4459" t="str">
            <v>HOSPITAL DE LA FLORIDA</v>
          </cell>
        </row>
        <row r="4460">
          <cell r="Z4460" t="str">
            <v>MOBILIARIO CLINICO</v>
          </cell>
          <cell r="AA4460" t="str">
            <v>HOSPITAL DE LA FLORIDA</v>
          </cell>
        </row>
        <row r="4461">
          <cell r="Z4461" t="str">
            <v>MOBILIARIO CLINICO</v>
          </cell>
          <cell r="AA4461" t="str">
            <v>HOSPITAL DE LA FLORIDA</v>
          </cell>
        </row>
        <row r="4462">
          <cell r="Z4462" t="str">
            <v>MOBILIARIO CLINICO</v>
          </cell>
          <cell r="AA4462" t="str">
            <v>HOSPITAL DE LA FLORIDA</v>
          </cell>
        </row>
        <row r="4463">
          <cell r="Z4463" t="str">
            <v>MOBILIARIO CLINICO</v>
          </cell>
          <cell r="AA4463" t="str">
            <v>HOSPITAL DE LA FLORIDA</v>
          </cell>
        </row>
        <row r="4464">
          <cell r="Z4464" t="str">
            <v>MOBILIARIO CLINICO</v>
          </cell>
          <cell r="AA4464" t="str">
            <v>HOSPITAL DE LA FLORIDA</v>
          </cell>
        </row>
        <row r="4465">
          <cell r="Z4465" t="str">
            <v>MOBILIARIO CLINICO</v>
          </cell>
          <cell r="AA4465" t="str">
            <v>HOSPITAL DE LA FLORIDA</v>
          </cell>
        </row>
        <row r="4466">
          <cell r="Z4466" t="str">
            <v>MOBILIARIO CLINICO</v>
          </cell>
          <cell r="AA4466" t="str">
            <v>HOSPITAL DE LA FLORIDA</v>
          </cell>
        </row>
        <row r="4467">
          <cell r="Z4467" t="str">
            <v>MOBILIARIO CLINICO</v>
          </cell>
          <cell r="AA4467" t="str">
            <v>HOSPITAL DE LA FLORIDA</v>
          </cell>
        </row>
        <row r="4468">
          <cell r="Z4468" t="str">
            <v>MOBILIARIO CLINICO</v>
          </cell>
          <cell r="AA4468" t="str">
            <v>HOSPITAL DE LA FLORIDA</v>
          </cell>
        </row>
        <row r="4469">
          <cell r="Z4469" t="str">
            <v>MOBILIARIO CLINICO</v>
          </cell>
          <cell r="AA4469" t="str">
            <v>HOSPITAL DE LA FLORIDA</v>
          </cell>
        </row>
        <row r="4470">
          <cell r="Z4470" t="str">
            <v>MOBILIARIO CLINICO</v>
          </cell>
          <cell r="AA4470" t="str">
            <v>HOSPITAL DE LA FLORIDA</v>
          </cell>
        </row>
        <row r="4471">
          <cell r="Z4471" t="str">
            <v>MOBILIARIO CLINICO</v>
          </cell>
          <cell r="AA4471" t="str">
            <v>HOSPITAL DE LA FLORIDA</v>
          </cell>
        </row>
        <row r="4472">
          <cell r="Z4472" t="str">
            <v>MOBILIARIO CLINICO</v>
          </cell>
          <cell r="AA4472" t="str">
            <v>HOSPITAL DE LA FLORIDA</v>
          </cell>
        </row>
        <row r="4473">
          <cell r="Z4473" t="str">
            <v>MOBILIARIO CLINICO</v>
          </cell>
          <cell r="AA4473" t="str">
            <v>HOSPITAL DE LA FLORIDA</v>
          </cell>
        </row>
        <row r="4474">
          <cell r="Z4474" t="str">
            <v>MOBILIARIO CLINICO</v>
          </cell>
          <cell r="AA4474" t="str">
            <v>HOSPITAL DE LA FLORIDA</v>
          </cell>
        </row>
        <row r="4475">
          <cell r="Z4475" t="str">
            <v>MOBILIARIO CLINICO</v>
          </cell>
          <cell r="AA4475" t="str">
            <v>HOSPITAL DE LA FLORIDA</v>
          </cell>
        </row>
        <row r="4476">
          <cell r="Z4476" t="str">
            <v>MOBILIARIO CLINICO</v>
          </cell>
          <cell r="AA4476" t="str">
            <v>HOSPITAL DE LA FLORIDA</v>
          </cell>
        </row>
        <row r="4477">
          <cell r="Z4477" t="str">
            <v>MOBILIARIO CLINICO</v>
          </cell>
          <cell r="AA4477" t="str">
            <v>HOSPITAL DE LA FLORIDA</v>
          </cell>
        </row>
        <row r="4478">
          <cell r="Z4478" t="str">
            <v>MOBILIARIO CLINICO</v>
          </cell>
          <cell r="AA4478" t="str">
            <v>HOSPITAL DE LA FLORIDA</v>
          </cell>
        </row>
        <row r="4479">
          <cell r="Z4479" t="str">
            <v>MOBILIARIO CLINICO</v>
          </cell>
          <cell r="AA4479" t="str">
            <v>HOSPITAL DE LA FLORIDA</v>
          </cell>
        </row>
        <row r="4480">
          <cell r="Z4480" t="str">
            <v>MOBILIARIO CLINICO</v>
          </cell>
          <cell r="AA4480" t="str">
            <v>HOSPITAL DE LA FLORIDA</v>
          </cell>
        </row>
        <row r="4481">
          <cell r="Z4481" t="str">
            <v>MOBILIARIO CLINICO</v>
          </cell>
          <cell r="AA4481" t="str">
            <v>HOSPITAL DE LA FLORIDA</v>
          </cell>
        </row>
        <row r="4482">
          <cell r="Z4482" t="str">
            <v>MOBILIARIO CLINICO</v>
          </cell>
          <cell r="AA4482" t="str">
            <v>HOSPITAL DE LA FLORIDA</v>
          </cell>
        </row>
        <row r="4483">
          <cell r="Z4483" t="str">
            <v>MOBILIARIO CLINICO</v>
          </cell>
          <cell r="AA4483" t="str">
            <v>HOSPITAL DE LA FLORIDA</v>
          </cell>
        </row>
        <row r="4484">
          <cell r="Z4484" t="str">
            <v>MOBILIARIO CLINICO</v>
          </cell>
          <cell r="AA4484" t="str">
            <v>HOSPITAL DE LA FLORIDA</v>
          </cell>
        </row>
        <row r="4485">
          <cell r="Z4485" t="str">
            <v>MOBILIARIO CLINICO</v>
          </cell>
          <cell r="AA4485" t="str">
            <v>HOSPITAL DE LA FLORIDA</v>
          </cell>
        </row>
        <row r="4486">
          <cell r="Z4486" t="str">
            <v>MOBILIARIO CLINICO</v>
          </cell>
          <cell r="AA4486" t="str">
            <v>HOSPITAL DE LA FLORIDA</v>
          </cell>
        </row>
        <row r="4487">
          <cell r="Z4487" t="str">
            <v>MOBILIARIO CLINICO</v>
          </cell>
          <cell r="AA4487" t="str">
            <v>HOSPITAL DE LA FLORIDA</v>
          </cell>
        </row>
        <row r="4488">
          <cell r="Z4488" t="str">
            <v>MOBILIARIO CLINICO</v>
          </cell>
          <cell r="AA4488" t="str">
            <v>HOSPITAL DE LA FLORIDA</v>
          </cell>
        </row>
        <row r="4489">
          <cell r="Z4489" t="str">
            <v>MOBILIARIO CLINICO</v>
          </cell>
          <cell r="AA4489" t="str">
            <v>HOSPITAL DE LA FLORIDA</v>
          </cell>
        </row>
        <row r="4490">
          <cell r="Z4490" t="str">
            <v>MOBILIARIO CLINICO</v>
          </cell>
          <cell r="AA4490" t="str">
            <v>HOSPITAL DE LA FLORIDA</v>
          </cell>
        </row>
        <row r="4491">
          <cell r="Z4491" t="str">
            <v>MOBILIARIO CLINICO</v>
          </cell>
          <cell r="AA4491" t="str">
            <v>HOSPITAL DE LA FLORIDA</v>
          </cell>
        </row>
        <row r="4492">
          <cell r="Z4492" t="str">
            <v>MOBILIARIO CLINICO</v>
          </cell>
          <cell r="AA4492" t="str">
            <v>HOSPITAL DE LA FLORIDA</v>
          </cell>
        </row>
        <row r="4493">
          <cell r="Z4493" t="str">
            <v>MOBILIARIO CLINICO</v>
          </cell>
          <cell r="AA4493" t="str">
            <v>HOSPITAL DE LA FLORIDA</v>
          </cell>
        </row>
        <row r="4494">
          <cell r="Z4494" t="str">
            <v>MOBILIARIO CLINICO</v>
          </cell>
          <cell r="AA4494" t="str">
            <v>HOSPITAL DE LA FLORIDA</v>
          </cell>
        </row>
        <row r="4495">
          <cell r="Z4495" t="str">
            <v>MOBILIARIO CLINICO</v>
          </cell>
          <cell r="AA4495" t="str">
            <v>HOSPITAL DE LA FLORIDA</v>
          </cell>
        </row>
        <row r="4496">
          <cell r="Z4496" t="str">
            <v>MOBILIARIO CLINICO</v>
          </cell>
          <cell r="AA4496" t="str">
            <v>HOSPITAL DE LA FLORIDA</v>
          </cell>
        </row>
        <row r="4497">
          <cell r="Z4497" t="str">
            <v>MOBILIARIO CLINICO</v>
          </cell>
          <cell r="AA4497" t="str">
            <v>HOSPITAL DE LA FLORIDA</v>
          </cell>
        </row>
        <row r="4498">
          <cell r="Z4498" t="str">
            <v>MOBILIARIO CLINICO</v>
          </cell>
          <cell r="AA4498" t="str">
            <v>HOSPITAL DE LA FLORIDA</v>
          </cell>
        </row>
        <row r="4499">
          <cell r="Z4499" t="str">
            <v>MOBILIARIO CLINICO</v>
          </cell>
          <cell r="AA4499" t="str">
            <v>HOSPITAL DE LA FLORIDA</v>
          </cell>
        </row>
        <row r="4500">
          <cell r="Z4500" t="str">
            <v>MOBILIARIO CLINICO</v>
          </cell>
          <cell r="AA4500" t="str">
            <v>HOSPITAL DE LA FLORIDA</v>
          </cell>
        </row>
        <row r="4501">
          <cell r="Z4501" t="str">
            <v>MOBILIARIO CLINICO</v>
          </cell>
          <cell r="AA4501" t="str">
            <v>HOSPITAL DE LA FLORIDA</v>
          </cell>
        </row>
        <row r="4502">
          <cell r="Z4502" t="str">
            <v>MOBILIARIO CLINICO</v>
          </cell>
          <cell r="AA4502" t="str">
            <v>HOSPITAL DE LA FLORIDA</v>
          </cell>
        </row>
        <row r="4503">
          <cell r="Z4503" t="str">
            <v>MOBILIARIO CLINICO</v>
          </cell>
          <cell r="AA4503" t="str">
            <v>HOSPITAL DE LA FLORIDA</v>
          </cell>
        </row>
        <row r="4504">
          <cell r="Z4504" t="str">
            <v>MOBILIARIO CLINICO</v>
          </cell>
          <cell r="AA4504" t="str">
            <v>HOSPITAL DE LA FLORIDA</v>
          </cell>
        </row>
        <row r="4505">
          <cell r="Z4505" t="str">
            <v>MOBILIARIO CLINICO</v>
          </cell>
          <cell r="AA4505" t="str">
            <v>HOSPITAL DE LA FLORIDA</v>
          </cell>
        </row>
        <row r="4506">
          <cell r="Z4506" t="str">
            <v>MOBILIARIO CLINICO</v>
          </cell>
          <cell r="AA4506" t="str">
            <v>HOSPITAL DE LA FLORIDA</v>
          </cell>
        </row>
        <row r="4507">
          <cell r="Z4507" t="str">
            <v>MOBILIARIO CLINICO</v>
          </cell>
          <cell r="AA4507" t="str">
            <v>HOSPITAL DE LA FLORIDA</v>
          </cell>
        </row>
        <row r="4508">
          <cell r="Z4508" t="str">
            <v>MOBILIARIO CLINICO</v>
          </cell>
          <cell r="AA4508" t="str">
            <v>HOSPITAL DE LA FLORIDA</v>
          </cell>
        </row>
        <row r="4509">
          <cell r="Z4509" t="str">
            <v>MOBILIARIO CLINICO</v>
          </cell>
          <cell r="AA4509" t="str">
            <v>HOSPITAL DE LA FLORIDA</v>
          </cell>
        </row>
        <row r="4510">
          <cell r="Z4510" t="str">
            <v>MOBILIARIO CLINICO</v>
          </cell>
          <cell r="AA4510" t="str">
            <v>HOSPITAL DE LA FLORIDA</v>
          </cell>
        </row>
        <row r="4511">
          <cell r="Z4511" t="str">
            <v>MOBILIARIO CLINICO</v>
          </cell>
          <cell r="AA4511" t="str">
            <v>HOSPITAL DE LA FLORIDA</v>
          </cell>
        </row>
        <row r="4512">
          <cell r="Z4512" t="str">
            <v>MOBILIARIO CLINICO</v>
          </cell>
          <cell r="AA4512" t="str">
            <v>HOSPITAL DE LA FLORIDA</v>
          </cell>
        </row>
        <row r="4513">
          <cell r="Z4513" t="str">
            <v>MOBILIARIO CLINICO</v>
          </cell>
          <cell r="AA4513" t="str">
            <v>HOSPITAL DE LA FLORIDA</v>
          </cell>
        </row>
        <row r="4514">
          <cell r="Z4514" t="str">
            <v>MOBILIARIO CLINICO</v>
          </cell>
          <cell r="AA4514" t="str">
            <v>HOSPITAL DE LA FLORIDA</v>
          </cell>
        </row>
        <row r="4515">
          <cell r="Z4515" t="str">
            <v>MOBILIARIO CLINICO</v>
          </cell>
          <cell r="AA4515" t="str">
            <v>HOSPITAL DE LA FLORIDA</v>
          </cell>
        </row>
        <row r="4516">
          <cell r="Z4516" t="str">
            <v>MOBILIARIO CLINICO</v>
          </cell>
          <cell r="AA4516" t="str">
            <v>HOSPITAL DE LA FLORIDA</v>
          </cell>
        </row>
        <row r="4517">
          <cell r="Z4517" t="str">
            <v>MOBILIARIO CLINICO</v>
          </cell>
          <cell r="AA4517" t="str">
            <v>HOSPITAL DE LA FLORIDA</v>
          </cell>
        </row>
        <row r="4518">
          <cell r="Z4518" t="str">
            <v>MOBILIARIO CLINICO</v>
          </cell>
          <cell r="AA4518" t="str">
            <v>HOSPITAL DE LA FLORIDA</v>
          </cell>
        </row>
        <row r="4519">
          <cell r="Z4519" t="str">
            <v>MOBILIARIO CLINICO</v>
          </cell>
          <cell r="AA4519" t="str">
            <v>HOSPITAL DE LA FLORIDA</v>
          </cell>
        </row>
        <row r="4520">
          <cell r="Z4520" t="str">
            <v>MOBILIARIO CLINICO</v>
          </cell>
          <cell r="AA4520" t="str">
            <v>HOSPITAL DE LA FLORIDA</v>
          </cell>
        </row>
        <row r="4521">
          <cell r="Z4521" t="str">
            <v>MOBILIARIO CLINICO</v>
          </cell>
          <cell r="AA4521" t="str">
            <v>HOSPITAL DE LA FLORIDA</v>
          </cell>
        </row>
        <row r="4522">
          <cell r="Z4522" t="str">
            <v>MOBILIARIO CLINICO</v>
          </cell>
          <cell r="AA4522" t="str">
            <v>HOSPITAL DE LA FLORIDA</v>
          </cell>
        </row>
        <row r="4523">
          <cell r="Z4523" t="str">
            <v>MOBILIARIO CLINICO</v>
          </cell>
          <cell r="AA4523" t="str">
            <v>HOSPITAL DE LA FLORIDA</v>
          </cell>
        </row>
        <row r="4524">
          <cell r="Z4524" t="str">
            <v>MOBILIARIO CLINICO</v>
          </cell>
          <cell r="AA4524" t="str">
            <v>HOSPITAL DE LA FLORIDA</v>
          </cell>
        </row>
        <row r="4525">
          <cell r="Z4525" t="str">
            <v>MOBILIARIO CLINICO</v>
          </cell>
          <cell r="AA4525" t="str">
            <v>HOSPITAL DE LA FLORIDA</v>
          </cell>
        </row>
        <row r="4526">
          <cell r="Z4526" t="str">
            <v>MOBILIARIO CLINICO</v>
          </cell>
          <cell r="AA4526" t="str">
            <v>HOSPITAL DE LA FLORIDA</v>
          </cell>
        </row>
        <row r="4527">
          <cell r="Z4527" t="str">
            <v>MOBILIARIO CLINICO</v>
          </cell>
          <cell r="AA4527" t="str">
            <v>HOSPITAL DE LA FLORIDA</v>
          </cell>
        </row>
        <row r="4528">
          <cell r="Z4528" t="str">
            <v>MOBILIARIO CLINICO</v>
          </cell>
          <cell r="AA4528" t="str">
            <v>HOSPITAL DE LA FLORIDA</v>
          </cell>
        </row>
        <row r="4529">
          <cell r="Z4529" t="str">
            <v>MOBILIARIO CLINICO</v>
          </cell>
          <cell r="AA4529" t="str">
            <v>HOSPITAL DE LA FLORIDA</v>
          </cell>
        </row>
        <row r="4530">
          <cell r="Z4530" t="str">
            <v>MOBILIARIO CLINICO</v>
          </cell>
          <cell r="AA4530" t="str">
            <v>HOSPITAL DE LA FLORIDA</v>
          </cell>
        </row>
        <row r="4531">
          <cell r="Z4531" t="str">
            <v>MOBILIARIO CLINICO</v>
          </cell>
          <cell r="AA4531" t="str">
            <v>HOSPITAL DE LA FLORIDA</v>
          </cell>
        </row>
        <row r="4532">
          <cell r="Z4532" t="str">
            <v>MOBILIARIO CLINICO</v>
          </cell>
          <cell r="AA4532" t="str">
            <v>HOSPITAL DE LA FLORIDA</v>
          </cell>
        </row>
        <row r="4533">
          <cell r="Z4533" t="str">
            <v>MOBILIARIO CLINICO</v>
          </cell>
          <cell r="AA4533" t="str">
            <v>HOSPITAL DE LA FLORIDA</v>
          </cell>
        </row>
        <row r="4534">
          <cell r="Z4534" t="str">
            <v>MOBILIARIO CLINICO</v>
          </cell>
          <cell r="AA4534" t="str">
            <v>HOSPITAL DE LA FLORIDA</v>
          </cell>
        </row>
        <row r="4535">
          <cell r="Z4535" t="str">
            <v>MOBILIARIO CLINICO</v>
          </cell>
          <cell r="AA4535" t="str">
            <v>HOSPITAL DE LA FLORIDA</v>
          </cell>
        </row>
        <row r="4536">
          <cell r="Z4536" t="str">
            <v>MOBILIARIO CLINICO</v>
          </cell>
          <cell r="AA4536" t="str">
            <v>HOSPITAL DE LA FLORIDA</v>
          </cell>
        </row>
        <row r="4537">
          <cell r="Z4537" t="str">
            <v>MOBILIARIO CLINICO</v>
          </cell>
          <cell r="AA4537" t="str">
            <v>HOSPITAL DE LA FLORIDA</v>
          </cell>
        </row>
        <row r="4538">
          <cell r="Z4538" t="str">
            <v>MOBILIARIO CLINICO</v>
          </cell>
          <cell r="AA4538" t="str">
            <v>HOSPITAL DE LA FLORIDA</v>
          </cell>
        </row>
        <row r="4539">
          <cell r="Z4539" t="str">
            <v>MOBILIARIO CLINICO</v>
          </cell>
          <cell r="AA4539" t="str">
            <v>HOSPITAL DE LA FLORIDA</v>
          </cell>
        </row>
        <row r="4540">
          <cell r="Z4540" t="str">
            <v>MOBILIARIO CLINICO</v>
          </cell>
          <cell r="AA4540" t="str">
            <v>HOSPITAL DE LA FLORIDA</v>
          </cell>
        </row>
        <row r="4541">
          <cell r="Z4541" t="str">
            <v>MOBILIARIO CLINICO</v>
          </cell>
          <cell r="AA4541" t="str">
            <v>HOSPITAL DE LA FLORIDA</v>
          </cell>
        </row>
        <row r="4542">
          <cell r="Z4542" t="str">
            <v>MOBILIARIO CLINICO</v>
          </cell>
          <cell r="AA4542" t="str">
            <v>HOSPITAL DE LA FLORIDA</v>
          </cell>
        </row>
        <row r="4543">
          <cell r="Z4543" t="str">
            <v>MOBILIARIO CLINICO</v>
          </cell>
          <cell r="AA4543" t="str">
            <v>HOSPITAL DE LA FLORIDA</v>
          </cell>
        </row>
        <row r="4544">
          <cell r="Z4544" t="str">
            <v>MOBILIARIO CLINICO</v>
          </cell>
          <cell r="AA4544" t="str">
            <v>HOSPITAL DE LA FLORIDA</v>
          </cell>
        </row>
        <row r="4545">
          <cell r="Z4545" t="str">
            <v>MOBILIARIO CLINICO</v>
          </cell>
          <cell r="AA4545" t="str">
            <v>HOSPITAL DE LA FLORIDA</v>
          </cell>
        </row>
        <row r="4546">
          <cell r="Z4546" t="str">
            <v>MOBILIARIO CLINICO</v>
          </cell>
          <cell r="AA4546" t="str">
            <v>HOSPITAL DE LA FLORIDA</v>
          </cell>
        </row>
        <row r="4547">
          <cell r="Z4547" t="str">
            <v>MOBILIARIO CLINICO</v>
          </cell>
          <cell r="AA4547" t="str">
            <v>HOSPITAL DE LA FLORIDA</v>
          </cell>
        </row>
        <row r="4548">
          <cell r="Z4548" t="str">
            <v>MOBILIARIO CLINICO</v>
          </cell>
          <cell r="AA4548" t="str">
            <v>HOSPITAL DE LA FLORIDA</v>
          </cell>
        </row>
        <row r="4549">
          <cell r="Z4549" t="str">
            <v>MOBILIARIO CLINICO</v>
          </cell>
          <cell r="AA4549" t="str">
            <v>HOSPITAL DE LA FLORIDA</v>
          </cell>
        </row>
        <row r="4550">
          <cell r="Z4550" t="str">
            <v>MOBILIARIO CLINICO</v>
          </cell>
          <cell r="AA4550" t="str">
            <v>HOSPITAL DE LA FLORIDA</v>
          </cell>
        </row>
        <row r="4551">
          <cell r="Z4551" t="str">
            <v>MOBILIARIO CLINICO</v>
          </cell>
          <cell r="AA4551" t="str">
            <v>HOSPITAL DE LA FLORIDA</v>
          </cell>
        </row>
        <row r="4552">
          <cell r="Z4552" t="str">
            <v>MOBILIARIO CLINICO</v>
          </cell>
          <cell r="AA4552" t="str">
            <v>HOSPITAL DE LA FLORIDA</v>
          </cell>
        </row>
        <row r="4553">
          <cell r="Z4553" t="str">
            <v>MOBILIARIO CLINICO</v>
          </cell>
          <cell r="AA4553" t="str">
            <v>HOSPITAL DE LA FLORIDA</v>
          </cell>
        </row>
        <row r="4554">
          <cell r="Z4554" t="str">
            <v>MOBILIARIO CLINICO</v>
          </cell>
          <cell r="AA4554" t="str">
            <v>HOSPITAL DE LA FLORIDA</v>
          </cell>
        </row>
        <row r="4555">
          <cell r="Z4555" t="str">
            <v>MOBILIARIO CLINICO</v>
          </cell>
          <cell r="AA4555" t="str">
            <v>HOSPITAL DE LA FLORIDA</v>
          </cell>
        </row>
        <row r="4556">
          <cell r="Z4556" t="str">
            <v>MOBILIARIO CLINICO</v>
          </cell>
          <cell r="AA4556" t="str">
            <v>HOSPITAL DE LA FLORIDA</v>
          </cell>
        </row>
        <row r="4557">
          <cell r="Z4557" t="str">
            <v>MOBILIARIO CLINICO</v>
          </cell>
          <cell r="AA4557" t="str">
            <v>HOSPITAL DE LA FLORIDA</v>
          </cell>
        </row>
        <row r="4558">
          <cell r="Z4558" t="str">
            <v>MOBILIARIO CLINICO</v>
          </cell>
          <cell r="AA4558" t="str">
            <v>HOSPITAL DE LA FLORIDA</v>
          </cell>
        </row>
        <row r="4559">
          <cell r="Z4559" t="str">
            <v>MOBILIARIO CLINICO</v>
          </cell>
          <cell r="AA4559" t="str">
            <v>HOSPITAL DE LA FLORIDA</v>
          </cell>
        </row>
        <row r="4560">
          <cell r="Z4560" t="str">
            <v>MOBILIARIO CLINICO</v>
          </cell>
          <cell r="AA4560" t="str">
            <v>HOSPITAL DE LA FLORIDA</v>
          </cell>
        </row>
        <row r="4561">
          <cell r="Z4561" t="str">
            <v>MOBILIARIO CLINICO</v>
          </cell>
          <cell r="AA4561" t="str">
            <v>HOSPITAL DE LA FLORIDA</v>
          </cell>
        </row>
        <row r="4562">
          <cell r="Z4562" t="str">
            <v>MOBILIARIO CLINICO</v>
          </cell>
          <cell r="AA4562" t="str">
            <v>HOSPITAL DE LA FLORIDA</v>
          </cell>
        </row>
        <row r="4563">
          <cell r="Z4563" t="str">
            <v>MOBILIARIO CLINICO</v>
          </cell>
          <cell r="AA4563" t="str">
            <v>HOSPITAL DE LA FLORIDA</v>
          </cell>
        </row>
        <row r="4564">
          <cell r="Z4564" t="str">
            <v>MOBILIARIO CLINICO</v>
          </cell>
          <cell r="AA4564" t="str">
            <v>HOSPITAL DE LA FLORIDA</v>
          </cell>
        </row>
        <row r="4565">
          <cell r="Z4565" t="str">
            <v>MOBILIARIO CLINICO</v>
          </cell>
          <cell r="AA4565" t="str">
            <v>HOSPITAL DE LA FLORIDA</v>
          </cell>
        </row>
        <row r="4566">
          <cell r="Z4566" t="str">
            <v>MOBILIARIO CLINICO</v>
          </cell>
          <cell r="AA4566" t="str">
            <v>HOSPITAL DE LA FLORIDA</v>
          </cell>
        </row>
        <row r="4567">
          <cell r="Z4567" t="str">
            <v>MOBILIARIO CLINICO</v>
          </cell>
          <cell r="AA4567" t="str">
            <v>HOSPITAL DE LA FLORIDA</v>
          </cell>
        </row>
        <row r="4568">
          <cell r="Z4568" t="str">
            <v>MOBILIARIO CLINICO</v>
          </cell>
          <cell r="AA4568" t="str">
            <v>HOSPITAL DE LA FLORIDA</v>
          </cell>
        </row>
        <row r="4569">
          <cell r="Z4569" t="str">
            <v>MOBILIARIO CLINICO</v>
          </cell>
          <cell r="AA4569" t="str">
            <v>HOSPITAL DE LA FLORIDA</v>
          </cell>
        </row>
        <row r="4570">
          <cell r="Z4570" t="str">
            <v>MOBILIARIO CLINICO</v>
          </cell>
          <cell r="AA4570" t="str">
            <v>HOSPITAL DE LA FLORIDA</v>
          </cell>
        </row>
        <row r="4571">
          <cell r="Z4571" t="str">
            <v>MOBILIARIO CLINICO</v>
          </cell>
          <cell r="AA4571" t="str">
            <v>HOSPITAL DE LA FLORIDA</v>
          </cell>
        </row>
        <row r="4572">
          <cell r="Z4572" t="str">
            <v>MOBILIARIO CLINICO</v>
          </cell>
          <cell r="AA4572" t="str">
            <v>HOSPITAL DE LA FLORIDA</v>
          </cell>
        </row>
        <row r="4573">
          <cell r="Z4573" t="str">
            <v>MOBILIARIO CLINICO</v>
          </cell>
          <cell r="AA4573" t="str">
            <v>HOSPITAL DE LA FLORIDA</v>
          </cell>
        </row>
        <row r="4574">
          <cell r="Z4574" t="str">
            <v>MOBILIARIO CLINICO</v>
          </cell>
          <cell r="AA4574" t="str">
            <v>HOSPITAL DE LA FLORIDA</v>
          </cell>
        </row>
        <row r="4575">
          <cell r="Z4575" t="str">
            <v>MOBILIARIO CLINICO</v>
          </cell>
          <cell r="AA4575" t="str">
            <v>HOSPITAL DE LA FLORIDA</v>
          </cell>
        </row>
        <row r="4576">
          <cell r="Z4576" t="str">
            <v>MOBILIARIO CLINICO</v>
          </cell>
          <cell r="AA4576" t="str">
            <v>HOSPITAL DE LA FLORIDA</v>
          </cell>
        </row>
        <row r="4577">
          <cell r="Z4577" t="str">
            <v>MOBILIARIO CLINICO</v>
          </cell>
          <cell r="AA4577" t="str">
            <v>HOSPITAL DE LA FLORIDA</v>
          </cell>
        </row>
        <row r="4578">
          <cell r="Z4578" t="str">
            <v>MOBILIARIO CLINICO</v>
          </cell>
          <cell r="AA4578" t="str">
            <v>HOSPITAL DE LA FLORIDA</v>
          </cell>
        </row>
        <row r="4579">
          <cell r="Z4579" t="str">
            <v>MOBILIARIO CLINICO</v>
          </cell>
          <cell r="AA4579" t="str">
            <v>HOSPITAL DE LA FLORIDA</v>
          </cell>
        </row>
        <row r="4580">
          <cell r="Z4580" t="str">
            <v>MOBILIARIO CLINICO</v>
          </cell>
          <cell r="AA4580" t="str">
            <v>HOSPITAL DE LA FLORIDA</v>
          </cell>
        </row>
        <row r="4581">
          <cell r="Z4581" t="str">
            <v>MOBILIARIO CLINICO</v>
          </cell>
          <cell r="AA4581" t="str">
            <v>HOSPITAL DE LA FLORIDA</v>
          </cell>
        </row>
        <row r="4582">
          <cell r="Z4582" t="str">
            <v>MOBILIARIO CLINICO</v>
          </cell>
          <cell r="AA4582" t="str">
            <v>HOSPITAL DE LA FLORIDA</v>
          </cell>
        </row>
        <row r="4583">
          <cell r="Z4583" t="str">
            <v>MOBILIARIO CLINICO</v>
          </cell>
          <cell r="AA4583" t="str">
            <v>HOSPITAL DE LA FLORIDA</v>
          </cell>
        </row>
        <row r="4584">
          <cell r="Z4584" t="str">
            <v>MOBILIARIO CLINICO</v>
          </cell>
          <cell r="AA4584" t="str">
            <v>HOSPITAL DE LA FLORIDA</v>
          </cell>
        </row>
        <row r="4585">
          <cell r="Z4585" t="str">
            <v>MOBILIARIO CLINICO</v>
          </cell>
          <cell r="AA4585" t="str">
            <v>HOSPITAL DE LA FLORIDA</v>
          </cell>
        </row>
        <row r="4586">
          <cell r="Z4586" t="str">
            <v>MOBILIARIO CLINICO</v>
          </cell>
          <cell r="AA4586" t="str">
            <v>HOSPITAL DE LA FLORIDA</v>
          </cell>
        </row>
        <row r="4587">
          <cell r="Z4587" t="str">
            <v>MOBILIARIO CLINICO</v>
          </cell>
          <cell r="AA4587" t="str">
            <v>HOSPITAL DE LA FLORIDA</v>
          </cell>
        </row>
        <row r="4588">
          <cell r="Z4588" t="str">
            <v>MOBILIARIO CLINICO</v>
          </cell>
          <cell r="AA4588" t="str">
            <v>HOSPITAL DE LA FLORIDA</v>
          </cell>
        </row>
        <row r="4589">
          <cell r="Z4589" t="str">
            <v>MOBILIARIO CLINICO</v>
          </cell>
          <cell r="AA4589" t="str">
            <v>HOSPITAL DE LA FLORIDA</v>
          </cell>
        </row>
        <row r="4590">
          <cell r="Z4590" t="str">
            <v>MOBILIARIO CLINICO</v>
          </cell>
          <cell r="AA4590" t="str">
            <v>HOSPITAL DE LA FLORIDA</v>
          </cell>
        </row>
        <row r="4591">
          <cell r="Z4591" t="str">
            <v>MOBILIARIO CLINICO</v>
          </cell>
          <cell r="AA4591" t="str">
            <v>HOSPITAL DE LA FLORIDA</v>
          </cell>
        </row>
        <row r="4592">
          <cell r="Z4592" t="str">
            <v>MOBILIARIO CLINICO</v>
          </cell>
          <cell r="AA4592" t="str">
            <v>HOSPITAL DE LA FLORIDA</v>
          </cell>
        </row>
        <row r="4593">
          <cell r="Z4593" t="str">
            <v>MOBILIARIO CLINICO</v>
          </cell>
          <cell r="AA4593" t="str">
            <v>HOSPITAL DE LA FLORIDA</v>
          </cell>
        </row>
        <row r="4594">
          <cell r="Z4594" t="str">
            <v>MOBILIARIO CLINICO</v>
          </cell>
          <cell r="AA4594" t="str">
            <v>HOSPITAL DE LA FLORIDA</v>
          </cell>
        </row>
        <row r="4595">
          <cell r="Z4595" t="str">
            <v>MOBILIARIO CLINICO</v>
          </cell>
          <cell r="AA4595" t="str">
            <v>HOSPITAL DE LA FLORIDA</v>
          </cell>
        </row>
        <row r="4596">
          <cell r="Z4596" t="str">
            <v>MOBILIARIO CLINICO</v>
          </cell>
          <cell r="AA4596" t="str">
            <v>HOSPITAL DE LA FLORIDA</v>
          </cell>
        </row>
        <row r="4597">
          <cell r="Z4597" t="str">
            <v>MOBILIARIO CLINICO</v>
          </cell>
          <cell r="AA4597" t="str">
            <v>HOSPITAL DE LA FLORIDA</v>
          </cell>
        </row>
        <row r="4598">
          <cell r="Z4598" t="str">
            <v>MOBILIARIO CLINICO</v>
          </cell>
          <cell r="AA4598" t="str">
            <v>HOSPITAL DE LA FLORIDA</v>
          </cell>
        </row>
        <row r="4599">
          <cell r="Z4599" t="str">
            <v>MOBILIARIO CLINICO</v>
          </cell>
          <cell r="AA4599" t="str">
            <v>HOSPITAL DE LA FLORIDA</v>
          </cell>
        </row>
        <row r="4600">
          <cell r="Z4600" t="str">
            <v>MOBILIARIO CLINICO</v>
          </cell>
          <cell r="AA4600" t="str">
            <v>HOSPITAL DE LA FLORIDA</v>
          </cell>
        </row>
        <row r="4601">
          <cell r="Z4601" t="str">
            <v>MOBILIARIO CLINICO</v>
          </cell>
          <cell r="AA4601" t="str">
            <v>HOSPITAL DE LA FLORIDA</v>
          </cell>
        </row>
        <row r="4602">
          <cell r="Z4602" t="str">
            <v>MOBILIARIO CLINICO</v>
          </cell>
          <cell r="AA4602" t="str">
            <v>HOSPITAL DE LA FLORIDA</v>
          </cell>
        </row>
        <row r="4603">
          <cell r="Z4603" t="str">
            <v>MOBILIARIO CLINICO</v>
          </cell>
          <cell r="AA4603" t="str">
            <v>HOSPITAL DE LA FLORIDA</v>
          </cell>
        </row>
        <row r="4604">
          <cell r="Z4604" t="str">
            <v>MOBILIARIO CLINICO</v>
          </cell>
          <cell r="AA4604" t="str">
            <v>HOSPITAL DE LA FLORIDA</v>
          </cell>
        </row>
        <row r="4605">
          <cell r="Z4605" t="str">
            <v>MOBILIARIO CLINICO</v>
          </cell>
          <cell r="AA4605" t="str">
            <v>HOSPITAL DE LA FLORIDA</v>
          </cell>
        </row>
        <row r="4606">
          <cell r="Z4606" t="str">
            <v>MOBILIARIO CLINICO</v>
          </cell>
          <cell r="AA4606" t="str">
            <v>HOSPITAL DE LA FLORIDA</v>
          </cell>
        </row>
        <row r="4607">
          <cell r="Z4607" t="str">
            <v>MOBILIARIO CLINICO</v>
          </cell>
          <cell r="AA4607" t="str">
            <v>HOSPITAL DE LA FLORIDA</v>
          </cell>
        </row>
        <row r="4608">
          <cell r="Z4608" t="str">
            <v>MOBILIARIO CLINICO</v>
          </cell>
          <cell r="AA4608" t="str">
            <v>HOSPITAL DE LA FLORIDA</v>
          </cell>
        </row>
        <row r="4609">
          <cell r="Z4609" t="str">
            <v>MOBILIARIO CLINICO</v>
          </cell>
          <cell r="AA4609" t="str">
            <v>HOSPITAL DE LA FLORIDA</v>
          </cell>
        </row>
        <row r="4610">
          <cell r="Z4610" t="str">
            <v>MOBILIARIO CLINICO</v>
          </cell>
          <cell r="AA4610" t="str">
            <v>HOSPITAL DE LA FLORIDA</v>
          </cell>
        </row>
        <row r="4611">
          <cell r="Z4611" t="str">
            <v>MOBILIARIO CLINICO</v>
          </cell>
          <cell r="AA4611" t="str">
            <v>HOSPITAL DE LA FLORIDA</v>
          </cell>
        </row>
        <row r="4612">
          <cell r="Z4612" t="str">
            <v>MOBILIARIO CLINICO</v>
          </cell>
          <cell r="AA4612" t="str">
            <v>HOSPITAL DE LA FLORIDA</v>
          </cell>
        </row>
        <row r="4613">
          <cell r="Z4613" t="str">
            <v>MOBILIARIO CLINICO</v>
          </cell>
          <cell r="AA4613" t="str">
            <v>HOSPITAL DE LA FLORIDA</v>
          </cell>
        </row>
        <row r="4614">
          <cell r="Z4614" t="str">
            <v>MOBILIARIO CLINICO</v>
          </cell>
          <cell r="AA4614" t="str">
            <v>HOSPITAL DE LA FLORIDA</v>
          </cell>
        </row>
        <row r="4615">
          <cell r="Z4615" t="str">
            <v>MOBILIARIO CLINICO</v>
          </cell>
          <cell r="AA4615" t="str">
            <v>HOSPITAL DE LA FLORIDA</v>
          </cell>
        </row>
        <row r="4616">
          <cell r="Z4616" t="str">
            <v>MOBILIARIO CLINICO</v>
          </cell>
          <cell r="AA4616" t="str">
            <v>HOSPITAL DE LA FLORIDA</v>
          </cell>
        </row>
        <row r="4617">
          <cell r="Z4617" t="str">
            <v>MOBILIARIO CLINICO</v>
          </cell>
          <cell r="AA4617" t="str">
            <v>HOSPITAL DE LA FLORIDA</v>
          </cell>
        </row>
        <row r="4618">
          <cell r="Z4618" t="str">
            <v>MOBILIARIO CLINICO</v>
          </cell>
          <cell r="AA4618" t="str">
            <v>HOSPITAL DE LA FLORIDA</v>
          </cell>
        </row>
        <row r="4619">
          <cell r="Z4619" t="str">
            <v>MOBILIARIO CLINICO</v>
          </cell>
          <cell r="AA4619" t="str">
            <v>HOSPITAL DE LA FLORIDA</v>
          </cell>
        </row>
        <row r="4620">
          <cell r="Z4620" t="str">
            <v>MOBILIARIO CLINICO</v>
          </cell>
          <cell r="AA4620" t="str">
            <v>HOSPITAL DE LA FLORIDA</v>
          </cell>
        </row>
        <row r="4621">
          <cell r="Z4621" t="str">
            <v>MOBILIARIO CLINICO</v>
          </cell>
          <cell r="AA4621" t="str">
            <v>HOSPITAL DE LA FLORIDA</v>
          </cell>
        </row>
        <row r="4622">
          <cell r="Z4622" t="str">
            <v>MOBILIARIO CLINICO</v>
          </cell>
          <cell r="AA4622" t="str">
            <v>HOSPITAL DE LA FLORIDA</v>
          </cell>
        </row>
        <row r="4623">
          <cell r="Z4623" t="str">
            <v>MOBILIARIO CLINICO</v>
          </cell>
          <cell r="AA4623" t="str">
            <v>HOSPITAL DE LA FLORIDA</v>
          </cell>
        </row>
        <row r="4624">
          <cell r="Z4624" t="str">
            <v>MOBILIARIO CLINICO</v>
          </cell>
          <cell r="AA4624" t="str">
            <v>HOSPITAL DE LA FLORIDA</v>
          </cell>
        </row>
        <row r="4625">
          <cell r="Z4625" t="str">
            <v>MOBILIARIO CLINICO</v>
          </cell>
          <cell r="AA4625" t="str">
            <v>HOSPITAL DE LA FLORIDA</v>
          </cell>
        </row>
        <row r="4626">
          <cell r="Z4626" t="str">
            <v>MOBILIARIO CLINICO</v>
          </cell>
          <cell r="AA4626" t="str">
            <v>HOSPITAL DE LA FLORIDA</v>
          </cell>
        </row>
        <row r="4627">
          <cell r="Z4627" t="str">
            <v>MOBILIARIO CLINICO</v>
          </cell>
          <cell r="AA4627" t="str">
            <v>HOSPITAL DE LA FLORIDA</v>
          </cell>
        </row>
        <row r="4628">
          <cell r="Z4628" t="str">
            <v>MOBILIARIO CLINICO</v>
          </cell>
          <cell r="AA4628" t="str">
            <v>HOSPITAL DE LA FLORIDA</v>
          </cell>
        </row>
        <row r="4629">
          <cell r="Z4629" t="str">
            <v>MOBILIARIO CLINICO</v>
          </cell>
          <cell r="AA4629" t="str">
            <v>HOSPITAL DE LA FLORIDA</v>
          </cell>
        </row>
        <row r="4630">
          <cell r="Z4630" t="str">
            <v>MOBILIARIO CLINICO</v>
          </cell>
          <cell r="AA4630" t="str">
            <v>HOSPITAL DE LA FLORIDA</v>
          </cell>
        </row>
        <row r="4631">
          <cell r="Z4631" t="str">
            <v>MOBILIARIO CLINICO</v>
          </cell>
          <cell r="AA4631" t="str">
            <v>HOSPITAL DE LA FLORIDA</v>
          </cell>
        </row>
        <row r="4632">
          <cell r="Z4632" t="str">
            <v>MOBILIARIO CLINICO</v>
          </cell>
          <cell r="AA4632" t="str">
            <v>HOSPITAL DE LA FLORIDA</v>
          </cell>
        </row>
        <row r="4633">
          <cell r="Z4633" t="str">
            <v>MOBILIARIO CLINICO</v>
          </cell>
          <cell r="AA4633" t="str">
            <v>HOSPITAL DE LA FLORIDA</v>
          </cell>
        </row>
        <row r="4634">
          <cell r="Z4634" t="str">
            <v>MOBILIARIO CLINICO</v>
          </cell>
          <cell r="AA4634" t="str">
            <v>HOSPITAL DE LA FLORIDA</v>
          </cell>
        </row>
        <row r="4635">
          <cell r="Z4635" t="str">
            <v>MOBILIARIO CLINICO</v>
          </cell>
          <cell r="AA4635" t="str">
            <v>HOSPITAL DE LA FLORIDA</v>
          </cell>
        </row>
        <row r="4636">
          <cell r="Z4636" t="str">
            <v>MOBILIARIO CLINICO</v>
          </cell>
          <cell r="AA4636" t="str">
            <v>HOSPITAL DE LA FLORIDA</v>
          </cell>
        </row>
        <row r="4637">
          <cell r="Z4637" t="str">
            <v>MOBILIARIO CLINICO</v>
          </cell>
          <cell r="AA4637" t="str">
            <v>HOSPITAL DE LA FLORIDA</v>
          </cell>
        </row>
        <row r="4638">
          <cell r="Z4638" t="str">
            <v>MOBILIARIO CLINICO</v>
          </cell>
          <cell r="AA4638" t="str">
            <v>HOSPITAL DE LA FLORIDA</v>
          </cell>
        </row>
        <row r="4639">
          <cell r="Z4639" t="str">
            <v>MOBILIARIO CLINICO</v>
          </cell>
          <cell r="AA4639" t="str">
            <v>HOSPITAL DE LA FLORIDA</v>
          </cell>
        </row>
        <row r="4640">
          <cell r="Z4640" t="str">
            <v>MOBILIARIO CLINICO</v>
          </cell>
          <cell r="AA4640" t="str">
            <v>HOSPITAL DE LA FLORIDA</v>
          </cell>
        </row>
        <row r="4641">
          <cell r="Z4641" t="str">
            <v>MOBILIARIO CLINICO</v>
          </cell>
          <cell r="AA4641" t="str">
            <v>HOSPITAL DE LA FLORIDA</v>
          </cell>
        </row>
        <row r="4642">
          <cell r="Z4642" t="str">
            <v>MOBILIARIO CLINICO</v>
          </cell>
          <cell r="AA4642" t="str">
            <v>HOSPITAL DE LA FLORIDA</v>
          </cell>
        </row>
        <row r="4643">
          <cell r="Z4643" t="str">
            <v>MOBILIARIO CLINICO</v>
          </cell>
          <cell r="AA4643" t="str">
            <v>HOSPITAL DE LA FLORIDA</v>
          </cell>
        </row>
        <row r="4644">
          <cell r="Z4644" t="str">
            <v>MOBILIARIO CLINICO</v>
          </cell>
          <cell r="AA4644" t="str">
            <v>HOSPITAL DE LA FLORIDA</v>
          </cell>
        </row>
        <row r="4645">
          <cell r="Z4645" t="str">
            <v>MOBILIARIO CLINICO</v>
          </cell>
          <cell r="AA4645" t="str">
            <v>HOSPITAL DE LA FLORIDA</v>
          </cell>
        </row>
        <row r="4646">
          <cell r="Z4646" t="str">
            <v>MOBILIARIO CLINICO</v>
          </cell>
          <cell r="AA4646" t="str">
            <v>HOSPITAL DE LA FLORIDA</v>
          </cell>
        </row>
        <row r="4647">
          <cell r="Z4647" t="str">
            <v>MOBILIARIO CLINICO</v>
          </cell>
          <cell r="AA4647" t="str">
            <v>HOSPITAL DE LA FLORIDA</v>
          </cell>
        </row>
        <row r="4648">
          <cell r="Z4648" t="str">
            <v>MOBILIARIO CLINICO</v>
          </cell>
          <cell r="AA4648" t="str">
            <v>HOSPITAL DE LA FLORIDA</v>
          </cell>
        </row>
        <row r="4649">
          <cell r="Z4649" t="str">
            <v>MOBILIARIO CLINICO</v>
          </cell>
          <cell r="AA4649" t="str">
            <v>HOSPITAL DE LA FLORIDA</v>
          </cell>
        </row>
        <row r="4650">
          <cell r="Z4650" t="str">
            <v>MOBILIARIO CLINICO</v>
          </cell>
          <cell r="AA4650" t="str">
            <v>HOSPITAL DE LA FLORIDA</v>
          </cell>
        </row>
        <row r="4651">
          <cell r="Z4651" t="str">
            <v>MOBILIARIO CLINICO</v>
          </cell>
          <cell r="AA4651" t="str">
            <v>HOSPITAL DE LA FLORIDA</v>
          </cell>
        </row>
        <row r="4652">
          <cell r="Z4652" t="str">
            <v>MOBILIARIO CLINICO</v>
          </cell>
          <cell r="AA4652" t="str">
            <v>HOSPITAL DE LA FLORIDA</v>
          </cell>
        </row>
        <row r="4653">
          <cell r="Z4653" t="str">
            <v>MOBILIARIO CLINICO</v>
          </cell>
          <cell r="AA4653" t="str">
            <v>HOSPITAL DE LA FLORIDA</v>
          </cell>
        </row>
        <row r="4654">
          <cell r="Z4654" t="str">
            <v>MOBILIARIO CLINICO</v>
          </cell>
          <cell r="AA4654" t="str">
            <v>HOSPITAL DE LA FLORIDA</v>
          </cell>
        </row>
        <row r="4655">
          <cell r="Z4655" t="str">
            <v>MOBILIARIO CLINICO</v>
          </cell>
          <cell r="AA4655" t="str">
            <v>HOSPITAL DE LA FLORIDA</v>
          </cell>
        </row>
        <row r="4656">
          <cell r="Z4656" t="str">
            <v>MOBILIARIO CLINICO</v>
          </cell>
          <cell r="AA4656" t="str">
            <v>HOSPITAL DE LA FLORIDA</v>
          </cell>
        </row>
        <row r="4657">
          <cell r="Z4657" t="str">
            <v>MOBILIARIO CLINICO</v>
          </cell>
          <cell r="AA4657" t="str">
            <v>HOSPITAL DE LA FLORIDA</v>
          </cell>
        </row>
        <row r="4658">
          <cell r="Z4658" t="str">
            <v>MOBILIARIO CLINICO</v>
          </cell>
          <cell r="AA4658" t="str">
            <v>HOSPITAL DE LA FLORIDA</v>
          </cell>
        </row>
        <row r="4659">
          <cell r="Z4659" t="str">
            <v>MOBILIARIO CLINICO</v>
          </cell>
          <cell r="AA4659" t="str">
            <v>HOSPITAL DE LA FLORIDA</v>
          </cell>
        </row>
        <row r="4660">
          <cell r="Z4660" t="str">
            <v>MOBILIARIO CLINICO</v>
          </cell>
          <cell r="AA4660" t="str">
            <v>HOSPITAL DE LA FLORIDA</v>
          </cell>
        </row>
        <row r="4661">
          <cell r="Z4661" t="str">
            <v>MOBILIARIO CLINICO</v>
          </cell>
          <cell r="AA4661" t="str">
            <v>HOSPITAL DE LA FLORIDA</v>
          </cell>
        </row>
        <row r="4662">
          <cell r="Z4662" t="str">
            <v>MOBILIARIO CLINICO</v>
          </cell>
          <cell r="AA4662" t="str">
            <v>HOSPITAL DE LA FLORIDA</v>
          </cell>
        </row>
        <row r="4663">
          <cell r="Z4663" t="str">
            <v>MOBILIARIO CLINICO</v>
          </cell>
          <cell r="AA4663" t="str">
            <v>HOSPITAL DE LA FLORIDA</v>
          </cell>
        </row>
        <row r="4664">
          <cell r="Z4664" t="str">
            <v>MOBILIARIO CLINICO</v>
          </cell>
          <cell r="AA4664" t="str">
            <v>HOSPITAL DE LA FLORIDA</v>
          </cell>
        </row>
        <row r="4665">
          <cell r="Z4665" t="str">
            <v>MOBILIARIO CLINICO</v>
          </cell>
          <cell r="AA4665" t="str">
            <v>HOSPITAL DE LA FLORIDA</v>
          </cell>
        </row>
        <row r="4666">
          <cell r="Z4666" t="str">
            <v>MOBILIARIO CLINICO</v>
          </cell>
          <cell r="AA4666" t="str">
            <v>HOSPITAL DE LA FLORIDA</v>
          </cell>
        </row>
        <row r="4667">
          <cell r="Z4667" t="str">
            <v>MOBILIARIO CLINICO</v>
          </cell>
          <cell r="AA4667" t="str">
            <v>HOSPITAL DE LA FLORIDA</v>
          </cell>
        </row>
        <row r="4668">
          <cell r="Z4668" t="str">
            <v>MOBILIARIO CLINICO</v>
          </cell>
          <cell r="AA4668" t="str">
            <v>HOSPITAL DE LA FLORIDA</v>
          </cell>
        </row>
        <row r="4669">
          <cell r="Z4669" t="str">
            <v>MOBILIARIO CLINICO</v>
          </cell>
          <cell r="AA4669" t="str">
            <v>HOSPITAL DE LA FLORIDA</v>
          </cell>
        </row>
        <row r="4670">
          <cell r="Z4670" t="str">
            <v>MOBILIARIO CLINICO</v>
          </cell>
          <cell r="AA4670" t="str">
            <v>HOSPITAL DE LA FLORIDA</v>
          </cell>
        </row>
        <row r="4671">
          <cell r="Z4671" t="str">
            <v>MOBILIARIO CLINICO</v>
          </cell>
          <cell r="AA4671" t="str">
            <v>HOSPITAL DE LA FLORIDA</v>
          </cell>
        </row>
        <row r="4672">
          <cell r="Z4672" t="str">
            <v>MOBILIARIO CLINICO</v>
          </cell>
          <cell r="AA4672" t="str">
            <v>HOSPITAL DE LA FLORIDA</v>
          </cell>
        </row>
        <row r="4673">
          <cell r="Z4673" t="str">
            <v>MOBILIARIO CLINICO</v>
          </cell>
          <cell r="AA4673" t="str">
            <v>HOSPITAL DE LA FLORIDA</v>
          </cell>
        </row>
        <row r="4674">
          <cell r="Z4674" t="str">
            <v>MOBILIARIO CLINICO</v>
          </cell>
          <cell r="AA4674" t="str">
            <v>HOSPITAL DE LA FLORIDA</v>
          </cell>
        </row>
        <row r="4675">
          <cell r="Z4675" t="str">
            <v>MOBILIARIO CLINICO</v>
          </cell>
          <cell r="AA4675" t="str">
            <v>HOSPITAL DE LA FLORIDA</v>
          </cell>
        </row>
        <row r="4676">
          <cell r="Z4676" t="str">
            <v>MOBILIARIO CLINICO</v>
          </cell>
          <cell r="AA4676" t="str">
            <v>HOSPITAL DE LA FLORIDA</v>
          </cell>
        </row>
        <row r="4677">
          <cell r="Z4677" t="str">
            <v>MOBILIARIO CLINICO</v>
          </cell>
          <cell r="AA4677" t="str">
            <v>HOSPITAL DE LA FLORIDA</v>
          </cell>
        </row>
        <row r="4678">
          <cell r="Z4678" t="str">
            <v>MOBILIARIO CLINICO</v>
          </cell>
          <cell r="AA4678" t="str">
            <v>HOSPITAL DE LA FLORIDA</v>
          </cell>
        </row>
        <row r="4679">
          <cell r="Z4679" t="str">
            <v>MOBILIARIO CLINICO</v>
          </cell>
          <cell r="AA4679" t="str">
            <v>HOSPITAL DE LA FLORIDA</v>
          </cell>
        </row>
        <row r="4680">
          <cell r="Z4680" t="str">
            <v>MOBILIARIO CLINICO</v>
          </cell>
          <cell r="AA4680" t="str">
            <v>HOSPITAL DE LA FLORIDA</v>
          </cell>
        </row>
        <row r="4681">
          <cell r="Z4681" t="str">
            <v>MOBILIARIO CLINICO</v>
          </cell>
          <cell r="AA4681" t="str">
            <v>HOSPITAL DE LA FLORIDA</v>
          </cell>
        </row>
        <row r="4682">
          <cell r="Z4682" t="str">
            <v>MOBILIARIO CLINICO</v>
          </cell>
          <cell r="AA4682" t="str">
            <v>HOSPITAL DE LA FLORIDA</v>
          </cell>
        </row>
        <row r="4683">
          <cell r="Z4683" t="str">
            <v>MOBILIARIO CLINICO</v>
          </cell>
          <cell r="AA4683" t="str">
            <v>HOSPITAL DE LA FLORIDA</v>
          </cell>
        </row>
        <row r="4684">
          <cell r="Z4684" t="str">
            <v>MOBILIARIO CLINICO</v>
          </cell>
          <cell r="AA4684" t="str">
            <v>HOSPITAL DE LA FLORIDA</v>
          </cell>
        </row>
        <row r="4685">
          <cell r="Z4685" t="str">
            <v>MOBILIARIO CLINICO</v>
          </cell>
          <cell r="AA4685" t="str">
            <v>HOSPITAL DE LA FLORIDA</v>
          </cell>
        </row>
        <row r="4686">
          <cell r="Z4686" t="str">
            <v>MOBILIARIO CLINICO</v>
          </cell>
          <cell r="AA4686" t="str">
            <v>HOSPITAL DE LA FLORIDA</v>
          </cell>
        </row>
        <row r="4687">
          <cell r="Z4687" t="str">
            <v>MOBILIARIO CLINICO</v>
          </cell>
          <cell r="AA4687" t="str">
            <v>HOSPITAL DE LA FLORIDA</v>
          </cell>
        </row>
        <row r="4688">
          <cell r="Z4688" t="str">
            <v>MOBILIARIO CLINICO</v>
          </cell>
          <cell r="AA4688" t="str">
            <v>HOSPITAL DE LA FLORIDA</v>
          </cell>
        </row>
        <row r="4689">
          <cell r="Z4689" t="str">
            <v>MOBILIARIO CLINICO</v>
          </cell>
          <cell r="AA4689" t="str">
            <v>HOSPITAL DE LA FLORIDA</v>
          </cell>
        </row>
        <row r="4690">
          <cell r="Z4690" t="str">
            <v>MOBILIARIO CLINICO</v>
          </cell>
          <cell r="AA4690" t="str">
            <v>HOSPITAL DE LA FLORIDA</v>
          </cell>
        </row>
        <row r="4691">
          <cell r="Z4691" t="str">
            <v>MOBILIARIO CLINICO</v>
          </cell>
          <cell r="AA4691" t="str">
            <v>HOSPITAL DE LA FLORIDA</v>
          </cell>
        </row>
        <row r="4692">
          <cell r="Z4692" t="str">
            <v>MOBILIARIO CLINICO</v>
          </cell>
          <cell r="AA4692" t="str">
            <v>HOSPITAL DE LA FLORIDA</v>
          </cell>
        </row>
        <row r="4693">
          <cell r="Z4693" t="str">
            <v>MOBILIARIO CLINICO</v>
          </cell>
          <cell r="AA4693" t="str">
            <v>HOSPITAL DE LA FLORIDA</v>
          </cell>
        </row>
        <row r="4694">
          <cell r="Z4694" t="str">
            <v>MOBILIARIO CLINICO</v>
          </cell>
          <cell r="AA4694" t="str">
            <v>HOSPITAL DE LA FLORIDA</v>
          </cell>
        </row>
        <row r="4695">
          <cell r="Z4695" t="str">
            <v>MOBILIARIO CLINICO</v>
          </cell>
          <cell r="AA4695" t="str">
            <v>HOSPITAL DE LA FLORIDA</v>
          </cell>
        </row>
        <row r="4696">
          <cell r="Z4696" t="str">
            <v>MOBILIARIO CLINICO</v>
          </cell>
          <cell r="AA4696" t="str">
            <v>HOSPITAL DE LA FLORIDA</v>
          </cell>
        </row>
        <row r="4697">
          <cell r="Z4697" t="str">
            <v>MOBILIARIO CLINICO</v>
          </cell>
          <cell r="AA4697" t="str">
            <v>HOSPITAL DE LA FLORIDA</v>
          </cell>
        </row>
        <row r="4698">
          <cell r="Z4698" t="str">
            <v>MOBILIARIO CLINICO</v>
          </cell>
          <cell r="AA4698" t="str">
            <v>HOSPITAL DE LA FLORIDA</v>
          </cell>
        </row>
        <row r="4699">
          <cell r="Z4699" t="str">
            <v>MOBILIARIO CLINICO</v>
          </cell>
          <cell r="AA4699" t="str">
            <v>HOSPITAL DE LA FLORIDA</v>
          </cell>
        </row>
        <row r="4700">
          <cell r="Z4700" t="str">
            <v>MOBILIARIO CLINICO</v>
          </cell>
          <cell r="AA4700" t="str">
            <v>HOSPITAL DE LA FLORIDA</v>
          </cell>
        </row>
        <row r="4701">
          <cell r="Z4701" t="str">
            <v>MOBILIARIO CLINICO</v>
          </cell>
          <cell r="AA4701" t="str">
            <v>HOSPITAL DE LA FLORIDA</v>
          </cell>
        </row>
        <row r="4702">
          <cell r="Z4702" t="str">
            <v>MOBILIARIO CLINICO</v>
          </cell>
          <cell r="AA4702" t="str">
            <v>HOSPITAL DE LA FLORIDA</v>
          </cell>
        </row>
        <row r="4703">
          <cell r="Z4703" t="str">
            <v>MOBILIARIO CLINICO</v>
          </cell>
          <cell r="AA4703" t="str">
            <v>HOSPITAL DE LA FLORIDA</v>
          </cell>
        </row>
        <row r="4704">
          <cell r="Z4704" t="str">
            <v>MOBILIARIO CLINICO</v>
          </cell>
          <cell r="AA4704" t="str">
            <v>HOSPITAL DE LA FLORIDA</v>
          </cell>
        </row>
        <row r="4705">
          <cell r="Z4705" t="str">
            <v>MOBILIARIO CLINICO</v>
          </cell>
          <cell r="AA4705" t="str">
            <v>HOSPITAL DE LA FLORIDA</v>
          </cell>
        </row>
        <row r="4706">
          <cell r="Z4706" t="str">
            <v>MOBILIARIO CLINICO</v>
          </cell>
          <cell r="AA4706" t="str">
            <v>HOSPITAL DE LA FLORIDA</v>
          </cell>
        </row>
        <row r="4707">
          <cell r="Z4707" t="str">
            <v>MOBILIARIO CLINICO</v>
          </cell>
          <cell r="AA4707" t="str">
            <v>HOSPITAL DE LA FLORIDA</v>
          </cell>
        </row>
        <row r="4708">
          <cell r="Z4708" t="str">
            <v>DENTAL</v>
          </cell>
          <cell r="AA4708" t="str">
            <v>INTEGRAMEDICA TOBALABA</v>
          </cell>
        </row>
        <row r="4709">
          <cell r="Z4709" t="str">
            <v>DENTAL</v>
          </cell>
          <cell r="AA4709" t="str">
            <v>INTEGRAMEDICA TOBALABA</v>
          </cell>
        </row>
        <row r="4710">
          <cell r="Z4710" t="str">
            <v>DENTAL</v>
          </cell>
          <cell r="AA4710" t="str">
            <v>INTEGRAMEDICA TOBALABA</v>
          </cell>
        </row>
        <row r="4711">
          <cell r="Z4711" t="str">
            <v>DENTAL</v>
          </cell>
          <cell r="AA4711" t="str">
            <v>INTEGRAMEDICA MANQUEHUE</v>
          </cell>
        </row>
        <row r="4712">
          <cell r="Z4712" t="str">
            <v>DENTAL</v>
          </cell>
          <cell r="AA4712" t="str">
            <v>INTEGRAMEDICA TOBALABA</v>
          </cell>
        </row>
        <row r="4713">
          <cell r="Z4713" t="str">
            <v>DENTAL</v>
          </cell>
          <cell r="AA4713" t="str">
            <v>INTEGRAMEDICA PLAZA OESTE</v>
          </cell>
        </row>
        <row r="4714">
          <cell r="Z4714" t="str">
            <v>DENTAL</v>
          </cell>
          <cell r="AA4714" t="str">
            <v>INTEGRAMEDICA PLAZA OESTE</v>
          </cell>
        </row>
        <row r="4715">
          <cell r="Z4715" t="str">
            <v>DENTAL</v>
          </cell>
          <cell r="AA4715" t="str">
            <v>INTEGRAMEDICA PLAZA OESTE</v>
          </cell>
        </row>
        <row r="4716">
          <cell r="Z4716" t="str">
            <v>DENTAL</v>
          </cell>
          <cell r="AA4716" t="str">
            <v>INTEGRAMEDICA PLAZA OESTE</v>
          </cell>
        </row>
        <row r="4717">
          <cell r="Z4717" t="str">
            <v>DENTAL</v>
          </cell>
          <cell r="AA4717" t="str">
            <v>INTEGRAMEDICA TOBALABA</v>
          </cell>
        </row>
        <row r="4718">
          <cell r="Z4718" t="str">
            <v>DENTAL</v>
          </cell>
          <cell r="AA4718" t="str">
            <v>INTEGRAMEDICA PLAZA OESTE</v>
          </cell>
        </row>
        <row r="4719">
          <cell r="Z4719" t="str">
            <v>DENTAL</v>
          </cell>
          <cell r="AA4719" t="str">
            <v>INTEGRAMEDICA PLAZA OESTE</v>
          </cell>
        </row>
        <row r="4720">
          <cell r="Z4720" t="str">
            <v>DENTAL</v>
          </cell>
          <cell r="AA4720" t="str">
            <v>INTEGRAMEDICA PLAZA OESTE</v>
          </cell>
        </row>
        <row r="4721">
          <cell r="Z4721" t="str">
            <v>DENTAL</v>
          </cell>
          <cell r="AA4721" t="str">
            <v>INTEGRAMEDICA TOBALABA</v>
          </cell>
        </row>
        <row r="4722">
          <cell r="Z4722" t="str">
            <v>DENTAL</v>
          </cell>
          <cell r="AA4722" t="str">
            <v>INTEGRAMEDICA PLAZA OESTE</v>
          </cell>
        </row>
        <row r="4723">
          <cell r="Z4723" t="str">
            <v>DENTAL</v>
          </cell>
          <cell r="AA4723" t="str">
            <v>INTEGRAMEDICA TOBALABA</v>
          </cell>
        </row>
        <row r="4724">
          <cell r="Z4724" t="str">
            <v>DENTAL</v>
          </cell>
          <cell r="AA4724" t="str">
            <v>INTEGRAMEDICA PLAZA OESTE</v>
          </cell>
        </row>
        <row r="4725">
          <cell r="Z4725" t="str">
            <v>DENTAL</v>
          </cell>
          <cell r="AA4725" t="str">
            <v>INTEGRAMEDICA PLAZA OESTE</v>
          </cell>
        </row>
        <row r="4726">
          <cell r="Z4726" t="str">
            <v>DENTAL</v>
          </cell>
          <cell r="AA4726" t="str">
            <v>INTEGRAMEDICA TOBALABA</v>
          </cell>
        </row>
        <row r="4727">
          <cell r="Z4727" t="str">
            <v>DENTAL</v>
          </cell>
          <cell r="AA4727" t="str">
            <v>INTEGRAMEDICA PLAZA OESTE</v>
          </cell>
        </row>
        <row r="4728">
          <cell r="Z4728" t="str">
            <v>DENTAL</v>
          </cell>
          <cell r="AA4728" t="str">
            <v>INTEGRAMEDICA PLAZA OESTE</v>
          </cell>
        </row>
        <row r="4729">
          <cell r="Z4729" t="str">
            <v>DENTAL</v>
          </cell>
          <cell r="AA4729" t="str">
            <v>INTEGRAMEDICA SAN MIGUEL</v>
          </cell>
        </row>
        <row r="4730">
          <cell r="Z4730" t="str">
            <v>DENTAL</v>
          </cell>
          <cell r="AA4730" t="str">
            <v>INTEGRAMEDICA SAN MIGUEL</v>
          </cell>
        </row>
        <row r="4731">
          <cell r="Z4731" t="str">
            <v>DENTAL</v>
          </cell>
          <cell r="AA4731" t="str">
            <v>INTEGRAMEDICA SAN MIGUEL</v>
          </cell>
        </row>
        <row r="4732">
          <cell r="Z4732" t="str">
            <v>DENTAL</v>
          </cell>
          <cell r="AA4732" t="str">
            <v>INTEGRAMEDICA SAN MIGUEL</v>
          </cell>
        </row>
        <row r="4733">
          <cell r="Z4733" t="str">
            <v>DENTAL</v>
          </cell>
          <cell r="AA4733" t="str">
            <v>INTEGRAMEDICA SAN MIGUEL</v>
          </cell>
        </row>
        <row r="4734">
          <cell r="Z4734" t="str">
            <v>DENTAL</v>
          </cell>
          <cell r="AA4734" t="str">
            <v>INTEGRAMEDICA SAN MIGUEL</v>
          </cell>
        </row>
        <row r="4735">
          <cell r="Z4735" t="str">
            <v>DENTAL</v>
          </cell>
          <cell r="AA4735" t="str">
            <v>INTEGRAMEDICA RANCAGUA</v>
          </cell>
        </row>
        <row r="4736">
          <cell r="Z4736" t="str">
            <v>DENTAL</v>
          </cell>
          <cell r="AA4736" t="str">
            <v>INTEGRAMEDICA SAN MIGUEL</v>
          </cell>
        </row>
        <row r="4737">
          <cell r="Z4737" t="str">
            <v>DENTAL</v>
          </cell>
          <cell r="AA4737" t="str">
            <v>INTEGRAMEDICA SAN MIGUEL</v>
          </cell>
        </row>
        <row r="4738">
          <cell r="Z4738" t="str">
            <v>DENTAL</v>
          </cell>
          <cell r="AA4738" t="str">
            <v>SONORAD INDEPENDENCIA</v>
          </cell>
        </row>
        <row r="4739">
          <cell r="Z4739" t="str">
            <v>DENTAL</v>
          </cell>
          <cell r="AA4739" t="str">
            <v>SONORAD INDEPENDENCIA</v>
          </cell>
        </row>
        <row r="4740">
          <cell r="Z4740" t="str">
            <v>DENTAL</v>
          </cell>
          <cell r="AA4740" t="str">
            <v>SONORAD INDEPENDENCIA</v>
          </cell>
        </row>
        <row r="4741">
          <cell r="Z4741" t="str">
            <v>DENTAL</v>
          </cell>
          <cell r="AA4741" t="str">
            <v>SONORAD INDEPENDENCIA</v>
          </cell>
        </row>
        <row r="4742">
          <cell r="Z4742" t="str">
            <v>DENTAL</v>
          </cell>
          <cell r="AA4742" t="str">
            <v>SONORAD INDEPENDENCIA</v>
          </cell>
        </row>
        <row r="4743">
          <cell r="Z4743" t="str">
            <v>DENTAL</v>
          </cell>
          <cell r="AA4743" t="str">
            <v>INTEGRAMEDICA TOBALABA</v>
          </cell>
        </row>
        <row r="4744">
          <cell r="Z4744" t="str">
            <v>DENTAL</v>
          </cell>
          <cell r="AA4744" t="str">
            <v>LA ARAUCANA SALUD S.A.</v>
          </cell>
        </row>
        <row r="4745">
          <cell r="Z4745" t="str">
            <v>DENTAL</v>
          </cell>
          <cell r="AA4745" t="str">
            <v>INTEGRAMEDICA MAIPU</v>
          </cell>
        </row>
        <row r="4746">
          <cell r="Z4746" t="str">
            <v>DENTAL</v>
          </cell>
          <cell r="AA4746" t="str">
            <v>INTEGRAMEDICA MANQUEHUE</v>
          </cell>
        </row>
        <row r="4747">
          <cell r="Z4747" t="str">
            <v>DENTAL</v>
          </cell>
          <cell r="AA4747" t="str">
            <v>INTEGRAMEDICA MANQUEHUE</v>
          </cell>
        </row>
        <row r="4748">
          <cell r="Z4748" t="str">
            <v>DENTAL</v>
          </cell>
          <cell r="AA4748" t="str">
            <v>INTEGRAMEDICA ALAMEDA</v>
          </cell>
        </row>
        <row r="4749">
          <cell r="Z4749" t="str">
            <v>DENTAL</v>
          </cell>
          <cell r="AA4749" t="str">
            <v>INTEGRAMEDICA MANQUEHUE</v>
          </cell>
        </row>
        <row r="4750">
          <cell r="Z4750" t="str">
            <v>DENTAL</v>
          </cell>
          <cell r="AA4750" t="str">
            <v>INTEGRAMEDICA TOBALABA</v>
          </cell>
        </row>
        <row r="4751">
          <cell r="Z4751" t="str">
            <v>DENTAL</v>
          </cell>
          <cell r="AA4751" t="str">
            <v>INTEGRAMEDICA TOBALABA</v>
          </cell>
        </row>
        <row r="4752">
          <cell r="Z4752" t="str">
            <v>DENTAL</v>
          </cell>
          <cell r="AA4752" t="str">
            <v>INTEGRAMEDICA MANQUEHUE</v>
          </cell>
        </row>
        <row r="4753">
          <cell r="Z4753" t="str">
            <v>DENTAL</v>
          </cell>
          <cell r="AA4753" t="str">
            <v>INTEGRAMEDICA TOBALABA</v>
          </cell>
        </row>
        <row r="4754">
          <cell r="Z4754" t="str">
            <v>DENTAL</v>
          </cell>
          <cell r="AA4754" t="str">
            <v>INTEGRAMEDICA TOBALABA</v>
          </cell>
        </row>
        <row r="4755">
          <cell r="Z4755" t="str">
            <v>DENTAL</v>
          </cell>
          <cell r="AA4755" t="str">
            <v>INTEGRAMEDICA MANQUEHUE</v>
          </cell>
        </row>
        <row r="4756">
          <cell r="Z4756" t="str">
            <v>DENTAL</v>
          </cell>
          <cell r="AA4756" t="str">
            <v>INTEGRAMEDICA MANQUEHUE</v>
          </cell>
        </row>
        <row r="4757">
          <cell r="Z4757" t="str">
            <v>DENTAL</v>
          </cell>
          <cell r="AA4757" t="str">
            <v>INTEGRAMEDICA TOBALABA</v>
          </cell>
        </row>
        <row r="4758">
          <cell r="Z4758" t="str">
            <v>DENTAL</v>
          </cell>
          <cell r="AA4758" t="str">
            <v>INTEGRAMEDICA TOBALABA</v>
          </cell>
        </row>
        <row r="4759">
          <cell r="Z4759" t="str">
            <v>DENTAL</v>
          </cell>
          <cell r="AA4759" t="str">
            <v>INTEGRAMEDICA PUENTE ALTO</v>
          </cell>
        </row>
        <row r="4760">
          <cell r="Z4760" t="str">
            <v>DENTAL</v>
          </cell>
          <cell r="AA4760" t="str">
            <v>GEMCO GENERAL MACHINERY S.A.</v>
          </cell>
        </row>
        <row r="4761">
          <cell r="Z4761" t="str">
            <v>DENTAL</v>
          </cell>
          <cell r="AA4761" t="str">
            <v>INTEGRAMEDICA MANQUEHUE</v>
          </cell>
        </row>
        <row r="4762">
          <cell r="Z4762" t="str">
            <v>DENTAL</v>
          </cell>
          <cell r="AA4762" t="str">
            <v>INTEGRAMEDICA PLAZA OESTE</v>
          </cell>
        </row>
        <row r="4763">
          <cell r="Z4763" t="str">
            <v>DENTAL</v>
          </cell>
          <cell r="AA4763" t="str">
            <v>INTEGRAMEDICA PLAZA OESTE</v>
          </cell>
        </row>
        <row r="4764">
          <cell r="Z4764" t="str">
            <v>DENTAL</v>
          </cell>
          <cell r="AA4764" t="str">
            <v>GEMCO GENERAL MACHINERY S.A.</v>
          </cell>
        </row>
        <row r="4765">
          <cell r="Z4765" t="str">
            <v>DENTAL</v>
          </cell>
          <cell r="AA4765" t="str">
            <v>GEMCO GENERAL MACHINERY S.A.</v>
          </cell>
        </row>
        <row r="4766">
          <cell r="Z4766" t="str">
            <v>DENTAL</v>
          </cell>
          <cell r="AA4766" t="str">
            <v>GEMCO GENERAL MACHINERY S.A.</v>
          </cell>
        </row>
        <row r="4767">
          <cell r="Z4767" t="str">
            <v>DENTAL</v>
          </cell>
        </row>
        <row r="4768">
          <cell r="Z4768" t="str">
            <v>DENTAL</v>
          </cell>
          <cell r="AA4768" t="str">
            <v>GEMCO GENERAL MACHINERY S.A.</v>
          </cell>
        </row>
        <row r="4769">
          <cell r="Z4769" t="str">
            <v>DENTAL</v>
          </cell>
          <cell r="AA4769" t="str">
            <v>INTEGRAMEDICA PLAZA OESTE</v>
          </cell>
        </row>
        <row r="4770">
          <cell r="Z4770" t="str">
            <v>DENTAL</v>
          </cell>
          <cell r="AA4770" t="str">
            <v>GEMCO GENERAL MACHINERY S.A.</v>
          </cell>
        </row>
        <row r="4771">
          <cell r="Z4771" t="str">
            <v>DENTAL</v>
          </cell>
          <cell r="AA4771" t="str">
            <v>GEMCO GENERAL MACHINERY S.A.</v>
          </cell>
        </row>
        <row r="4772">
          <cell r="Z4772" t="str">
            <v>DENTAL</v>
          </cell>
          <cell r="AA4772" t="str">
            <v>GEMCO GENERAL MACHINERY S.A.</v>
          </cell>
        </row>
        <row r="4773">
          <cell r="Z4773" t="str">
            <v>DENTAL</v>
          </cell>
          <cell r="AA4773" t="str">
            <v>GEMCO GENERAL MACHINERY S.A.</v>
          </cell>
        </row>
        <row r="4774">
          <cell r="Z4774" t="str">
            <v>DENTAL</v>
          </cell>
          <cell r="AA4774" t="str">
            <v>GEMCO GENERAL MACHINERY S.A.</v>
          </cell>
        </row>
        <row r="4775">
          <cell r="Z4775" t="str">
            <v>DENTAL</v>
          </cell>
          <cell r="AA4775" t="str">
            <v>GEMCO GENERAL MACHINERY S.A.</v>
          </cell>
        </row>
        <row r="4776">
          <cell r="Z4776" t="str">
            <v>DENTAL</v>
          </cell>
          <cell r="AA4776" t="str">
            <v>GEMCO GENERAL MACHINERY S.A.</v>
          </cell>
        </row>
        <row r="4777">
          <cell r="Z4777" t="str">
            <v>DENTAL</v>
          </cell>
          <cell r="AA4777" t="str">
            <v>GEMCO GENERAL MACHINERY S.A.</v>
          </cell>
        </row>
        <row r="4778">
          <cell r="Z4778" t="str">
            <v>DENTAL</v>
          </cell>
          <cell r="AA4778" t="str">
            <v>GEMCO GENERAL MACHINERY S.A.</v>
          </cell>
        </row>
        <row r="4779">
          <cell r="Z4779" t="str">
            <v>DENTAL</v>
          </cell>
          <cell r="AA4779" t="str">
            <v>GEMCO GENERAL MACHINERY S.A.</v>
          </cell>
        </row>
        <row r="4780">
          <cell r="Z4780" t="str">
            <v>DENTAL</v>
          </cell>
          <cell r="AA4780" t="str">
            <v>GEMCO GENERAL MACHINERY S.A.</v>
          </cell>
        </row>
        <row r="4781">
          <cell r="Z4781" t="str">
            <v>DENTAL</v>
          </cell>
          <cell r="AA4781" t="str">
            <v>GEMCO GENERAL MACHINERY S.A.</v>
          </cell>
        </row>
        <row r="4782">
          <cell r="Z4782" t="str">
            <v>DENTAL</v>
          </cell>
          <cell r="AA4782" t="str">
            <v>GEMCO GENERAL MACHINERY S.A.</v>
          </cell>
        </row>
        <row r="4783">
          <cell r="Z4783" t="str">
            <v>DENTAL</v>
          </cell>
          <cell r="AA4783" t="str">
            <v>GEMCO GENERAL MACHINERY S.A.</v>
          </cell>
        </row>
        <row r="4784">
          <cell r="Z4784" t="str">
            <v>DENTAL</v>
          </cell>
          <cell r="AA4784" t="str">
            <v>INTEGRAMEDICA MAIPU</v>
          </cell>
        </row>
        <row r="4785">
          <cell r="Z4785" t="str">
            <v>DENTAL</v>
          </cell>
          <cell r="AA4785" t="str">
            <v>GEMCO GENERAL MACHINERY S.A.</v>
          </cell>
        </row>
        <row r="4786">
          <cell r="Z4786" t="str">
            <v>DENTAL</v>
          </cell>
          <cell r="AA4786" t="str">
            <v>INTEGRAMEDICA TALCA</v>
          </cell>
        </row>
        <row r="4787">
          <cell r="Z4787" t="str">
            <v>DENTAL</v>
          </cell>
          <cell r="AA4787" t="str">
            <v>GEMCO GENERAL MACHINERY S.A.</v>
          </cell>
        </row>
        <row r="4788">
          <cell r="Z4788" t="str">
            <v>DENTAL</v>
          </cell>
          <cell r="AA4788" t="str">
            <v>GEMCO GENERAL MACHINERY S.A.</v>
          </cell>
        </row>
        <row r="4789">
          <cell r="Z4789" t="str">
            <v>DENTAL</v>
          </cell>
          <cell r="AA4789" t="str">
            <v>INTEGRAMEDICA MAIPU</v>
          </cell>
        </row>
        <row r="4790">
          <cell r="Z4790" t="str">
            <v>DENTAL</v>
          </cell>
          <cell r="AA4790" t="str">
            <v>GEMCO GENERAL MACHINERY S.A.</v>
          </cell>
        </row>
        <row r="4791">
          <cell r="Z4791" t="str">
            <v>DENTAL</v>
          </cell>
          <cell r="AA4791" t="str">
            <v>GEMCO GENERAL MACHINERY S.A.</v>
          </cell>
        </row>
        <row r="4792">
          <cell r="Z4792" t="str">
            <v>DENTAL</v>
          </cell>
          <cell r="AA4792" t="str">
            <v>GEMCO GENERAL MACHINERY S.A.</v>
          </cell>
        </row>
        <row r="4793">
          <cell r="Z4793" t="str">
            <v>DENTAL</v>
          </cell>
          <cell r="AA4793" t="str">
            <v>INTEGRAMEDICA BANDERA</v>
          </cell>
        </row>
        <row r="4794">
          <cell r="Z4794" t="str">
            <v>DENTAL</v>
          </cell>
          <cell r="AA4794" t="str">
            <v>INTEGRAMEDICA PLAZA SUR</v>
          </cell>
        </row>
        <row r="4795">
          <cell r="Z4795" t="str">
            <v>DENTAL</v>
          </cell>
          <cell r="AA4795" t="str">
            <v>INTEGRAMEDICA SANTA LUCIA.</v>
          </cell>
        </row>
        <row r="4796">
          <cell r="Z4796" t="str">
            <v>DENTAL</v>
          </cell>
          <cell r="AA4796" t="str">
            <v>INTEGRAMEDICA CENTROS MEDICOS S.A.</v>
          </cell>
        </row>
        <row r="4797">
          <cell r="Z4797" t="str">
            <v>DENTAL</v>
          </cell>
          <cell r="AA4797" t="str">
            <v>INTEGRAMEDICA CENTROS MEDICOS S.A.</v>
          </cell>
        </row>
        <row r="4798">
          <cell r="Z4798" t="str">
            <v>DENTAL</v>
          </cell>
          <cell r="AA4798" t="str">
            <v>INTEGRAMEDICA CENTROS MEDICOS S.A.</v>
          </cell>
        </row>
        <row r="4799">
          <cell r="Z4799" t="str">
            <v>DENTAL</v>
          </cell>
          <cell r="AA4799" t="str">
            <v>INTEGRAMEDICA CENTROS MEDICOS S.A.</v>
          </cell>
        </row>
        <row r="4800">
          <cell r="Z4800" t="str">
            <v>DENTAL</v>
          </cell>
          <cell r="AA4800" t="str">
            <v>UNIVERSIDAD DE VALPARAISO</v>
          </cell>
        </row>
        <row r="4801">
          <cell r="Z4801" t="str">
            <v>DENTAL</v>
          </cell>
          <cell r="AA4801" t="str">
            <v>UNIVERSIDAD DE VALPARAISO</v>
          </cell>
        </row>
        <row r="4802">
          <cell r="Z4802" t="str">
            <v>ESTERILIZACIÓN</v>
          </cell>
        </row>
        <row r="4803">
          <cell r="Z4803" t="str">
            <v>DENTAL</v>
          </cell>
        </row>
        <row r="4804">
          <cell r="Z4804" t="str">
            <v>DENTAL</v>
          </cell>
          <cell r="AA4804" t="str">
            <v>GEMCO GENERAL MACHINERY S.A.</v>
          </cell>
        </row>
        <row r="4805">
          <cell r="Z4805" t="str">
            <v>DENTAL</v>
          </cell>
        </row>
        <row r="4806">
          <cell r="Z4806" t="str">
            <v>DENTAL</v>
          </cell>
          <cell r="AA4806" t="str">
            <v>GEMCO GENERAL MACHINERY S.A.</v>
          </cell>
        </row>
        <row r="4807">
          <cell r="Z4807" t="str">
            <v>DENTAL</v>
          </cell>
          <cell r="AA4807" t="str">
            <v>HOSPITAL DE ANGOL</v>
          </cell>
        </row>
        <row r="4808">
          <cell r="Z4808" t="str">
            <v>DENTAL</v>
          </cell>
          <cell r="AA4808" t="str">
            <v>HOSPITAL BARROS LUCO TRUDEAU</v>
          </cell>
        </row>
        <row r="4809">
          <cell r="Z4809" t="str">
            <v>DENTAL</v>
          </cell>
          <cell r="AA4809" t="str">
            <v>HOSPITAL BARROS LUCO TRUDEAU</v>
          </cell>
        </row>
        <row r="4810">
          <cell r="Z4810" t="str">
            <v>DENTAL</v>
          </cell>
          <cell r="AA4810" t="str">
            <v>HOSPITAL BARROS LUCO TRUDEAU</v>
          </cell>
        </row>
        <row r="4811">
          <cell r="Z4811" t="str">
            <v>DENTAL</v>
          </cell>
        </row>
        <row r="4812">
          <cell r="Z4812" t="str">
            <v>ENDOSCOPÍA</v>
          </cell>
        </row>
        <row r="4813">
          <cell r="Z4813" t="str">
            <v>DENTAL</v>
          </cell>
          <cell r="AA4813" t="str">
            <v>UNIVERSIDAD DE VALPARAISO</v>
          </cell>
        </row>
        <row r="4814">
          <cell r="Z4814" t="str">
            <v>DENTAL</v>
          </cell>
        </row>
        <row r="4815">
          <cell r="Z4815" t="str">
            <v>DENTAL</v>
          </cell>
        </row>
        <row r="4816">
          <cell r="Z4816" t="str">
            <v>DENTAL</v>
          </cell>
        </row>
        <row r="4817">
          <cell r="Z4817" t="str">
            <v>DENTAL</v>
          </cell>
          <cell r="AA4817" t="str">
            <v>INGENIERIA Y CONSTRUCCION COPAYAPU LIMITADA</v>
          </cell>
        </row>
        <row r="4818">
          <cell r="Z4818" t="str">
            <v>DENTAL</v>
          </cell>
          <cell r="AA4818" t="str">
            <v>INGENIERIA Y CONSTRUCCION COPAYAPU LIMITADA</v>
          </cell>
        </row>
        <row r="4819">
          <cell r="Z4819" t="str">
            <v>DENTAL</v>
          </cell>
        </row>
        <row r="4820">
          <cell r="Z4820" t="str">
            <v>DENTAL</v>
          </cell>
        </row>
        <row r="4821">
          <cell r="Z4821" t="str">
            <v>DENTAL</v>
          </cell>
          <cell r="AA4821" t="str">
            <v>UNIVERSIDAD SAN SEBASTIAN</v>
          </cell>
        </row>
        <row r="4822">
          <cell r="Z4822" t="str">
            <v>DENTAL</v>
          </cell>
          <cell r="AA4822" t="str">
            <v>UNIVERSIDAD SAN SEBASTIAN</v>
          </cell>
        </row>
        <row r="4823">
          <cell r="Z4823" t="str">
            <v>DENTAL</v>
          </cell>
          <cell r="AA4823" t="str">
            <v>UNIVERSIDAD SAN SEBASTIAN</v>
          </cell>
        </row>
        <row r="4824">
          <cell r="Z4824" t="str">
            <v>DENTAL</v>
          </cell>
          <cell r="AA4824" t="str">
            <v>GEMCO GENERAL MACHINERY S.A.</v>
          </cell>
        </row>
        <row r="4825">
          <cell r="Z4825" t="str">
            <v>DENTAL</v>
          </cell>
        </row>
        <row r="4826">
          <cell r="Z4826" t="str">
            <v>DENTAL</v>
          </cell>
          <cell r="AA4826" t="str">
            <v>CARABINEROS CHILLAN</v>
          </cell>
        </row>
        <row r="4827">
          <cell r="Z4827" t="str">
            <v>DENTAL</v>
          </cell>
          <cell r="AA4827" t="str">
            <v>UNIVERSIDAD DE ANTOFAGASTA</v>
          </cell>
        </row>
        <row r="4828">
          <cell r="Z4828" t="str">
            <v>DENTAL</v>
          </cell>
          <cell r="AA4828" t="str">
            <v>UNIVERSIDAD DE ANTOFAGASTA</v>
          </cell>
        </row>
        <row r="4829">
          <cell r="Z4829" t="str">
            <v>DENTAL</v>
          </cell>
          <cell r="AA4829" t="str">
            <v>CARABINEROS CHILLAN</v>
          </cell>
        </row>
        <row r="4830">
          <cell r="Z4830" t="str">
            <v>DENTAL</v>
          </cell>
        </row>
        <row r="4831">
          <cell r="Z4831" t="str">
            <v>DENTAL</v>
          </cell>
          <cell r="AA4831" t="str">
            <v>UNIVERSIDAD DE ANTOFAGASTA</v>
          </cell>
        </row>
        <row r="4832">
          <cell r="Z4832" t="str">
            <v>DENTAL</v>
          </cell>
        </row>
        <row r="4833">
          <cell r="Z4833" t="str">
            <v>DENTAL</v>
          </cell>
          <cell r="AA4833" t="str">
            <v>LA ARAUCANA PUERTO MONTT</v>
          </cell>
        </row>
        <row r="4834">
          <cell r="Z4834" t="str">
            <v>DENTAL</v>
          </cell>
          <cell r="AA4834" t="str">
            <v>UNIVERSIDAD DE ANTOFAGASTA</v>
          </cell>
        </row>
        <row r="4835">
          <cell r="Z4835" t="str">
            <v>DENTAL</v>
          </cell>
          <cell r="AA4835" t="str">
            <v>UNIVERSIDAD DE ANTOFAGASTA</v>
          </cell>
        </row>
        <row r="4836">
          <cell r="Z4836" t="str">
            <v>DENTAL</v>
          </cell>
          <cell r="AA4836" t="str">
            <v>UNIVERSIDAD DE ANTOFAGASTA</v>
          </cell>
        </row>
        <row r="4837">
          <cell r="Z4837" t="str">
            <v>DENTAL</v>
          </cell>
          <cell r="AA4837" t="str">
            <v>UNIVERSIDAD DE ANTOFAGASTA</v>
          </cell>
        </row>
        <row r="4838">
          <cell r="Z4838" t="str">
            <v>DENTAL</v>
          </cell>
          <cell r="AA4838" t="str">
            <v>UNIVERSIDAD DE ANTOFAGASTA</v>
          </cell>
        </row>
        <row r="4839">
          <cell r="Z4839" t="str">
            <v>DENTAL</v>
          </cell>
          <cell r="AA4839" t="str">
            <v>UNIVERSIDAD DE ANTOFAGASTA</v>
          </cell>
        </row>
        <row r="4840">
          <cell r="Z4840" t="str">
            <v>DENTAL</v>
          </cell>
          <cell r="AA4840" t="str">
            <v>UNIVERSIDAD DE ANTOFAGASTA</v>
          </cell>
        </row>
        <row r="4841">
          <cell r="Z4841" t="str">
            <v>DENTAL</v>
          </cell>
          <cell r="AA4841" t="str">
            <v>UNIVERSIDAD DE ANTOFAGASTA</v>
          </cell>
        </row>
        <row r="4842">
          <cell r="Z4842" t="str">
            <v>DENTAL</v>
          </cell>
          <cell r="AA4842" t="str">
            <v>UNIVERSIDAD DE ANTOFAGASTA</v>
          </cell>
        </row>
        <row r="4843">
          <cell r="Z4843" t="str">
            <v>DENTAL</v>
          </cell>
          <cell r="AA4843" t="str">
            <v>UNIVERSIDAD DE ANTOFAGASTA</v>
          </cell>
        </row>
        <row r="4844">
          <cell r="Z4844" t="str">
            <v>DENTAL</v>
          </cell>
          <cell r="AA4844" t="str">
            <v>UNIVERSIDAD DE ANTOFAGASTA</v>
          </cell>
        </row>
        <row r="4845">
          <cell r="Z4845" t="str">
            <v>DENTAL</v>
          </cell>
          <cell r="AA4845" t="str">
            <v>UNIVERSIDAD DE ANTOFAGASTA</v>
          </cell>
        </row>
        <row r="4846">
          <cell r="Z4846" t="str">
            <v>DENTAL</v>
          </cell>
          <cell r="AA4846" t="str">
            <v>UNIVERSIDAD DE ANTOFAGASTA</v>
          </cell>
        </row>
        <row r="4847">
          <cell r="Z4847" t="str">
            <v>DENTAL</v>
          </cell>
          <cell r="AA4847" t="str">
            <v>UNIVERSIDAD DE ANTOFAGASTA</v>
          </cell>
        </row>
        <row r="4848">
          <cell r="Z4848" t="str">
            <v>DENTAL</v>
          </cell>
          <cell r="AA4848" t="str">
            <v>UNIVERSIDAD DE ANTOFAGASTA</v>
          </cell>
        </row>
        <row r="4849">
          <cell r="Z4849" t="str">
            <v>DENTAL</v>
          </cell>
          <cell r="AA4849" t="str">
            <v>UNIVERSIDAD DE ANTOFAGASTA</v>
          </cell>
        </row>
        <row r="4850">
          <cell r="Z4850" t="str">
            <v>DENTAL</v>
          </cell>
          <cell r="AA4850" t="str">
            <v>UNIVERSIDAD DE ANTOFAGASTA</v>
          </cell>
        </row>
        <row r="4851">
          <cell r="Z4851" t="str">
            <v>DENTAL</v>
          </cell>
          <cell r="AA4851" t="str">
            <v>UNIVERSIDAD DE ANTOFAGASTA</v>
          </cell>
        </row>
        <row r="4852">
          <cell r="Z4852" t="str">
            <v>DENTAL</v>
          </cell>
          <cell r="AA4852" t="str">
            <v>UNIVERSIDAD DE ANTOFAGASTA</v>
          </cell>
        </row>
        <row r="4853">
          <cell r="Z4853" t="str">
            <v>DENTAL</v>
          </cell>
          <cell r="AA4853" t="str">
            <v>UNIVERSIDAD DE ANTOFAGASTA</v>
          </cell>
        </row>
        <row r="4854">
          <cell r="Z4854" t="str">
            <v>DENTAL</v>
          </cell>
          <cell r="AA4854" t="str">
            <v>UNIVERSIDAD DE ANTOFAGASTA</v>
          </cell>
        </row>
        <row r="4855">
          <cell r="Z4855" t="str">
            <v>DENTAL</v>
          </cell>
          <cell r="AA4855" t="str">
            <v>UNIVERSIDAD DE ANTOFAGASTA</v>
          </cell>
        </row>
        <row r="4856">
          <cell r="Z4856" t="str">
            <v>DENTAL</v>
          </cell>
          <cell r="AA4856" t="str">
            <v>UNIVERSIDAD DE ANTOFAGASTA</v>
          </cell>
        </row>
        <row r="4857">
          <cell r="Z4857" t="str">
            <v>DENTAL</v>
          </cell>
          <cell r="AA4857" t="str">
            <v>UNIVERSIDAD DE ANTOFAGASTA</v>
          </cell>
        </row>
        <row r="4858">
          <cell r="Z4858" t="str">
            <v>DENTAL</v>
          </cell>
          <cell r="AA4858" t="str">
            <v>UNIVERSIDAD DE ANTOFAGASTA</v>
          </cell>
        </row>
        <row r="4859">
          <cell r="Z4859" t="str">
            <v>DENTAL</v>
          </cell>
          <cell r="AA4859" t="str">
            <v>UNIVERSIDAD DE ANTOFAGASTA</v>
          </cell>
        </row>
        <row r="4860">
          <cell r="Z4860" t="str">
            <v>DENTAL</v>
          </cell>
          <cell r="AA4860" t="str">
            <v>UNIVERSIDAD DE ANTOFAGASTA</v>
          </cell>
        </row>
        <row r="4861">
          <cell r="Z4861" t="str">
            <v>DENTAL</v>
          </cell>
          <cell r="AA4861" t="str">
            <v>UNIVERSIDAD DE ANTOFAGASTA</v>
          </cell>
        </row>
        <row r="4862">
          <cell r="Z4862" t="str">
            <v>DENTAL</v>
          </cell>
          <cell r="AA4862" t="str">
            <v>UNIVERSIDAD DE ANTOFAGASTA</v>
          </cell>
        </row>
        <row r="4863">
          <cell r="Z4863" t="str">
            <v>DENTAL</v>
          </cell>
          <cell r="AA4863" t="str">
            <v>UNIVERSIDAD DE ANTOFAGASTA</v>
          </cell>
        </row>
        <row r="4864">
          <cell r="Z4864" t="str">
            <v>DENTAL</v>
          </cell>
          <cell r="AA4864" t="str">
            <v>UNIVERSIDAD DE ANTOFAGASTA</v>
          </cell>
        </row>
        <row r="4865">
          <cell r="Z4865" t="str">
            <v>DENTAL</v>
          </cell>
          <cell r="AA4865" t="str">
            <v>UNIVERSIDAD DE ANTOFAGASTA</v>
          </cell>
        </row>
        <row r="4866">
          <cell r="Z4866" t="str">
            <v>DENTAL</v>
          </cell>
          <cell r="AA4866" t="str">
            <v>UNIVERSIDAD DE ANTOFAGASTA</v>
          </cell>
        </row>
        <row r="4867">
          <cell r="Z4867" t="str">
            <v>DENTAL</v>
          </cell>
          <cell r="AA4867" t="str">
            <v>CESFAM URBANO DE ILLAPEL</v>
          </cell>
        </row>
        <row r="4868">
          <cell r="Z4868" t="str">
            <v>DENTAL</v>
          </cell>
          <cell r="AA4868" t="str">
            <v>CESFAM COLINA</v>
          </cell>
        </row>
        <row r="4869">
          <cell r="Z4869" t="str">
            <v>DENTAL</v>
          </cell>
          <cell r="AA4869" t="str">
            <v>CESFAM COLINA</v>
          </cell>
        </row>
        <row r="4870">
          <cell r="Z4870" t="str">
            <v>DENTAL</v>
          </cell>
          <cell r="AA4870" t="str">
            <v>UNIVERSIDAD SAN SEBASTIAN</v>
          </cell>
        </row>
        <row r="4871">
          <cell r="Z4871" t="str">
            <v>DENTAL</v>
          </cell>
          <cell r="AA4871" t="str">
            <v>UNIVERSIDAD DE ANTOFAGASTA</v>
          </cell>
        </row>
        <row r="4872">
          <cell r="Z4872" t="str">
            <v>DENTAL</v>
          </cell>
          <cell r="AA4872" t="str">
            <v>UNIVERSIDAD DE ANTOFAGASTA</v>
          </cell>
        </row>
        <row r="4873">
          <cell r="Z4873" t="str">
            <v>DENTAL</v>
          </cell>
          <cell r="AA4873" t="str">
            <v>INTEGRAMEDICA SANTA LUCIA.</v>
          </cell>
        </row>
        <row r="4874">
          <cell r="Z4874" t="str">
            <v>DENTAL</v>
          </cell>
          <cell r="AA4874" t="str">
            <v>INTEGRAMEDICA SANTA LUCIA.</v>
          </cell>
        </row>
        <row r="4875">
          <cell r="Z4875" t="str">
            <v>DENTAL</v>
          </cell>
          <cell r="AA4875" t="str">
            <v>INTEGRAMEDICA SANTA LUCIA.</v>
          </cell>
        </row>
        <row r="4876">
          <cell r="Z4876" t="str">
            <v>DENTAL</v>
          </cell>
          <cell r="AA4876" t="str">
            <v>INTEGRAMEDICA SANTA LUCIA.</v>
          </cell>
        </row>
        <row r="4877">
          <cell r="Z4877" t="str">
            <v>DENTAL</v>
          </cell>
          <cell r="AA4877" t="str">
            <v>INTEGRAMEDICA SANTA LUCIA.</v>
          </cell>
        </row>
        <row r="4878">
          <cell r="Z4878" t="str">
            <v>DENTAL</v>
          </cell>
          <cell r="AA4878" t="str">
            <v>INTEGRAMEDICA SANTA LUCIA.</v>
          </cell>
        </row>
        <row r="4879">
          <cell r="Z4879" t="str">
            <v>DENTAL</v>
          </cell>
          <cell r="AA4879" t="str">
            <v>INTEGRAMEDICA BARCELONA</v>
          </cell>
        </row>
        <row r="4880">
          <cell r="Z4880" t="str">
            <v>DENTAL</v>
          </cell>
          <cell r="AA4880" t="str">
            <v>CECOSF CERRO ESTANQUE DE TOME</v>
          </cell>
        </row>
        <row r="4881">
          <cell r="Z4881" t="str">
            <v>DENTAL</v>
          </cell>
          <cell r="AA4881" t="str">
            <v>COMPLEJO ASISTENCIAL DR.SOTERO DEL RIO</v>
          </cell>
        </row>
        <row r="4882">
          <cell r="Z4882" t="str">
            <v>DENTAL</v>
          </cell>
          <cell r="AA4882" t="str">
            <v>HOSPITAL DE PARRAL</v>
          </cell>
        </row>
        <row r="4883">
          <cell r="Z4883" t="str">
            <v>DENTAL</v>
          </cell>
          <cell r="AA4883" t="str">
            <v>CENTRO PLAZA DE JUSTICIA</v>
          </cell>
        </row>
        <row r="4884">
          <cell r="Z4884" t="str">
            <v>DENTAL</v>
          </cell>
          <cell r="AA4884" t="str">
            <v>DIRECCION DE PREVISION DE CARABINEROS D.CHILE</v>
          </cell>
        </row>
        <row r="4885">
          <cell r="Z4885" t="str">
            <v>DENTAL</v>
          </cell>
        </row>
        <row r="4886">
          <cell r="Z4886" t="str">
            <v>DENTAL</v>
          </cell>
          <cell r="AA4886" t="str">
            <v>CENTRO PLAZA DE JUSTICIA</v>
          </cell>
        </row>
        <row r="4887">
          <cell r="Z4887" t="str">
            <v>DENTAL</v>
          </cell>
        </row>
        <row r="4888">
          <cell r="Z4888" t="str">
            <v>DENTAL</v>
          </cell>
          <cell r="AA4888" t="str">
            <v>HOSPITAL CLAUDIO VICUÑA</v>
          </cell>
        </row>
        <row r="4889">
          <cell r="Z4889" t="str">
            <v>DENTAL</v>
          </cell>
          <cell r="AA4889" t="str">
            <v>HOSPITAL CLAUDIO VICUÑA</v>
          </cell>
        </row>
        <row r="4890">
          <cell r="Z4890" t="str">
            <v>DENTAL</v>
          </cell>
          <cell r="AA4890" t="str">
            <v>CENTRO PLAZA DE JUSTICIA</v>
          </cell>
        </row>
        <row r="4891">
          <cell r="Z4891" t="str">
            <v>DENTAL</v>
          </cell>
        </row>
        <row r="4892">
          <cell r="Z4892" t="str">
            <v>DENTAL</v>
          </cell>
        </row>
        <row r="4893">
          <cell r="Z4893" t="str">
            <v>DENTAL</v>
          </cell>
        </row>
        <row r="4894">
          <cell r="Z4894" t="str">
            <v>DENTAL</v>
          </cell>
          <cell r="AA4894" t="str">
            <v>LA ARAUCANA PUERTO MONTT</v>
          </cell>
        </row>
        <row r="4895">
          <cell r="Z4895" t="str">
            <v>DENTAL</v>
          </cell>
        </row>
        <row r="4896">
          <cell r="Z4896" t="str">
            <v>DENTAL</v>
          </cell>
        </row>
        <row r="4897">
          <cell r="Z4897" t="str">
            <v>DENTAL</v>
          </cell>
          <cell r="AA4897" t="str">
            <v>S. SALUD METROPOLITANO SUR ORIENTE</v>
          </cell>
        </row>
        <row r="4898">
          <cell r="Z4898" t="str">
            <v>DENTAL</v>
          </cell>
          <cell r="AA4898" t="str">
            <v>S. SALUD METROPOLITANO SUR ORIENTE</v>
          </cell>
        </row>
        <row r="4899">
          <cell r="Z4899" t="str">
            <v>DENTAL</v>
          </cell>
          <cell r="AA4899" t="str">
            <v>S. SALUD METROPOLITANO SUR ORIENTE</v>
          </cell>
        </row>
        <row r="4900">
          <cell r="Z4900" t="str">
            <v>DENTAL</v>
          </cell>
        </row>
        <row r="4901">
          <cell r="Z4901" t="str">
            <v>DENTAL</v>
          </cell>
        </row>
        <row r="4902">
          <cell r="Z4902" t="str">
            <v>DENTAL</v>
          </cell>
          <cell r="AA4902" t="str">
            <v>S.S VIÑA DEL MAR-QUILLOTA</v>
          </cell>
        </row>
        <row r="4903">
          <cell r="Z4903" t="str">
            <v>DENTAL</v>
          </cell>
          <cell r="AA4903" t="str">
            <v>HOSPITAL BARROS LUCO TRUDEAU</v>
          </cell>
        </row>
        <row r="4904">
          <cell r="Z4904" t="str">
            <v>DENTAL</v>
          </cell>
        </row>
        <row r="4905">
          <cell r="Z4905" t="str">
            <v>DENTAL</v>
          </cell>
          <cell r="AA4905" t="str">
            <v>HOSPITAL BARROS LUCO TRUDEAU</v>
          </cell>
        </row>
        <row r="4906">
          <cell r="Z4906" t="str">
            <v>DENTAL</v>
          </cell>
          <cell r="AA4906" t="str">
            <v>UNIVERSIDAD SAN SEBASTIAN</v>
          </cell>
        </row>
        <row r="4907">
          <cell r="Z4907" t="str">
            <v>DENTAL</v>
          </cell>
          <cell r="AA4907" t="str">
            <v>HOSPITAL DE FRUTILLAR</v>
          </cell>
        </row>
        <row r="4908">
          <cell r="Z4908" t="str">
            <v>DENTAL</v>
          </cell>
          <cell r="AA4908" t="str">
            <v>UNIVERSIDAD SAN SEBASTIAN</v>
          </cell>
        </row>
        <row r="4909">
          <cell r="Z4909" t="str">
            <v>DENTAL</v>
          </cell>
          <cell r="AA4909" t="str">
            <v>UNIVERSIDAD SAN SEBASTIAN</v>
          </cell>
        </row>
        <row r="4910">
          <cell r="Z4910" t="str">
            <v>DENTAL</v>
          </cell>
          <cell r="AA4910" t="str">
            <v>UNIVERSIDAD SAN SEBASTIAN</v>
          </cell>
        </row>
        <row r="4911">
          <cell r="Z4911" t="str">
            <v>DENTAL</v>
          </cell>
          <cell r="AA4911" t="str">
            <v>COMPLEJO ASISTENCIAL DR.SOTERO DEL RIO</v>
          </cell>
        </row>
        <row r="4912">
          <cell r="Z4912" t="str">
            <v>DENTAL</v>
          </cell>
          <cell r="AA4912" t="str">
            <v>COMPLEJO ASISTENCIAL DR.SOTERO DEL RIO</v>
          </cell>
        </row>
        <row r="4913">
          <cell r="Z4913" t="str">
            <v>DENTAL</v>
          </cell>
          <cell r="AA4913" t="str">
            <v>COMPLEJO ASISTENCIAL DR.SOTERO DEL RIO</v>
          </cell>
        </row>
        <row r="4914">
          <cell r="Z4914" t="str">
            <v>DENTAL</v>
          </cell>
          <cell r="AA4914" t="str">
            <v>COMPLEJO ASISTENCIAL DR.SOTERO DEL RIO</v>
          </cell>
        </row>
        <row r="4915">
          <cell r="Z4915" t="str">
            <v>DENTAL</v>
          </cell>
          <cell r="AA4915" t="str">
            <v>COMPLEJO ASISTENCIAL DR.SOTERO DEL RIO</v>
          </cell>
        </row>
        <row r="4916">
          <cell r="Z4916" t="str">
            <v>DENTAL</v>
          </cell>
          <cell r="AA4916" t="str">
            <v>COMPLEJO ASISTENCIAL DR.SOTERO DEL RIO</v>
          </cell>
        </row>
        <row r="4917">
          <cell r="Z4917" t="str">
            <v>DENTAL</v>
          </cell>
          <cell r="AA4917" t="str">
            <v>COMPLEJO ASISTENCIAL DR.SOTERO DEL RIO</v>
          </cell>
        </row>
        <row r="4918">
          <cell r="Z4918" t="str">
            <v>DENTAL</v>
          </cell>
          <cell r="AA4918" t="str">
            <v>COMPLEJO ASISTENCIAL DR.SOTERO DEL RIO</v>
          </cell>
        </row>
        <row r="4919">
          <cell r="Z4919" t="str">
            <v>DENTAL</v>
          </cell>
          <cell r="AA4919" t="str">
            <v>COMPLEJO ASISTENCIAL DR.SOTERO DEL RIO</v>
          </cell>
        </row>
        <row r="4920">
          <cell r="Z4920" t="str">
            <v>DENTAL</v>
          </cell>
          <cell r="AA4920" t="str">
            <v>UNIVERSIDAD SAN SEBASTIAN</v>
          </cell>
        </row>
        <row r="4921">
          <cell r="Z4921" t="str">
            <v>DENTAL</v>
          </cell>
          <cell r="AA4921" t="str">
            <v>COMPLEJO ASISTENCIAL DR.SOTERO DEL RIO</v>
          </cell>
        </row>
        <row r="4922">
          <cell r="Z4922" t="str">
            <v>DENTAL</v>
          </cell>
          <cell r="AA4922" t="str">
            <v>COMPLEJO ASISTENCIAL DR.SOTERO DEL RIO</v>
          </cell>
        </row>
        <row r="4923">
          <cell r="Z4923" t="str">
            <v>DENTAL</v>
          </cell>
          <cell r="AA4923" t="str">
            <v>COMPLEJO ASISTENCIAL DR.SOTERO DEL RIO</v>
          </cell>
        </row>
        <row r="4924">
          <cell r="Z4924" t="str">
            <v>DENTAL</v>
          </cell>
          <cell r="AA4924" t="str">
            <v>COMPLEJO ASISTENCIAL DR.SOTERO DEL RIO</v>
          </cell>
        </row>
        <row r="4925">
          <cell r="Z4925" t="str">
            <v>DENTAL</v>
          </cell>
        </row>
        <row r="4926">
          <cell r="Z4926" t="str">
            <v>DENTAL</v>
          </cell>
          <cell r="AA4926" t="str">
            <v>UNIVERSIDAD SAN SEBASTIAN</v>
          </cell>
        </row>
        <row r="4927">
          <cell r="Z4927" t="str">
            <v>DENTAL</v>
          </cell>
          <cell r="AA4927" t="str">
            <v>HOSPITAL DE PARRAL</v>
          </cell>
        </row>
        <row r="4928">
          <cell r="Z4928" t="str">
            <v>DENTAL</v>
          </cell>
          <cell r="AA4928" t="str">
            <v>UNIVERSIDAD SAN SEBASTIAN</v>
          </cell>
        </row>
        <row r="4929">
          <cell r="Z4929" t="str">
            <v>DENTAL</v>
          </cell>
          <cell r="AA4929" t="str">
            <v>UNIVERSIDAD DE ANTOFAGASTA</v>
          </cell>
        </row>
        <row r="4930">
          <cell r="Z4930" t="str">
            <v>DENTAL</v>
          </cell>
          <cell r="AA4930" t="str">
            <v>CESFAM NAVIDAD</v>
          </cell>
        </row>
        <row r="4931">
          <cell r="Z4931" t="str">
            <v>DENTAL</v>
          </cell>
        </row>
        <row r="4932">
          <cell r="Z4932" t="str">
            <v>DENTAL</v>
          </cell>
          <cell r="AA4932" t="str">
            <v>CESFAM COLINA</v>
          </cell>
        </row>
        <row r="4933">
          <cell r="Z4933" t="str">
            <v>DENTAL</v>
          </cell>
          <cell r="AA4933" t="str">
            <v>CESFAM COLINA</v>
          </cell>
        </row>
        <row r="4934">
          <cell r="Z4934" t="str">
            <v>DENTAL</v>
          </cell>
          <cell r="AA4934" t="str">
            <v>UNIVERSIDAD SAN SEBASTIAN</v>
          </cell>
        </row>
        <row r="4935">
          <cell r="Z4935" t="str">
            <v>DENTAL</v>
          </cell>
          <cell r="AA4935" t="str">
            <v>CESFAM COLINA</v>
          </cell>
        </row>
        <row r="4936">
          <cell r="Z4936" t="str">
            <v>DENTAL</v>
          </cell>
          <cell r="AA4936" t="str">
            <v>CESFAM COLINA</v>
          </cell>
        </row>
        <row r="4937">
          <cell r="Z4937" t="str">
            <v>DENTAL</v>
          </cell>
          <cell r="AA4937" t="str">
            <v>CESFAM COLINA</v>
          </cell>
        </row>
        <row r="4938">
          <cell r="Z4938" t="str">
            <v>DENTAL</v>
          </cell>
          <cell r="AA4938" t="str">
            <v>CESFAM COLINA</v>
          </cell>
        </row>
        <row r="4939">
          <cell r="Z4939" t="str">
            <v>DENTAL</v>
          </cell>
          <cell r="AA4939" t="str">
            <v>UNIVERSIDAD SAN SEBASTIAN</v>
          </cell>
        </row>
        <row r="4940">
          <cell r="Z4940" t="str">
            <v>DENTAL</v>
          </cell>
          <cell r="AA4940" t="str">
            <v>HOSPITAL DE PARRAL</v>
          </cell>
        </row>
        <row r="4941">
          <cell r="Z4941" t="str">
            <v>DENTAL</v>
          </cell>
          <cell r="AA4941" t="str">
            <v>UNIVERSIDAD DE ANTOFAGASTA</v>
          </cell>
        </row>
        <row r="4942">
          <cell r="Z4942" t="str">
            <v>DENTAL</v>
          </cell>
          <cell r="AA4942" t="str">
            <v>UNIVERSIDAD SAN SEBASTIAN</v>
          </cell>
        </row>
        <row r="4943">
          <cell r="Z4943" t="str">
            <v>DENTAL</v>
          </cell>
          <cell r="AA4943" t="str">
            <v>UNIVERSIDAD SAN SEBASTIAN</v>
          </cell>
        </row>
        <row r="4944">
          <cell r="Z4944" t="str">
            <v>DENTAL</v>
          </cell>
          <cell r="AA4944" t="str">
            <v>UNIVERSIDAD SAN SEBASTIAN</v>
          </cell>
        </row>
        <row r="4945">
          <cell r="Z4945" t="str">
            <v>DENTAL</v>
          </cell>
          <cell r="AA4945" t="str">
            <v>UNIVERSIDAD SAN SEBASTIAN</v>
          </cell>
        </row>
        <row r="4946">
          <cell r="Z4946" t="str">
            <v>DENTAL</v>
          </cell>
          <cell r="AA4946" t="str">
            <v>UNIVERSIDAD SAN SEBASTIAN</v>
          </cell>
        </row>
        <row r="4947">
          <cell r="Z4947" t="str">
            <v>DENTAL</v>
          </cell>
          <cell r="AA4947" t="str">
            <v>UNIVERSIDAD SAN SEBASTIAN</v>
          </cell>
        </row>
        <row r="4948">
          <cell r="Z4948" t="str">
            <v>DENTAL</v>
          </cell>
          <cell r="AA4948" t="str">
            <v>UNIVERSIDAD SAN SEBASTIAN</v>
          </cell>
        </row>
        <row r="4949">
          <cell r="Z4949" t="str">
            <v>DENTAL</v>
          </cell>
          <cell r="AA4949" t="str">
            <v>UNIVERSIDAD SAN SEBASTIAN</v>
          </cell>
        </row>
        <row r="4950">
          <cell r="Z4950" t="str">
            <v>DENTAL</v>
          </cell>
          <cell r="AA4950" t="str">
            <v>UNIVERSIDAD SAN SEBASTIAN</v>
          </cell>
        </row>
        <row r="4951">
          <cell r="Z4951" t="str">
            <v>DENTAL</v>
          </cell>
          <cell r="AA4951" t="str">
            <v>UNIVERSIDAD SAN SEBASTIAN</v>
          </cell>
        </row>
        <row r="4952">
          <cell r="Z4952" t="str">
            <v>DENTAL</v>
          </cell>
          <cell r="AA4952" t="str">
            <v>UNIVERSIDAD SAN SEBASTIAN</v>
          </cell>
        </row>
        <row r="4953">
          <cell r="Z4953" t="str">
            <v>DENTAL</v>
          </cell>
          <cell r="AA4953" t="str">
            <v>UNIVERSIDAD SAN SEBASTIAN</v>
          </cell>
        </row>
        <row r="4954">
          <cell r="Z4954" t="str">
            <v>DENTAL</v>
          </cell>
          <cell r="AA4954" t="str">
            <v>UNIVERSIDAD SAN SEBASTIAN</v>
          </cell>
        </row>
        <row r="4955">
          <cell r="Z4955" t="str">
            <v>DENTAL</v>
          </cell>
          <cell r="AA4955" t="str">
            <v>UNIVERSIDAD SAN SEBASTIAN</v>
          </cell>
        </row>
        <row r="4956">
          <cell r="Z4956" t="str">
            <v>DENTAL</v>
          </cell>
          <cell r="AA4956" t="str">
            <v xml:space="preserve">HOSPITAL SAN CAMILO  </v>
          </cell>
        </row>
        <row r="4957">
          <cell r="Z4957" t="str">
            <v>DENTAL</v>
          </cell>
          <cell r="AA4957" t="str">
            <v xml:space="preserve">HOSPITAL SAN CAMILO  </v>
          </cell>
        </row>
        <row r="4958">
          <cell r="Z4958" t="str">
            <v>DENTAL</v>
          </cell>
          <cell r="AA4958" t="str">
            <v>UNIVERSIDAD SAN SEBASTIAN</v>
          </cell>
        </row>
        <row r="4959">
          <cell r="Z4959" t="str">
            <v>DENTAL</v>
          </cell>
        </row>
        <row r="4960">
          <cell r="Z4960" t="str">
            <v>DENTAL</v>
          </cell>
          <cell r="AA4960" t="str">
            <v xml:space="preserve">HOSPITAL SAN CAMILO  </v>
          </cell>
        </row>
        <row r="4961">
          <cell r="Z4961" t="str">
            <v>DENTAL</v>
          </cell>
          <cell r="AA4961" t="str">
            <v>I.MUNICIPALIDAD DE LA UNION</v>
          </cell>
        </row>
        <row r="4962">
          <cell r="Z4962" t="str">
            <v>DENTAL</v>
          </cell>
          <cell r="AA4962" t="str">
            <v xml:space="preserve">HOSPITAL SAN CAMILO  </v>
          </cell>
        </row>
        <row r="4963">
          <cell r="Z4963" t="str">
            <v>DENTAL</v>
          </cell>
          <cell r="AA4963" t="str">
            <v xml:space="preserve">HOSPITAL SAN CAMILO  </v>
          </cell>
        </row>
        <row r="4964">
          <cell r="Z4964" t="str">
            <v>DENTAL</v>
          </cell>
        </row>
        <row r="4965">
          <cell r="Z4965" t="str">
            <v>DENTAL</v>
          </cell>
          <cell r="AA4965" t="str">
            <v xml:space="preserve">HOSPITAL SAN CAMILO  </v>
          </cell>
        </row>
        <row r="4966">
          <cell r="Z4966" t="str">
            <v>DENTAL</v>
          </cell>
        </row>
        <row r="4967">
          <cell r="Z4967" t="str">
            <v>DENTAL</v>
          </cell>
          <cell r="AA4967" t="str">
            <v>UNIVERSIDAD SAN SEBASTIAN</v>
          </cell>
        </row>
        <row r="4968">
          <cell r="Z4968" t="str">
            <v>DENTAL</v>
          </cell>
          <cell r="AA4968" t="str">
            <v>UNIVERSIDAD SAN SEBASTIAN</v>
          </cell>
        </row>
        <row r="4969">
          <cell r="Z4969" t="str">
            <v>DENTAL</v>
          </cell>
          <cell r="AA4969" t="str">
            <v>UNIVERSIDAD SAN SEBASTIAN</v>
          </cell>
        </row>
        <row r="4970">
          <cell r="Z4970" t="str">
            <v>DENTAL</v>
          </cell>
          <cell r="AA4970" t="str">
            <v>UNIVERSIDAD SAN SEBASTIAN</v>
          </cell>
        </row>
        <row r="4971">
          <cell r="Z4971" t="str">
            <v>DENTAL</v>
          </cell>
          <cell r="AA4971" t="str">
            <v>UNIVERSIDAD SAN SEBASTIAN</v>
          </cell>
        </row>
        <row r="4972">
          <cell r="Z4972" t="str">
            <v>DENTAL</v>
          </cell>
          <cell r="AA4972" t="str">
            <v>UNIVERSIDAD SAN SEBASTIAN</v>
          </cell>
        </row>
        <row r="4973">
          <cell r="Z4973" t="str">
            <v>DENTAL</v>
          </cell>
          <cell r="AA4973" t="str">
            <v>UNIVERSIDAD SAN SEBASTIAN</v>
          </cell>
        </row>
        <row r="4974">
          <cell r="Z4974" t="str">
            <v>DENTAL</v>
          </cell>
          <cell r="AA4974" t="str">
            <v>UNIVERSIDAD SAN SEBASTIAN</v>
          </cell>
        </row>
        <row r="4975">
          <cell r="Z4975" t="str">
            <v>DENTAL</v>
          </cell>
          <cell r="AA4975" t="str">
            <v>UNIVERSIDAD SAN SEBASTIAN</v>
          </cell>
        </row>
        <row r="4976">
          <cell r="Z4976" t="str">
            <v>DENTAL</v>
          </cell>
        </row>
        <row r="4977">
          <cell r="Z4977" t="str">
            <v>DENTAL</v>
          </cell>
          <cell r="AA4977" t="str">
            <v>INTEGRAMEDICA RANCAGUA</v>
          </cell>
        </row>
        <row r="4978">
          <cell r="Z4978" t="str">
            <v>DENTAL</v>
          </cell>
          <cell r="AA4978" t="str">
            <v>INTEGRAMEDICA RANCAGUA</v>
          </cell>
        </row>
        <row r="4979">
          <cell r="Z4979" t="str">
            <v>DENTAL</v>
          </cell>
          <cell r="AA4979" t="str">
            <v>CESFAM LA CANELA</v>
          </cell>
        </row>
        <row r="4980">
          <cell r="Z4980" t="str">
            <v>DENTAL</v>
          </cell>
          <cell r="AA4980" t="str">
            <v>UNIVERSIDAD DE ANTOFAGASTA</v>
          </cell>
        </row>
        <row r="4981">
          <cell r="Z4981" t="str">
            <v>DENTAL</v>
          </cell>
        </row>
        <row r="4982">
          <cell r="Z4982" t="str">
            <v>DENTAL</v>
          </cell>
          <cell r="AA4982" t="str">
            <v>INTEGRAMEDICA RANCAGUA</v>
          </cell>
        </row>
        <row r="4983">
          <cell r="Z4983" t="str">
            <v>DENTAL</v>
          </cell>
          <cell r="AA4983" t="str">
            <v>UNIVERSIDAD SAN SEBASTIAN</v>
          </cell>
        </row>
        <row r="4984">
          <cell r="Z4984" t="str">
            <v>DENTAL</v>
          </cell>
          <cell r="AA4984" t="str">
            <v>UNIVERSIDAD SAN SEBASTIAN</v>
          </cell>
        </row>
        <row r="4985">
          <cell r="Z4985" t="str">
            <v>DENTAL</v>
          </cell>
        </row>
        <row r="4986">
          <cell r="Z4986" t="str">
            <v>DENTAL</v>
          </cell>
          <cell r="AA4986" t="str">
            <v>INTEGRAMEDICA ALAMEDA</v>
          </cell>
        </row>
        <row r="4987">
          <cell r="Z4987" t="str">
            <v>DENTAL</v>
          </cell>
          <cell r="AA4987" t="str">
            <v>INTEGRAMEDICA ALAMEDA</v>
          </cell>
        </row>
        <row r="4988">
          <cell r="Z4988" t="str">
            <v>DENTAL</v>
          </cell>
          <cell r="AA4988" t="str">
            <v>INTEGRAMEDICA ALAMEDA</v>
          </cell>
        </row>
        <row r="4989">
          <cell r="Z4989" t="str">
            <v>DENTAL</v>
          </cell>
          <cell r="AA4989" t="str">
            <v>INTEGRAMEDICA ALAMEDA</v>
          </cell>
        </row>
        <row r="4990">
          <cell r="Z4990" t="str">
            <v>DENTAL</v>
          </cell>
          <cell r="AA4990" t="str">
            <v>INTEGRAMEDICA ALAMEDA</v>
          </cell>
        </row>
        <row r="4991">
          <cell r="Z4991" t="str">
            <v>DENTAL</v>
          </cell>
          <cell r="AA4991" t="str">
            <v>INTEGRAMEDICA ALAMEDA</v>
          </cell>
        </row>
        <row r="4992">
          <cell r="Z4992" t="str">
            <v>DENTAL</v>
          </cell>
          <cell r="AA4992" t="str">
            <v>INTEGRAMEDICA S.A (Las Condes)</v>
          </cell>
        </row>
        <row r="4993">
          <cell r="Z4993" t="str">
            <v>DENTAL</v>
          </cell>
          <cell r="AA4993" t="str">
            <v>INTEGRAMEDICA S.A (Las Condes)</v>
          </cell>
        </row>
        <row r="4994">
          <cell r="Z4994" t="str">
            <v>DENTAL</v>
          </cell>
          <cell r="AA4994" t="str">
            <v>INTEGRAMEDICA S.A (Las Condes)</v>
          </cell>
        </row>
        <row r="4995">
          <cell r="Z4995" t="str">
            <v>DENTAL</v>
          </cell>
          <cell r="AA4995" t="str">
            <v>INTEGRAMEDICA S.A (Las Condes)</v>
          </cell>
        </row>
        <row r="4996">
          <cell r="Z4996" t="str">
            <v>DENTAL</v>
          </cell>
          <cell r="AA4996" t="str">
            <v>INTEGRAMEDICA S.A (Las Condes)</v>
          </cell>
        </row>
        <row r="4997">
          <cell r="Z4997" t="str">
            <v>DENTAL</v>
          </cell>
          <cell r="AA4997" t="str">
            <v>INTEGRAMEDICA S.A (Las Condes)</v>
          </cell>
        </row>
        <row r="4998">
          <cell r="Z4998" t="str">
            <v>DENTAL</v>
          </cell>
          <cell r="AA4998" t="str">
            <v>INTEGRAMEDICA S.A (Las Condes)</v>
          </cell>
        </row>
        <row r="4999">
          <cell r="Z4999" t="str">
            <v>DENTAL</v>
          </cell>
          <cell r="AA4999" t="str">
            <v>INTEGRAMEDICA S.A (Las Condes)</v>
          </cell>
        </row>
        <row r="5000">
          <cell r="Z5000" t="str">
            <v>DENTAL</v>
          </cell>
          <cell r="AA5000" t="str">
            <v>INTEGRAMEDICA MAIPU</v>
          </cell>
        </row>
        <row r="5001">
          <cell r="Z5001" t="str">
            <v>DENTAL</v>
          </cell>
          <cell r="AA5001" t="str">
            <v>INTEGRAMEDICA PLAZA OESTE</v>
          </cell>
        </row>
        <row r="5002">
          <cell r="Z5002" t="str">
            <v>DENTAL</v>
          </cell>
          <cell r="AA5002" t="str">
            <v>INTEGRAMEDICA PLAZA OESTE</v>
          </cell>
        </row>
        <row r="5003">
          <cell r="Z5003" t="str">
            <v>DENTAL</v>
          </cell>
          <cell r="AA5003" t="str">
            <v>INTEGRAMEDICA PLAZA OESTE</v>
          </cell>
        </row>
        <row r="5004">
          <cell r="Z5004" t="str">
            <v>DENTAL</v>
          </cell>
          <cell r="AA5004" t="str">
            <v>INTEGRAMEDICA PLAZA OESTE</v>
          </cell>
        </row>
        <row r="5005">
          <cell r="Z5005" t="str">
            <v>DENTAL</v>
          </cell>
          <cell r="AA5005" t="str">
            <v>INTEGRAMEDICA PLAZA OESTE</v>
          </cell>
        </row>
        <row r="5006">
          <cell r="Z5006" t="str">
            <v>DENTAL</v>
          </cell>
          <cell r="AA5006" t="str">
            <v>INTEGRAMEDICA PLAZA OESTE</v>
          </cell>
        </row>
        <row r="5007">
          <cell r="Z5007" t="str">
            <v>DENTAL</v>
          </cell>
          <cell r="AA5007" t="str">
            <v>INTEGRAMEDICA PLAZA OESTE</v>
          </cell>
        </row>
        <row r="5008">
          <cell r="Z5008" t="str">
            <v>DENTAL</v>
          </cell>
          <cell r="AA5008" t="str">
            <v>INTEGRAMEDICA PLAZA OESTE</v>
          </cell>
        </row>
        <row r="5009">
          <cell r="Z5009" t="str">
            <v>DENTAL</v>
          </cell>
          <cell r="AA5009" t="str">
            <v>INTEGRAMEDICA PLAZA OESTE</v>
          </cell>
        </row>
        <row r="5010">
          <cell r="Z5010" t="str">
            <v>DENTAL</v>
          </cell>
          <cell r="AA5010" t="str">
            <v>INTEGRAMEDICA PLAZA OESTE</v>
          </cell>
        </row>
        <row r="5011">
          <cell r="Z5011" t="str">
            <v>DENTAL</v>
          </cell>
          <cell r="AA5011" t="str">
            <v>INTEGRAMEDICA MANQUEHUE</v>
          </cell>
        </row>
        <row r="5012">
          <cell r="Z5012" t="str">
            <v>DENTAL</v>
          </cell>
          <cell r="AA5012" t="str">
            <v>INTEGRAMEDICA MANQUEHUE</v>
          </cell>
        </row>
        <row r="5013">
          <cell r="Z5013" t="str">
            <v>DENTAL</v>
          </cell>
          <cell r="AA5013" t="str">
            <v>INTEGRAMEDICA MANQUEHUE</v>
          </cell>
        </row>
        <row r="5014">
          <cell r="Z5014" t="str">
            <v>DENTAL</v>
          </cell>
          <cell r="AA5014" t="str">
            <v>INTEGRAMEDICA MANQUEHUE</v>
          </cell>
        </row>
        <row r="5015">
          <cell r="Z5015" t="str">
            <v>DENTAL</v>
          </cell>
          <cell r="AA5015" t="str">
            <v>INTEGRAMEDICA MANQUEHUE</v>
          </cell>
        </row>
        <row r="5016">
          <cell r="Z5016" t="str">
            <v>DENTAL</v>
          </cell>
          <cell r="AA5016" t="str">
            <v>INTEGRAMEDICA MANQUEHUE</v>
          </cell>
        </row>
        <row r="5017">
          <cell r="Z5017" t="str">
            <v>DENTAL</v>
          </cell>
          <cell r="AA5017" t="str">
            <v>INTEGRAMEDICA MANQUEHUE</v>
          </cell>
        </row>
        <row r="5018">
          <cell r="Z5018" t="str">
            <v>DENTAL</v>
          </cell>
          <cell r="AA5018" t="str">
            <v>INTEGRAMEDICA MANQUEHUE</v>
          </cell>
        </row>
        <row r="5019">
          <cell r="Z5019" t="str">
            <v>DENTAL</v>
          </cell>
          <cell r="AA5019" t="str">
            <v>INTEGRAMEDICA MANQUEHUE</v>
          </cell>
        </row>
        <row r="5020">
          <cell r="Z5020" t="str">
            <v>DENTAL</v>
          </cell>
          <cell r="AA5020" t="str">
            <v>INTEGRAMEDICA MANQUEHUE</v>
          </cell>
        </row>
        <row r="5021">
          <cell r="Z5021" t="str">
            <v>DENTAL</v>
          </cell>
          <cell r="AA5021" t="str">
            <v>INTEGRAMEDICA MANQUEHUE</v>
          </cell>
        </row>
        <row r="5022">
          <cell r="Z5022" t="str">
            <v>DENTAL</v>
          </cell>
          <cell r="AA5022" t="str">
            <v>INTEGRAMEDICA MAIPU</v>
          </cell>
        </row>
        <row r="5023">
          <cell r="Z5023" t="str">
            <v>DENTAL</v>
          </cell>
          <cell r="AA5023" t="str">
            <v>INTEGRAMEDICA MAIPU</v>
          </cell>
        </row>
        <row r="5024">
          <cell r="Z5024" t="str">
            <v>DENTAL</v>
          </cell>
          <cell r="AA5024" t="str">
            <v>INTEGRAMEDICA MAIPU</v>
          </cell>
        </row>
        <row r="5025">
          <cell r="Z5025" t="str">
            <v>DENTAL</v>
          </cell>
          <cell r="AA5025" t="str">
            <v>INTEGRAMEDICA MAIPU</v>
          </cell>
        </row>
        <row r="5026">
          <cell r="Z5026" t="str">
            <v>DENTAL</v>
          </cell>
          <cell r="AA5026" t="str">
            <v>INTEGRAMEDICA MAIPU</v>
          </cell>
        </row>
        <row r="5027">
          <cell r="Z5027" t="str">
            <v>DENTAL</v>
          </cell>
          <cell r="AA5027" t="str">
            <v>INTEGRAMEDICA MAIPU</v>
          </cell>
        </row>
        <row r="5028">
          <cell r="Z5028" t="str">
            <v>DENTAL</v>
          </cell>
          <cell r="AA5028" t="str">
            <v>INTEGRAMEDICA MAIPU</v>
          </cell>
        </row>
        <row r="5029">
          <cell r="Z5029" t="str">
            <v>DENTAL</v>
          </cell>
          <cell r="AA5029" t="str">
            <v>INTEGRAMEDICA MAIPU</v>
          </cell>
        </row>
        <row r="5030">
          <cell r="Z5030" t="str">
            <v>DENTAL</v>
          </cell>
          <cell r="AA5030" t="str">
            <v>INTEGRAMEDICA MAIPU</v>
          </cell>
        </row>
        <row r="5031">
          <cell r="Z5031" t="str">
            <v>DENTAL</v>
          </cell>
          <cell r="AA5031" t="str">
            <v>INTEGRAMEDICA PUENTE ALTO</v>
          </cell>
        </row>
        <row r="5032">
          <cell r="Z5032" t="str">
            <v>DENTAL</v>
          </cell>
          <cell r="AA5032" t="str">
            <v>INTEGRAMEDICA PUENTE ALTO</v>
          </cell>
        </row>
        <row r="5033">
          <cell r="Z5033" t="str">
            <v>DENTAL</v>
          </cell>
          <cell r="AA5033" t="str">
            <v>INTEGRAMEDICA PUENTE ALTO</v>
          </cell>
        </row>
        <row r="5034">
          <cell r="Z5034" t="str">
            <v>DENTAL</v>
          </cell>
          <cell r="AA5034" t="str">
            <v>INTEGRAMEDICA PUENTE ALTO</v>
          </cell>
        </row>
        <row r="5035">
          <cell r="Z5035" t="str">
            <v>DENTAL</v>
          </cell>
          <cell r="AA5035" t="str">
            <v>INTEGRAMEDICA PUENTE ALTO</v>
          </cell>
        </row>
        <row r="5036">
          <cell r="Z5036" t="str">
            <v>DENTAL</v>
          </cell>
          <cell r="AA5036" t="str">
            <v>INTEGRAMEDICA SANTA LUCIA.</v>
          </cell>
        </row>
        <row r="5037">
          <cell r="Z5037" t="str">
            <v>DENTAL</v>
          </cell>
          <cell r="AA5037" t="str">
            <v>INTEGRAMEDICA TOBALABA</v>
          </cell>
        </row>
        <row r="5038">
          <cell r="Z5038" t="str">
            <v>DENTAL</v>
          </cell>
          <cell r="AA5038" t="str">
            <v>INTEGRAMEDICA TOBALABA</v>
          </cell>
        </row>
        <row r="5039">
          <cell r="Z5039" t="str">
            <v>DENTAL</v>
          </cell>
          <cell r="AA5039" t="str">
            <v>INTEGRAMEDICA TOBALABA</v>
          </cell>
        </row>
        <row r="5040">
          <cell r="Z5040" t="str">
            <v>DENTAL</v>
          </cell>
          <cell r="AA5040" t="str">
            <v>INTEGRAMEDICA TOBALABA</v>
          </cell>
        </row>
        <row r="5041">
          <cell r="Z5041" t="str">
            <v>DENTAL</v>
          </cell>
          <cell r="AA5041" t="str">
            <v>INTEGRAMEDICA EL TREBOL</v>
          </cell>
        </row>
        <row r="5042">
          <cell r="Z5042" t="str">
            <v>DENTAL</v>
          </cell>
          <cell r="AA5042" t="str">
            <v>INTEGRAMEDICA EL TREBOL</v>
          </cell>
        </row>
        <row r="5043">
          <cell r="Z5043" t="str">
            <v>DENTAL</v>
          </cell>
          <cell r="AA5043" t="str">
            <v>INTEGRAMEDICA EL TREBOL</v>
          </cell>
        </row>
        <row r="5044">
          <cell r="Z5044" t="str">
            <v>DENTAL</v>
          </cell>
          <cell r="AA5044" t="str">
            <v>INTEGRAMEDICA EL TREBOL</v>
          </cell>
        </row>
        <row r="5045">
          <cell r="Z5045" t="str">
            <v>DENTAL</v>
          </cell>
          <cell r="AA5045" t="str">
            <v>INTEGRAMEDICA EL TREBOL</v>
          </cell>
        </row>
        <row r="5046">
          <cell r="Z5046" t="str">
            <v>DENTAL</v>
          </cell>
          <cell r="AA5046" t="str">
            <v>INTEGRAMEDICA EL TREBOL</v>
          </cell>
        </row>
        <row r="5047">
          <cell r="Z5047" t="str">
            <v>DENTAL</v>
          </cell>
          <cell r="AA5047" t="str">
            <v>INTEGRAMEDICA EL TREBOL</v>
          </cell>
        </row>
        <row r="5048">
          <cell r="Z5048" t="str">
            <v>DENTAL</v>
          </cell>
          <cell r="AA5048" t="str">
            <v>INTEGRAMEDICA EL TREBOL</v>
          </cell>
        </row>
        <row r="5049">
          <cell r="Z5049" t="str">
            <v>DENTAL</v>
          </cell>
          <cell r="AA5049" t="str">
            <v>INTEGRAMEDICA EL TREBOL</v>
          </cell>
        </row>
        <row r="5050">
          <cell r="Z5050" t="str">
            <v>DENTAL</v>
          </cell>
          <cell r="AA5050" t="str">
            <v>INTEGRAMEDICA EL TREBOL</v>
          </cell>
        </row>
        <row r="5051">
          <cell r="Z5051" t="str">
            <v>DENTAL</v>
          </cell>
          <cell r="AA5051" t="str">
            <v>INTEGRAMEDICA EL TREBOL</v>
          </cell>
        </row>
        <row r="5052">
          <cell r="Z5052" t="str">
            <v>DENTAL</v>
          </cell>
          <cell r="AA5052" t="str">
            <v>POLICIA DE INVESTIGACIONES ANTOFAGASTA</v>
          </cell>
        </row>
        <row r="5053">
          <cell r="Z5053" t="str">
            <v>DENTAL</v>
          </cell>
        </row>
        <row r="5054">
          <cell r="Z5054" t="str">
            <v>DENTAL</v>
          </cell>
        </row>
        <row r="5055">
          <cell r="Z5055" t="str">
            <v>DENTAL</v>
          </cell>
          <cell r="AA5055" t="str">
            <v>NORDEN VITACURA</v>
          </cell>
        </row>
        <row r="5056">
          <cell r="Z5056" t="str">
            <v>DENTAL</v>
          </cell>
          <cell r="AA5056" t="str">
            <v>HOSPITAL PENCO -LIRQUEN</v>
          </cell>
        </row>
        <row r="5057">
          <cell r="Z5057" t="str">
            <v>DENTAL</v>
          </cell>
          <cell r="AA5057" t="str">
            <v>HOSPITAL PENCO -LIRQUEN</v>
          </cell>
        </row>
        <row r="5058">
          <cell r="Z5058" t="str">
            <v>DENTAL</v>
          </cell>
        </row>
        <row r="5059">
          <cell r="Z5059" t="str">
            <v>DENTAL</v>
          </cell>
        </row>
        <row r="5060">
          <cell r="Z5060" t="str">
            <v>DENTAL</v>
          </cell>
        </row>
        <row r="5061">
          <cell r="Z5061" t="str">
            <v>DENTAL</v>
          </cell>
        </row>
        <row r="5062">
          <cell r="Z5062" t="str">
            <v>DENTAL</v>
          </cell>
          <cell r="AA5062" t="str">
            <v>UNIVERSIDAD SAN SEBASTIAN</v>
          </cell>
        </row>
        <row r="5063">
          <cell r="Z5063" t="str">
            <v>DENTAL</v>
          </cell>
          <cell r="AA5063" t="str">
            <v>CESFAM COLBUN</v>
          </cell>
        </row>
        <row r="5064">
          <cell r="Z5064" t="str">
            <v>DENTAL</v>
          </cell>
        </row>
        <row r="5065">
          <cell r="Z5065" t="str">
            <v>DENTAL</v>
          </cell>
          <cell r="AA5065" t="str">
            <v>CENTRO ODONTOLOGICO SUECIA</v>
          </cell>
        </row>
        <row r="5066">
          <cell r="Z5066" t="str">
            <v>DENTAL</v>
          </cell>
          <cell r="AA5066" t="str">
            <v>CESFAM COLBUN</v>
          </cell>
        </row>
        <row r="5067">
          <cell r="Z5067" t="str">
            <v>DENTAL</v>
          </cell>
        </row>
        <row r="5068">
          <cell r="Z5068" t="str">
            <v>DENTAL</v>
          </cell>
          <cell r="AA5068" t="str">
            <v>CESFAM LA CANELA</v>
          </cell>
        </row>
        <row r="5069">
          <cell r="Z5069" t="str">
            <v>DENTAL</v>
          </cell>
        </row>
        <row r="5070">
          <cell r="Z5070" t="str">
            <v>DENTAL</v>
          </cell>
          <cell r="AA5070" t="str">
            <v xml:space="preserve">DOMINION SPA </v>
          </cell>
        </row>
        <row r="5071">
          <cell r="Z5071" t="str">
            <v>DENTAL</v>
          </cell>
          <cell r="AA5071" t="str">
            <v xml:space="preserve">DOMINION SPA </v>
          </cell>
        </row>
        <row r="5072">
          <cell r="Z5072" t="str">
            <v>DENTAL</v>
          </cell>
          <cell r="AA5072" t="str">
            <v xml:space="preserve">DOMINION SPA </v>
          </cell>
        </row>
        <row r="5073">
          <cell r="Z5073" t="str">
            <v>DENTAL</v>
          </cell>
          <cell r="AA5073" t="str">
            <v xml:space="preserve">DOMINION SPA </v>
          </cell>
        </row>
        <row r="5074">
          <cell r="Z5074" t="str">
            <v>DENTAL</v>
          </cell>
          <cell r="AA5074" t="str">
            <v xml:space="preserve">DOMINION SPA </v>
          </cell>
        </row>
        <row r="5075">
          <cell r="Z5075" t="str">
            <v>DENTAL</v>
          </cell>
          <cell r="AA5075" t="str">
            <v xml:space="preserve">DOMINION SPA </v>
          </cell>
        </row>
        <row r="5076">
          <cell r="Z5076" t="str">
            <v>DENTAL</v>
          </cell>
          <cell r="AA5076" t="str">
            <v xml:space="preserve">DOMINION SPA </v>
          </cell>
        </row>
        <row r="5077">
          <cell r="Z5077" t="str">
            <v>DENTAL</v>
          </cell>
          <cell r="AA5077" t="str">
            <v xml:space="preserve">DOMINION SPA </v>
          </cell>
        </row>
        <row r="5078">
          <cell r="Z5078" t="str">
            <v>DENTAL</v>
          </cell>
          <cell r="AA5078" t="str">
            <v xml:space="preserve">DOMINION SPA </v>
          </cell>
        </row>
        <row r="5079">
          <cell r="Z5079" t="str">
            <v>DENTAL</v>
          </cell>
          <cell r="AA5079" t="str">
            <v xml:space="preserve">DOMINION SPA </v>
          </cell>
        </row>
        <row r="5080">
          <cell r="Z5080" t="str">
            <v>DENTAL</v>
          </cell>
          <cell r="AA5080" t="str">
            <v xml:space="preserve">DOMINION SPA </v>
          </cell>
        </row>
        <row r="5081">
          <cell r="Z5081" t="str">
            <v>DENTAL</v>
          </cell>
          <cell r="AA5081" t="str">
            <v xml:space="preserve">DOMINION SPA </v>
          </cell>
        </row>
        <row r="5082">
          <cell r="Z5082" t="str">
            <v>DENTAL</v>
          </cell>
          <cell r="AA5082" t="str">
            <v xml:space="preserve">DOMINION SPA </v>
          </cell>
        </row>
        <row r="5083">
          <cell r="Z5083" t="str">
            <v>DENTAL</v>
          </cell>
          <cell r="AA5083" t="str">
            <v xml:space="preserve">DOMINION SPA </v>
          </cell>
        </row>
        <row r="5084">
          <cell r="Z5084" t="str">
            <v>DENTAL</v>
          </cell>
          <cell r="AA5084" t="str">
            <v xml:space="preserve">DOMINION SPA </v>
          </cell>
        </row>
        <row r="5085">
          <cell r="Z5085" t="str">
            <v>DENTAL</v>
          </cell>
          <cell r="AA5085" t="str">
            <v xml:space="preserve">DOMINION SPA </v>
          </cell>
        </row>
        <row r="5086">
          <cell r="Z5086" t="str">
            <v>DENTAL</v>
          </cell>
          <cell r="AA5086" t="str">
            <v xml:space="preserve">DOMINION SPA </v>
          </cell>
        </row>
        <row r="5087">
          <cell r="Z5087" t="str">
            <v>DENTAL</v>
          </cell>
          <cell r="AA5087" t="str">
            <v xml:space="preserve">DOMINION SPA </v>
          </cell>
        </row>
        <row r="5088">
          <cell r="Z5088" t="str">
            <v>DENTAL</v>
          </cell>
        </row>
        <row r="5089">
          <cell r="Z5089" t="str">
            <v>DENTAL</v>
          </cell>
        </row>
        <row r="5090">
          <cell r="Z5090" t="str">
            <v>DENTAL</v>
          </cell>
          <cell r="AA5090" t="str">
            <v>INTEGRAMEDICA S.A (Las Condes)</v>
          </cell>
        </row>
        <row r="5091">
          <cell r="Z5091" t="str">
            <v>DENTAL</v>
          </cell>
        </row>
        <row r="5092">
          <cell r="Z5092" t="str">
            <v>DENTAL</v>
          </cell>
        </row>
        <row r="5093">
          <cell r="Z5093" t="str">
            <v>DENTAL</v>
          </cell>
        </row>
        <row r="5094">
          <cell r="Z5094" t="str">
            <v>DENTAL</v>
          </cell>
          <cell r="AA5094" t="str">
            <v>SERVICIO DE SALUD DEL MAULE</v>
          </cell>
        </row>
        <row r="5095">
          <cell r="Z5095" t="str">
            <v>DENTAL</v>
          </cell>
          <cell r="AA5095" t="str">
            <v>CENTRO ODONTOLOGICO SUECIA</v>
          </cell>
        </row>
        <row r="5096">
          <cell r="Z5096" t="str">
            <v>DENTAL</v>
          </cell>
          <cell r="AA5096" t="str">
            <v>CENTRO ODONTOLOGICO SUECIA</v>
          </cell>
        </row>
        <row r="5097">
          <cell r="Z5097" t="str">
            <v>DENTAL</v>
          </cell>
          <cell r="AA5097" t="str">
            <v>CENTRO ODONTOLOGICO SUECIA</v>
          </cell>
        </row>
        <row r="5098">
          <cell r="Z5098" t="str">
            <v>DENTAL</v>
          </cell>
          <cell r="AA5098" t="str">
            <v>I.MUNICIPALIDAD DE INDEPENDENCIA</v>
          </cell>
        </row>
        <row r="5099">
          <cell r="Z5099" t="str">
            <v>DENTAL</v>
          </cell>
          <cell r="AA5099" t="str">
            <v>INTEGRAMEDICA S.A (Las Condes)</v>
          </cell>
        </row>
        <row r="5100">
          <cell r="Z5100" t="str">
            <v>DENTAL</v>
          </cell>
        </row>
        <row r="5101">
          <cell r="Z5101" t="str">
            <v>DENTAL</v>
          </cell>
          <cell r="AA5101" t="str">
            <v>CESFAM URBANO DE ILLAPEL</v>
          </cell>
        </row>
        <row r="5102">
          <cell r="Z5102" t="str">
            <v>DENTAL</v>
          </cell>
        </row>
        <row r="5103">
          <cell r="Z5103" t="str">
            <v>DENTAL</v>
          </cell>
        </row>
        <row r="5104">
          <cell r="Z5104" t="str">
            <v>DENTAL</v>
          </cell>
        </row>
        <row r="5105">
          <cell r="Z5105" t="str">
            <v>DENTAL</v>
          </cell>
          <cell r="AA5105" t="str">
            <v>SERVICIO DE SALUD METROPOLITANO SUR</v>
          </cell>
        </row>
        <row r="5106">
          <cell r="Z5106" t="str">
            <v>DENTAL</v>
          </cell>
          <cell r="AA5106" t="str">
            <v>GENDARMERIA DE CHILE</v>
          </cell>
        </row>
        <row r="5107">
          <cell r="Z5107" t="str">
            <v>DENTAL</v>
          </cell>
          <cell r="AA5107" t="str">
            <v>CENTRO ODONTOLOGICO SUECIA</v>
          </cell>
        </row>
        <row r="5108">
          <cell r="Z5108" t="str">
            <v>DENTAL</v>
          </cell>
          <cell r="AA5108" t="str">
            <v>CENTRO ODONTOLOGICO SUECIA</v>
          </cell>
        </row>
        <row r="5109">
          <cell r="Z5109" t="str">
            <v>DENTAL</v>
          </cell>
          <cell r="AA5109" t="str">
            <v>CENTRO ODONTOLOGICO SUECIA</v>
          </cell>
        </row>
        <row r="5110">
          <cell r="Z5110" t="str">
            <v>DENTAL</v>
          </cell>
        </row>
        <row r="5111">
          <cell r="Z5111" t="str">
            <v>DENTAL</v>
          </cell>
          <cell r="AA5111" t="str">
            <v>SERVICIO DE SALUD DEL MAULE</v>
          </cell>
        </row>
        <row r="5112">
          <cell r="Z5112" t="str">
            <v>DENTAL</v>
          </cell>
        </row>
        <row r="5113">
          <cell r="Z5113" t="str">
            <v>DENTAL</v>
          </cell>
        </row>
        <row r="5114">
          <cell r="Z5114" t="str">
            <v>DENTAL</v>
          </cell>
        </row>
        <row r="5115">
          <cell r="Z5115" t="str">
            <v>DENTAL</v>
          </cell>
          <cell r="AA5115" t="str">
            <v>I.MUNICIPALIDAD DE INDEPENDENCIA</v>
          </cell>
        </row>
        <row r="5116">
          <cell r="Z5116" t="str">
            <v>DENTAL</v>
          </cell>
          <cell r="AA5116" t="str">
            <v>SERVICIO DE SALUD DEL MAULE</v>
          </cell>
        </row>
        <row r="5117">
          <cell r="Z5117" t="str">
            <v>DENTAL</v>
          </cell>
        </row>
        <row r="5118">
          <cell r="Z5118" t="str">
            <v>DENTAL</v>
          </cell>
        </row>
        <row r="5119">
          <cell r="Z5119" t="str">
            <v>DENTAL</v>
          </cell>
          <cell r="AA5119" t="str">
            <v>CENTRO DE ESPECIALIDADES  ODONTOLOGICAS</v>
          </cell>
        </row>
        <row r="5120">
          <cell r="Z5120" t="str">
            <v>DENTAL</v>
          </cell>
          <cell r="AA5120" t="str">
            <v>SERVICIO DE SALUD DEL MAULE</v>
          </cell>
        </row>
        <row r="5121">
          <cell r="Z5121" t="str">
            <v>DENTAL</v>
          </cell>
        </row>
        <row r="5122">
          <cell r="Z5122" t="str">
            <v>DENTAL</v>
          </cell>
        </row>
        <row r="5123">
          <cell r="Z5123" t="str">
            <v>DENTAL</v>
          </cell>
          <cell r="AA5123" t="str">
            <v>I. MUNICIPALIDAD DE PAINE</v>
          </cell>
        </row>
        <row r="5124">
          <cell r="Z5124" t="str">
            <v>DENTAL</v>
          </cell>
        </row>
        <row r="5125">
          <cell r="Z5125" t="str">
            <v>DENTAL</v>
          </cell>
          <cell r="AA5125" t="str">
            <v>ODONTOESTETICA</v>
          </cell>
        </row>
        <row r="5126">
          <cell r="Z5126" t="str">
            <v>DENTAL</v>
          </cell>
          <cell r="AA5126" t="str">
            <v>INTEGRAMEDICA BARCELONA</v>
          </cell>
        </row>
        <row r="5127">
          <cell r="Z5127" t="str">
            <v>DENTAL</v>
          </cell>
          <cell r="AA5127" t="str">
            <v>INTEGRAMEDICA BARCELONA</v>
          </cell>
        </row>
        <row r="5128">
          <cell r="Z5128" t="str">
            <v>DENTAL</v>
          </cell>
        </row>
        <row r="5129">
          <cell r="Z5129" t="str">
            <v>DENTAL</v>
          </cell>
          <cell r="AA5129" t="str">
            <v>SERVICIO DE SALUD DEL MAULE</v>
          </cell>
        </row>
        <row r="5130">
          <cell r="Z5130" t="str">
            <v>DENTAL</v>
          </cell>
        </row>
        <row r="5131">
          <cell r="Z5131" t="str">
            <v>DENTAL</v>
          </cell>
          <cell r="AA5131" t="str">
            <v>INTEGRAMEDICA SAN MIGUEL</v>
          </cell>
        </row>
        <row r="5132">
          <cell r="Z5132" t="str">
            <v>DENTAL</v>
          </cell>
          <cell r="AA5132" t="str">
            <v>CRS PEÑALOLEN CORDILLERA ORIENTE </v>
          </cell>
        </row>
        <row r="5133">
          <cell r="Z5133" t="str">
            <v>DENTAL</v>
          </cell>
        </row>
        <row r="5134">
          <cell r="Z5134" t="str">
            <v>DENTAL</v>
          </cell>
        </row>
        <row r="5135">
          <cell r="Z5135" t="str">
            <v>DENTAL</v>
          </cell>
        </row>
        <row r="5136">
          <cell r="Z5136" t="str">
            <v>DENTAL</v>
          </cell>
          <cell r="AA5136" t="str">
            <v>VICTOR ROLANDO COUCHOT BUSTOS</v>
          </cell>
        </row>
        <row r="5137">
          <cell r="Z5137" t="str">
            <v>DENTAL</v>
          </cell>
          <cell r="AA5137" t="str">
            <v>CRS PEÑALOLEN CORDILLERA ORIENTE </v>
          </cell>
        </row>
        <row r="5138">
          <cell r="Z5138" t="str">
            <v>DENTAL</v>
          </cell>
          <cell r="AA5138" t="str">
            <v>CRS PEÑALOLEN CORDILLERA ORIENTE </v>
          </cell>
        </row>
        <row r="5139">
          <cell r="Z5139" t="str">
            <v>DENTAL</v>
          </cell>
          <cell r="AA5139" t="str">
            <v>HOSPITAL DE QUILPUE</v>
          </cell>
        </row>
        <row r="5140">
          <cell r="Z5140" t="str">
            <v>DENTAL</v>
          </cell>
          <cell r="AA5140" t="str">
            <v>HOSPITAL DE QUILPUE</v>
          </cell>
        </row>
        <row r="5141">
          <cell r="Z5141" t="str">
            <v>DENTAL</v>
          </cell>
          <cell r="AA5141" t="str">
            <v>I. MUNICIPALIDAD DE PAINE</v>
          </cell>
        </row>
        <row r="5142">
          <cell r="Z5142" t="str">
            <v>DENTAL</v>
          </cell>
          <cell r="AA5142" t="str">
            <v>CRS PEÑALOLEN CORDILLERA ORIENTE </v>
          </cell>
        </row>
        <row r="5143">
          <cell r="Z5143" t="str">
            <v>DENTAL</v>
          </cell>
          <cell r="AA5143" t="str">
            <v>CRS PEÑALOLEN CORDILLERA ORIENTE </v>
          </cell>
        </row>
        <row r="5144">
          <cell r="Z5144" t="str">
            <v>DENTAL</v>
          </cell>
          <cell r="AA5144" t="str">
            <v>CRS PEÑALOLEN CORDILLERA ORIENTE </v>
          </cell>
        </row>
        <row r="5145">
          <cell r="Z5145" t="str">
            <v>DENTAL</v>
          </cell>
          <cell r="AA5145" t="str">
            <v>CRS PEÑALOLEN CORDILLERA ORIENTE </v>
          </cell>
        </row>
        <row r="5146">
          <cell r="Z5146" t="str">
            <v>DENTAL</v>
          </cell>
          <cell r="AA5146" t="str">
            <v>CRS PEÑALOLEN CORDILLERA ORIENTE </v>
          </cell>
        </row>
        <row r="5147">
          <cell r="Z5147" t="str">
            <v>DENTAL</v>
          </cell>
          <cell r="AA5147" t="str">
            <v>CRS PEÑALOLEN CORDILLERA ORIENTE </v>
          </cell>
        </row>
        <row r="5148">
          <cell r="Z5148" t="str">
            <v>DENTAL</v>
          </cell>
          <cell r="AA5148" t="str">
            <v>INTEGRAMEDICA CENTROS MEDICOS S.A.</v>
          </cell>
        </row>
        <row r="5149">
          <cell r="Z5149" t="str">
            <v>DENTAL</v>
          </cell>
          <cell r="AA5149" t="str">
            <v>SERVICIOS ODONTOLOGICOS BRIDENT LTDA</v>
          </cell>
        </row>
        <row r="5150">
          <cell r="Z5150" t="str">
            <v>DENTAL</v>
          </cell>
          <cell r="AA5150" t="str">
            <v>HOSPITAL DE QUILPUE</v>
          </cell>
        </row>
        <row r="5151">
          <cell r="Z5151" t="str">
            <v>DENTAL</v>
          </cell>
        </row>
        <row r="5152">
          <cell r="Z5152" t="str">
            <v>DENTAL</v>
          </cell>
          <cell r="AA5152" t="str">
            <v>HOSPITAL DE QUILPUE</v>
          </cell>
        </row>
        <row r="5153">
          <cell r="Z5153" t="str">
            <v>DENTAL</v>
          </cell>
          <cell r="AA5153" t="str">
            <v>VICTOR ROLANDO COUCHOT BUSTOS</v>
          </cell>
        </row>
        <row r="5154">
          <cell r="Z5154" t="str">
            <v>DENTAL</v>
          </cell>
          <cell r="AA5154" t="str">
            <v>HOSPITAL NUEVO LA FLORIDA-CONCEPCION</v>
          </cell>
        </row>
        <row r="5155">
          <cell r="Z5155" t="str">
            <v>DENTAL</v>
          </cell>
          <cell r="AA5155" t="str">
            <v>SERVICIO DE SALUD CONCEPCION</v>
          </cell>
        </row>
        <row r="5156">
          <cell r="Z5156" t="str">
            <v>DENTAL</v>
          </cell>
          <cell r="AA5156" t="str">
            <v>HOSPITAL NUEVO LA FLORIDA-CONCEPCION</v>
          </cell>
        </row>
        <row r="5157">
          <cell r="Z5157" t="str">
            <v>DENTAL</v>
          </cell>
        </row>
        <row r="5158">
          <cell r="Z5158" t="str">
            <v>DENTAL</v>
          </cell>
          <cell r="AA5158" t="str">
            <v>SERVICIO DE SALUD DEL MAULE</v>
          </cell>
        </row>
        <row r="5159">
          <cell r="Z5159" t="str">
            <v>DENTAL</v>
          </cell>
          <cell r="AA5159" t="str">
            <v>CENTRO DE ESPECIALIDADES  ODONTOLOGICAS</v>
          </cell>
        </row>
        <row r="5160">
          <cell r="Z5160" t="str">
            <v>DENTAL</v>
          </cell>
          <cell r="AA5160" t="str">
            <v>CENTRO DE ESPECIALIDADES  ODONTOLOGICAS</v>
          </cell>
        </row>
        <row r="5161">
          <cell r="Z5161" t="str">
            <v>DENTAL</v>
          </cell>
          <cell r="AA5161" t="str">
            <v>CENTRO DE ESPECIALIDADES  ODONTOLOGICAS</v>
          </cell>
        </row>
        <row r="5162">
          <cell r="Z5162" t="str">
            <v>DENTAL</v>
          </cell>
          <cell r="AA5162" t="str">
            <v>CENTRO DE ESPECIALIDADES  ODONTOLOGICAS</v>
          </cell>
        </row>
        <row r="5163">
          <cell r="Z5163" t="str">
            <v>DENTAL</v>
          </cell>
        </row>
        <row r="5164">
          <cell r="Z5164" t="str">
            <v>DENTAL</v>
          </cell>
          <cell r="AA5164" t="str">
            <v>HOSPITAL DE CAUQUENES</v>
          </cell>
        </row>
        <row r="5165">
          <cell r="Z5165" t="str">
            <v>DENTAL</v>
          </cell>
          <cell r="AA5165" t="str">
            <v>CESFAM MACHALI</v>
          </cell>
        </row>
        <row r="5166">
          <cell r="Z5166" t="str">
            <v>DENTAL</v>
          </cell>
          <cell r="AA5166" t="str">
            <v>CESFAM MACHALI</v>
          </cell>
        </row>
        <row r="5167">
          <cell r="Z5167" t="str">
            <v>DENTAL</v>
          </cell>
        </row>
        <row r="5168">
          <cell r="Z5168" t="str">
            <v>DENTAL</v>
          </cell>
          <cell r="AA5168" t="str">
            <v>HOSPITAL PENCO -LIRQUEN</v>
          </cell>
        </row>
        <row r="5169">
          <cell r="Z5169" t="str">
            <v>DENTAL</v>
          </cell>
          <cell r="AA5169" t="str">
            <v>SERVICIO DE SALUD DEL MAULE</v>
          </cell>
        </row>
        <row r="5170">
          <cell r="Z5170" t="str">
            <v>DENTAL</v>
          </cell>
          <cell r="AA5170" t="str">
            <v>HOSPITAL DE PICHILEMU</v>
          </cell>
        </row>
        <row r="5171">
          <cell r="Z5171" t="str">
            <v>DENTAL</v>
          </cell>
        </row>
        <row r="5172">
          <cell r="Z5172" t="str">
            <v>DENTAL</v>
          </cell>
          <cell r="AA5172" t="str">
            <v>INTEGRAMEDICA PLAZA OESTE</v>
          </cell>
        </row>
        <row r="5173">
          <cell r="Z5173" t="str">
            <v>DENTAL</v>
          </cell>
        </row>
        <row r="5174">
          <cell r="Z5174" t="str">
            <v>DENTAL</v>
          </cell>
          <cell r="AA5174" t="str">
            <v>HOSPITAL ROBERTO DEL RIO</v>
          </cell>
        </row>
        <row r="5175">
          <cell r="Z5175" t="str">
            <v>DENTAL</v>
          </cell>
          <cell r="AA5175" t="str">
            <v>HOSPITAL ROBERTO DEL RIO</v>
          </cell>
        </row>
        <row r="5176">
          <cell r="Z5176" t="str">
            <v>DENTAL</v>
          </cell>
          <cell r="AA5176" t="str">
            <v>SERVICIO DE SALUD TALCAHUANO</v>
          </cell>
        </row>
        <row r="5177">
          <cell r="Z5177" t="str">
            <v>DENTAL</v>
          </cell>
          <cell r="AA5177" t="str">
            <v>HOSPITAL DE HUALAÑE</v>
          </cell>
        </row>
        <row r="5178">
          <cell r="Z5178" t="str">
            <v>DENTAL</v>
          </cell>
          <cell r="AA5178" t="str">
            <v>HOSPITAL DE HUALAÑE</v>
          </cell>
        </row>
        <row r="5179">
          <cell r="Z5179" t="str">
            <v>DENTAL</v>
          </cell>
        </row>
        <row r="5180">
          <cell r="Z5180" t="str">
            <v>DENTAL</v>
          </cell>
        </row>
        <row r="5181">
          <cell r="Z5181" t="str">
            <v>DENTAL</v>
          </cell>
          <cell r="AA5181" t="str">
            <v>GENDARMERIA DE CHILE</v>
          </cell>
        </row>
        <row r="5182">
          <cell r="Z5182" t="str">
            <v>DENTAL</v>
          </cell>
          <cell r="AA5182" t="str">
            <v>HOSPITAL PENCO -LIRQUEN</v>
          </cell>
        </row>
        <row r="5183">
          <cell r="Z5183" t="str">
            <v>DENTAL</v>
          </cell>
          <cell r="AA5183" t="str">
            <v>CENTRO DE ESPECIALIDADES  ODONTOLOGICAS</v>
          </cell>
        </row>
        <row r="5184">
          <cell r="Z5184" t="str">
            <v>DENTAL</v>
          </cell>
          <cell r="AA5184" t="str">
            <v>CENTRO PLAZA DE JUSTICIA</v>
          </cell>
        </row>
        <row r="5185">
          <cell r="Z5185" t="str">
            <v>DENTAL</v>
          </cell>
          <cell r="AA5185" t="str">
            <v>INTEGRAMEDICA PLAZA OESTE</v>
          </cell>
        </row>
        <row r="5186">
          <cell r="Z5186" t="str">
            <v>DENTAL</v>
          </cell>
          <cell r="AA5186" t="str">
            <v>CENTRO DE ESPECIALIDADES  ODONTOLOGICAS</v>
          </cell>
        </row>
        <row r="5187">
          <cell r="Z5187" t="str">
            <v>DENTAL</v>
          </cell>
          <cell r="AA5187" t="str">
            <v>CENTRO DE ESPECIALIDADES  ODONTOLOGICAS</v>
          </cell>
        </row>
        <row r="5188">
          <cell r="Z5188" t="str">
            <v>DENTAL</v>
          </cell>
          <cell r="AA5188" t="str">
            <v>CENTRO DE ESPECIALIDADES  ODONTOLOGICAS</v>
          </cell>
        </row>
        <row r="5189">
          <cell r="Z5189" t="str">
            <v>DENTAL</v>
          </cell>
          <cell r="AA5189" t="str">
            <v>COMPLEJO ASISTENCIAL DR.SOTERO DEL RIO</v>
          </cell>
        </row>
        <row r="5190">
          <cell r="Z5190" t="str">
            <v>DENTAL</v>
          </cell>
          <cell r="AA5190" t="str">
            <v>COMPLEJO ASISTENCIAL DR.SOTERO DEL RIO</v>
          </cell>
        </row>
        <row r="5191">
          <cell r="Z5191" t="str">
            <v>DENTAL</v>
          </cell>
          <cell r="AA5191" t="str">
            <v>COMPLEJO ASISTENCIAL DR.SOTERO DEL RIO</v>
          </cell>
        </row>
        <row r="5192">
          <cell r="Z5192" t="str">
            <v>DENTAL</v>
          </cell>
          <cell r="AA5192" t="str">
            <v>COMPLEJO ASISTENCIAL DR.SOTERO DEL RIO</v>
          </cell>
        </row>
        <row r="5193">
          <cell r="Z5193" t="str">
            <v>DENTAL</v>
          </cell>
          <cell r="AA5193" t="str">
            <v>COMPLEJO ASISTENCIAL DR.SOTERO DEL RIO</v>
          </cell>
        </row>
        <row r="5194">
          <cell r="Z5194" t="str">
            <v>DENTAL</v>
          </cell>
          <cell r="AA5194" t="str">
            <v>S. SALUD METROPOLITANO SUR ORIENTE</v>
          </cell>
        </row>
        <row r="5195">
          <cell r="Z5195" t="str">
            <v>DENTAL</v>
          </cell>
          <cell r="AA5195" t="str">
            <v>COMPLEJO ASISTENCIAL DR.SOTERO DEL RIO</v>
          </cell>
        </row>
        <row r="5196">
          <cell r="Z5196" t="str">
            <v>DENTAL</v>
          </cell>
          <cell r="AA5196" t="str">
            <v>COMPLEJO ASISTENCIAL DR.SOTERO DEL RIO</v>
          </cell>
        </row>
        <row r="5197">
          <cell r="Z5197" t="str">
            <v>DENTAL</v>
          </cell>
          <cell r="AA5197" t="str">
            <v>INTEGRAMEDICA PLAZA OESTE</v>
          </cell>
        </row>
        <row r="5198">
          <cell r="Z5198" t="str">
            <v>DENTAL</v>
          </cell>
          <cell r="AA5198" t="str">
            <v>CESFAM ROMERAL</v>
          </cell>
        </row>
        <row r="5199">
          <cell r="Z5199" t="str">
            <v>DENTAL</v>
          </cell>
          <cell r="AA5199" t="str">
            <v>INTEGRAMEDICA PLAZA OESTE</v>
          </cell>
        </row>
        <row r="5200">
          <cell r="Z5200" t="str">
            <v>DENTAL</v>
          </cell>
          <cell r="AA5200" t="str">
            <v>GENDARMERIA DE CHILE</v>
          </cell>
        </row>
        <row r="5201">
          <cell r="Z5201" t="str">
            <v>DENTAL</v>
          </cell>
        </row>
        <row r="5202">
          <cell r="Z5202" t="str">
            <v>DENTAL</v>
          </cell>
        </row>
        <row r="5203">
          <cell r="Z5203" t="str">
            <v>DENTAL</v>
          </cell>
        </row>
        <row r="5204">
          <cell r="Z5204" t="str">
            <v>DENTAL</v>
          </cell>
        </row>
        <row r="5205">
          <cell r="Z5205" t="str">
            <v>DENTAL</v>
          </cell>
        </row>
        <row r="5206">
          <cell r="Z5206" t="str">
            <v>DENTAL</v>
          </cell>
          <cell r="AA5206" t="str">
            <v>CESFAM EL SAUCE COQUIMBO</v>
          </cell>
        </row>
        <row r="5207">
          <cell r="Z5207" t="str">
            <v>DENTAL</v>
          </cell>
          <cell r="AA5207" t="str">
            <v>CESFAM EL SAUCE COQUIMBO</v>
          </cell>
        </row>
        <row r="5208">
          <cell r="Z5208" t="str">
            <v>DENTAL</v>
          </cell>
          <cell r="AA5208" t="str">
            <v>CESFAM EL SAUCE COQUIMBO</v>
          </cell>
        </row>
        <row r="5209">
          <cell r="Z5209" t="str">
            <v>DENTAL</v>
          </cell>
          <cell r="AA5209" t="str">
            <v>CESFAM EL SAUCE COQUIMBO</v>
          </cell>
        </row>
        <row r="5210">
          <cell r="Z5210" t="str">
            <v>DENTAL</v>
          </cell>
        </row>
        <row r="5211">
          <cell r="Z5211" t="str">
            <v>DENTAL</v>
          </cell>
        </row>
        <row r="5212">
          <cell r="Z5212" t="str">
            <v>DENTAL</v>
          </cell>
          <cell r="AA5212" t="str">
            <v>COMPLEJO ASISTENCIAL DR.SOTERO DEL RIO</v>
          </cell>
        </row>
        <row r="5213">
          <cell r="Z5213" t="str">
            <v>DENTAL</v>
          </cell>
          <cell r="AA5213" t="str">
            <v>GEMCO GENERAL MACHINERY S.A.</v>
          </cell>
        </row>
        <row r="5214">
          <cell r="Z5214" t="str">
            <v>DENTAL</v>
          </cell>
          <cell r="AA5214" t="str">
            <v>GENDARMERIA DE CHILE</v>
          </cell>
        </row>
        <row r="5215">
          <cell r="Z5215" t="str">
            <v>DENTAL</v>
          </cell>
        </row>
        <row r="5216">
          <cell r="Z5216" t="str">
            <v>DENTAL</v>
          </cell>
          <cell r="AA5216" t="str">
            <v>GENDARMERIA DE CHILE</v>
          </cell>
        </row>
        <row r="5217">
          <cell r="Z5217" t="str">
            <v>DENTAL</v>
          </cell>
          <cell r="AA5217" t="str">
            <v>HOSPITAL DE TALCA</v>
          </cell>
        </row>
        <row r="5218">
          <cell r="Z5218" t="str">
            <v>DENTAL</v>
          </cell>
          <cell r="AA5218" t="str">
            <v>EQUIPOS E INSUMOS MEDICOS LTDA.</v>
          </cell>
        </row>
        <row r="5219">
          <cell r="Z5219" t="str">
            <v>DENTAL</v>
          </cell>
          <cell r="AA5219" t="str">
            <v>CLINICA ORTHODENT</v>
          </cell>
        </row>
        <row r="5220">
          <cell r="Z5220" t="str">
            <v>DENTAL</v>
          </cell>
          <cell r="AA5220" t="str">
            <v>DIRECCION DE PREVISION DE CARABINEROS D.CHILE</v>
          </cell>
        </row>
        <row r="5221">
          <cell r="Z5221" t="str">
            <v>DENTAL</v>
          </cell>
          <cell r="AA5221" t="str">
            <v>HOSPITAL CLAUDIO VICUÑA</v>
          </cell>
        </row>
        <row r="5222">
          <cell r="Z5222" t="str">
            <v>DENTAL</v>
          </cell>
          <cell r="AA5222" t="str">
            <v>CESFAM FAUSTINO GONZALEZ</v>
          </cell>
        </row>
        <row r="5223">
          <cell r="Z5223" t="str">
            <v>DENTAL</v>
          </cell>
          <cell r="AA5223" t="str">
            <v>CESFAM FAUSTINO GONZALEZ</v>
          </cell>
        </row>
        <row r="5224">
          <cell r="Z5224" t="str">
            <v>DENTAL</v>
          </cell>
          <cell r="AA5224" t="str">
            <v>CESFAM FAUSTINO GONZALEZ</v>
          </cell>
        </row>
        <row r="5225">
          <cell r="Z5225" t="str">
            <v>DENTAL</v>
          </cell>
          <cell r="AA5225" t="str">
            <v>SERVICIO DE SALUD DEL MAULE</v>
          </cell>
        </row>
        <row r="5226">
          <cell r="Z5226" t="str">
            <v>DENTAL</v>
          </cell>
          <cell r="AA5226" t="str">
            <v>DR. FRANCISCO ASTURIAS PEREZ</v>
          </cell>
        </row>
        <row r="5227">
          <cell r="Z5227" t="str">
            <v>DENTAL</v>
          </cell>
          <cell r="AA5227" t="str">
            <v>DR. FRANCISCO ASTURIAS PEREZ</v>
          </cell>
        </row>
        <row r="5228">
          <cell r="Z5228" t="str">
            <v>DENTAL</v>
          </cell>
        </row>
        <row r="5229">
          <cell r="Z5229" t="str">
            <v>DENTAL</v>
          </cell>
          <cell r="AA5229" t="str">
            <v>SERVICIO DE SALUD DEL MAULE</v>
          </cell>
        </row>
        <row r="5230">
          <cell r="Z5230" t="str">
            <v>DENTAL</v>
          </cell>
          <cell r="AA5230" t="str">
            <v>I.MUNICIPALIDAD DE INDEPENDENCIA</v>
          </cell>
        </row>
        <row r="5231">
          <cell r="Z5231" t="str">
            <v>DENTAL</v>
          </cell>
          <cell r="AA5231" t="str">
            <v>TECMEDENT</v>
          </cell>
        </row>
        <row r="5232">
          <cell r="Z5232" t="str">
            <v>DENTAL</v>
          </cell>
          <cell r="AA5232" t="str">
            <v>CESFAM  DICHATO</v>
          </cell>
        </row>
        <row r="5233">
          <cell r="Z5233" t="str">
            <v>DENTAL</v>
          </cell>
          <cell r="AA5233" t="str">
            <v>I.MUNICIPALIDAD DE INDEPENDENCIA</v>
          </cell>
        </row>
        <row r="5234">
          <cell r="Z5234" t="str">
            <v>DENTAL</v>
          </cell>
        </row>
        <row r="5235">
          <cell r="Z5235" t="str">
            <v>DENTAL</v>
          </cell>
          <cell r="AA5235" t="str">
            <v>SERVICIO DE SALUD DEL MAULE</v>
          </cell>
        </row>
        <row r="5236">
          <cell r="Z5236" t="str">
            <v>DENTAL</v>
          </cell>
        </row>
        <row r="5237">
          <cell r="Z5237" t="str">
            <v>DENTAL</v>
          </cell>
          <cell r="AA5237" t="str">
            <v>SERVICIO SALUD O'HIGGINS</v>
          </cell>
        </row>
        <row r="5238">
          <cell r="Z5238" t="str">
            <v>DENTAL</v>
          </cell>
          <cell r="AA5238" t="str">
            <v>I.MUNICIPALIDAD DE INDEPENDENCIA</v>
          </cell>
        </row>
        <row r="5239">
          <cell r="Z5239" t="str">
            <v>DENTAL</v>
          </cell>
          <cell r="AA5239" t="str">
            <v>CESFAM  DICHATO</v>
          </cell>
        </row>
        <row r="5240">
          <cell r="Z5240" t="str">
            <v>DENTAL</v>
          </cell>
        </row>
        <row r="5241">
          <cell r="Z5241" t="str">
            <v>DENTAL</v>
          </cell>
          <cell r="AA5241" t="str">
            <v>HOSPITAL DE PURRANQUE</v>
          </cell>
        </row>
        <row r="5242">
          <cell r="Z5242" t="str">
            <v>DENTAL</v>
          </cell>
          <cell r="AA5242" t="str">
            <v>HOSPITAL DE PURRANQUE</v>
          </cell>
        </row>
        <row r="5243">
          <cell r="Z5243" t="str">
            <v>DENTAL</v>
          </cell>
          <cell r="AA5243" t="str">
            <v>HOSPITAL NUEVO LA FLORIDA-CONCEPCION</v>
          </cell>
        </row>
        <row r="5244">
          <cell r="Z5244" t="str">
            <v>DENTAL</v>
          </cell>
        </row>
        <row r="5245">
          <cell r="Z5245" t="str">
            <v>DENTAL</v>
          </cell>
          <cell r="AA5245" t="str">
            <v>SERVICIO SALUD O'HIGGINS</v>
          </cell>
        </row>
        <row r="5246">
          <cell r="Z5246" t="str">
            <v>DENTAL</v>
          </cell>
          <cell r="AA5246" t="str">
            <v>HOSPITAL CLAUDIO VICUÑA</v>
          </cell>
        </row>
        <row r="5247">
          <cell r="Z5247" t="str">
            <v>DENTAL</v>
          </cell>
          <cell r="AA5247" t="str">
            <v>SERVICIO SALUD O'HIGGINS</v>
          </cell>
        </row>
        <row r="5248">
          <cell r="Z5248" t="str">
            <v>DENTAL</v>
          </cell>
          <cell r="AA5248" t="str">
            <v>INTEGRAMEDICA CENTROS MEDICOS S.A.</v>
          </cell>
        </row>
        <row r="5249">
          <cell r="Z5249" t="str">
            <v>DENTAL</v>
          </cell>
          <cell r="AA5249" t="str">
            <v>INTEGRAMEDICA CENTROS MEDICOS S.A.</v>
          </cell>
        </row>
        <row r="5250">
          <cell r="Z5250" t="str">
            <v>DENTAL</v>
          </cell>
          <cell r="AA5250" t="str">
            <v>SERVICIO DE SALUD CONCEPCION</v>
          </cell>
        </row>
        <row r="5251">
          <cell r="Z5251" t="str">
            <v>DENTAL</v>
          </cell>
          <cell r="AA5251" t="str">
            <v>SERVICIO DE SALUD CONCEPCION</v>
          </cell>
        </row>
        <row r="5252">
          <cell r="Z5252" t="str">
            <v>DENTAL</v>
          </cell>
        </row>
        <row r="5253">
          <cell r="Z5253" t="str">
            <v>DENTAL</v>
          </cell>
        </row>
        <row r="5254">
          <cell r="Z5254" t="str">
            <v>DENTAL</v>
          </cell>
        </row>
        <row r="5255">
          <cell r="Z5255" t="str">
            <v>DENTAL</v>
          </cell>
        </row>
        <row r="5256">
          <cell r="Z5256" t="str">
            <v>DENTAL</v>
          </cell>
        </row>
        <row r="5257">
          <cell r="Z5257" t="str">
            <v>DENTAL</v>
          </cell>
          <cell r="AA5257" t="str">
            <v>CESFAM URBANO DE ILLAPEL</v>
          </cell>
        </row>
        <row r="5258">
          <cell r="Z5258" t="str">
            <v>DENTAL</v>
          </cell>
          <cell r="AA5258" t="str">
            <v>CESFAM URBANO DE ILLAPEL</v>
          </cell>
        </row>
        <row r="5259">
          <cell r="Z5259" t="str">
            <v>DENTAL</v>
          </cell>
        </row>
        <row r="5260">
          <cell r="Z5260" t="str">
            <v>DENTAL</v>
          </cell>
          <cell r="AA5260" t="str">
            <v>INTEGRAMEDICA CENTROS MEDICOS S.A.</v>
          </cell>
        </row>
        <row r="5261">
          <cell r="Z5261" t="str">
            <v>DENTAL</v>
          </cell>
          <cell r="AA5261" t="str">
            <v>GENDARMERIA DE CHILE</v>
          </cell>
        </row>
        <row r="5262">
          <cell r="Z5262" t="str">
            <v>DENTAL</v>
          </cell>
          <cell r="AA5262" t="str">
            <v>I. MUNICIPALIDAD DE LINARES</v>
          </cell>
        </row>
        <row r="5263">
          <cell r="Z5263" t="str">
            <v>DENTAL</v>
          </cell>
          <cell r="AA5263" t="str">
            <v>CESFAM LONGAVI</v>
          </cell>
        </row>
        <row r="5264">
          <cell r="Z5264" t="str">
            <v>DENTAL</v>
          </cell>
        </row>
        <row r="5265">
          <cell r="Z5265" t="str">
            <v>DENTAL</v>
          </cell>
        </row>
        <row r="5266">
          <cell r="Z5266" t="str">
            <v>DENTAL</v>
          </cell>
          <cell r="AA5266" t="str">
            <v>CLINICA MOVIL CENTINELA</v>
          </cell>
        </row>
        <row r="5267">
          <cell r="Z5267" t="str">
            <v>DENTAL</v>
          </cell>
          <cell r="AA5267" t="str">
            <v>I. MUNICIPALIDAD DE LINARES</v>
          </cell>
        </row>
        <row r="5268">
          <cell r="Z5268" t="str">
            <v>DENTAL</v>
          </cell>
          <cell r="AA5268" t="str">
            <v>CESFAM RIO CLARO</v>
          </cell>
        </row>
        <row r="5269">
          <cell r="Z5269" t="str">
            <v>DENTAL</v>
          </cell>
          <cell r="AA5269" t="str">
            <v>DIAGNORAD ANTOFAGASTA</v>
          </cell>
        </row>
        <row r="5270">
          <cell r="Z5270" t="str">
            <v>DENTAL</v>
          </cell>
          <cell r="AA5270" t="str">
            <v>HOSPITAL SANTO TOMAS DE LIMACHE</v>
          </cell>
        </row>
        <row r="5271">
          <cell r="Z5271" t="str">
            <v>DENTAL</v>
          </cell>
        </row>
        <row r="5272">
          <cell r="Z5272" t="str">
            <v>DENTAL</v>
          </cell>
          <cell r="AA5272" t="str">
            <v>HOSPITAL SANTO TOMAS DE LIMACHE</v>
          </cell>
        </row>
        <row r="5273">
          <cell r="Z5273" t="str">
            <v>DENTAL</v>
          </cell>
        </row>
        <row r="5274">
          <cell r="Z5274" t="str">
            <v>DENTAL</v>
          </cell>
        </row>
        <row r="5275">
          <cell r="Z5275" t="str">
            <v>DENTAL</v>
          </cell>
          <cell r="AA5275" t="str">
            <v>DIAGNORAD ANTOFAGASTA</v>
          </cell>
        </row>
        <row r="5276">
          <cell r="Z5276" t="str">
            <v>DENTAL</v>
          </cell>
        </row>
        <row r="5277">
          <cell r="Z5277" t="str">
            <v>DENTAL</v>
          </cell>
          <cell r="AA5277" t="str">
            <v>HOSPITAL DE QUINTEROS</v>
          </cell>
        </row>
        <row r="5278">
          <cell r="Z5278" t="str">
            <v>DENTAL</v>
          </cell>
        </row>
        <row r="5279">
          <cell r="Z5279" t="str">
            <v>DENTAL</v>
          </cell>
          <cell r="AA5279" t="str">
            <v>HOSPITAL DE QUINTEROS</v>
          </cell>
        </row>
        <row r="5280">
          <cell r="Z5280" t="str">
            <v>DENTAL</v>
          </cell>
          <cell r="AA5280" t="str">
            <v>CLINICA MOVIL CENTINELA</v>
          </cell>
        </row>
        <row r="5281">
          <cell r="Z5281" t="str">
            <v>DENTAL</v>
          </cell>
          <cell r="AA5281" t="str">
            <v>CLINICA MOVIL CENTINELA</v>
          </cell>
        </row>
        <row r="5282">
          <cell r="Z5282" t="str">
            <v>DENTAL</v>
          </cell>
          <cell r="AA5282" t="str">
            <v>CLINICA MOVIL CENTINELA</v>
          </cell>
        </row>
        <row r="5283">
          <cell r="Z5283" t="str">
            <v>DENTAL</v>
          </cell>
        </row>
        <row r="5284">
          <cell r="Z5284" t="str">
            <v>DENTAL</v>
          </cell>
          <cell r="AA5284" t="str">
            <v>TECMEDENT</v>
          </cell>
        </row>
        <row r="5285">
          <cell r="Z5285" t="str">
            <v>DENTAL</v>
          </cell>
          <cell r="AA5285" t="str">
            <v>TECMEDENT</v>
          </cell>
        </row>
        <row r="5286">
          <cell r="Z5286" t="str">
            <v>DENTAL</v>
          </cell>
          <cell r="AA5286" t="str">
            <v>TECMEDENT</v>
          </cell>
        </row>
        <row r="5287">
          <cell r="Z5287" t="str">
            <v>DENTAL</v>
          </cell>
          <cell r="AA5287" t="str">
            <v>CLINICA MOVIL CENTINELA</v>
          </cell>
        </row>
        <row r="5288">
          <cell r="Z5288" t="str">
            <v>DENTAL</v>
          </cell>
          <cell r="AA5288" t="str">
            <v>CLINICA MOVIL CENTINELA</v>
          </cell>
        </row>
        <row r="5289">
          <cell r="Z5289" t="str">
            <v>DENTAL</v>
          </cell>
          <cell r="AA5289" t="str">
            <v>CLINICA MOVIL CENTINELA</v>
          </cell>
        </row>
        <row r="5290">
          <cell r="Z5290" t="str">
            <v>DENTAL</v>
          </cell>
        </row>
        <row r="5291">
          <cell r="Z5291" t="str">
            <v>DENTAL</v>
          </cell>
        </row>
        <row r="5292">
          <cell r="Z5292" t="str">
            <v>DENTAL</v>
          </cell>
        </row>
        <row r="5293">
          <cell r="Z5293" t="str">
            <v>DENTAL</v>
          </cell>
        </row>
        <row r="5294">
          <cell r="Z5294" t="str">
            <v>DENTAL</v>
          </cell>
        </row>
        <row r="5295">
          <cell r="Z5295" t="str">
            <v>DENTAL</v>
          </cell>
          <cell r="AA5295" t="str">
            <v>CECOSF CHUMAQUITO</v>
          </cell>
        </row>
        <row r="5296">
          <cell r="Z5296" t="str">
            <v>DENTAL</v>
          </cell>
        </row>
        <row r="5297">
          <cell r="Z5297" t="str">
            <v>DENTAL</v>
          </cell>
          <cell r="AA5297" t="str">
            <v>HOSPITAL DE QUINTEROS</v>
          </cell>
        </row>
        <row r="5298">
          <cell r="Z5298" t="str">
            <v>DENTAL</v>
          </cell>
          <cell r="AA5298" t="str">
            <v>SERVICIO DE SALUD RELONCAVI</v>
          </cell>
        </row>
        <row r="5299">
          <cell r="Z5299" t="str">
            <v>DENTAL</v>
          </cell>
          <cell r="AA5299" t="str">
            <v>CESFAM RIO CLARO</v>
          </cell>
        </row>
        <row r="5300">
          <cell r="Z5300" t="str">
            <v>DENTAL</v>
          </cell>
          <cell r="AA5300" t="str">
            <v>SERVICIO DE SALUD RELONCAVI</v>
          </cell>
        </row>
        <row r="5301">
          <cell r="Z5301" t="str">
            <v>DENTAL</v>
          </cell>
          <cell r="AA5301" t="str">
            <v>SERVICIO DE SALUD RELONCAVI</v>
          </cell>
        </row>
        <row r="5302">
          <cell r="Z5302" t="str">
            <v>DENTAL</v>
          </cell>
          <cell r="AA5302" t="str">
            <v>I.MUNICIPALIDAD DE INDEPENDENCIA</v>
          </cell>
        </row>
        <row r="5303">
          <cell r="Z5303" t="str">
            <v>DENTAL</v>
          </cell>
          <cell r="AA5303" t="str">
            <v>SERVICIO DE SALUD DEL MAULE</v>
          </cell>
        </row>
        <row r="5304">
          <cell r="Z5304" t="str">
            <v>DENTAL</v>
          </cell>
          <cell r="AA5304" t="str">
            <v>CECOSF CHUMAQUITO</v>
          </cell>
        </row>
        <row r="5305">
          <cell r="Z5305" t="str">
            <v>DENTAL</v>
          </cell>
          <cell r="AA5305" t="str">
            <v>HOSPITAL DE QUINTEROS</v>
          </cell>
        </row>
        <row r="5306">
          <cell r="Z5306" t="str">
            <v>DENTAL</v>
          </cell>
        </row>
        <row r="5307">
          <cell r="Z5307" t="str">
            <v>DENTAL</v>
          </cell>
        </row>
        <row r="5308">
          <cell r="Z5308" t="str">
            <v>DENTAL</v>
          </cell>
        </row>
        <row r="5309">
          <cell r="Z5309" t="str">
            <v>DENTAL</v>
          </cell>
          <cell r="AA5309" t="str">
            <v>I. MUNICIPALIDAD DE LA CISTERNA</v>
          </cell>
        </row>
        <row r="5310">
          <cell r="Z5310" t="str">
            <v>DENTAL</v>
          </cell>
          <cell r="AA5310" t="str">
            <v>I. MUNICIPALIDAD DE LA CISTERNA</v>
          </cell>
        </row>
        <row r="5311">
          <cell r="Z5311" t="str">
            <v>DENTAL</v>
          </cell>
          <cell r="AA5311" t="str">
            <v>I. MUNICIPALIDAD DE LA CISTERNA</v>
          </cell>
        </row>
        <row r="5312">
          <cell r="Z5312" t="str">
            <v>DENTAL</v>
          </cell>
          <cell r="AA5312" t="str">
            <v>GOBIERNO REGIONAL LIBERTADOR BDO. O'HIGGINS</v>
          </cell>
        </row>
        <row r="5313">
          <cell r="Z5313" t="str">
            <v>DENTAL</v>
          </cell>
        </row>
        <row r="5314">
          <cell r="Z5314" t="str">
            <v>DENTAL</v>
          </cell>
          <cell r="AA5314" t="str">
            <v>DIRECCION DE PREVISION DE CARABINEROS D.CHILE</v>
          </cell>
        </row>
        <row r="5315">
          <cell r="Z5315" t="str">
            <v>DENTAL</v>
          </cell>
          <cell r="AA5315" t="str">
            <v>SERVICIO DE SALUD DEL MAULE</v>
          </cell>
        </row>
        <row r="5316">
          <cell r="Z5316" t="str">
            <v>DENTAL</v>
          </cell>
          <cell r="AA5316" t="str">
            <v>SERVICIO DE SALUD DEL MAULE</v>
          </cell>
        </row>
        <row r="5317">
          <cell r="Z5317" t="str">
            <v>DENTAL</v>
          </cell>
          <cell r="AA5317" t="str">
            <v>SERVICIO DE SALUD DEL MAULE</v>
          </cell>
        </row>
        <row r="5318">
          <cell r="Z5318" t="str">
            <v>DENTAL</v>
          </cell>
          <cell r="AA5318" t="str">
            <v>CESFAM LONGAVI</v>
          </cell>
        </row>
        <row r="5319">
          <cell r="Z5319" t="str">
            <v>DENTAL</v>
          </cell>
        </row>
        <row r="5320">
          <cell r="Z5320" t="str">
            <v>DENTAL</v>
          </cell>
          <cell r="AA5320" t="str">
            <v>LA ARAUCANA SALUD S.A.</v>
          </cell>
        </row>
        <row r="5321">
          <cell r="Z5321" t="str">
            <v>DENTAL</v>
          </cell>
          <cell r="AA5321" t="str">
            <v>SERVICIO DE SALUD DEL MAULE</v>
          </cell>
        </row>
        <row r="5322">
          <cell r="Z5322" t="str">
            <v>DENTAL</v>
          </cell>
          <cell r="AA5322" t="str">
            <v>LA ARAUCANA SALUD S.A.</v>
          </cell>
        </row>
        <row r="5323">
          <cell r="Z5323" t="str">
            <v>DENTAL</v>
          </cell>
        </row>
        <row r="5324">
          <cell r="Z5324" t="str">
            <v>DENTAL</v>
          </cell>
        </row>
        <row r="5325">
          <cell r="Z5325" t="str">
            <v>DENTAL</v>
          </cell>
          <cell r="AA5325" t="str">
            <v>SERVICIO DE SALUD DEL MAULE</v>
          </cell>
        </row>
        <row r="5326">
          <cell r="Z5326" t="str">
            <v>DENTAL</v>
          </cell>
        </row>
        <row r="5327">
          <cell r="Z5327" t="str">
            <v>DENTAL</v>
          </cell>
        </row>
        <row r="5328">
          <cell r="Z5328" t="str">
            <v>DENTAL</v>
          </cell>
          <cell r="AA5328" t="str">
            <v>SERVICIO DE SALUD DEL MAULE</v>
          </cell>
        </row>
        <row r="5329">
          <cell r="Z5329" t="str">
            <v>DENTAL</v>
          </cell>
        </row>
        <row r="5330">
          <cell r="Z5330" t="str">
            <v>DENTAL</v>
          </cell>
          <cell r="AA5330" t="str">
            <v>SERVICIO DE SALUD DEL MAULE</v>
          </cell>
        </row>
        <row r="5331">
          <cell r="Z5331" t="str">
            <v>DENTAL</v>
          </cell>
          <cell r="AA5331" t="str">
            <v>ODONTOLOGIA GARCIA TOMASSOVICH S.A.</v>
          </cell>
        </row>
        <row r="5332">
          <cell r="Z5332" t="str">
            <v>DENTAL</v>
          </cell>
          <cell r="AA5332" t="str">
            <v>HOSPITAL PENCO -LIRQUEN</v>
          </cell>
        </row>
        <row r="5333">
          <cell r="Z5333" t="str">
            <v>DENTAL</v>
          </cell>
          <cell r="AA5333" t="str">
            <v>CENTRO ODONTOLOGICO SUECIA</v>
          </cell>
        </row>
        <row r="5334">
          <cell r="Z5334" t="str">
            <v>DENTAL</v>
          </cell>
          <cell r="AA5334" t="str">
            <v>SERVICIO DE SALUD DEL MAULE</v>
          </cell>
        </row>
        <row r="5335">
          <cell r="Z5335" t="str">
            <v>DENTAL</v>
          </cell>
        </row>
        <row r="5336">
          <cell r="Z5336" t="str">
            <v>DENTAL</v>
          </cell>
          <cell r="AA5336" t="str">
            <v>SERVICIO DE SALUD DEL MAULE</v>
          </cell>
        </row>
        <row r="5337">
          <cell r="Z5337" t="str">
            <v>DENTAL</v>
          </cell>
          <cell r="AA5337" t="str">
            <v>HOSPITAL DR. GUSTAVO FRICKE</v>
          </cell>
        </row>
        <row r="5338">
          <cell r="Z5338" t="str">
            <v>DENTAL</v>
          </cell>
          <cell r="AA5338" t="str">
            <v>HOSPITAL DR. GUSTAVO FRICKE</v>
          </cell>
        </row>
        <row r="5339">
          <cell r="Z5339" t="str">
            <v>DENTAL</v>
          </cell>
          <cell r="AA5339" t="str">
            <v>HOSPITAL DR. GUSTAVO FRICKE</v>
          </cell>
        </row>
        <row r="5340">
          <cell r="Z5340" t="str">
            <v>DENTAL</v>
          </cell>
          <cell r="AA5340" t="str">
            <v>SERVICIO DE SALUD DEL MAULE</v>
          </cell>
        </row>
        <row r="5341">
          <cell r="Z5341" t="str">
            <v>DENTAL</v>
          </cell>
          <cell r="AA5341" t="str">
            <v>CENTRO ODONTOLOGICO SUECIA</v>
          </cell>
        </row>
        <row r="5342">
          <cell r="Z5342" t="str">
            <v>DENTAL</v>
          </cell>
          <cell r="AA5342" t="str">
            <v>INTEGRAMEDICA TOBALABA</v>
          </cell>
        </row>
        <row r="5343">
          <cell r="Z5343" t="str">
            <v>DENTAL</v>
          </cell>
          <cell r="AA5343" t="str">
            <v>INTEGRAMEDICA TOBALABA</v>
          </cell>
        </row>
        <row r="5344">
          <cell r="Z5344" t="str">
            <v>DENTAL</v>
          </cell>
          <cell r="AA5344" t="str">
            <v>HOSPITAL LOS VILOS</v>
          </cell>
        </row>
        <row r="5345">
          <cell r="Z5345" t="str">
            <v>DENTAL</v>
          </cell>
          <cell r="AA5345" t="str">
            <v>HOSPITAL LOS VILOS</v>
          </cell>
        </row>
        <row r="5346">
          <cell r="Z5346" t="str">
            <v>DENTAL</v>
          </cell>
          <cell r="AA5346" t="str">
            <v>HOSPITAL LOS VILOS</v>
          </cell>
        </row>
        <row r="5347">
          <cell r="Z5347" t="str">
            <v>DENTAL</v>
          </cell>
          <cell r="AA5347" t="str">
            <v>INTEGRAMEDICA TOBALABA</v>
          </cell>
        </row>
        <row r="5348">
          <cell r="Z5348" t="str">
            <v>DENTAL</v>
          </cell>
          <cell r="AA5348" t="str">
            <v>HOSPITAL DE CURICO</v>
          </cell>
        </row>
        <row r="5349">
          <cell r="Z5349" t="str">
            <v>DENTAL</v>
          </cell>
          <cell r="AA5349" t="str">
            <v>INTEGRAMEDICA ALAMEDA</v>
          </cell>
        </row>
        <row r="5350">
          <cell r="Z5350" t="str">
            <v>DENTAL</v>
          </cell>
          <cell r="AA5350" t="str">
            <v>INTEGRAMEDICA ALAMEDA</v>
          </cell>
        </row>
        <row r="5351">
          <cell r="Z5351" t="str">
            <v>DENTAL</v>
          </cell>
          <cell r="AA5351" t="str">
            <v>INTEGRAMEDICA ALAMEDA</v>
          </cell>
        </row>
        <row r="5352">
          <cell r="Z5352" t="str">
            <v>DENTAL</v>
          </cell>
          <cell r="AA5352" t="str">
            <v>INTEGRAMEDICA ALAMEDA</v>
          </cell>
        </row>
        <row r="5353">
          <cell r="Z5353" t="str">
            <v>DENTAL</v>
          </cell>
          <cell r="AA5353" t="str">
            <v>INTEGRAMEDICA S.A (Las Condes)</v>
          </cell>
        </row>
        <row r="5354">
          <cell r="Z5354" t="str">
            <v>DENTAL</v>
          </cell>
          <cell r="AA5354" t="str">
            <v>INTEGRAMEDICA PLAZA OESTE</v>
          </cell>
        </row>
        <row r="5355">
          <cell r="Z5355" t="str">
            <v>DENTAL</v>
          </cell>
          <cell r="AA5355" t="str">
            <v>INTEGRAMEDICA PLAZA OESTE</v>
          </cell>
        </row>
        <row r="5356">
          <cell r="Z5356" t="str">
            <v>DENTAL</v>
          </cell>
          <cell r="AA5356" t="str">
            <v>INTEGRAMEDICA PLAZA OESTE</v>
          </cell>
        </row>
        <row r="5357">
          <cell r="Z5357" t="str">
            <v>DENTAL</v>
          </cell>
          <cell r="AA5357" t="str">
            <v>INTEGRAMEDICA TOBALABA</v>
          </cell>
        </row>
        <row r="5358">
          <cell r="Z5358" t="str">
            <v>DENTAL</v>
          </cell>
          <cell r="AA5358" t="str">
            <v>INTEGRAMEDICA TOBALABA</v>
          </cell>
        </row>
        <row r="5359">
          <cell r="Z5359" t="str">
            <v>DENTAL</v>
          </cell>
          <cell r="AA5359" t="str">
            <v>INTEGRAMEDICA TOBALABA</v>
          </cell>
        </row>
        <row r="5360">
          <cell r="Z5360" t="str">
            <v>DENTAL</v>
          </cell>
          <cell r="AA5360" t="str">
            <v>INTEGRAMEDICA TOBALABA</v>
          </cell>
        </row>
        <row r="5361">
          <cell r="Z5361" t="str">
            <v>DENTAL</v>
          </cell>
          <cell r="AA5361" t="str">
            <v>INTEGRAMEDICA TOBALABA</v>
          </cell>
        </row>
        <row r="5362">
          <cell r="Z5362" t="str">
            <v>DENTAL</v>
          </cell>
          <cell r="AA5362" t="str">
            <v>INTEGRAMEDICA TOBALABA</v>
          </cell>
        </row>
        <row r="5363">
          <cell r="Z5363" t="str">
            <v>DENTAL</v>
          </cell>
          <cell r="AA5363" t="str">
            <v>INTEGRAMEDICA TOBALABA</v>
          </cell>
        </row>
        <row r="5364">
          <cell r="Z5364" t="str">
            <v>DENTAL</v>
          </cell>
        </row>
        <row r="5365">
          <cell r="Z5365" t="str">
            <v>DENTAL</v>
          </cell>
        </row>
        <row r="5366">
          <cell r="Z5366" t="str">
            <v>DENTAL</v>
          </cell>
          <cell r="AA5366" t="str">
            <v>CESFAM RAUL BRAÑES</v>
          </cell>
        </row>
        <row r="5367">
          <cell r="Z5367" t="str">
            <v>DENTAL</v>
          </cell>
          <cell r="AA5367" t="str">
            <v>SERVICIO DE SALUD TALCAHUANO</v>
          </cell>
        </row>
        <row r="5368">
          <cell r="Z5368" t="str">
            <v>DENTAL</v>
          </cell>
          <cell r="AA5368" t="str">
            <v>CESFAM URBANO DE ILLAPEL</v>
          </cell>
        </row>
        <row r="5369">
          <cell r="Z5369" t="str">
            <v>DENTAL</v>
          </cell>
        </row>
        <row r="5370">
          <cell r="Z5370" t="str">
            <v>DENTAL</v>
          </cell>
          <cell r="AA5370" t="str">
            <v>CESFAM URBANO DE ILLAPEL</v>
          </cell>
        </row>
        <row r="5371">
          <cell r="Z5371" t="str">
            <v>DENTAL</v>
          </cell>
        </row>
        <row r="5372">
          <cell r="Z5372" t="str">
            <v>DENTAL</v>
          </cell>
          <cell r="AA5372" t="str">
            <v>SOCIEDAD CONCESIONARIA METROPOLITANA DE SALUD S.A.</v>
          </cell>
        </row>
        <row r="5373">
          <cell r="Z5373" t="str">
            <v>DENTAL</v>
          </cell>
          <cell r="AA5373" t="str">
            <v>HOSPITAL DE SALAMANCA</v>
          </cell>
        </row>
        <row r="5374">
          <cell r="Z5374" t="str">
            <v>DENTAL</v>
          </cell>
          <cell r="AA5374" t="str">
            <v>SERVICIO DE SALUD DEL MAULE</v>
          </cell>
        </row>
        <row r="5375">
          <cell r="Z5375" t="str">
            <v>DENTAL</v>
          </cell>
          <cell r="AA5375" t="str">
            <v>CESFAM URBANO DE ILLAPEL</v>
          </cell>
        </row>
        <row r="5376">
          <cell r="Z5376" t="str">
            <v>DENTAL</v>
          </cell>
        </row>
        <row r="5377">
          <cell r="Z5377" t="str">
            <v>DENTAL</v>
          </cell>
          <cell r="AA5377" t="str">
            <v>HOSPITAL DE HUALAÑE</v>
          </cell>
        </row>
        <row r="5378">
          <cell r="Z5378" t="str">
            <v>DENTAL</v>
          </cell>
        </row>
        <row r="5379">
          <cell r="Z5379" t="str">
            <v>DENTAL</v>
          </cell>
        </row>
        <row r="5380">
          <cell r="Z5380" t="str">
            <v>DENTAL</v>
          </cell>
          <cell r="AA5380" t="str">
            <v>CESFAM COLBUN</v>
          </cell>
        </row>
        <row r="5381">
          <cell r="Z5381" t="str">
            <v>DENTAL</v>
          </cell>
        </row>
        <row r="5382">
          <cell r="Z5382" t="str">
            <v>DENTAL</v>
          </cell>
          <cell r="AA5382" t="str">
            <v>SERVICIO DE SALUD METROPOLITANO SUR</v>
          </cell>
        </row>
        <row r="5383">
          <cell r="Z5383" t="str">
            <v>DENTAL</v>
          </cell>
          <cell r="AA5383" t="str">
            <v>CENTRO ODONTOLOGICO SUECIA</v>
          </cell>
        </row>
        <row r="5384">
          <cell r="Z5384" t="str">
            <v>DENTAL</v>
          </cell>
          <cell r="AA5384" t="str">
            <v>HOSPITAL DE LA FLORIDA</v>
          </cell>
        </row>
        <row r="5385">
          <cell r="Z5385" t="str">
            <v>DENTAL</v>
          </cell>
          <cell r="AA5385" t="str">
            <v>HOSPITAL DE LA FLORIDA</v>
          </cell>
        </row>
        <row r="5386">
          <cell r="Z5386" t="str">
            <v>DENTAL</v>
          </cell>
          <cell r="AA5386" t="str">
            <v>HOSPITAL DE LA FLORIDA</v>
          </cell>
        </row>
        <row r="5387">
          <cell r="Z5387" t="str">
            <v>DENTAL</v>
          </cell>
          <cell r="AA5387" t="str">
            <v>HOSPITAL DE LA FLORIDA</v>
          </cell>
        </row>
        <row r="5388">
          <cell r="Z5388" t="str">
            <v>DENTAL</v>
          </cell>
          <cell r="AA5388" t="str">
            <v>HOSPITAL DE LA FLORIDA</v>
          </cell>
        </row>
        <row r="5389">
          <cell r="Z5389" t="str">
            <v>DENTAL</v>
          </cell>
          <cell r="AA5389" t="str">
            <v>HOSPITAL DE LA FLORIDA</v>
          </cell>
        </row>
        <row r="5390">
          <cell r="Z5390" t="str">
            <v>DENTAL</v>
          </cell>
          <cell r="AA5390" t="str">
            <v>HOSPITAL DE LA FLORIDA</v>
          </cell>
        </row>
        <row r="5391">
          <cell r="Z5391" t="str">
            <v>DENTAL</v>
          </cell>
          <cell r="AA5391" t="str">
            <v>GEMCO GENERAL MACHINERY S.A.</v>
          </cell>
        </row>
        <row r="5392">
          <cell r="Z5392" t="str">
            <v>DENTAL</v>
          </cell>
          <cell r="AA5392" t="str">
            <v>GEMCO GENERAL MACHINERY S.A.</v>
          </cell>
        </row>
        <row r="5393">
          <cell r="Z5393" t="str">
            <v>DENTAL</v>
          </cell>
        </row>
        <row r="5394">
          <cell r="Z5394" t="str">
            <v>DENTAL</v>
          </cell>
          <cell r="AA5394" t="str">
            <v>GEMCO GENERAL MACHINERY S.A.</v>
          </cell>
        </row>
        <row r="5395">
          <cell r="Z5395" t="str">
            <v>DENTAL</v>
          </cell>
          <cell r="AA5395" t="str">
            <v>HOSPITAL BASE DE LINARES</v>
          </cell>
        </row>
        <row r="5396">
          <cell r="Z5396" t="str">
            <v>DENTAL</v>
          </cell>
          <cell r="AA5396" t="str">
            <v>GEMCO GENERAL MACHINERY S.A.</v>
          </cell>
        </row>
        <row r="5397">
          <cell r="Z5397" t="str">
            <v>DENTAL</v>
          </cell>
          <cell r="AA5397" t="str">
            <v>MUNICIPALIDAD DE HUALPEN</v>
          </cell>
        </row>
        <row r="5398">
          <cell r="Z5398" t="str">
            <v>DENTAL</v>
          </cell>
          <cell r="AA5398" t="str">
            <v>CENTRO ODONTOLOGICO SUECIA</v>
          </cell>
        </row>
        <row r="5399">
          <cell r="Z5399" t="str">
            <v>DENTAL</v>
          </cell>
        </row>
        <row r="5400">
          <cell r="Z5400" t="str">
            <v>DENTAL</v>
          </cell>
        </row>
        <row r="5401">
          <cell r="Z5401" t="str">
            <v>DENTAL</v>
          </cell>
          <cell r="AA5401" t="str">
            <v>CESFAM LAS AMERICAS</v>
          </cell>
        </row>
        <row r="5402">
          <cell r="Z5402" t="str">
            <v>DENTAL</v>
          </cell>
          <cell r="AA5402" t="str">
            <v>CESFAM LAS AMERICAS</v>
          </cell>
        </row>
        <row r="5403">
          <cell r="Z5403" t="str">
            <v>DENTAL</v>
          </cell>
        </row>
        <row r="5404">
          <cell r="Z5404" t="str">
            <v>DENTAL</v>
          </cell>
          <cell r="AA5404" t="str">
            <v>CESFAM CAROL URZUA</v>
          </cell>
        </row>
        <row r="5405">
          <cell r="Z5405" t="str">
            <v>DENTAL</v>
          </cell>
          <cell r="AA5405" t="str">
            <v>CESFAM CAROL URZUA</v>
          </cell>
        </row>
        <row r="5406">
          <cell r="Z5406" t="str">
            <v>DENTAL</v>
          </cell>
          <cell r="AA5406" t="str">
            <v>LA ARAUCANA PUERTO MONTT</v>
          </cell>
        </row>
        <row r="5407">
          <cell r="Z5407" t="str">
            <v>DENTAL</v>
          </cell>
          <cell r="AA5407" t="str">
            <v>CESFAM CAROL URZUA</v>
          </cell>
        </row>
        <row r="5408">
          <cell r="Z5408" t="str">
            <v>DENTAL</v>
          </cell>
        </row>
        <row r="5409">
          <cell r="Z5409" t="str">
            <v>DENTAL</v>
          </cell>
        </row>
        <row r="5410">
          <cell r="Z5410" t="str">
            <v>DENTAL</v>
          </cell>
        </row>
        <row r="5411">
          <cell r="Z5411" t="str">
            <v>DENTAL</v>
          </cell>
        </row>
        <row r="5412">
          <cell r="Z5412" t="str">
            <v>DENTAL</v>
          </cell>
        </row>
        <row r="5413">
          <cell r="Z5413" t="str">
            <v>DENTAL</v>
          </cell>
          <cell r="AA5413" t="str">
            <v>CESFAM RENGO</v>
          </cell>
        </row>
        <row r="5414">
          <cell r="Z5414" t="str">
            <v>DENTAL</v>
          </cell>
          <cell r="AA5414" t="str">
            <v>CESFAM RENGO</v>
          </cell>
        </row>
        <row r="5415">
          <cell r="Z5415" t="str">
            <v>DENTAL</v>
          </cell>
          <cell r="AA5415" t="str">
            <v>CESFAM RENGO</v>
          </cell>
        </row>
        <row r="5416">
          <cell r="Z5416" t="str">
            <v>DENTAL</v>
          </cell>
        </row>
        <row r="5417">
          <cell r="Z5417" t="str">
            <v>DENTAL</v>
          </cell>
        </row>
        <row r="5418">
          <cell r="Z5418" t="str">
            <v>DENTAL</v>
          </cell>
          <cell r="AA5418" t="str">
            <v>LA ARAUCANA SALUD S.A.</v>
          </cell>
        </row>
        <row r="5419">
          <cell r="Z5419" t="str">
            <v>DENTAL</v>
          </cell>
          <cell r="AA5419" t="str">
            <v>LA ARAUCANA SALUD S.A.</v>
          </cell>
        </row>
        <row r="5420">
          <cell r="Z5420" t="str">
            <v>DENTAL</v>
          </cell>
          <cell r="AA5420" t="str">
            <v>LA ARAUCANA SALUD S.A.</v>
          </cell>
        </row>
        <row r="5421">
          <cell r="Z5421" t="str">
            <v>DENTAL</v>
          </cell>
          <cell r="AA5421" t="str">
            <v>LA ARAUCANA SALUD S.A.</v>
          </cell>
        </row>
        <row r="5422">
          <cell r="Z5422" t="str">
            <v>DENTAL</v>
          </cell>
          <cell r="AA5422" t="str">
            <v>LA ARAUCANA SALUD S.A.</v>
          </cell>
        </row>
        <row r="5423">
          <cell r="Z5423" t="str">
            <v>DENTAL</v>
          </cell>
          <cell r="AA5423" t="str">
            <v>LA ARAUCANA SALUD S.A.</v>
          </cell>
        </row>
        <row r="5424">
          <cell r="Z5424" t="str">
            <v>DENTAL</v>
          </cell>
          <cell r="AA5424" t="str">
            <v>LA ARAUCANA SALUD S.A.</v>
          </cell>
        </row>
        <row r="5425">
          <cell r="Z5425" t="str">
            <v>DENTAL</v>
          </cell>
          <cell r="AA5425" t="str">
            <v>LA ARAUCANA SALUD S.A.</v>
          </cell>
        </row>
        <row r="5426">
          <cell r="Z5426" t="str">
            <v>DENTAL</v>
          </cell>
          <cell r="AA5426" t="str">
            <v>LA ARAUCANA SALUD S.A.</v>
          </cell>
        </row>
        <row r="5427">
          <cell r="Z5427" t="str">
            <v>DENTAL</v>
          </cell>
          <cell r="AA5427" t="str">
            <v>LA ARAUCANA SALUD S.A.</v>
          </cell>
        </row>
        <row r="5428">
          <cell r="Z5428" t="str">
            <v>DENTAL</v>
          </cell>
          <cell r="AA5428" t="str">
            <v>HOSPITAL REGIONAL DE ANTOFAGASTA</v>
          </cell>
        </row>
        <row r="5429">
          <cell r="Z5429" t="str">
            <v>DENTAL</v>
          </cell>
          <cell r="AA5429" t="str">
            <v>HOSPITAL REGIONAL DE ANTOFAGASTA</v>
          </cell>
        </row>
        <row r="5430">
          <cell r="Z5430" t="str">
            <v>DENTAL</v>
          </cell>
          <cell r="AA5430" t="str">
            <v>LA ARAUCANA SALUD S.A.</v>
          </cell>
        </row>
        <row r="5431">
          <cell r="Z5431" t="str">
            <v>DENTAL</v>
          </cell>
          <cell r="AA5431" t="str">
            <v>LA ARAUCANA SALUD S.A.</v>
          </cell>
        </row>
        <row r="5432">
          <cell r="Z5432" t="str">
            <v>DENTAL</v>
          </cell>
          <cell r="AA5432" t="str">
            <v>LA ARAUCANA SALUD S.A.</v>
          </cell>
        </row>
        <row r="5433">
          <cell r="Z5433" t="str">
            <v>DENTAL</v>
          </cell>
          <cell r="AA5433" t="str">
            <v>LA ARAUCANA SALUD S.A.</v>
          </cell>
        </row>
        <row r="5434">
          <cell r="Z5434" t="str">
            <v>DENTAL</v>
          </cell>
          <cell r="AA5434" t="str">
            <v>LA ARAUCANA SALUD S.A.</v>
          </cell>
        </row>
        <row r="5435">
          <cell r="Z5435" t="str">
            <v>DENTAL</v>
          </cell>
          <cell r="AA5435" t="str">
            <v>LA ARAUCANA SALUD S.A.</v>
          </cell>
        </row>
        <row r="5436">
          <cell r="Z5436" t="str">
            <v>DENTAL</v>
          </cell>
          <cell r="AA5436" t="str">
            <v>LA ARAUCANA SALUD S.A.</v>
          </cell>
        </row>
        <row r="5437">
          <cell r="Z5437" t="str">
            <v>DENTAL</v>
          </cell>
          <cell r="AA5437" t="str">
            <v>LA ARAUCANA SALUD S.A.</v>
          </cell>
        </row>
        <row r="5438">
          <cell r="Z5438" t="str">
            <v>DENTAL</v>
          </cell>
        </row>
        <row r="5439">
          <cell r="Z5439" t="str">
            <v>DENTAL</v>
          </cell>
        </row>
        <row r="5440">
          <cell r="Z5440" t="str">
            <v>DENTAL</v>
          </cell>
        </row>
        <row r="5441">
          <cell r="Z5441" t="str">
            <v>DENTAL</v>
          </cell>
        </row>
        <row r="5442">
          <cell r="Z5442" t="str">
            <v>DENTAL</v>
          </cell>
        </row>
        <row r="5443">
          <cell r="Z5443" t="str">
            <v>DENTAL</v>
          </cell>
          <cell r="AA5443" t="str">
            <v>CESFAM NORPONIENTE DE CALAMA</v>
          </cell>
        </row>
        <row r="5444">
          <cell r="Z5444" t="str">
            <v>DENTAL</v>
          </cell>
        </row>
        <row r="5445">
          <cell r="Z5445" t="str">
            <v>DENTAL</v>
          </cell>
        </row>
        <row r="5446">
          <cell r="Z5446" t="str">
            <v>DENTAL</v>
          </cell>
          <cell r="AA5446" t="str">
            <v>HOSPITAL CLINICO HERMINDA MARTIN CHILLAN</v>
          </cell>
        </row>
        <row r="5447">
          <cell r="Z5447" t="str">
            <v>DENTAL</v>
          </cell>
          <cell r="AA5447" t="str">
            <v>ODONTOESTETICA</v>
          </cell>
        </row>
        <row r="5448">
          <cell r="Z5448" t="str">
            <v>DENTAL</v>
          </cell>
          <cell r="AA5448" t="str">
            <v>ODONTOESTETICA</v>
          </cell>
        </row>
        <row r="5449">
          <cell r="Z5449" t="str">
            <v>DENTAL</v>
          </cell>
          <cell r="AA5449" t="str">
            <v>INTEGRAMEDICA LA SERENA</v>
          </cell>
        </row>
        <row r="5450">
          <cell r="Z5450" t="str">
            <v>DENTAL</v>
          </cell>
        </row>
        <row r="5451">
          <cell r="Z5451" t="str">
            <v>DENTAL</v>
          </cell>
          <cell r="AA5451" t="str">
            <v>INTEGRAMEDICA BARCELONA</v>
          </cell>
        </row>
        <row r="5452">
          <cell r="Z5452" t="str">
            <v>DENTAL</v>
          </cell>
          <cell r="AA5452" t="str">
            <v>INTEGRAMEDICA LA SERENA</v>
          </cell>
        </row>
        <row r="5453">
          <cell r="Z5453" t="str">
            <v>DENTAL</v>
          </cell>
          <cell r="AA5453" t="str">
            <v>INTEGRAMEDICA S.A (Las Condes)</v>
          </cell>
        </row>
        <row r="5454">
          <cell r="Z5454" t="str">
            <v>DENTAL</v>
          </cell>
          <cell r="AA5454" t="str">
            <v>LA ARAUCANA SALUD  SAN ANTONIO</v>
          </cell>
        </row>
        <row r="5455">
          <cell r="Z5455" t="str">
            <v>DENTAL</v>
          </cell>
          <cell r="AA5455" t="str">
            <v>CESFAM CAROL URZUA</v>
          </cell>
        </row>
        <row r="5456">
          <cell r="Z5456" t="str">
            <v>DENTAL</v>
          </cell>
          <cell r="AA5456" t="str">
            <v>CESFAM CAROL URZUA</v>
          </cell>
        </row>
        <row r="5457">
          <cell r="Z5457" t="str">
            <v>DENTAL</v>
          </cell>
          <cell r="AA5457" t="str">
            <v>CESFAM CAROL URZUA</v>
          </cell>
        </row>
        <row r="5458">
          <cell r="Z5458" t="str">
            <v>DENTAL</v>
          </cell>
          <cell r="AA5458" t="str">
            <v>INTEGRAMEDICA LA SERENA</v>
          </cell>
        </row>
        <row r="5459">
          <cell r="Z5459" t="str">
            <v>DENTAL</v>
          </cell>
          <cell r="AA5459" t="str">
            <v>CESFAM CAROL URZUA</v>
          </cell>
        </row>
        <row r="5460">
          <cell r="Z5460" t="str">
            <v>DENTAL</v>
          </cell>
        </row>
        <row r="5461">
          <cell r="Z5461" t="str">
            <v>DENTAL</v>
          </cell>
          <cell r="AA5461" t="str">
            <v>CESFAM NORPONIENTE DE CALAMA</v>
          </cell>
        </row>
        <row r="5462">
          <cell r="Z5462" t="str">
            <v>DENTAL</v>
          </cell>
          <cell r="AA5462" t="str">
            <v>INTEGRAMEDICA LA SERENA</v>
          </cell>
        </row>
        <row r="5463">
          <cell r="Z5463" t="str">
            <v>DENTAL</v>
          </cell>
          <cell r="AA5463" t="str">
            <v>CESFAM CARLOS TRUPP TALCA</v>
          </cell>
        </row>
        <row r="5464">
          <cell r="Z5464" t="str">
            <v>DENTAL</v>
          </cell>
          <cell r="AA5464" t="str">
            <v>HOSPITAL DE CAUQUENES</v>
          </cell>
        </row>
        <row r="5465">
          <cell r="Z5465" t="str">
            <v>DENTAL</v>
          </cell>
          <cell r="AA5465" t="str">
            <v>HOSPITAL DE CAUQUENES</v>
          </cell>
        </row>
        <row r="5466">
          <cell r="Z5466" t="str">
            <v>DENTAL</v>
          </cell>
          <cell r="AA5466" t="str">
            <v>HOSPITAL BASE DE LINARES</v>
          </cell>
        </row>
        <row r="5467">
          <cell r="Z5467" t="str">
            <v>DENTAL</v>
          </cell>
          <cell r="AA5467" t="str">
            <v>CESFAM ARAUCO</v>
          </cell>
        </row>
        <row r="5468">
          <cell r="Z5468" t="str">
            <v>DENTAL</v>
          </cell>
          <cell r="AA5468" t="str">
            <v>HOSPITAL BASE DE LINARES</v>
          </cell>
        </row>
        <row r="5469">
          <cell r="Z5469" t="str">
            <v>DENTAL</v>
          </cell>
          <cell r="AA5469" t="str">
            <v>HOSPITAL BASE DE LINARES</v>
          </cell>
        </row>
        <row r="5470">
          <cell r="Z5470" t="str">
            <v>DENTAL</v>
          </cell>
        </row>
        <row r="5471">
          <cell r="Z5471" t="str">
            <v>DENTAL</v>
          </cell>
          <cell r="AA5471" t="str">
            <v>HOSPITAL DE HUALAÑE</v>
          </cell>
        </row>
        <row r="5472">
          <cell r="Z5472" t="str">
            <v>DENTAL</v>
          </cell>
        </row>
        <row r="5473">
          <cell r="Z5473" t="str">
            <v>DENTAL</v>
          </cell>
          <cell r="AA5473" t="str">
            <v>CESFAM ARAUCO</v>
          </cell>
        </row>
        <row r="5474">
          <cell r="Z5474" t="str">
            <v>DENTAL</v>
          </cell>
          <cell r="AA5474" t="str">
            <v>CESFAM ARAUCO</v>
          </cell>
        </row>
        <row r="5475">
          <cell r="Z5475" t="str">
            <v>DENTAL</v>
          </cell>
          <cell r="AA5475" t="str">
            <v>HOSPITAL DE FRUTILLAR</v>
          </cell>
        </row>
        <row r="5476">
          <cell r="Z5476" t="str">
            <v>DENTAL</v>
          </cell>
          <cell r="AA5476" t="str">
            <v>HOSPITAL DE CAUQUENES</v>
          </cell>
        </row>
        <row r="5477">
          <cell r="Z5477" t="str">
            <v>DENTAL</v>
          </cell>
          <cell r="AA5477" t="str">
            <v>HOSPITAL BASE DE LINARES</v>
          </cell>
        </row>
        <row r="5478">
          <cell r="Z5478" t="str">
            <v>DENTAL</v>
          </cell>
          <cell r="AA5478" t="str">
            <v>HOSPITAL BASE DE LINARES</v>
          </cell>
        </row>
        <row r="5479">
          <cell r="Z5479" t="str">
            <v>DENTAL</v>
          </cell>
          <cell r="AA5479" t="str">
            <v>HOSPITAL BASE DE LINARES</v>
          </cell>
        </row>
        <row r="5480">
          <cell r="Z5480" t="str">
            <v>DENTAL</v>
          </cell>
        </row>
        <row r="5481">
          <cell r="Z5481" t="str">
            <v>DENTAL</v>
          </cell>
          <cell r="AA5481" t="str">
            <v>HOSPITAL BASE DE LINARES</v>
          </cell>
        </row>
        <row r="5482">
          <cell r="Z5482" t="str">
            <v>DENTAL</v>
          </cell>
          <cell r="AA5482" t="str">
            <v>HOSPITAL DE PARRAL</v>
          </cell>
        </row>
        <row r="5483">
          <cell r="Z5483" t="str">
            <v>DENTAL</v>
          </cell>
          <cell r="AA5483" t="str">
            <v>CESFAM MACHALI</v>
          </cell>
        </row>
        <row r="5484">
          <cell r="Z5484" t="str">
            <v>DENTAL</v>
          </cell>
          <cell r="AA5484" t="str">
            <v>INTEGRAMEDICA LA SERENA</v>
          </cell>
        </row>
        <row r="5485">
          <cell r="Z5485" t="str">
            <v>DENTAL</v>
          </cell>
          <cell r="AA5485" t="str">
            <v>CESFAM MACHALI</v>
          </cell>
        </row>
        <row r="5486">
          <cell r="Z5486" t="str">
            <v>DENTAL</v>
          </cell>
        </row>
        <row r="5487">
          <cell r="Z5487" t="str">
            <v>DENTAL</v>
          </cell>
          <cell r="AA5487" t="str">
            <v>HOSPITAL SAN VICENTE TAGUA TAGUA</v>
          </cell>
        </row>
        <row r="5488">
          <cell r="Z5488" t="str">
            <v>DENTAL</v>
          </cell>
          <cell r="AA5488" t="str">
            <v>HOSPITAL DE PICHILEMU</v>
          </cell>
        </row>
        <row r="5489">
          <cell r="Z5489" t="str">
            <v>DENTAL</v>
          </cell>
          <cell r="AA5489" t="str">
            <v>CRS PEÑALOLEN CORDILLERA ORIENTE </v>
          </cell>
        </row>
        <row r="5490">
          <cell r="Z5490" t="str">
            <v>DENTAL</v>
          </cell>
        </row>
        <row r="5491">
          <cell r="Z5491" t="str">
            <v>DENTAL</v>
          </cell>
          <cell r="AA5491" t="str">
            <v>HOSPITAL EL CARMEN DR. LUIS VALENTIN FERRADA</v>
          </cell>
        </row>
        <row r="5492">
          <cell r="Z5492" t="str">
            <v>DENTAL</v>
          </cell>
        </row>
        <row r="5493">
          <cell r="Z5493" t="str">
            <v>DENTAL</v>
          </cell>
          <cell r="AA5493" t="str">
            <v>CESFAM ARAUCO</v>
          </cell>
        </row>
        <row r="5494">
          <cell r="Z5494" t="str">
            <v>DENTAL</v>
          </cell>
          <cell r="AA5494" t="str">
            <v>CESFAM ARAUCO</v>
          </cell>
        </row>
        <row r="5495">
          <cell r="Z5495" t="str">
            <v>DENTAL</v>
          </cell>
        </row>
        <row r="5496">
          <cell r="Z5496" t="str">
            <v>DENTAL</v>
          </cell>
          <cell r="AA5496" t="str">
            <v>CENTRO PLAZA DE JUSTICIA</v>
          </cell>
        </row>
        <row r="5497">
          <cell r="Z5497" t="str">
            <v>DENTAL</v>
          </cell>
          <cell r="AA5497" t="str">
            <v>HOSPITAL DE HUALAÑE</v>
          </cell>
        </row>
        <row r="5498">
          <cell r="Z5498" t="str">
            <v>DENTAL</v>
          </cell>
        </row>
        <row r="5499">
          <cell r="Z5499" t="str">
            <v>DENTAL</v>
          </cell>
          <cell r="AA5499" t="str">
            <v>HOSPITAL DE CAUQUENES</v>
          </cell>
        </row>
        <row r="5500">
          <cell r="Z5500" t="str">
            <v>DENTAL</v>
          </cell>
        </row>
        <row r="5501">
          <cell r="Z5501" t="str">
            <v>DENTAL</v>
          </cell>
        </row>
        <row r="5502">
          <cell r="Z5502" t="str">
            <v>DENTAL</v>
          </cell>
        </row>
        <row r="5503">
          <cell r="Z5503" t="str">
            <v>DENTAL</v>
          </cell>
        </row>
        <row r="5504">
          <cell r="Z5504" t="str">
            <v>DENTAL</v>
          </cell>
        </row>
        <row r="5505">
          <cell r="Z5505" t="str">
            <v>DENTAL</v>
          </cell>
          <cell r="AA5505" t="str">
            <v>HOSPITAL EL CARMEN DR. LUIS VALENTIN FERRADA</v>
          </cell>
        </row>
        <row r="5506">
          <cell r="Z5506" t="str">
            <v>DENTAL</v>
          </cell>
          <cell r="AA5506" t="str">
            <v>HOSPITAL EL CARMEN DR. LUIS VALENTIN FERRADA</v>
          </cell>
        </row>
        <row r="5507">
          <cell r="Z5507" t="str">
            <v>DENTAL</v>
          </cell>
        </row>
        <row r="5508">
          <cell r="Z5508" t="str">
            <v>DENTAL</v>
          </cell>
        </row>
        <row r="5509">
          <cell r="Z5509" t="str">
            <v>DENTAL</v>
          </cell>
        </row>
        <row r="5510">
          <cell r="Z5510" t="str">
            <v>DENTAL</v>
          </cell>
          <cell r="AA5510" t="str">
            <v>HOSPITAL EL CARMEN DR. LUIS VALENTIN FERRADA</v>
          </cell>
        </row>
        <row r="5511">
          <cell r="Z5511" t="str">
            <v>DENTAL</v>
          </cell>
          <cell r="AA5511" t="str">
            <v>HOSPITAL EL CARMEN DR. LUIS VALENTIN FERRADA</v>
          </cell>
        </row>
        <row r="5512">
          <cell r="Z5512" t="str">
            <v>DENTAL</v>
          </cell>
        </row>
        <row r="5513">
          <cell r="Z5513" t="str">
            <v>DENTAL</v>
          </cell>
          <cell r="AA5513" t="str">
            <v>HOSPITAL EL CARMEN DR. LUIS VALENTIN FERRADA</v>
          </cell>
        </row>
        <row r="5514">
          <cell r="Z5514" t="str">
            <v>DENTAL</v>
          </cell>
          <cell r="AA5514" t="str">
            <v>HOSPITAL EL CARMEN DR. LUIS VALENTIN FERRADA</v>
          </cell>
        </row>
        <row r="5515">
          <cell r="Z5515" t="str">
            <v>DENTAL</v>
          </cell>
          <cell r="AA5515" t="str">
            <v>HOSPITAL EL CARMEN DR. LUIS VALENTIN FERRADA</v>
          </cell>
        </row>
        <row r="5516">
          <cell r="Z5516" t="str">
            <v>DENTAL</v>
          </cell>
        </row>
        <row r="5517">
          <cell r="Z5517" t="str">
            <v>DENTAL</v>
          </cell>
        </row>
        <row r="5518">
          <cell r="Z5518" t="str">
            <v>DENTAL</v>
          </cell>
        </row>
        <row r="5519">
          <cell r="Z5519" t="str">
            <v>DENTAL</v>
          </cell>
          <cell r="AA5519" t="str">
            <v>HOSPITAL EL CARMEN DR. LUIS VALENTIN FERRADA</v>
          </cell>
        </row>
        <row r="5520">
          <cell r="Z5520" t="str">
            <v>DENTAL</v>
          </cell>
          <cell r="AA5520" t="str">
            <v>HOSPITAL EL CARMEN DR. LUIS VALENTIN FERRADA</v>
          </cell>
        </row>
        <row r="5521">
          <cell r="Z5521" t="str">
            <v>DENTAL</v>
          </cell>
          <cell r="AA5521" t="str">
            <v>HOSPITAL EL CARMEN DR. LUIS VALENTIN FERRADA</v>
          </cell>
        </row>
        <row r="5522">
          <cell r="Z5522" t="str">
            <v>DENTAL</v>
          </cell>
          <cell r="AA5522" t="str">
            <v>HOSPITAL DE LA FLORIDA</v>
          </cell>
        </row>
        <row r="5523">
          <cell r="Z5523" t="str">
            <v>DENTAL</v>
          </cell>
        </row>
        <row r="5524">
          <cell r="Z5524" t="str">
            <v>DENTAL</v>
          </cell>
          <cell r="AA5524" t="str">
            <v>HOSPITAL DE LA FLORIDA</v>
          </cell>
        </row>
        <row r="5525">
          <cell r="Z5525" t="str">
            <v>DENTAL</v>
          </cell>
          <cell r="AA5525" t="str">
            <v>HOSPITAL DE LA FLORIDA</v>
          </cell>
        </row>
        <row r="5526">
          <cell r="Z5526" t="str">
            <v>DENTAL</v>
          </cell>
        </row>
        <row r="5527">
          <cell r="Z5527" t="str">
            <v>DENTAL</v>
          </cell>
          <cell r="AA5527" t="str">
            <v>CESFAM CORDILLERA ANDINA</v>
          </cell>
        </row>
        <row r="5528">
          <cell r="Z5528" t="str">
            <v>DENTAL</v>
          </cell>
          <cell r="AA5528" t="str">
            <v>INTEGRAMEDICA LA SERENA</v>
          </cell>
        </row>
        <row r="5529">
          <cell r="Z5529" t="str">
            <v>DENTAL</v>
          </cell>
        </row>
        <row r="5530">
          <cell r="Z5530" t="str">
            <v>DENTAL</v>
          </cell>
          <cell r="AA5530" t="str">
            <v>DR. CLAUDIO ARROYO</v>
          </cell>
        </row>
        <row r="5531">
          <cell r="Z5531" t="str">
            <v>DENTAL</v>
          </cell>
          <cell r="AA5531" t="str">
            <v>CESFAM CORDILLERA ANDINA</v>
          </cell>
        </row>
        <row r="5532">
          <cell r="Z5532" t="str">
            <v>DENTAL</v>
          </cell>
          <cell r="AA5532" t="str">
            <v>COMPLEJO ASISTENCIAL DR.SOTERO DEL RIO</v>
          </cell>
        </row>
        <row r="5533">
          <cell r="Z5533" t="str">
            <v>DENTAL</v>
          </cell>
          <cell r="AA5533" t="str">
            <v>CESFAM CORDILLERA ANDINA</v>
          </cell>
        </row>
        <row r="5534">
          <cell r="Z5534" t="str">
            <v>DENTAL</v>
          </cell>
          <cell r="AA5534" t="str">
            <v>CESFAM CORDILLERA ANDINA</v>
          </cell>
        </row>
        <row r="5535">
          <cell r="Z5535" t="str">
            <v>DENTAL</v>
          </cell>
          <cell r="AA5535" t="str">
            <v>CESFAM CORDILLERA ANDINA</v>
          </cell>
        </row>
        <row r="5536">
          <cell r="Z5536" t="str">
            <v>DENTAL</v>
          </cell>
          <cell r="AA5536" t="str">
            <v>CESFAM CORDILLERA ANDINA</v>
          </cell>
        </row>
        <row r="5537">
          <cell r="Z5537" t="str">
            <v>DENTAL</v>
          </cell>
        </row>
        <row r="5538">
          <cell r="Z5538" t="str">
            <v>DENTAL</v>
          </cell>
          <cell r="AA5538" t="str">
            <v>ODONTOLOGIA GARCIA TOMASSOVICH S.A.</v>
          </cell>
        </row>
        <row r="5539">
          <cell r="Z5539" t="str">
            <v>DENTAL</v>
          </cell>
        </row>
        <row r="5540">
          <cell r="Z5540" t="str">
            <v>DENTAL</v>
          </cell>
          <cell r="AA5540" t="str">
            <v>GEMCO GENERAL MACHINERY S.A.</v>
          </cell>
        </row>
        <row r="5541">
          <cell r="Z5541" t="str">
            <v>DENTAL</v>
          </cell>
        </row>
        <row r="5542">
          <cell r="Z5542" t="str">
            <v>DENTAL</v>
          </cell>
        </row>
        <row r="5543">
          <cell r="Z5543" t="str">
            <v>DENTAL</v>
          </cell>
          <cell r="AA5543" t="str">
            <v>LA ARAUCANA SALUD S.A.</v>
          </cell>
        </row>
        <row r="5544">
          <cell r="Z5544" t="str">
            <v>DENTAL</v>
          </cell>
          <cell r="AA5544" t="str">
            <v>HOSPITAL LA LIGUA</v>
          </cell>
        </row>
        <row r="5545">
          <cell r="Z5545" t="str">
            <v>DENTAL</v>
          </cell>
        </row>
        <row r="5546">
          <cell r="Z5546" t="str">
            <v>DENTAL</v>
          </cell>
          <cell r="AA5546" t="str">
            <v>HOSPITAL DE QUIRIHUE</v>
          </cell>
        </row>
        <row r="5547">
          <cell r="Z5547" t="str">
            <v>DENTAL</v>
          </cell>
        </row>
        <row r="5548">
          <cell r="Z5548" t="str">
            <v>DENTAL</v>
          </cell>
          <cell r="AA5548" t="str">
            <v>INTEGRAMEDICA ESTACION CENTRAL</v>
          </cell>
        </row>
        <row r="5549">
          <cell r="Z5549" t="str">
            <v>DENTAL</v>
          </cell>
          <cell r="AA5549" t="str">
            <v>MEGASALUD S.A.</v>
          </cell>
        </row>
        <row r="5550">
          <cell r="Z5550" t="str">
            <v>DENTAL</v>
          </cell>
          <cell r="AA5550" t="str">
            <v>INTEGRAMEDICA SAN MIGUEL</v>
          </cell>
        </row>
        <row r="5551">
          <cell r="Z5551" t="str">
            <v>DENTAL</v>
          </cell>
        </row>
        <row r="5552">
          <cell r="Z5552" t="str">
            <v>DENTAL</v>
          </cell>
          <cell r="AA5552" t="str">
            <v>MEGASALUD S.A.</v>
          </cell>
        </row>
        <row r="5553">
          <cell r="Z5553" t="str">
            <v>DENTAL</v>
          </cell>
        </row>
        <row r="5554">
          <cell r="Z5554" t="str">
            <v>DENTAL</v>
          </cell>
          <cell r="AA5554" t="str">
            <v>LA ARAUCANA SALUD S.A.</v>
          </cell>
        </row>
        <row r="5555">
          <cell r="Z5555" t="str">
            <v>DENTAL</v>
          </cell>
          <cell r="AA5555" t="str">
            <v>MEGASALUD S.A.</v>
          </cell>
        </row>
        <row r="5556">
          <cell r="Z5556" t="str">
            <v>DENTAL</v>
          </cell>
          <cell r="AA5556" t="str">
            <v>VICTOR PATRICIO CANALES BURGOS</v>
          </cell>
        </row>
        <row r="5557">
          <cell r="Z5557" t="str">
            <v>DENTAL</v>
          </cell>
        </row>
        <row r="5558">
          <cell r="Z5558" t="str">
            <v>DENTAL</v>
          </cell>
        </row>
        <row r="5559">
          <cell r="Z5559" t="str">
            <v>DENTAL</v>
          </cell>
          <cell r="AA5559" t="str">
            <v>GEMCO GENERAL MACHINERY S.A.</v>
          </cell>
        </row>
        <row r="5560">
          <cell r="Z5560" t="str">
            <v>DENTAL</v>
          </cell>
          <cell r="AA5560" t="str">
            <v>INTEGRAMEDICA ALAMEDA</v>
          </cell>
        </row>
        <row r="5561">
          <cell r="Z5561" t="str">
            <v>DENTAL</v>
          </cell>
        </row>
        <row r="5562">
          <cell r="Z5562" t="str">
            <v>DENTAL</v>
          </cell>
          <cell r="AA5562" t="str">
            <v>GEMCO GENERAL MACHINERY S.A.</v>
          </cell>
        </row>
        <row r="5563">
          <cell r="Z5563" t="str">
            <v>DENTAL</v>
          </cell>
          <cell r="AA5563" t="str">
            <v>HOSPITAL DE QUIRIHUE</v>
          </cell>
        </row>
        <row r="5564">
          <cell r="Z5564" t="str">
            <v>DENTAL</v>
          </cell>
          <cell r="AA5564" t="str">
            <v>GEMCO GENERAL MACHINERY S.A.</v>
          </cell>
        </row>
        <row r="5565">
          <cell r="Z5565" t="str">
            <v>DENTAL</v>
          </cell>
          <cell r="AA5565" t="str">
            <v>LA ARAUCANA PUERTO MONTT</v>
          </cell>
        </row>
        <row r="5566">
          <cell r="Z5566" t="str">
            <v>DENTAL</v>
          </cell>
        </row>
        <row r="5567">
          <cell r="Z5567" t="str">
            <v>DENTAL</v>
          </cell>
          <cell r="AA5567" t="str">
            <v>HOSPITAL DE QUIRIHUE</v>
          </cell>
        </row>
        <row r="5568">
          <cell r="Z5568" t="str">
            <v>DENTAL</v>
          </cell>
          <cell r="AA5568" t="str">
            <v>HOSPITAL DE LA FLORIDA</v>
          </cell>
        </row>
        <row r="5569">
          <cell r="Z5569" t="str">
            <v>DENTAL</v>
          </cell>
        </row>
        <row r="5570">
          <cell r="Z5570" t="str">
            <v>DENTAL</v>
          </cell>
          <cell r="AA5570" t="str">
            <v>HOSPITAL DE LA FLORIDA</v>
          </cell>
        </row>
        <row r="5571">
          <cell r="Z5571" t="str">
            <v>DENTAL</v>
          </cell>
          <cell r="AA5571" t="str">
            <v>HOSPITAL DE LA FLORIDA</v>
          </cell>
        </row>
        <row r="5572">
          <cell r="Z5572" t="str">
            <v>DENTAL</v>
          </cell>
          <cell r="AA5572" t="str">
            <v>HOSPITAL DE LA FLORIDA</v>
          </cell>
        </row>
        <row r="5573">
          <cell r="Z5573" t="str">
            <v>DENTAL</v>
          </cell>
          <cell r="AA5573" t="str">
            <v>HOSPITAL DE LA FLORIDA</v>
          </cell>
        </row>
        <row r="5574">
          <cell r="Z5574" t="str">
            <v>DENTAL</v>
          </cell>
          <cell r="AA5574" t="str">
            <v>CESFAM NORPONIENTE DE CALAMA</v>
          </cell>
        </row>
        <row r="5575">
          <cell r="Z5575" t="str">
            <v>DENTAL</v>
          </cell>
        </row>
        <row r="5576">
          <cell r="Z5576" t="str">
            <v>DENTAL</v>
          </cell>
          <cell r="AA5576" t="str">
            <v>CESFAM NORPONIENTE DE CALAMA</v>
          </cell>
        </row>
        <row r="5577">
          <cell r="Z5577" t="str">
            <v>DENTAL</v>
          </cell>
          <cell r="AA5577" t="str">
            <v>HOSPITAL DE LA FLORIDA</v>
          </cell>
        </row>
        <row r="5578">
          <cell r="Z5578" t="str">
            <v>DENTAL</v>
          </cell>
          <cell r="AA5578" t="str">
            <v>HOSPITAL DE LA FLORIDA</v>
          </cell>
        </row>
        <row r="5579">
          <cell r="Z5579" t="str">
            <v>DENTAL</v>
          </cell>
          <cell r="AA5579" t="str">
            <v>CENTRO ODONTOLOGICO SUECIA</v>
          </cell>
        </row>
        <row r="5580">
          <cell r="Z5580" t="str">
            <v>DENTAL</v>
          </cell>
        </row>
        <row r="5581">
          <cell r="Z5581" t="str">
            <v>DENTAL</v>
          </cell>
          <cell r="AA5581" t="str">
            <v>CESFAM ROMERAL</v>
          </cell>
        </row>
        <row r="5582">
          <cell r="Z5582" t="str">
            <v>DENTAL</v>
          </cell>
          <cell r="AA5582" t="str">
            <v>SERVICIOS DE SALUD INTEGRALES  DE SALUD LTDA.</v>
          </cell>
        </row>
        <row r="5583">
          <cell r="Z5583" t="str">
            <v>DENTAL</v>
          </cell>
          <cell r="AA5583" t="str">
            <v>SERVICIOS DE SALUD INTEGRALES  DE SALUD LTDA.</v>
          </cell>
        </row>
        <row r="5584">
          <cell r="Z5584" t="str">
            <v>DENTAL</v>
          </cell>
          <cell r="AA5584" t="str">
            <v>SERVICIOS DE SALUD INTEGRALES  DE SALUD LTDA.</v>
          </cell>
        </row>
        <row r="5585">
          <cell r="Z5585" t="str">
            <v>DENTAL</v>
          </cell>
          <cell r="AA5585" t="str">
            <v>SERVICIOS DE SALUD INTEGRALES  DE SALUD LTDA.</v>
          </cell>
        </row>
        <row r="5586">
          <cell r="Z5586" t="str">
            <v>DENTAL</v>
          </cell>
          <cell r="AA5586" t="str">
            <v>SERVICIOS DE SALUD INTEGRALES  DE SALUD LTDA.</v>
          </cell>
        </row>
        <row r="5587">
          <cell r="Z5587" t="str">
            <v>DENTAL</v>
          </cell>
          <cell r="AA5587" t="str">
            <v>INTEGRAMEDICA VESPUCIO</v>
          </cell>
        </row>
        <row r="5588">
          <cell r="Z5588" t="str">
            <v>DENTAL</v>
          </cell>
          <cell r="AA5588" t="str">
            <v>INTEGRAMEDICA VESPUCIO</v>
          </cell>
        </row>
        <row r="5589">
          <cell r="Z5589" t="str">
            <v>DENTAL</v>
          </cell>
          <cell r="AA5589" t="str">
            <v>INTEGRAMEDICA VESPUCIO</v>
          </cell>
        </row>
        <row r="5590">
          <cell r="Z5590" t="str">
            <v>DENTAL</v>
          </cell>
          <cell r="AA5590" t="str">
            <v>GEMCO GENERAL MACHINERY S.A.</v>
          </cell>
        </row>
        <row r="5591">
          <cell r="Z5591" t="str">
            <v>DENTAL</v>
          </cell>
          <cell r="AA5591" t="str">
            <v>GEMCO GENERAL MACHINERY S.A.</v>
          </cell>
        </row>
        <row r="5592">
          <cell r="Z5592" t="str">
            <v>DENTAL</v>
          </cell>
          <cell r="AA5592" t="str">
            <v>LA ARAUCANA SALUD  SAN ANTONIO</v>
          </cell>
        </row>
        <row r="5593">
          <cell r="Z5593" t="str">
            <v>DENTAL</v>
          </cell>
          <cell r="AA5593" t="str">
            <v>INTEGRAMEDICA VESPUCIO</v>
          </cell>
        </row>
        <row r="5594">
          <cell r="Z5594" t="str">
            <v>DENTAL</v>
          </cell>
        </row>
        <row r="5595">
          <cell r="Z5595" t="str">
            <v>DENTAL</v>
          </cell>
          <cell r="AA5595" t="str">
            <v>INTEGRAMEDICA VESPUCIO</v>
          </cell>
        </row>
        <row r="5596">
          <cell r="Z5596" t="str">
            <v>DENTAL</v>
          </cell>
          <cell r="AA5596" t="str">
            <v>LA ARAUCANA SALUD  SAN ANTONIO</v>
          </cell>
        </row>
        <row r="5597">
          <cell r="Z5597" t="str">
            <v>DENTAL</v>
          </cell>
          <cell r="AA5597" t="str">
            <v>CLINICA ORTHODENT</v>
          </cell>
        </row>
        <row r="5598">
          <cell r="Z5598" t="str">
            <v>DENTAL</v>
          </cell>
        </row>
        <row r="5599">
          <cell r="Z5599" t="str">
            <v>DENTAL</v>
          </cell>
        </row>
        <row r="5600">
          <cell r="Z5600" t="str">
            <v>DENTAL</v>
          </cell>
          <cell r="AA5600" t="str">
            <v>INTEGRAMEDICA VESPUCIO</v>
          </cell>
        </row>
        <row r="5601">
          <cell r="Z5601" t="str">
            <v>DENTAL</v>
          </cell>
          <cell r="AA5601" t="str">
            <v>INTEGRAMEDICA VESPUCIO</v>
          </cell>
        </row>
        <row r="5602">
          <cell r="Z5602" t="str">
            <v>DENTAL</v>
          </cell>
          <cell r="AA5602" t="str">
            <v>INTEGRAMEDICA VESPUCIO</v>
          </cell>
        </row>
        <row r="5603">
          <cell r="Z5603" t="str">
            <v>DENTAL</v>
          </cell>
        </row>
        <row r="5604">
          <cell r="Z5604" t="str">
            <v>DENTAL</v>
          </cell>
        </row>
        <row r="5605">
          <cell r="Z5605" t="str">
            <v>DENTAL</v>
          </cell>
          <cell r="AA5605" t="str">
            <v>LA ARAUCANA SALUD S.A.</v>
          </cell>
        </row>
        <row r="5606">
          <cell r="Z5606" t="str">
            <v>DENTAL</v>
          </cell>
          <cell r="AA5606" t="str">
            <v>CLINICA ORTHODENT</v>
          </cell>
        </row>
        <row r="5607">
          <cell r="Z5607" t="str">
            <v>DENTAL</v>
          </cell>
        </row>
        <row r="5608">
          <cell r="Z5608" t="str">
            <v>DENTAL</v>
          </cell>
        </row>
        <row r="5609">
          <cell r="Z5609" t="str">
            <v>DENTAL</v>
          </cell>
          <cell r="AA5609" t="str">
            <v>INTEGRAMEDICA VESPUCIO</v>
          </cell>
        </row>
        <row r="5610">
          <cell r="Z5610" t="str">
            <v>DENTAL</v>
          </cell>
          <cell r="AA5610" t="str">
            <v>INTEGRAMEDICA VESPUCIO</v>
          </cell>
        </row>
        <row r="5611">
          <cell r="Z5611" t="str">
            <v>DENTAL</v>
          </cell>
          <cell r="AA5611" t="str">
            <v>CLINICA ORTHODENT</v>
          </cell>
        </row>
        <row r="5612">
          <cell r="Z5612" t="str">
            <v>DENTAL</v>
          </cell>
          <cell r="AA5612" t="str">
            <v>GEMCO GENERAL MACHINERY S.A.</v>
          </cell>
        </row>
        <row r="5613">
          <cell r="Z5613" t="str">
            <v>DENTAL</v>
          </cell>
          <cell r="AA5613" t="str">
            <v>CLINICA ORTHODENT</v>
          </cell>
        </row>
        <row r="5614">
          <cell r="Z5614" t="str">
            <v>DENTAL</v>
          </cell>
        </row>
        <row r="5615">
          <cell r="Z5615" t="str">
            <v>DENTAL</v>
          </cell>
          <cell r="AA5615" t="str">
            <v>CLINICA ORTHODENT</v>
          </cell>
        </row>
        <row r="5616">
          <cell r="Z5616" t="str">
            <v>DENTAL</v>
          </cell>
          <cell r="AA5616" t="str">
            <v>CLINICA ORTHODENT</v>
          </cell>
        </row>
        <row r="5617">
          <cell r="Z5617" t="str">
            <v>DENTAL</v>
          </cell>
          <cell r="AA5617" t="str">
            <v>CLINICA ORTHODENT</v>
          </cell>
        </row>
        <row r="5618">
          <cell r="Z5618" t="str">
            <v>DENTAL</v>
          </cell>
          <cell r="AA5618" t="str">
            <v>INTEGRAMEDICA VESPUCIO</v>
          </cell>
        </row>
        <row r="5619">
          <cell r="Z5619" t="str">
            <v>DENTAL</v>
          </cell>
          <cell r="AA5619" t="str">
            <v>INTEGRAMEDICA VESPUCIO</v>
          </cell>
        </row>
        <row r="5620">
          <cell r="Z5620" t="str">
            <v>DENTAL</v>
          </cell>
          <cell r="AA5620" t="str">
            <v>CLINICA ORTHODENT</v>
          </cell>
        </row>
        <row r="5621">
          <cell r="Z5621" t="str">
            <v>DENTAL</v>
          </cell>
          <cell r="AA5621" t="str">
            <v>INTEGRAMEDICA VESPUCIO</v>
          </cell>
        </row>
        <row r="5622">
          <cell r="Z5622" t="str">
            <v>DENTAL</v>
          </cell>
          <cell r="AA5622" t="str">
            <v>INTEGRAMEDICA VESPUCIO</v>
          </cell>
        </row>
        <row r="5623">
          <cell r="Z5623" t="str">
            <v>DENTAL</v>
          </cell>
        </row>
        <row r="5624">
          <cell r="Z5624" t="str">
            <v>DENTAL</v>
          </cell>
        </row>
        <row r="5625">
          <cell r="Z5625" t="str">
            <v>DENTAL</v>
          </cell>
          <cell r="AA5625" t="str">
            <v>INTEGRAMEDICA ESTACION CENTRAL</v>
          </cell>
        </row>
        <row r="5626">
          <cell r="Z5626" t="str">
            <v>DENTAL</v>
          </cell>
          <cell r="AA5626" t="str">
            <v>INTEGRAMEDICA ESTACION CENTRAL</v>
          </cell>
        </row>
        <row r="5627">
          <cell r="Z5627" t="str">
            <v>DENTAL</v>
          </cell>
        </row>
        <row r="5628">
          <cell r="Z5628" t="str">
            <v>DENTAL</v>
          </cell>
        </row>
        <row r="5629">
          <cell r="Z5629" t="str">
            <v>DENTAL</v>
          </cell>
        </row>
        <row r="5630">
          <cell r="Z5630" t="str">
            <v>DENTAL</v>
          </cell>
          <cell r="AA5630" t="str">
            <v>LA ARAUCANA SALUD TEMUCO</v>
          </cell>
        </row>
        <row r="5631">
          <cell r="Z5631" t="str">
            <v>DENTAL</v>
          </cell>
        </row>
        <row r="5632">
          <cell r="Z5632" t="str">
            <v>DENTAL</v>
          </cell>
        </row>
        <row r="5633">
          <cell r="Z5633" t="str">
            <v>DENTAL</v>
          </cell>
        </row>
        <row r="5634">
          <cell r="Z5634" t="str">
            <v>DENTAL</v>
          </cell>
          <cell r="AA5634" t="str">
            <v>LA ARAUCANA SALUD TEMUCO</v>
          </cell>
        </row>
        <row r="5635">
          <cell r="Z5635" t="str">
            <v>DENTAL</v>
          </cell>
          <cell r="AA5635" t="str">
            <v>LA ARAUCANA SALUD TEMUCO</v>
          </cell>
        </row>
        <row r="5636">
          <cell r="Z5636" t="str">
            <v>DENTAL</v>
          </cell>
        </row>
        <row r="5637">
          <cell r="Z5637" t="str">
            <v>DENTAL</v>
          </cell>
          <cell r="AA5637" t="str">
            <v>LA ARAUCANA SALUD  SAN ANTONIO</v>
          </cell>
        </row>
        <row r="5638">
          <cell r="Z5638" t="str">
            <v>DENTAL</v>
          </cell>
        </row>
        <row r="5639">
          <cell r="Z5639" t="str">
            <v>DENTAL</v>
          </cell>
        </row>
        <row r="5640">
          <cell r="Z5640" t="str">
            <v>DENTAL</v>
          </cell>
          <cell r="AA5640" t="str">
            <v>CESFAM SOL DE SEPTIEMBRE</v>
          </cell>
        </row>
        <row r="5641">
          <cell r="Z5641" t="str">
            <v>DENTAL</v>
          </cell>
          <cell r="AA5641" t="str">
            <v>INTEGRAMEDICA ESTACION CENTRAL</v>
          </cell>
        </row>
        <row r="5642">
          <cell r="Z5642" t="str">
            <v>DENTAL</v>
          </cell>
        </row>
        <row r="5643">
          <cell r="Z5643" t="str">
            <v>DENTAL</v>
          </cell>
          <cell r="AA5643" t="str">
            <v>LA ARAUCANA SALUD  SAN ANTONIO</v>
          </cell>
        </row>
        <row r="5644">
          <cell r="Z5644" t="str">
            <v>DENTAL</v>
          </cell>
          <cell r="AA5644" t="str">
            <v>CESFAM SOL DE SEPTIEMBRE</v>
          </cell>
        </row>
        <row r="5645">
          <cell r="Z5645" t="str">
            <v>DENTAL</v>
          </cell>
          <cell r="AA5645" t="str">
            <v>LA ARAUCANA SALUD TEMUCO</v>
          </cell>
        </row>
        <row r="5646">
          <cell r="Z5646" t="str">
            <v>DENTAL</v>
          </cell>
        </row>
        <row r="5647">
          <cell r="Z5647" t="str">
            <v>DENTAL</v>
          </cell>
          <cell r="AA5647" t="str">
            <v>GEMCO GENERAL MACHINERY S.A.</v>
          </cell>
        </row>
        <row r="5648">
          <cell r="Z5648" t="str">
            <v>DENTAL</v>
          </cell>
          <cell r="AA5648" t="str">
            <v>LA ARAUCANA SALUD TEMUCO</v>
          </cell>
        </row>
        <row r="5649">
          <cell r="Z5649" t="str">
            <v>DENTAL</v>
          </cell>
        </row>
        <row r="5650">
          <cell r="Z5650" t="str">
            <v>DENTAL</v>
          </cell>
        </row>
        <row r="5651">
          <cell r="Z5651" t="str">
            <v>DENTAL</v>
          </cell>
        </row>
        <row r="5652">
          <cell r="Z5652" t="str">
            <v>DENTAL</v>
          </cell>
          <cell r="AA5652" t="str">
            <v>INTEGRAMEDICA ALAMEDA</v>
          </cell>
        </row>
        <row r="5653">
          <cell r="Z5653" t="str">
            <v>DENTAL</v>
          </cell>
        </row>
        <row r="5654">
          <cell r="Z5654" t="str">
            <v>DENTAL</v>
          </cell>
          <cell r="AA5654" t="str">
            <v>GEMCO GENERAL MACHINERY S.A.</v>
          </cell>
        </row>
        <row r="5655">
          <cell r="Z5655" t="str">
            <v>DENTAL</v>
          </cell>
        </row>
        <row r="5656">
          <cell r="Z5656" t="str">
            <v>DENTAL</v>
          </cell>
        </row>
        <row r="5657">
          <cell r="Z5657" t="str">
            <v>DENTAL</v>
          </cell>
          <cell r="AA5657" t="str">
            <v>CESFAM SOL DE SEPTIEMBRE</v>
          </cell>
        </row>
        <row r="5658">
          <cell r="Z5658" t="str">
            <v>DENTAL</v>
          </cell>
        </row>
        <row r="5659">
          <cell r="Z5659" t="str">
            <v>DENTAL</v>
          </cell>
          <cell r="AA5659" t="str">
            <v>GEMCO GENERAL MACHINERY S.A.</v>
          </cell>
        </row>
        <row r="5660">
          <cell r="Z5660" t="str">
            <v>DENTAL</v>
          </cell>
        </row>
        <row r="5661">
          <cell r="Z5661" t="str">
            <v>DENTAL</v>
          </cell>
          <cell r="AA5661" t="str">
            <v>LA ARAUCANA OSORNO</v>
          </cell>
        </row>
        <row r="5662">
          <cell r="Z5662" t="str">
            <v>DENTAL</v>
          </cell>
        </row>
        <row r="5663">
          <cell r="Z5663" t="str">
            <v>DENTAL</v>
          </cell>
          <cell r="AA5663" t="str">
            <v>CLINICA ODONTOLOGICA GEO LTDA</v>
          </cell>
        </row>
        <row r="5664">
          <cell r="Z5664" t="str">
            <v>DENTAL</v>
          </cell>
        </row>
        <row r="5665">
          <cell r="Z5665" t="str">
            <v>DENTAL</v>
          </cell>
          <cell r="AA5665" t="str">
            <v>LA ARAUCANA OSORNO</v>
          </cell>
        </row>
        <row r="5666">
          <cell r="Z5666" t="str">
            <v>DENTAL</v>
          </cell>
          <cell r="AA5666" t="str">
            <v>CLINICA ODONTOLOGICA GEO LTDA</v>
          </cell>
        </row>
        <row r="5667">
          <cell r="Z5667" t="str">
            <v>DENTAL</v>
          </cell>
          <cell r="AA5667" t="str">
            <v>CESFAM TALCA</v>
          </cell>
        </row>
        <row r="5668">
          <cell r="Z5668" t="str">
            <v>DENTAL</v>
          </cell>
          <cell r="AA5668" t="str">
            <v>CESFAM TALCA</v>
          </cell>
        </row>
        <row r="5669">
          <cell r="Z5669" t="str">
            <v>DENTAL</v>
          </cell>
          <cell r="AA5669" t="str">
            <v>HOSPITAL LUIS CALVO MACKENNA</v>
          </cell>
        </row>
        <row r="5670">
          <cell r="Z5670" t="str">
            <v>DENTAL</v>
          </cell>
        </row>
        <row r="5671">
          <cell r="Z5671" t="str">
            <v>DENTAL</v>
          </cell>
          <cell r="AA5671" t="str">
            <v>LA ARAUCANA OSORNO</v>
          </cell>
        </row>
        <row r="5672">
          <cell r="Z5672" t="str">
            <v>DENTAL</v>
          </cell>
          <cell r="AA5672" t="str">
            <v>HOSPITAL LUIS CALVO MACKENNA</v>
          </cell>
        </row>
        <row r="5673">
          <cell r="Z5673" t="str">
            <v>DENTAL</v>
          </cell>
        </row>
        <row r="5674">
          <cell r="Z5674" t="str">
            <v>DENTAL</v>
          </cell>
          <cell r="AA5674" t="str">
            <v>LA ARAUCANA OSORNO</v>
          </cell>
        </row>
        <row r="5675">
          <cell r="Z5675" t="str">
            <v>DENTAL</v>
          </cell>
        </row>
        <row r="5676">
          <cell r="Z5676" t="str">
            <v>DENTAL</v>
          </cell>
          <cell r="AA5676" t="str">
            <v>INTEGRAMEDICA PLAZA EGAÑA</v>
          </cell>
        </row>
        <row r="5677">
          <cell r="Z5677" t="str">
            <v>DENTAL</v>
          </cell>
          <cell r="AA5677" t="str">
            <v>GEMCO GENERAL MACHINERY S.A.</v>
          </cell>
        </row>
        <row r="5678">
          <cell r="Z5678" t="str">
            <v>DENTAL</v>
          </cell>
          <cell r="AA5678" t="str">
            <v>GEMCO GENERAL MACHINERY S.A.</v>
          </cell>
        </row>
        <row r="5679">
          <cell r="Z5679" t="str">
            <v>DENTAL</v>
          </cell>
          <cell r="AA5679" t="str">
            <v>INTEGRAMEDICA PLAZA EGAÑA</v>
          </cell>
        </row>
        <row r="5680">
          <cell r="Z5680" t="str">
            <v>DENTAL</v>
          </cell>
          <cell r="AA5680" t="str">
            <v>CESFAM SAN RAFAEL</v>
          </cell>
        </row>
        <row r="5681">
          <cell r="Z5681" t="str">
            <v>DENTAL</v>
          </cell>
          <cell r="AA5681" t="str">
            <v>CESFAM LA PINCOYA</v>
          </cell>
        </row>
        <row r="5682">
          <cell r="Z5682" t="str">
            <v>DENTAL</v>
          </cell>
          <cell r="AA5682" t="str">
            <v>CESFAM SAN RAFAEL</v>
          </cell>
        </row>
        <row r="5683">
          <cell r="Z5683" t="str">
            <v>DENTAL</v>
          </cell>
          <cell r="AA5683" t="str">
            <v>CESFAM LA PINCOYA</v>
          </cell>
        </row>
        <row r="5684">
          <cell r="Z5684" t="str">
            <v>DENTAL</v>
          </cell>
        </row>
        <row r="5685">
          <cell r="Z5685" t="str">
            <v>DENTAL</v>
          </cell>
          <cell r="AA5685" t="str">
            <v>CESFAM TALCA</v>
          </cell>
        </row>
        <row r="5686">
          <cell r="Z5686" t="str">
            <v>DENTAL</v>
          </cell>
          <cell r="AA5686" t="str">
            <v>HOSPITAL LUIS CALVO MACKENNA</v>
          </cell>
        </row>
        <row r="5687">
          <cell r="Z5687" t="str">
            <v>DENTAL</v>
          </cell>
          <cell r="AA5687" t="str">
            <v>HOSPITAL LUIS CALVO MACKENNA</v>
          </cell>
        </row>
        <row r="5688">
          <cell r="Z5688" t="str">
            <v>DENTAL</v>
          </cell>
          <cell r="AA5688" t="str">
            <v>CLINICA ODONTOLOGICA GEO LTDA</v>
          </cell>
        </row>
        <row r="5689">
          <cell r="Z5689" t="str">
            <v>DENTAL</v>
          </cell>
          <cell r="AA5689" t="str">
            <v>HOSPITAL PENCO -LIRQUEN</v>
          </cell>
        </row>
        <row r="5690">
          <cell r="Z5690" t="str">
            <v>DENTAL</v>
          </cell>
          <cell r="AA5690" t="str">
            <v>HOSPITAL LUIS CALVO MACKENNA</v>
          </cell>
        </row>
        <row r="5691">
          <cell r="Z5691" t="str">
            <v>DENTAL</v>
          </cell>
        </row>
        <row r="5692">
          <cell r="Z5692" t="str">
            <v>DENTAL</v>
          </cell>
          <cell r="AA5692" t="str">
            <v>CESFAM TALCA</v>
          </cell>
        </row>
        <row r="5693">
          <cell r="Z5693" t="str">
            <v>DENTAL</v>
          </cell>
        </row>
        <row r="5694">
          <cell r="Z5694" t="str">
            <v>DENTAL</v>
          </cell>
        </row>
        <row r="5695">
          <cell r="Z5695" t="str">
            <v>DENTAL</v>
          </cell>
          <cell r="AA5695" t="str">
            <v>INTEGRAMEDICA LA SERENA</v>
          </cell>
        </row>
        <row r="5696">
          <cell r="Z5696" t="str">
            <v>DENTAL</v>
          </cell>
          <cell r="AA5696" t="str">
            <v>CESFAM CARLOS TRUPP TALCA</v>
          </cell>
        </row>
        <row r="5697">
          <cell r="Z5697" t="str">
            <v>DENTAL</v>
          </cell>
          <cell r="AA5697" t="str">
            <v>CESFAM TALCA</v>
          </cell>
        </row>
        <row r="5698">
          <cell r="Z5698" t="str">
            <v>DENTAL</v>
          </cell>
          <cell r="AA5698" t="str">
            <v>CESFAM SAN RAFAEL</v>
          </cell>
        </row>
        <row r="5699">
          <cell r="Z5699" t="str">
            <v>DENTAL</v>
          </cell>
        </row>
        <row r="5700">
          <cell r="Z5700" t="str">
            <v>DENTAL</v>
          </cell>
        </row>
        <row r="5701">
          <cell r="Z5701" t="str">
            <v>DENTAL</v>
          </cell>
          <cell r="AA5701" t="str">
            <v>CLINICA ODONTOLOGICA GEO LTDA</v>
          </cell>
        </row>
        <row r="5702">
          <cell r="Z5702" t="str">
            <v>DENTAL</v>
          </cell>
          <cell r="AA5702" t="str">
            <v>CESFAM SAN RAFAEL</v>
          </cell>
        </row>
        <row r="5703">
          <cell r="Z5703" t="str">
            <v>DENTAL</v>
          </cell>
        </row>
        <row r="5704">
          <cell r="Z5704" t="str">
            <v>DENTAL</v>
          </cell>
          <cell r="AA5704" t="str">
            <v>INTEGRAMEDICA LA SERENA</v>
          </cell>
        </row>
        <row r="5705">
          <cell r="Z5705" t="str">
            <v>DENTAL</v>
          </cell>
          <cell r="AA5705" t="str">
            <v>CESFAM LA PINCOYA</v>
          </cell>
        </row>
        <row r="5706">
          <cell r="Z5706" t="str">
            <v>DENTAL</v>
          </cell>
          <cell r="AA5706" t="str">
            <v>CARLOS DURAN Y CIA. LTDA.</v>
          </cell>
        </row>
        <row r="5707">
          <cell r="Z5707" t="str">
            <v>DENTAL</v>
          </cell>
          <cell r="AA5707" t="str">
            <v>LA ARAUCANA OSORNO</v>
          </cell>
        </row>
        <row r="5708">
          <cell r="Z5708" t="str">
            <v>DENTAL</v>
          </cell>
          <cell r="AA5708" t="str">
            <v>CLINICA ODONTOLOGICA GEO LTDA</v>
          </cell>
        </row>
        <row r="5709">
          <cell r="Z5709" t="str">
            <v>DENTAL</v>
          </cell>
          <cell r="AA5709" t="str">
            <v>CESFAM TALCA</v>
          </cell>
        </row>
        <row r="5710">
          <cell r="Z5710" t="str">
            <v>DENTAL</v>
          </cell>
        </row>
        <row r="5711">
          <cell r="Z5711" t="str">
            <v>DENTAL</v>
          </cell>
          <cell r="AA5711" t="str">
            <v>CLINICA ODONTOLOGICA GEO LTDA</v>
          </cell>
        </row>
        <row r="5712">
          <cell r="Z5712" t="str">
            <v>DENTAL</v>
          </cell>
          <cell r="AA5712" t="str">
            <v>DR. CRISTIAN FUENTES GARCIA</v>
          </cell>
        </row>
        <row r="5713">
          <cell r="Z5713" t="str">
            <v>DENTAL</v>
          </cell>
          <cell r="AA5713" t="str">
            <v>INTEGRAMEDICA LA SERENA</v>
          </cell>
        </row>
        <row r="5714">
          <cell r="Z5714" t="str">
            <v>DENTAL</v>
          </cell>
          <cell r="AA5714" t="str">
            <v>CLINICA ODONTOLOGICA GEO LTDA</v>
          </cell>
        </row>
        <row r="5715">
          <cell r="Z5715" t="str">
            <v>DENTAL</v>
          </cell>
          <cell r="AA5715" t="str">
            <v>LA ARAUCANA SALUD TEMUCO</v>
          </cell>
        </row>
        <row r="5716">
          <cell r="Z5716" t="str">
            <v>DENTAL</v>
          </cell>
          <cell r="AA5716" t="str">
            <v>CESFAM GOMEZ CARREÑO</v>
          </cell>
        </row>
        <row r="5717">
          <cell r="Z5717" t="str">
            <v>DENTAL</v>
          </cell>
          <cell r="AA5717" t="str">
            <v>CESFAM GOMEZ CARREÑO</v>
          </cell>
        </row>
        <row r="5718">
          <cell r="Z5718" t="str">
            <v>DENTAL</v>
          </cell>
          <cell r="AA5718" t="str">
            <v>INTEGRAMEDICA PLAZA EGAÑA</v>
          </cell>
        </row>
        <row r="5719">
          <cell r="Z5719" t="str">
            <v>DENTAL</v>
          </cell>
          <cell r="AA5719" t="str">
            <v>CESFAM GOMEZ CARREÑO</v>
          </cell>
        </row>
        <row r="5720">
          <cell r="Z5720" t="str">
            <v>DENTAL</v>
          </cell>
          <cell r="AA5720" t="str">
            <v>DIAGNORAD ANTOFAGASTA</v>
          </cell>
        </row>
        <row r="5721">
          <cell r="Z5721" t="str">
            <v>DENTAL</v>
          </cell>
          <cell r="AA5721" t="str">
            <v>DIAGNORAD ANTOFAGASTA</v>
          </cell>
        </row>
        <row r="5722">
          <cell r="Z5722" t="str">
            <v>DENTAL</v>
          </cell>
          <cell r="AA5722" t="str">
            <v>CESFAM GOMEZ CARREÑO</v>
          </cell>
        </row>
        <row r="5723">
          <cell r="Z5723" t="str">
            <v>DENTAL</v>
          </cell>
          <cell r="AA5723" t="str">
            <v>DIAGNORAD ANTOFAGASTA</v>
          </cell>
        </row>
        <row r="5724">
          <cell r="Z5724" t="str">
            <v>DENTAL</v>
          </cell>
          <cell r="AA5724" t="str">
            <v>MEGASALUD S.A.</v>
          </cell>
        </row>
        <row r="5725">
          <cell r="Z5725" t="str">
            <v>DENTAL</v>
          </cell>
          <cell r="AA5725" t="str">
            <v>GEMCO GENERAL MACHINERY S.A.</v>
          </cell>
        </row>
        <row r="5726">
          <cell r="Z5726" t="str">
            <v>DENTAL</v>
          </cell>
          <cell r="AA5726" t="str">
            <v>LA ARAUCANA PUERTO MONTT</v>
          </cell>
        </row>
        <row r="5727">
          <cell r="Z5727" t="str">
            <v>DENTAL</v>
          </cell>
          <cell r="AA5727" t="str">
            <v>INTEGRAMEDICA VIÑA DEL MAR</v>
          </cell>
        </row>
        <row r="5728">
          <cell r="Z5728" t="str">
            <v>DENTAL</v>
          </cell>
        </row>
        <row r="5729">
          <cell r="Z5729" t="str">
            <v>DENTAL</v>
          </cell>
          <cell r="AA5729" t="str">
            <v>CESFAM SANTA TERESA</v>
          </cell>
        </row>
        <row r="5730">
          <cell r="Z5730" t="str">
            <v>DENTAL</v>
          </cell>
        </row>
        <row r="5731">
          <cell r="Z5731" t="str">
            <v>DENTAL</v>
          </cell>
        </row>
        <row r="5732">
          <cell r="Z5732" t="str">
            <v>DENTAL</v>
          </cell>
          <cell r="AA5732" t="str">
            <v>CESFAM SANTA TERESA</v>
          </cell>
        </row>
        <row r="5733">
          <cell r="Z5733" t="str">
            <v>DENTAL</v>
          </cell>
        </row>
        <row r="5734">
          <cell r="Z5734" t="str">
            <v>DENTAL</v>
          </cell>
          <cell r="AA5734" t="str">
            <v>INTEGRAMEDICA VIÑA DEL MAR</v>
          </cell>
        </row>
        <row r="5735">
          <cell r="Z5735" t="str">
            <v>DENTAL</v>
          </cell>
          <cell r="AA5735" t="str">
            <v>CESFAM BETTY MUÑOZ</v>
          </cell>
        </row>
        <row r="5736">
          <cell r="Z5736" t="str">
            <v>DENTAL</v>
          </cell>
          <cell r="AA5736" t="str">
            <v>CESFAM SANTA TERESA</v>
          </cell>
        </row>
        <row r="5737">
          <cell r="Z5737" t="str">
            <v>DENTAL</v>
          </cell>
          <cell r="AA5737" t="str">
            <v>GEMCO GENERAL MACHINERY S.A.</v>
          </cell>
        </row>
        <row r="5738">
          <cell r="Z5738" t="str">
            <v>DENTAL</v>
          </cell>
        </row>
        <row r="5739">
          <cell r="Z5739" t="str">
            <v>DENTAL</v>
          </cell>
          <cell r="AA5739" t="str">
            <v>GEMCO GENERAL MACHINERY S.A.</v>
          </cell>
        </row>
        <row r="5740">
          <cell r="Z5740" t="str">
            <v>DENTAL</v>
          </cell>
          <cell r="AA5740" t="str">
            <v>DIAGNORAD ANTOFAGASTA</v>
          </cell>
        </row>
        <row r="5741">
          <cell r="Z5741" t="str">
            <v>DENTAL</v>
          </cell>
          <cell r="AA5741" t="str">
            <v>INTEGRAMEDICA PLAZA EGAÑA</v>
          </cell>
        </row>
        <row r="5742">
          <cell r="Z5742" t="str">
            <v>DENTAL</v>
          </cell>
          <cell r="AA5742" t="str">
            <v>CESFAM SAN RAFAEL</v>
          </cell>
        </row>
        <row r="5743">
          <cell r="Z5743" t="str">
            <v>DENTAL</v>
          </cell>
        </row>
        <row r="5744">
          <cell r="Z5744" t="str">
            <v>DENTAL</v>
          </cell>
        </row>
        <row r="5745">
          <cell r="Z5745" t="str">
            <v>DENTAL</v>
          </cell>
          <cell r="AA5745" t="str">
            <v>CESFAM BETTY MUÑOZ</v>
          </cell>
        </row>
        <row r="5746">
          <cell r="Z5746" t="str">
            <v>DENTAL</v>
          </cell>
          <cell r="AA5746" t="str">
            <v>GEMCO GENERAL MACHINERY S.A.</v>
          </cell>
        </row>
        <row r="5747">
          <cell r="Z5747" t="str">
            <v>DENTAL</v>
          </cell>
          <cell r="AA5747" t="str">
            <v>PONTIFICIA UNIVERSIDAD CATOLICA DE CHILE</v>
          </cell>
        </row>
        <row r="5748">
          <cell r="Z5748" t="str">
            <v>DENTAL</v>
          </cell>
          <cell r="AA5748" t="str">
            <v>GEMCO GENERAL MACHINERY S.A.</v>
          </cell>
        </row>
        <row r="5749">
          <cell r="Z5749" t="str">
            <v>DENTAL</v>
          </cell>
          <cell r="AA5749" t="str">
            <v>CESFAM SANTA TERESA</v>
          </cell>
        </row>
        <row r="5750">
          <cell r="Z5750" t="str">
            <v>DENTAL</v>
          </cell>
        </row>
        <row r="5751">
          <cell r="Z5751" t="str">
            <v>DENTAL</v>
          </cell>
        </row>
        <row r="5752">
          <cell r="Z5752" t="str">
            <v>DENTAL</v>
          </cell>
          <cell r="AA5752" t="str">
            <v>CESFAM BETTY MUÑOZ</v>
          </cell>
        </row>
        <row r="5753">
          <cell r="Z5753" t="str">
            <v>DENTAL</v>
          </cell>
          <cell r="AA5753" t="str">
            <v>CESFAM BETTY MUÑOZ</v>
          </cell>
        </row>
        <row r="5754">
          <cell r="Z5754" t="str">
            <v>DENTAL</v>
          </cell>
          <cell r="AA5754" t="str">
            <v>CESFAM SANTA TERESA</v>
          </cell>
        </row>
        <row r="5755">
          <cell r="Z5755" t="str">
            <v>DENTAL</v>
          </cell>
          <cell r="AA5755" t="str">
            <v>INTEGRAMEDICA VIÑA DEL MAR</v>
          </cell>
        </row>
        <row r="5756">
          <cell r="Z5756" t="str">
            <v>DENTAL</v>
          </cell>
          <cell r="AA5756" t="str">
            <v>INTEGRAMEDICA VIÑA DEL MAR</v>
          </cell>
        </row>
        <row r="5757">
          <cell r="Z5757" t="str">
            <v>DENTAL</v>
          </cell>
          <cell r="AA5757" t="str">
            <v>GEMCO GENERAL MACHINERY S.A.</v>
          </cell>
        </row>
        <row r="5758">
          <cell r="Z5758" t="str">
            <v>DENTAL</v>
          </cell>
        </row>
        <row r="5759">
          <cell r="Z5759" t="str">
            <v>DENTAL</v>
          </cell>
          <cell r="AA5759" t="str">
            <v>INTEGRAMEDICA VIÑA DEL MAR</v>
          </cell>
        </row>
        <row r="5760">
          <cell r="Z5760" t="str">
            <v>DENTAL</v>
          </cell>
          <cell r="AA5760" t="str">
            <v>CESFAM SANTA TERESA</v>
          </cell>
        </row>
        <row r="5761">
          <cell r="Z5761" t="str">
            <v>DENTAL</v>
          </cell>
          <cell r="AA5761" t="str">
            <v>CESFAM ROMERAL</v>
          </cell>
        </row>
        <row r="5762">
          <cell r="Z5762" t="str">
            <v>DENTAL</v>
          </cell>
          <cell r="AA5762" t="str">
            <v>GEMCO GENERAL MACHINERY S.A.</v>
          </cell>
        </row>
        <row r="5763">
          <cell r="Z5763" t="str">
            <v>DENTAL</v>
          </cell>
        </row>
        <row r="5764">
          <cell r="Z5764" t="str">
            <v>DENTAL</v>
          </cell>
          <cell r="AA5764" t="str">
            <v>GEMCO GENERAL MACHINERY S.A.</v>
          </cell>
        </row>
        <row r="5765">
          <cell r="Z5765" t="str">
            <v>DENTAL</v>
          </cell>
        </row>
        <row r="5766">
          <cell r="Z5766" t="str">
            <v>DENTAL</v>
          </cell>
        </row>
        <row r="5767">
          <cell r="Z5767" t="str">
            <v>DENTAL</v>
          </cell>
          <cell r="AA5767" t="str">
            <v>ODONTOLOGIA PROVIDENCIA SPA</v>
          </cell>
        </row>
        <row r="5768">
          <cell r="Z5768" t="str">
            <v>DENTAL</v>
          </cell>
          <cell r="AA5768" t="str">
            <v>ODONTOLOGIA PROVIDENCIA SPA</v>
          </cell>
        </row>
        <row r="5769">
          <cell r="Z5769" t="str">
            <v>DENTAL</v>
          </cell>
          <cell r="AA5769" t="str">
            <v>DRA. ALICIA GUAMBUGUETE</v>
          </cell>
        </row>
        <row r="5770">
          <cell r="Z5770" t="str">
            <v>DENTAL</v>
          </cell>
          <cell r="AA5770" t="str">
            <v>DRA. ALICIA GUAMBUGUETE</v>
          </cell>
        </row>
        <row r="5771">
          <cell r="Z5771" t="str">
            <v>DENTAL</v>
          </cell>
        </row>
        <row r="5772">
          <cell r="Z5772" t="str">
            <v>DENTAL</v>
          </cell>
          <cell r="AA5772" t="str">
            <v>HOSPITAL DE LAUTARO</v>
          </cell>
        </row>
        <row r="5773">
          <cell r="Z5773" t="str">
            <v>DENTAL</v>
          </cell>
          <cell r="AA5773" t="str">
            <v>CESFAM SAN RAFAEL</v>
          </cell>
        </row>
        <row r="5774">
          <cell r="Z5774" t="str">
            <v>DENTAL</v>
          </cell>
        </row>
        <row r="5775">
          <cell r="Z5775" t="str">
            <v>DENTAL</v>
          </cell>
          <cell r="AA5775" t="str">
            <v>UNIVERSIDAD DE CHILE</v>
          </cell>
        </row>
        <row r="5776">
          <cell r="Z5776" t="str">
            <v>DENTAL</v>
          </cell>
          <cell r="AA5776" t="str">
            <v>UNIVERSIDAD DE CHILE</v>
          </cell>
        </row>
        <row r="5777">
          <cell r="Z5777" t="str">
            <v>DENTAL</v>
          </cell>
          <cell r="AA5777" t="str">
            <v>SONORAD INDEPENDENCIA</v>
          </cell>
        </row>
        <row r="5778">
          <cell r="Z5778" t="str">
            <v>DENTAL</v>
          </cell>
          <cell r="AA5778" t="str">
            <v>ODONTOLOGIA PROVIDENCIA SPA</v>
          </cell>
        </row>
        <row r="5779">
          <cell r="Z5779" t="str">
            <v>DENTAL</v>
          </cell>
        </row>
        <row r="5780">
          <cell r="Z5780" t="str">
            <v>DENTAL</v>
          </cell>
          <cell r="AA5780" t="str">
            <v>HOSPITAL BASE DE VALDIVIA</v>
          </cell>
        </row>
        <row r="5781">
          <cell r="Z5781" t="str">
            <v>DENTAL</v>
          </cell>
          <cell r="AA5781" t="str">
            <v>HOSPITAL DE LAUTARO</v>
          </cell>
        </row>
        <row r="5782">
          <cell r="Z5782" t="str">
            <v>DENTAL</v>
          </cell>
        </row>
        <row r="5783">
          <cell r="Z5783" t="str">
            <v>DENTAL</v>
          </cell>
        </row>
        <row r="5784">
          <cell r="Z5784" t="str">
            <v>DENTAL</v>
          </cell>
          <cell r="AA5784" t="str">
            <v>SONORAD INDEPENDENCIA</v>
          </cell>
        </row>
        <row r="5785">
          <cell r="Z5785" t="str">
            <v>DENTAL</v>
          </cell>
          <cell r="AA5785" t="str">
            <v>UNIVERSIDAD DE CHILE</v>
          </cell>
        </row>
        <row r="5786">
          <cell r="Z5786" t="str">
            <v>DENTAL</v>
          </cell>
          <cell r="AA5786" t="str">
            <v>UNIVERSIDAD DE CHILE</v>
          </cell>
        </row>
        <row r="5787">
          <cell r="Z5787" t="str">
            <v>DENTAL</v>
          </cell>
          <cell r="AA5787" t="str">
            <v>UNIVERSIDAD DE CHILE</v>
          </cell>
        </row>
        <row r="5788">
          <cell r="Z5788" t="str">
            <v>DENTAL</v>
          </cell>
        </row>
        <row r="5789">
          <cell r="Z5789" t="str">
            <v>DENTAL</v>
          </cell>
          <cell r="AA5789" t="str">
            <v>SOCIEDAD MEDICA E IMAGENEOLOGICA ANCUD LTDA</v>
          </cell>
        </row>
        <row r="5790">
          <cell r="Z5790" t="str">
            <v>DENTAL</v>
          </cell>
          <cell r="AA5790" t="str">
            <v>SONORAD INDEPENDENCIA</v>
          </cell>
        </row>
        <row r="5791">
          <cell r="Z5791" t="str">
            <v>DENTAL</v>
          </cell>
          <cell r="AA5791" t="str">
            <v>CESFAM SAN RAFAEL</v>
          </cell>
        </row>
        <row r="5792">
          <cell r="Z5792" t="str">
            <v>DENTAL</v>
          </cell>
          <cell r="AA5792" t="str">
            <v>UNIVERSIDAD DE CHILE</v>
          </cell>
        </row>
        <row r="5793">
          <cell r="Z5793" t="str">
            <v>DENTAL</v>
          </cell>
          <cell r="AA5793" t="str">
            <v>UNIVERSIDAD DE CHILE</v>
          </cell>
        </row>
        <row r="5794">
          <cell r="Z5794" t="str">
            <v>DENTAL</v>
          </cell>
          <cell r="AA5794" t="str">
            <v>HOSPITAL BASE DE VALDIVIA</v>
          </cell>
        </row>
        <row r="5795">
          <cell r="Z5795" t="str">
            <v>DENTAL</v>
          </cell>
          <cell r="AA5795" t="str">
            <v>UNIVERSIDAD DE CHILE</v>
          </cell>
        </row>
        <row r="5796">
          <cell r="Z5796" t="str">
            <v>DENTAL</v>
          </cell>
          <cell r="AA5796" t="str">
            <v>UNIVERSIDAD DE CHILE</v>
          </cell>
        </row>
        <row r="5797">
          <cell r="Z5797" t="str">
            <v>DENTAL</v>
          </cell>
          <cell r="AA5797" t="str">
            <v>UNIVERSIDAD DE CHILE</v>
          </cell>
        </row>
        <row r="5798">
          <cell r="Z5798" t="str">
            <v>DENTAL</v>
          </cell>
          <cell r="AA5798" t="str">
            <v>UNIVERSIDAD DE CHILE</v>
          </cell>
        </row>
        <row r="5799">
          <cell r="Z5799" t="str">
            <v>DENTAL</v>
          </cell>
          <cell r="AA5799" t="str">
            <v>HOSPITAL DE LAUTARO</v>
          </cell>
        </row>
        <row r="5800">
          <cell r="Z5800" t="str">
            <v>DENTAL</v>
          </cell>
          <cell r="AA5800" t="str">
            <v>SONORAD INDEPENDENCIA</v>
          </cell>
        </row>
        <row r="5801">
          <cell r="Z5801" t="str">
            <v>DENTAL</v>
          </cell>
          <cell r="AA5801" t="str">
            <v>SONORAD INDEPENDENCIA</v>
          </cell>
        </row>
        <row r="5802">
          <cell r="Z5802" t="str">
            <v>DENTAL</v>
          </cell>
          <cell r="AA5802" t="str">
            <v>UNIVERSIDAD DE CHILE</v>
          </cell>
        </row>
        <row r="5803">
          <cell r="Z5803" t="str">
            <v>DENTAL</v>
          </cell>
        </row>
        <row r="5804">
          <cell r="Z5804" t="str">
            <v>DENTAL</v>
          </cell>
          <cell r="AA5804" t="str">
            <v>UNIVERSIDAD DE CHILE</v>
          </cell>
        </row>
        <row r="5805">
          <cell r="Z5805" t="str">
            <v>DENTAL</v>
          </cell>
        </row>
        <row r="5806">
          <cell r="Z5806" t="str">
            <v>DENTAL</v>
          </cell>
          <cell r="AA5806" t="str">
            <v>UNIVERSIDAD FINIS TERRAE</v>
          </cell>
        </row>
        <row r="5807">
          <cell r="Z5807" t="str">
            <v>DENTAL</v>
          </cell>
          <cell r="AA5807" t="str">
            <v>HOSPITAL DE LAUTARO</v>
          </cell>
        </row>
        <row r="5808">
          <cell r="Z5808" t="str">
            <v>DENTAL</v>
          </cell>
          <cell r="AA5808" t="str">
            <v>UNIVERSIDAD FINIS TERRAE</v>
          </cell>
        </row>
        <row r="5809">
          <cell r="Z5809" t="str">
            <v>DENTAL</v>
          </cell>
          <cell r="AA5809" t="str">
            <v>UNIVERSIDAD DE CHILE</v>
          </cell>
        </row>
        <row r="5810">
          <cell r="Z5810" t="str">
            <v>DENTAL</v>
          </cell>
          <cell r="AA5810" t="str">
            <v>HOSPITAL FUTALEUFU</v>
          </cell>
        </row>
        <row r="5811">
          <cell r="Z5811" t="str">
            <v>DENTAL</v>
          </cell>
          <cell r="AA5811" t="str">
            <v>GEMCO GENERAL MACHINERY S.A.</v>
          </cell>
        </row>
        <row r="5812">
          <cell r="Z5812" t="str">
            <v>DENTAL</v>
          </cell>
          <cell r="AA5812" t="str">
            <v>GEMCO GENERAL MACHINERY S.A.</v>
          </cell>
        </row>
        <row r="5813">
          <cell r="Z5813" t="str">
            <v>DENTAL</v>
          </cell>
        </row>
        <row r="5814">
          <cell r="Z5814" t="str">
            <v>DENTAL</v>
          </cell>
          <cell r="AA5814" t="str">
            <v>GEMCO GENERAL MACHINERY S.A.</v>
          </cell>
        </row>
        <row r="5815">
          <cell r="Z5815" t="str">
            <v>DENTAL</v>
          </cell>
          <cell r="AA5815" t="str">
            <v>GEMCO GENERAL MACHINERY S.A.</v>
          </cell>
        </row>
        <row r="5816">
          <cell r="Z5816" t="str">
            <v>DENTAL</v>
          </cell>
          <cell r="AA5816" t="str">
            <v>COMPLEJO ASISTENCIAL DR.SOTERO DEL RIO</v>
          </cell>
        </row>
        <row r="5817">
          <cell r="Z5817" t="str">
            <v>DENTAL</v>
          </cell>
          <cell r="AA5817" t="str">
            <v>COMPLEJO ASISTENCIAL DR.SOTERO DEL RIO</v>
          </cell>
        </row>
        <row r="5818">
          <cell r="Z5818" t="str">
            <v>DENTAL</v>
          </cell>
          <cell r="AA5818" t="str">
            <v>GEMCO GENERAL MACHINERY S.A.</v>
          </cell>
        </row>
        <row r="5819">
          <cell r="Z5819" t="str">
            <v>DENTAL</v>
          </cell>
        </row>
        <row r="5820">
          <cell r="Z5820" t="str">
            <v>DENTAL</v>
          </cell>
          <cell r="AA5820" t="str">
            <v>HOSPITAL BASE DE LINARES</v>
          </cell>
        </row>
        <row r="5821">
          <cell r="Z5821" t="str">
            <v>DENTAL</v>
          </cell>
        </row>
        <row r="5822">
          <cell r="Z5822" t="str">
            <v>DENTAL</v>
          </cell>
          <cell r="AA5822" t="str">
            <v>GEMCO GENERAL MACHINERY S.A.</v>
          </cell>
        </row>
        <row r="5823">
          <cell r="Z5823" t="str">
            <v>DENTAL</v>
          </cell>
          <cell r="AA5823" t="str">
            <v>MUNICIPALIDAD DE HUALPEN</v>
          </cell>
        </row>
        <row r="5824">
          <cell r="Z5824" t="str">
            <v>DENTAL</v>
          </cell>
          <cell r="AA5824" t="str">
            <v>MUNICIPALIDAD DE HUALPEN</v>
          </cell>
        </row>
        <row r="5825">
          <cell r="Z5825" t="str">
            <v>DENTAL</v>
          </cell>
          <cell r="AA5825" t="str">
            <v>MUNICIPALIDAD DE HUALPEN</v>
          </cell>
        </row>
        <row r="5826">
          <cell r="Z5826" t="str">
            <v>DENTAL</v>
          </cell>
        </row>
        <row r="5827">
          <cell r="Z5827" t="str">
            <v>DENTAL</v>
          </cell>
          <cell r="AA5827" t="str">
            <v>GEMCO GENERAL MACHINERY S.A.</v>
          </cell>
        </row>
        <row r="5828">
          <cell r="Z5828" t="str">
            <v>DENTAL</v>
          </cell>
          <cell r="AA5828" t="str">
            <v>CESFAM RODELILLO</v>
          </cell>
        </row>
        <row r="5829">
          <cell r="Z5829" t="str">
            <v>DENTAL</v>
          </cell>
          <cell r="AA5829" t="str">
            <v>CESFAM RODELILLO</v>
          </cell>
        </row>
        <row r="5830">
          <cell r="Z5830" t="str">
            <v>DENTAL</v>
          </cell>
          <cell r="AA5830" t="str">
            <v>CESFAM RODELILLO</v>
          </cell>
        </row>
        <row r="5831">
          <cell r="Z5831" t="str">
            <v>DENTAL</v>
          </cell>
          <cell r="AA5831" t="str">
            <v>HOSPITAL DE HUASCO</v>
          </cell>
        </row>
        <row r="5832">
          <cell r="Z5832" t="str">
            <v>DENTAL</v>
          </cell>
        </row>
        <row r="5833">
          <cell r="Z5833" t="str">
            <v>DENTAL</v>
          </cell>
          <cell r="AA5833" t="str">
            <v>ACHS</v>
          </cell>
        </row>
        <row r="5834">
          <cell r="Z5834" t="str">
            <v>DENTAL</v>
          </cell>
          <cell r="AA5834" t="str">
            <v>ACHS</v>
          </cell>
        </row>
        <row r="5835">
          <cell r="Z5835" t="str">
            <v>DENTAL</v>
          </cell>
          <cell r="AA5835" t="str">
            <v>ACHS</v>
          </cell>
        </row>
        <row r="5836">
          <cell r="Z5836" t="str">
            <v>DENTAL</v>
          </cell>
        </row>
        <row r="5837">
          <cell r="Z5837" t="str">
            <v>DENTAL</v>
          </cell>
          <cell r="AA5837" t="str">
            <v>ACHS</v>
          </cell>
        </row>
        <row r="5838">
          <cell r="Z5838" t="str">
            <v>DENTAL</v>
          </cell>
        </row>
        <row r="5839">
          <cell r="Z5839" t="str">
            <v>DENTAL</v>
          </cell>
          <cell r="AA5839" t="str">
            <v>ACHS</v>
          </cell>
        </row>
        <row r="5840">
          <cell r="Z5840" t="str">
            <v>DENTAL</v>
          </cell>
          <cell r="AA5840" t="str">
            <v>VICTOR ROLANDO COUCHOT BUSTOS</v>
          </cell>
        </row>
        <row r="5841">
          <cell r="Z5841" t="str">
            <v>DENTAL</v>
          </cell>
          <cell r="AA5841" t="str">
            <v>MUNICIPALIDAD DE HUALPEN</v>
          </cell>
        </row>
        <row r="5842">
          <cell r="Z5842" t="str">
            <v>DENTAL</v>
          </cell>
        </row>
        <row r="5843">
          <cell r="Z5843" t="str">
            <v>DENTAL</v>
          </cell>
        </row>
        <row r="5844">
          <cell r="Z5844" t="str">
            <v>DENTAL</v>
          </cell>
          <cell r="AA5844" t="str">
            <v>CESFAM COLINA</v>
          </cell>
        </row>
        <row r="5845">
          <cell r="Z5845" t="str">
            <v>DENTAL</v>
          </cell>
        </row>
        <row r="5846">
          <cell r="Z5846" t="str">
            <v>DENTAL</v>
          </cell>
        </row>
        <row r="5847">
          <cell r="Z5847" t="str">
            <v>DENTAL</v>
          </cell>
          <cell r="AA5847" t="str">
            <v>MUNICIPALIDAD DE HUALPEN</v>
          </cell>
        </row>
        <row r="5848">
          <cell r="Z5848" t="str">
            <v>DENTAL</v>
          </cell>
        </row>
        <row r="5849">
          <cell r="Z5849" t="str">
            <v>DENTAL</v>
          </cell>
          <cell r="AA5849" t="str">
            <v>GEMCO GENERAL MACHINERY S.A.</v>
          </cell>
        </row>
        <row r="5850">
          <cell r="Z5850" t="str">
            <v>DENTAL</v>
          </cell>
          <cell r="AA5850" t="str">
            <v>MUNICIPALIDAD DE HUALPEN</v>
          </cell>
        </row>
        <row r="5851">
          <cell r="Z5851" t="str">
            <v>DENTAL</v>
          </cell>
          <cell r="AA5851" t="str">
            <v>MUNICIPALIDAD DE HUALPEN</v>
          </cell>
        </row>
        <row r="5852">
          <cell r="Z5852" t="str">
            <v>DENTAL</v>
          </cell>
          <cell r="AA5852" t="str">
            <v>HOSPITAL BASE DE LINARES</v>
          </cell>
        </row>
        <row r="5853">
          <cell r="Z5853" t="str">
            <v>DENTAL</v>
          </cell>
          <cell r="AA5853" t="str">
            <v>CESFAM LAS AMERICAS</v>
          </cell>
        </row>
        <row r="5854">
          <cell r="Z5854" t="str">
            <v>DENTAL</v>
          </cell>
        </row>
        <row r="5855">
          <cell r="Z5855" t="str">
            <v>DENTAL</v>
          </cell>
          <cell r="AA5855" t="str">
            <v>MUNICIPALIDAD DE HUALPEN</v>
          </cell>
        </row>
        <row r="5856">
          <cell r="Z5856" t="str">
            <v>DENTAL</v>
          </cell>
          <cell r="AA5856" t="str">
            <v>MUNICIPALIDAD DE HUALPEN</v>
          </cell>
        </row>
        <row r="5857">
          <cell r="Z5857" t="str">
            <v>DENTAL</v>
          </cell>
          <cell r="AA5857" t="str">
            <v>GEMCO GENERAL MACHINERY S.A.</v>
          </cell>
        </row>
        <row r="5858">
          <cell r="Z5858" t="str">
            <v>DENTAL</v>
          </cell>
          <cell r="AA5858" t="str">
            <v>GEMCO GENERAL MACHINERY S.A.</v>
          </cell>
        </row>
        <row r="5859">
          <cell r="Z5859" t="str">
            <v>DENTAL</v>
          </cell>
          <cell r="AA5859" t="str">
            <v>HOSPITAL BASE DE LINARES</v>
          </cell>
        </row>
        <row r="5860">
          <cell r="Z5860" t="str">
            <v>DENTAL</v>
          </cell>
          <cell r="AA5860" t="str">
            <v>CESFAM ARAUCO</v>
          </cell>
        </row>
        <row r="5861">
          <cell r="Z5861" t="str">
            <v>DENTAL</v>
          </cell>
          <cell r="AA5861" t="str">
            <v>GEMCO GENERAL MACHINERY S.A.</v>
          </cell>
        </row>
        <row r="5862">
          <cell r="Z5862" t="str">
            <v>DENTAL</v>
          </cell>
          <cell r="AA5862" t="str">
            <v>GEMCO GENERAL MACHINERY S.A.</v>
          </cell>
        </row>
        <row r="5863">
          <cell r="Z5863" t="str">
            <v>DENTAL</v>
          </cell>
        </row>
        <row r="5864">
          <cell r="Z5864" t="str">
            <v>DENTAL</v>
          </cell>
          <cell r="AA5864" t="str">
            <v>CESFAM LONGAVI</v>
          </cell>
        </row>
        <row r="5865">
          <cell r="Z5865" t="str">
            <v>DENTAL</v>
          </cell>
          <cell r="AA5865" t="str">
            <v>GEMCO GENERAL MACHINERY S.A.</v>
          </cell>
        </row>
        <row r="5866">
          <cell r="Z5866" t="str">
            <v>DENTAL</v>
          </cell>
          <cell r="AA5866" t="str">
            <v>CESFAM LONGAVI</v>
          </cell>
        </row>
        <row r="5867">
          <cell r="Z5867" t="str">
            <v>DENTAL</v>
          </cell>
          <cell r="AA5867" t="str">
            <v>GEMCO GENERAL MACHINERY S.A.</v>
          </cell>
        </row>
        <row r="5868">
          <cell r="Z5868" t="str">
            <v>DENTAL</v>
          </cell>
          <cell r="AA5868" t="str">
            <v>GEMCO GENERAL MACHINERY S.A.</v>
          </cell>
        </row>
        <row r="5869">
          <cell r="Z5869" t="str">
            <v>DENTAL</v>
          </cell>
          <cell r="AA5869" t="str">
            <v>HOSPITAL BASE DE LINARES</v>
          </cell>
        </row>
        <row r="5870">
          <cell r="Z5870" t="str">
            <v>DENTAL</v>
          </cell>
          <cell r="AA5870" t="str">
            <v>GEMCO GENERAL MACHINERY S.A.</v>
          </cell>
        </row>
        <row r="5871">
          <cell r="Z5871" t="str">
            <v>DENTAL</v>
          </cell>
          <cell r="AA5871" t="str">
            <v>GEMCO GENERAL MACHINERY S.A.</v>
          </cell>
        </row>
        <row r="5872">
          <cell r="Z5872" t="str">
            <v>DENTAL</v>
          </cell>
          <cell r="AA5872" t="str">
            <v>GEMCO GENERAL MACHINERY S.A.</v>
          </cell>
        </row>
        <row r="5873">
          <cell r="Z5873" t="str">
            <v>DENTAL</v>
          </cell>
          <cell r="AA5873" t="str">
            <v>GEMCO GENERAL MACHINERY S.A.</v>
          </cell>
        </row>
        <row r="5874">
          <cell r="Z5874" t="str">
            <v>DENTAL</v>
          </cell>
          <cell r="AA5874" t="str">
            <v>GEMCO GENERAL MACHINERY S.A.</v>
          </cell>
        </row>
        <row r="5875">
          <cell r="Z5875" t="str">
            <v>DENTAL</v>
          </cell>
          <cell r="AA5875" t="str">
            <v>GEMCO GENERAL MACHINERY S.A.</v>
          </cell>
        </row>
        <row r="5876">
          <cell r="Z5876" t="str">
            <v>DENTAL</v>
          </cell>
          <cell r="AA5876" t="str">
            <v>GEMCO GENERAL MACHINERY S.A.</v>
          </cell>
        </row>
        <row r="5877">
          <cell r="Z5877" t="str">
            <v>DENTAL</v>
          </cell>
          <cell r="AA5877" t="str">
            <v>GEMCO GENERAL MACHINERY S.A.</v>
          </cell>
        </row>
        <row r="5878">
          <cell r="Z5878" t="str">
            <v>DENTAL</v>
          </cell>
          <cell r="AA5878" t="str">
            <v>GEMCO GENERAL MACHINERY S.A.</v>
          </cell>
        </row>
        <row r="5879">
          <cell r="Z5879" t="str">
            <v>DENTAL</v>
          </cell>
          <cell r="AA5879" t="str">
            <v>CESFAM LONGAVI</v>
          </cell>
        </row>
        <row r="5880">
          <cell r="Z5880" t="str">
            <v>DENTAL</v>
          </cell>
          <cell r="AA5880" t="str">
            <v>CESFAM LONGAVI</v>
          </cell>
        </row>
        <row r="5881">
          <cell r="Z5881" t="str">
            <v>DENTAL</v>
          </cell>
          <cell r="AA5881" t="str">
            <v>HOSPITAL BASE DE LINARES</v>
          </cell>
        </row>
        <row r="5882">
          <cell r="Z5882" t="str">
            <v>DENTAL</v>
          </cell>
        </row>
        <row r="5883">
          <cell r="Z5883" t="str">
            <v>DENTAL</v>
          </cell>
        </row>
        <row r="5884">
          <cell r="Z5884" t="str">
            <v>DENTAL</v>
          </cell>
          <cell r="AA5884" t="str">
            <v>CESFAM LONGAVI</v>
          </cell>
        </row>
        <row r="5885">
          <cell r="Z5885" t="str">
            <v>DENTAL</v>
          </cell>
          <cell r="AA5885" t="str">
            <v>CESFAM LONGAVI</v>
          </cell>
        </row>
        <row r="5886">
          <cell r="Z5886" t="str">
            <v>DENTAL</v>
          </cell>
          <cell r="AA5886" t="str">
            <v>GEMCO GENERAL MACHINERY S.A.</v>
          </cell>
        </row>
        <row r="5887">
          <cell r="Z5887" t="str">
            <v>DENTAL</v>
          </cell>
        </row>
        <row r="5888">
          <cell r="Z5888" t="str">
            <v>DENTAL</v>
          </cell>
          <cell r="AA5888" t="str">
            <v>ODONTOESTETICA</v>
          </cell>
        </row>
        <row r="5889">
          <cell r="Z5889" t="str">
            <v>DENTAL</v>
          </cell>
        </row>
        <row r="5890">
          <cell r="Z5890" t="str">
            <v>DENTAL</v>
          </cell>
          <cell r="AA5890" t="str">
            <v>HOSPITAL DE HUASCO</v>
          </cell>
        </row>
        <row r="5891">
          <cell r="Z5891" t="str">
            <v>DENTAL</v>
          </cell>
          <cell r="AA5891" t="str">
            <v>HOSPITAL REGIONAL DE ARICA DR. JUAN NOÉ CREVANI</v>
          </cell>
        </row>
        <row r="5892">
          <cell r="Z5892" t="str">
            <v>DENTAL</v>
          </cell>
          <cell r="AA5892" t="str">
            <v>GEMCO GENERAL MACHINERY S.A.</v>
          </cell>
        </row>
        <row r="5893">
          <cell r="Z5893" t="str">
            <v>DENTAL</v>
          </cell>
          <cell r="AA5893" t="str">
            <v>GEMCO GENERAL MACHINERY S.A.</v>
          </cell>
        </row>
        <row r="5894">
          <cell r="Z5894" t="str">
            <v>DENTAL</v>
          </cell>
          <cell r="AA5894" t="str">
            <v>GEMCO GENERAL MACHINERY S.A.</v>
          </cell>
        </row>
        <row r="5895">
          <cell r="Z5895" t="str">
            <v>DENTAL</v>
          </cell>
        </row>
        <row r="5896">
          <cell r="Z5896" t="str">
            <v>DENTAL</v>
          </cell>
          <cell r="AA5896" t="str">
            <v>GEMCO GENERAL MACHINERY S.A.</v>
          </cell>
        </row>
        <row r="5897">
          <cell r="Z5897" t="str">
            <v>DENTAL</v>
          </cell>
          <cell r="AA5897" t="str">
            <v>GEMCO GENERAL MACHINERY S.A.</v>
          </cell>
        </row>
        <row r="5898">
          <cell r="Z5898" t="str">
            <v>DENTAL</v>
          </cell>
          <cell r="AA5898" t="str">
            <v>GEMCO GENERAL MACHINERY S.A.</v>
          </cell>
        </row>
        <row r="5899">
          <cell r="Z5899" t="str">
            <v>DENTAL</v>
          </cell>
          <cell r="AA5899" t="str">
            <v>CESFAM LA CANELA</v>
          </cell>
        </row>
        <row r="5900">
          <cell r="Z5900" t="str">
            <v>DENTAL</v>
          </cell>
          <cell r="AA5900" t="str">
            <v>GEMCO GENERAL MACHINERY S.A.</v>
          </cell>
        </row>
        <row r="5901">
          <cell r="Z5901" t="str">
            <v>DENTAL</v>
          </cell>
          <cell r="AA5901" t="str">
            <v>HOSPITAL BASE DE LINARES</v>
          </cell>
        </row>
        <row r="5902">
          <cell r="Z5902" t="str">
            <v>DENTAL</v>
          </cell>
        </row>
        <row r="5903">
          <cell r="Z5903" t="str">
            <v>DENTAL</v>
          </cell>
        </row>
        <row r="5904">
          <cell r="Z5904" t="str">
            <v>DENTAL</v>
          </cell>
        </row>
        <row r="5905">
          <cell r="Z5905" t="str">
            <v>DENTAL</v>
          </cell>
          <cell r="AA5905" t="str">
            <v>CESFAM LA CANELA</v>
          </cell>
        </row>
        <row r="5906">
          <cell r="Z5906" t="str">
            <v>DENTAL</v>
          </cell>
        </row>
        <row r="5907">
          <cell r="Z5907" t="str">
            <v>DENTAL</v>
          </cell>
        </row>
        <row r="5908">
          <cell r="Z5908" t="str">
            <v>DENTAL</v>
          </cell>
          <cell r="AA5908" t="str">
            <v>HOSPITAL BASE DE LINARES</v>
          </cell>
        </row>
        <row r="5909">
          <cell r="Z5909" t="str">
            <v>DENTAL</v>
          </cell>
        </row>
        <row r="5910">
          <cell r="Z5910" t="str">
            <v>DENTAL</v>
          </cell>
          <cell r="AA5910" t="str">
            <v>CESFAM CIRUJANO GUZMAN</v>
          </cell>
        </row>
        <row r="5911">
          <cell r="Z5911" t="str">
            <v>DENTAL</v>
          </cell>
          <cell r="AA5911" t="str">
            <v>CESFAM CIRUJANO GUZMAN</v>
          </cell>
        </row>
        <row r="5912">
          <cell r="Z5912" t="str">
            <v>DENTAL</v>
          </cell>
          <cell r="AA5912" t="str">
            <v>CESFAM CIRUJANO GUZMAN</v>
          </cell>
        </row>
        <row r="5913">
          <cell r="Z5913" t="str">
            <v>DENTAL</v>
          </cell>
          <cell r="AA5913" t="str">
            <v>CENTRO DENTAL MATIAS COUSIÑO</v>
          </cell>
        </row>
        <row r="5914">
          <cell r="Z5914" t="str">
            <v>DENTAL</v>
          </cell>
          <cell r="AA5914" t="str">
            <v>INTEGRAMEDICA BIO BIO</v>
          </cell>
        </row>
        <row r="5915">
          <cell r="Z5915" t="str">
            <v>DENTAL</v>
          </cell>
          <cell r="AA5915" t="str">
            <v>INTEGRAMEDICA BIO BIO</v>
          </cell>
        </row>
        <row r="5916">
          <cell r="Z5916" t="str">
            <v>DENTAL</v>
          </cell>
          <cell r="AA5916" t="str">
            <v>INTEGRAMEDICA BIO BIO</v>
          </cell>
        </row>
        <row r="5917">
          <cell r="Z5917" t="str">
            <v>DENTAL</v>
          </cell>
          <cell r="AA5917" t="str">
            <v>INTEGRAMEDICA BIO BIO</v>
          </cell>
        </row>
        <row r="5918">
          <cell r="Z5918" t="str">
            <v>DENTAL</v>
          </cell>
          <cell r="AA5918" t="str">
            <v>INTEGRAMEDICA BIO BIO</v>
          </cell>
        </row>
        <row r="5919">
          <cell r="Z5919" t="str">
            <v>DENTAL</v>
          </cell>
          <cell r="AA5919" t="str">
            <v>INTEGRAMEDICA BIO BIO</v>
          </cell>
        </row>
        <row r="5920">
          <cell r="Z5920" t="str">
            <v>DENTAL</v>
          </cell>
          <cell r="AA5920" t="str">
            <v>INTEGRAMEDICA BIO BIO</v>
          </cell>
        </row>
        <row r="5921">
          <cell r="Z5921" t="str">
            <v>DENTAL</v>
          </cell>
          <cell r="AA5921" t="str">
            <v>INTEGRAMEDICA BANDERA</v>
          </cell>
        </row>
        <row r="5922">
          <cell r="Z5922" t="str">
            <v>DENTAL</v>
          </cell>
          <cell r="AA5922" t="str">
            <v>INTEGRAMEDICA BANDERA</v>
          </cell>
        </row>
        <row r="5923">
          <cell r="Z5923" t="str">
            <v>DENTAL</v>
          </cell>
          <cell r="AA5923" t="str">
            <v>INTEGRAMEDICA BANDERA</v>
          </cell>
        </row>
        <row r="5924">
          <cell r="Z5924" t="str">
            <v>DENTAL</v>
          </cell>
          <cell r="AA5924" t="str">
            <v>INTEGRAMEDICA BANDERA</v>
          </cell>
        </row>
        <row r="5925">
          <cell r="Z5925" t="str">
            <v>DENTAL</v>
          </cell>
          <cell r="AA5925" t="str">
            <v>INTEGRAMEDICA BANDERA</v>
          </cell>
        </row>
        <row r="5926">
          <cell r="Z5926" t="str">
            <v>DENTAL</v>
          </cell>
          <cell r="AA5926" t="str">
            <v>INTEGRAMEDICA BANDERA</v>
          </cell>
        </row>
        <row r="5927">
          <cell r="Z5927" t="str">
            <v>DENTAL</v>
          </cell>
          <cell r="AA5927" t="str">
            <v>INTEGRAMEDICA BANDERA</v>
          </cell>
        </row>
        <row r="5928">
          <cell r="Z5928" t="str">
            <v>DENTAL</v>
          </cell>
          <cell r="AA5928" t="str">
            <v>INTEGRAMEDICA BANDERA</v>
          </cell>
        </row>
        <row r="5929">
          <cell r="Z5929" t="str">
            <v>DENTAL</v>
          </cell>
          <cell r="AA5929" t="str">
            <v>INTEGRAMEDICA BANDERA</v>
          </cell>
        </row>
        <row r="5930">
          <cell r="Z5930" t="str">
            <v>DENTAL</v>
          </cell>
          <cell r="AA5930" t="str">
            <v>INTEGRAMEDICA BANDERA</v>
          </cell>
        </row>
        <row r="5931">
          <cell r="Z5931" t="str">
            <v>DENTAL</v>
          </cell>
          <cell r="AA5931" t="str">
            <v>INTEGRAMEDICA MANQUEHUE</v>
          </cell>
        </row>
        <row r="5932">
          <cell r="Z5932" t="str">
            <v>DENTAL</v>
          </cell>
          <cell r="AA5932" t="str">
            <v>INTEGRAMEDICA MANQUEHUE</v>
          </cell>
        </row>
        <row r="5933">
          <cell r="Z5933" t="str">
            <v>DENTAL</v>
          </cell>
          <cell r="AA5933" t="str">
            <v>INTEGRAMEDICA MANQUEHUE</v>
          </cell>
        </row>
        <row r="5934">
          <cell r="Z5934" t="str">
            <v>DENTAL</v>
          </cell>
          <cell r="AA5934" t="str">
            <v>INTEGRAMEDICA MANQUEHUE</v>
          </cell>
        </row>
        <row r="5935">
          <cell r="Z5935" t="str">
            <v>DENTAL</v>
          </cell>
          <cell r="AA5935" t="str">
            <v>INTEGRAMEDICA PLAZA NORTE</v>
          </cell>
        </row>
        <row r="5936">
          <cell r="Z5936" t="str">
            <v>DENTAL</v>
          </cell>
          <cell r="AA5936" t="str">
            <v>INTEGRAMEDICA PLAZA NORTE</v>
          </cell>
        </row>
        <row r="5937">
          <cell r="Z5937" t="str">
            <v>DENTAL</v>
          </cell>
          <cell r="AA5937" t="str">
            <v>INTEGRAMEDICA PLAZA NORTE</v>
          </cell>
        </row>
        <row r="5938">
          <cell r="Z5938" t="str">
            <v>DENTAL</v>
          </cell>
          <cell r="AA5938" t="str">
            <v>INTEGRAMEDICA PLAZA NORTE</v>
          </cell>
        </row>
        <row r="5939">
          <cell r="Z5939" t="str">
            <v>DENTAL</v>
          </cell>
          <cell r="AA5939" t="str">
            <v>INTEGRAMEDICA PLAZA NORTE</v>
          </cell>
        </row>
        <row r="5940">
          <cell r="Z5940" t="str">
            <v>DENTAL</v>
          </cell>
          <cell r="AA5940" t="str">
            <v>INTEGRAMEDICA MAIPU</v>
          </cell>
        </row>
        <row r="5941">
          <cell r="Z5941" t="str">
            <v>DENTAL</v>
          </cell>
          <cell r="AA5941" t="str">
            <v>INTEGRAMEDICA MAIPU</v>
          </cell>
        </row>
        <row r="5942">
          <cell r="Z5942" t="str">
            <v>DENTAL</v>
          </cell>
          <cell r="AA5942" t="str">
            <v>INTEGRAMEDICA MAIPU</v>
          </cell>
        </row>
        <row r="5943">
          <cell r="Z5943" t="str">
            <v>DENTAL</v>
          </cell>
          <cell r="AA5943" t="str">
            <v>INTEGRAMEDICA PUENTE ALTO</v>
          </cell>
        </row>
        <row r="5944">
          <cell r="Z5944" t="str">
            <v>DENTAL</v>
          </cell>
          <cell r="AA5944" t="str">
            <v>INTEGRAMEDICA PUENTE ALTO</v>
          </cell>
        </row>
        <row r="5945">
          <cell r="Z5945" t="str">
            <v>DENTAL</v>
          </cell>
          <cell r="AA5945" t="str">
            <v>INTEGRAMEDICA PLAZA EGAÑA</v>
          </cell>
        </row>
        <row r="5946">
          <cell r="Z5946" t="str">
            <v>DENTAL</v>
          </cell>
          <cell r="AA5946" t="str">
            <v>INTEGRAMEDICA PLAZA EGAÑA</v>
          </cell>
        </row>
        <row r="5947">
          <cell r="Z5947" t="str">
            <v>DENTAL</v>
          </cell>
          <cell r="AA5947" t="str">
            <v>INTEGRAMEDICA PLAZA EGAÑA</v>
          </cell>
        </row>
        <row r="5948">
          <cell r="Z5948" t="str">
            <v>DENTAL</v>
          </cell>
          <cell r="AA5948" t="str">
            <v>INTEGRAMEDICA PLAZA EGAÑA</v>
          </cell>
        </row>
        <row r="5949">
          <cell r="Z5949" t="str">
            <v>DENTAL</v>
          </cell>
          <cell r="AA5949" t="str">
            <v>INTEGRAMEDICA PLAZA EGAÑA</v>
          </cell>
        </row>
        <row r="5950">
          <cell r="Z5950" t="str">
            <v>DENTAL</v>
          </cell>
          <cell r="AA5950" t="str">
            <v>INTEGRAMEDICA PLAZA EGAÑA</v>
          </cell>
        </row>
        <row r="5951">
          <cell r="Z5951" t="str">
            <v>DENTAL</v>
          </cell>
          <cell r="AA5951" t="str">
            <v>INTEGRAMEDICA PLAZA EGAÑA</v>
          </cell>
        </row>
        <row r="5952">
          <cell r="Z5952" t="str">
            <v>DENTAL</v>
          </cell>
          <cell r="AA5952" t="str">
            <v>INTEGRAMEDICA PLAZA EGAÑA</v>
          </cell>
        </row>
        <row r="5953">
          <cell r="Z5953" t="str">
            <v>DENTAL</v>
          </cell>
          <cell r="AA5953" t="str">
            <v>INTEGRAMEDICA PLAZA EGAÑA</v>
          </cell>
        </row>
        <row r="5954">
          <cell r="Z5954" t="str">
            <v>DENTAL</v>
          </cell>
          <cell r="AA5954" t="str">
            <v>INTEGRAMEDICA PLAZA EGAÑA</v>
          </cell>
        </row>
        <row r="5955">
          <cell r="Z5955" t="str">
            <v>DENTAL</v>
          </cell>
          <cell r="AA5955" t="str">
            <v>INTEGRAMEDICA PLAZA EGAÑA</v>
          </cell>
        </row>
        <row r="5956">
          <cell r="Z5956" t="str">
            <v>DENTAL</v>
          </cell>
          <cell r="AA5956" t="str">
            <v>INTEGRAMEDICA PLAZA EGAÑA</v>
          </cell>
        </row>
        <row r="5957">
          <cell r="Z5957" t="str">
            <v>DENTAL</v>
          </cell>
          <cell r="AA5957" t="str">
            <v>INTEGRAMEDICA PLAZA SUR</v>
          </cell>
        </row>
        <row r="5958">
          <cell r="Z5958" t="str">
            <v>DENTAL</v>
          </cell>
          <cell r="AA5958" t="str">
            <v>INTEGRAMEDICA PLAZA SUR</v>
          </cell>
        </row>
        <row r="5959">
          <cell r="Z5959" t="str">
            <v>DENTAL</v>
          </cell>
          <cell r="AA5959" t="str">
            <v>INTEGRAMEDICA PLAZA SUR</v>
          </cell>
        </row>
        <row r="5960">
          <cell r="Z5960" t="str">
            <v>DENTAL</v>
          </cell>
          <cell r="AA5960" t="str">
            <v>INTEGRAMEDICA PLAZA SUR</v>
          </cell>
        </row>
        <row r="5961">
          <cell r="Z5961" t="str">
            <v>DENTAL</v>
          </cell>
          <cell r="AA5961" t="str">
            <v>INTEGRAMEDICA PLAZA SUR</v>
          </cell>
        </row>
        <row r="5962">
          <cell r="Z5962" t="str">
            <v>DENTAL</v>
          </cell>
          <cell r="AA5962" t="str">
            <v>INTEGRAMEDICA PLAZA SUR</v>
          </cell>
        </row>
        <row r="5963">
          <cell r="Z5963" t="str">
            <v>DENTAL</v>
          </cell>
          <cell r="AA5963" t="str">
            <v>INTEGRAMEDICA PLAZA SUR</v>
          </cell>
        </row>
        <row r="5964">
          <cell r="Z5964" t="str">
            <v>DENTAL</v>
          </cell>
          <cell r="AA5964" t="str">
            <v>INTEGRAMEDICA SAN MIGUEL</v>
          </cell>
        </row>
        <row r="5965">
          <cell r="Z5965" t="str">
            <v>DENTAL</v>
          </cell>
          <cell r="AA5965" t="str">
            <v>INTEGRAMEDICA TALCA</v>
          </cell>
        </row>
        <row r="5966">
          <cell r="Z5966" t="str">
            <v>DENTAL</v>
          </cell>
          <cell r="AA5966" t="str">
            <v>INTEGRAMEDICA TALCA</v>
          </cell>
        </row>
        <row r="5967">
          <cell r="Z5967" t="str">
            <v>DENTAL</v>
          </cell>
          <cell r="AA5967" t="str">
            <v>INTEGRAMEDICA TALCA</v>
          </cell>
        </row>
        <row r="5968">
          <cell r="Z5968" t="str">
            <v>DENTAL</v>
          </cell>
          <cell r="AA5968" t="str">
            <v>INTEGRAMEDICA TALCA</v>
          </cell>
        </row>
        <row r="5969">
          <cell r="Z5969" t="str">
            <v>DENTAL</v>
          </cell>
          <cell r="AA5969" t="str">
            <v>INTEGRAMEDICA TALCA</v>
          </cell>
        </row>
        <row r="5970">
          <cell r="Z5970" t="str">
            <v>DENTAL</v>
          </cell>
          <cell r="AA5970" t="str">
            <v>INTEGRAMEDICA TALCA</v>
          </cell>
        </row>
        <row r="5971">
          <cell r="Z5971" t="str">
            <v>DENTAL</v>
          </cell>
          <cell r="AA5971" t="str">
            <v>INTEGRAMEDICA TALCA</v>
          </cell>
        </row>
        <row r="5972">
          <cell r="Z5972" t="str">
            <v>DENTAL</v>
          </cell>
          <cell r="AA5972" t="str">
            <v>INTEGRAMEDICA TOBALABA</v>
          </cell>
        </row>
        <row r="5973">
          <cell r="Z5973" t="str">
            <v>DENTAL</v>
          </cell>
          <cell r="AA5973" t="str">
            <v>INTEGRAMEDICA TOBALABA</v>
          </cell>
        </row>
        <row r="5974">
          <cell r="Z5974" t="str">
            <v>DENTAL</v>
          </cell>
          <cell r="AA5974" t="str">
            <v>INTEGRAMEDICA TOBALABA</v>
          </cell>
        </row>
        <row r="5975">
          <cell r="Z5975" t="str">
            <v>DENTAL</v>
          </cell>
          <cell r="AA5975" t="str">
            <v>CESFAM TALCA</v>
          </cell>
        </row>
        <row r="5976">
          <cell r="Z5976" t="str">
            <v>DENTAL</v>
          </cell>
          <cell r="AA5976" t="str">
            <v>CESFAM TALCA</v>
          </cell>
        </row>
        <row r="5977">
          <cell r="Z5977" t="str">
            <v>DENTAL</v>
          </cell>
          <cell r="AA5977" t="str">
            <v>CESFAM TALCA</v>
          </cell>
        </row>
        <row r="5978">
          <cell r="Z5978" t="str">
            <v>DENTAL</v>
          </cell>
        </row>
        <row r="5979">
          <cell r="Z5979" t="str">
            <v>DENTAL</v>
          </cell>
        </row>
        <row r="5980">
          <cell r="Z5980" t="str">
            <v>DENTAL</v>
          </cell>
          <cell r="AA5980" t="str">
            <v>I.MUNICIPALIDAD DE INDEPENDENCIA</v>
          </cell>
        </row>
        <row r="5981">
          <cell r="Z5981" t="str">
            <v>DENTAL</v>
          </cell>
        </row>
        <row r="5982">
          <cell r="Z5982" t="str">
            <v>DENTAL</v>
          </cell>
          <cell r="AA5982" t="str">
            <v>I.MUNICIPALIDAD DE INDEPENDENCIA</v>
          </cell>
        </row>
        <row r="5983">
          <cell r="Z5983" t="str">
            <v>DENTAL</v>
          </cell>
        </row>
        <row r="5984">
          <cell r="Z5984" t="str">
            <v>DENTAL</v>
          </cell>
          <cell r="AA5984" t="str">
            <v>CESFAM RODELILLO</v>
          </cell>
        </row>
        <row r="5985">
          <cell r="Z5985" t="str">
            <v>DENTAL</v>
          </cell>
        </row>
        <row r="5986">
          <cell r="Z5986" t="str">
            <v>DENTAL</v>
          </cell>
          <cell r="AA5986" t="str">
            <v>INTEGRAMEDICA PLAZA EGAÑA</v>
          </cell>
        </row>
        <row r="5987">
          <cell r="Z5987" t="str">
            <v>DENTAL</v>
          </cell>
          <cell r="AA5987" t="str">
            <v>INTEGRAMEDICA PLAZA EGAÑA</v>
          </cell>
        </row>
        <row r="5988">
          <cell r="Z5988" t="str">
            <v>DENTAL</v>
          </cell>
          <cell r="AA5988" t="str">
            <v>SONORAD HUERFANOS</v>
          </cell>
        </row>
        <row r="5989">
          <cell r="Z5989" t="str">
            <v>DENTAL</v>
          </cell>
          <cell r="AA5989" t="str">
            <v>SONORAD HUERFANOS</v>
          </cell>
        </row>
        <row r="5990">
          <cell r="Z5990" t="str">
            <v>DENTAL</v>
          </cell>
          <cell r="AA5990" t="str">
            <v>SONORAD HUERFANOS</v>
          </cell>
        </row>
        <row r="5991">
          <cell r="Z5991" t="str">
            <v>DENTAL</v>
          </cell>
          <cell r="AA5991" t="str">
            <v>SONORAD HUERFANOS</v>
          </cell>
        </row>
        <row r="5992">
          <cell r="Z5992" t="str">
            <v>DENTAL</v>
          </cell>
          <cell r="AA5992" t="str">
            <v>SONORAD HUERFANOS</v>
          </cell>
        </row>
        <row r="5993">
          <cell r="Z5993" t="str">
            <v>DENTAL</v>
          </cell>
        </row>
        <row r="5994">
          <cell r="Z5994" t="str">
            <v>DENTAL</v>
          </cell>
        </row>
        <row r="5995">
          <cell r="Z5995" t="str">
            <v>DENTAL</v>
          </cell>
          <cell r="AA5995" t="str">
            <v>CESFAM MARCOS MACUADA</v>
          </cell>
        </row>
        <row r="5996">
          <cell r="Z5996" t="str">
            <v>DENTAL</v>
          </cell>
          <cell r="AA5996" t="str">
            <v>CESFAM JORGE JORDAN</v>
          </cell>
        </row>
        <row r="5997">
          <cell r="Z5997" t="str">
            <v>DENTAL</v>
          </cell>
          <cell r="AA5997" t="str">
            <v>CESFAM JORGE JORDAN</v>
          </cell>
        </row>
        <row r="5998">
          <cell r="Z5998" t="str">
            <v>DENTAL</v>
          </cell>
          <cell r="AA5998" t="str">
            <v>CESFAM MARCOS MACUADA</v>
          </cell>
        </row>
        <row r="5999">
          <cell r="Z5999" t="str">
            <v>DENTAL</v>
          </cell>
          <cell r="AA5999" t="str">
            <v>CESFAM JORGE JORDAN</v>
          </cell>
        </row>
        <row r="6000">
          <cell r="Z6000" t="str">
            <v>DENTAL</v>
          </cell>
        </row>
        <row r="6001">
          <cell r="Z6001" t="str">
            <v>DENTAL</v>
          </cell>
        </row>
        <row r="6002">
          <cell r="Z6002" t="str">
            <v>DENTAL</v>
          </cell>
        </row>
        <row r="6003">
          <cell r="Z6003" t="str">
            <v>DENTAL</v>
          </cell>
        </row>
        <row r="6004">
          <cell r="Z6004" t="str">
            <v>DENTAL</v>
          </cell>
          <cell r="AA6004" t="str">
            <v>HOSPITAL DE QUINTEROS</v>
          </cell>
        </row>
        <row r="6005">
          <cell r="Z6005" t="str">
            <v>DENTAL</v>
          </cell>
        </row>
        <row r="6006">
          <cell r="Z6006" t="str">
            <v>DENTAL</v>
          </cell>
          <cell r="AA6006" t="str">
            <v>I. MUNICIPALIDAD DE OVALLE</v>
          </cell>
        </row>
        <row r="6007">
          <cell r="Z6007" t="str">
            <v>DENTAL</v>
          </cell>
          <cell r="AA6007" t="str">
            <v>CESFAM MARCOS MACUADA</v>
          </cell>
        </row>
        <row r="6008">
          <cell r="Z6008" t="str">
            <v>DENTAL</v>
          </cell>
          <cell r="AA6008" t="str">
            <v>I. MUNICIPALIDAD DE OVALLE</v>
          </cell>
        </row>
        <row r="6009">
          <cell r="Z6009" t="str">
            <v>DENTAL</v>
          </cell>
          <cell r="AA6009" t="str">
            <v>CESFAM MARCOS MACUADA</v>
          </cell>
        </row>
        <row r="6010">
          <cell r="Z6010" t="str">
            <v>DENTAL</v>
          </cell>
          <cell r="AA6010" t="str">
            <v>INTEGRAMEDICA TOBALABA</v>
          </cell>
        </row>
        <row r="6011">
          <cell r="Z6011" t="str">
            <v>DENTAL</v>
          </cell>
          <cell r="AA6011" t="str">
            <v>INTEGRAMEDICA TOBALABA</v>
          </cell>
        </row>
        <row r="6012">
          <cell r="Z6012" t="str">
            <v>DENTAL</v>
          </cell>
          <cell r="AA6012" t="str">
            <v>COMPLEJO ASISTENCIAL DR.SOTERO DEL RIO</v>
          </cell>
        </row>
        <row r="6013">
          <cell r="Z6013" t="str">
            <v>DENTAL</v>
          </cell>
        </row>
        <row r="6014">
          <cell r="Z6014" t="str">
            <v>DENTAL</v>
          </cell>
        </row>
        <row r="6015">
          <cell r="Z6015" t="str">
            <v>DENTAL</v>
          </cell>
          <cell r="AA6015" t="str">
            <v>INSTITUTO DE SALUD PUBLICA</v>
          </cell>
        </row>
        <row r="6016">
          <cell r="Z6016" t="str">
            <v>DENTAL</v>
          </cell>
          <cell r="AA6016" t="str">
            <v>INTEGRAMEDICA SANTA LUCIA.</v>
          </cell>
        </row>
        <row r="6017">
          <cell r="Z6017" t="str">
            <v>DENTAL</v>
          </cell>
          <cell r="AA6017" t="str">
            <v>INTEGRAMEDICA SANTA LUCIA.</v>
          </cell>
        </row>
        <row r="6018">
          <cell r="Z6018" t="str">
            <v>DENTAL</v>
          </cell>
          <cell r="AA6018" t="str">
            <v>INTEGRAMEDICA SANTA LUCIA.</v>
          </cell>
        </row>
        <row r="6019">
          <cell r="Z6019" t="str">
            <v>DENTAL</v>
          </cell>
          <cell r="AA6019" t="str">
            <v>INTEGRAMEDICA SANTA LUCIA.</v>
          </cell>
        </row>
        <row r="6020">
          <cell r="Z6020" t="str">
            <v>DENTAL</v>
          </cell>
          <cell r="AA6020" t="str">
            <v>INTEGRAMEDICA SANTA LUCIA.</v>
          </cell>
        </row>
        <row r="6021">
          <cell r="Z6021" t="str">
            <v>DENTAL</v>
          </cell>
          <cell r="AA6021" t="str">
            <v>INTEGRAMEDICA SANTA LUCIA.</v>
          </cell>
        </row>
        <row r="6022">
          <cell r="Z6022" t="str">
            <v>DENTAL</v>
          </cell>
          <cell r="AA6022" t="str">
            <v>INTEGRAMEDICA SANTA LUCIA.</v>
          </cell>
        </row>
        <row r="6023">
          <cell r="Z6023" t="str">
            <v>DENTAL</v>
          </cell>
        </row>
        <row r="6024">
          <cell r="Z6024" t="str">
            <v>DENTAL</v>
          </cell>
        </row>
        <row r="6025">
          <cell r="Z6025" t="str">
            <v>DENTAL</v>
          </cell>
        </row>
        <row r="6026">
          <cell r="Z6026" t="str">
            <v>DENTAL</v>
          </cell>
        </row>
        <row r="6027">
          <cell r="Z6027" t="str">
            <v>DENTAL</v>
          </cell>
        </row>
        <row r="6028">
          <cell r="Z6028" t="str">
            <v>DENTAL</v>
          </cell>
        </row>
        <row r="6029">
          <cell r="Z6029" t="str">
            <v>DENTAL</v>
          </cell>
          <cell r="AA6029" t="str">
            <v>HOSPITAL EXEQUIEL GONZALEZ CORTES</v>
          </cell>
        </row>
        <row r="6030">
          <cell r="Z6030" t="str">
            <v>DENTAL</v>
          </cell>
        </row>
        <row r="6031">
          <cell r="Z6031" t="str">
            <v>DENTAL</v>
          </cell>
          <cell r="AA6031" t="str">
            <v>HOSPITAL DE COYHAIQUE</v>
          </cell>
        </row>
        <row r="6032">
          <cell r="Z6032" t="str">
            <v>DENTAL</v>
          </cell>
        </row>
        <row r="6033">
          <cell r="Z6033" t="str">
            <v>DENTAL</v>
          </cell>
          <cell r="AA6033" t="str">
            <v>HOSPITAL BARROS LUCO TRUDEAU</v>
          </cell>
        </row>
        <row r="6034">
          <cell r="Z6034" t="str">
            <v>DENTAL</v>
          </cell>
        </row>
        <row r="6035">
          <cell r="Z6035" t="str">
            <v>DENTAL</v>
          </cell>
        </row>
        <row r="6036">
          <cell r="Z6036" t="str">
            <v>DENTAL</v>
          </cell>
          <cell r="AA6036" t="str">
            <v>CLINICA ODONTOLOGICA GEO LTDA</v>
          </cell>
        </row>
        <row r="6037">
          <cell r="Z6037" t="str">
            <v>DENTAL</v>
          </cell>
          <cell r="AA6037" t="str">
            <v>DENTALWISS LTDA.</v>
          </cell>
        </row>
        <row r="6038">
          <cell r="Z6038" t="str">
            <v>DENTAL</v>
          </cell>
          <cell r="AA6038" t="str">
            <v>DENTALWISS LTDA.</v>
          </cell>
        </row>
        <row r="6039">
          <cell r="Z6039" t="str">
            <v>DENTAL</v>
          </cell>
          <cell r="AA6039" t="str">
            <v>DENTALWISS LTDA.</v>
          </cell>
        </row>
        <row r="6040">
          <cell r="Z6040" t="str">
            <v>DENTAL</v>
          </cell>
          <cell r="AA6040" t="str">
            <v>DENTALWISS LTDA.</v>
          </cell>
        </row>
        <row r="6041">
          <cell r="Z6041" t="str">
            <v>DENTAL</v>
          </cell>
          <cell r="AA6041" t="str">
            <v>ODONTOESTETICA</v>
          </cell>
        </row>
        <row r="6042">
          <cell r="Z6042" t="str">
            <v>DENTAL</v>
          </cell>
          <cell r="AA6042" t="str">
            <v>DIAGNORAD ANTOFAGASTA</v>
          </cell>
        </row>
        <row r="6043">
          <cell r="Z6043" t="str">
            <v>DENTAL</v>
          </cell>
          <cell r="AA6043" t="str">
            <v>MUNICIPALIDAD BARNECHEA</v>
          </cell>
        </row>
        <row r="6044">
          <cell r="Z6044" t="str">
            <v>DENTAL</v>
          </cell>
        </row>
        <row r="6045">
          <cell r="Z6045" t="str">
            <v>DENTAL</v>
          </cell>
          <cell r="AA6045" t="str">
            <v>JAIME BRAVO CENTRO ODONTOLOGICO EIL</v>
          </cell>
        </row>
        <row r="6046">
          <cell r="Z6046" t="str">
            <v>DENTAL</v>
          </cell>
          <cell r="AA6046" t="str">
            <v>JAIME BRAVO CENTRO ODONTOLOGICO EIL</v>
          </cell>
        </row>
        <row r="6047">
          <cell r="Z6047" t="str">
            <v>DENTAL</v>
          </cell>
          <cell r="AA6047" t="str">
            <v>HOSPITAL MILITAR DE SANTIAGO</v>
          </cell>
        </row>
        <row r="6048">
          <cell r="Z6048" t="str">
            <v>DENTAL</v>
          </cell>
        </row>
        <row r="6049">
          <cell r="Z6049" t="str">
            <v>DENTAL</v>
          </cell>
        </row>
        <row r="6050">
          <cell r="Z6050" t="str">
            <v>DENTAL</v>
          </cell>
        </row>
        <row r="6051">
          <cell r="Z6051" t="str">
            <v>DENTAL</v>
          </cell>
          <cell r="AA6051" t="str">
            <v>DENTALWISS LTDA.</v>
          </cell>
        </row>
        <row r="6052">
          <cell r="Z6052" t="str">
            <v>DENTAL</v>
          </cell>
        </row>
        <row r="6053">
          <cell r="Z6053" t="str">
            <v>DENTAL</v>
          </cell>
          <cell r="AA6053" t="str">
            <v>HOSPITAL REGIONAL DE ANTOFAGASTA</v>
          </cell>
        </row>
        <row r="6054">
          <cell r="Z6054" t="str">
            <v>DENTAL</v>
          </cell>
          <cell r="AA6054" t="str">
            <v>HOSPITAL REGIONAL DE ANTOFAGASTA</v>
          </cell>
        </row>
        <row r="6055">
          <cell r="Z6055" t="str">
            <v>DENTAL</v>
          </cell>
          <cell r="AA6055" t="str">
            <v>HOSPITAL REGIONAL DE ANTOFAGASTA</v>
          </cell>
        </row>
        <row r="6056">
          <cell r="Z6056" t="str">
            <v>DENTAL</v>
          </cell>
          <cell r="AA6056" t="str">
            <v>DENTALWISS LTDA.</v>
          </cell>
        </row>
        <row r="6057">
          <cell r="Z6057" t="str">
            <v>DENTAL</v>
          </cell>
        </row>
        <row r="6058">
          <cell r="Z6058" t="str">
            <v>DENTAL</v>
          </cell>
          <cell r="AA6058" t="str">
            <v>JAIME BRAVO CENTRO ODONTOLOGICO EIL</v>
          </cell>
        </row>
        <row r="6059">
          <cell r="Z6059" t="str">
            <v>DENTAL</v>
          </cell>
          <cell r="AA6059" t="str">
            <v>JAIME BRAVO CENTRO ODONTOLOGICO EIL</v>
          </cell>
        </row>
        <row r="6060">
          <cell r="Z6060" t="str">
            <v>DENTAL</v>
          </cell>
          <cell r="AA6060" t="str">
            <v>JAIME BRAVO CENTRO ODONTOLOGICO EIL</v>
          </cell>
        </row>
        <row r="6061">
          <cell r="Z6061" t="str">
            <v>DENTAL</v>
          </cell>
          <cell r="AA6061" t="str">
            <v>JAIME BRAVO CENTRO ODONTOLOGICO EIL</v>
          </cell>
        </row>
        <row r="6062">
          <cell r="Z6062" t="str">
            <v>DENTAL</v>
          </cell>
        </row>
        <row r="6063">
          <cell r="Z6063" t="str">
            <v>DENTAL</v>
          </cell>
        </row>
        <row r="6064">
          <cell r="Z6064" t="str">
            <v>DENTAL</v>
          </cell>
        </row>
        <row r="6065">
          <cell r="Z6065" t="str">
            <v>DENTAL</v>
          </cell>
          <cell r="AA6065" t="str">
            <v>HOSPITAL DE HUALAÑE</v>
          </cell>
        </row>
        <row r="6066">
          <cell r="Z6066" t="str">
            <v>DENTAL</v>
          </cell>
          <cell r="AA6066" t="str">
            <v>MUNICIPALIDAD BARNECHEA</v>
          </cell>
        </row>
        <row r="6067">
          <cell r="Z6067" t="str">
            <v>DENTAL</v>
          </cell>
          <cell r="AA6067" t="str">
            <v>GEMCO GENERAL MACHINERY S.A.</v>
          </cell>
        </row>
        <row r="6068">
          <cell r="Z6068" t="str">
            <v>DENTAL</v>
          </cell>
        </row>
        <row r="6069">
          <cell r="Z6069" t="str">
            <v>DENTAL</v>
          </cell>
        </row>
        <row r="6070">
          <cell r="Z6070" t="str">
            <v>DENTAL</v>
          </cell>
        </row>
        <row r="6071">
          <cell r="Z6071" t="str">
            <v>DENTAL</v>
          </cell>
        </row>
        <row r="6072">
          <cell r="Z6072" t="str">
            <v>DENTAL</v>
          </cell>
          <cell r="AA6072" t="str">
            <v>LA ARAUCANA SALUD S.A.</v>
          </cell>
        </row>
        <row r="6073">
          <cell r="Z6073" t="str">
            <v>DENTAL</v>
          </cell>
          <cell r="AA6073" t="str">
            <v>CENTRO DENTAL MATIAS COUSIÑO</v>
          </cell>
        </row>
        <row r="6074">
          <cell r="Z6074" t="str">
            <v>DENTAL</v>
          </cell>
          <cell r="AA6074" t="str">
            <v>CENTRO DENTAL MATIAS COUSIÑO</v>
          </cell>
        </row>
        <row r="6075">
          <cell r="Z6075" t="str">
            <v>DENTAL</v>
          </cell>
          <cell r="AA6075" t="str">
            <v>CENTRO DENTAL MATIAS COUSIÑO</v>
          </cell>
        </row>
        <row r="6076">
          <cell r="Z6076" t="str">
            <v>DENTAL</v>
          </cell>
        </row>
        <row r="6077">
          <cell r="Z6077" t="str">
            <v>DENTAL</v>
          </cell>
        </row>
        <row r="6078">
          <cell r="Z6078" t="str">
            <v>DENTAL</v>
          </cell>
        </row>
        <row r="6079">
          <cell r="Z6079" t="str">
            <v>DENTAL</v>
          </cell>
        </row>
        <row r="6080">
          <cell r="Z6080" t="str">
            <v>DENTAL</v>
          </cell>
          <cell r="AA6080" t="str">
            <v>CESFAM LO BARNECHEA</v>
          </cell>
        </row>
        <row r="6081">
          <cell r="Z6081" t="str">
            <v>DENTAL</v>
          </cell>
          <cell r="AA6081" t="str">
            <v>INTEGRAMEDICA SAN MIGUEL</v>
          </cell>
        </row>
        <row r="6082">
          <cell r="Z6082" t="str">
            <v>DENTAL</v>
          </cell>
          <cell r="AA6082" t="str">
            <v>HOSPITAL DE CONSTITUCION</v>
          </cell>
        </row>
        <row r="6083">
          <cell r="Z6083" t="str">
            <v>DENTAL</v>
          </cell>
          <cell r="AA6083" t="str">
            <v>HOSPITAL DE CONSTITUCION</v>
          </cell>
        </row>
        <row r="6084">
          <cell r="Z6084" t="str">
            <v>DENTAL</v>
          </cell>
          <cell r="AA6084" t="str">
            <v>HOSPITAL DE CONSTITUCION</v>
          </cell>
        </row>
        <row r="6085">
          <cell r="Z6085" t="str">
            <v>DENTAL</v>
          </cell>
          <cell r="AA6085" t="str">
            <v>HOSPITAL DE CONSTITUCION</v>
          </cell>
        </row>
        <row r="6086">
          <cell r="Z6086" t="str">
            <v>DENTAL</v>
          </cell>
          <cell r="AA6086" t="str">
            <v>HOSPITAL DE CONSTITUCION</v>
          </cell>
        </row>
        <row r="6087">
          <cell r="Z6087" t="str">
            <v>DENTAL</v>
          </cell>
          <cell r="AA6087" t="str">
            <v>HOSPITAL MILITAR DE SANTIAGO</v>
          </cell>
        </row>
        <row r="6088">
          <cell r="Z6088" t="str">
            <v>DENTAL</v>
          </cell>
          <cell r="AA6088" t="str">
            <v>MUNICIPALIDAD BARNECHEA</v>
          </cell>
        </row>
        <row r="6089">
          <cell r="Z6089" t="str">
            <v>DENTAL</v>
          </cell>
          <cell r="AA6089" t="str">
            <v>CENTRO NORDEN AGUSTINAS 640</v>
          </cell>
        </row>
        <row r="6090">
          <cell r="Z6090" t="str">
            <v>DENTAL</v>
          </cell>
        </row>
        <row r="6091">
          <cell r="Z6091" t="str">
            <v>DENTAL</v>
          </cell>
        </row>
        <row r="6092">
          <cell r="Z6092" t="str">
            <v>DENTAL</v>
          </cell>
        </row>
        <row r="6093">
          <cell r="Z6093" t="str">
            <v>DENTAL</v>
          </cell>
          <cell r="AA6093" t="str">
            <v>HOSPITAL DE HUASCO</v>
          </cell>
        </row>
        <row r="6094">
          <cell r="Z6094" t="str">
            <v>DENTAL</v>
          </cell>
        </row>
        <row r="6095">
          <cell r="Z6095" t="str">
            <v>DENTAL</v>
          </cell>
        </row>
        <row r="6096">
          <cell r="Z6096" t="str">
            <v>DENTAL</v>
          </cell>
        </row>
        <row r="6097">
          <cell r="Z6097" t="str">
            <v>DENTAL</v>
          </cell>
          <cell r="AA6097" t="str">
            <v>UNIVERSIDAD SAN SEBASTIAN</v>
          </cell>
        </row>
        <row r="6098">
          <cell r="Z6098" t="str">
            <v>DENTAL</v>
          </cell>
          <cell r="AA6098" t="str">
            <v>UNIVERSIDAD SAN SEBASTIAN</v>
          </cell>
        </row>
        <row r="6099">
          <cell r="Z6099" t="str">
            <v>DENTAL</v>
          </cell>
          <cell r="AA6099" t="str">
            <v>UNIVERSIDAD SAN SEBASTIAN</v>
          </cell>
        </row>
        <row r="6100">
          <cell r="Z6100" t="str">
            <v>DENTAL</v>
          </cell>
          <cell r="AA6100" t="str">
            <v>UNIVERSIDAD SAN SEBASTIAN</v>
          </cell>
        </row>
        <row r="6101">
          <cell r="Z6101" t="str">
            <v>DENTAL</v>
          </cell>
        </row>
        <row r="6102">
          <cell r="Z6102" t="str">
            <v>DENTAL</v>
          </cell>
        </row>
        <row r="6103">
          <cell r="Z6103" t="str">
            <v>DENTAL</v>
          </cell>
          <cell r="AA6103" t="str">
            <v>UNIVERSIDAD SAN SEBASTIAN SEDE CONCPECION</v>
          </cell>
        </row>
        <row r="6104">
          <cell r="Z6104" t="str">
            <v>DENTAL</v>
          </cell>
          <cell r="AA6104" t="str">
            <v>UNIVERSIDAD SAN SEBASTIAN SEDE CONCPECION</v>
          </cell>
        </row>
        <row r="6105">
          <cell r="Z6105" t="str">
            <v>DENTAL</v>
          </cell>
          <cell r="AA6105" t="str">
            <v>UNIVERSIDAD SAN SEBASTIAN SEDE CONCPECION</v>
          </cell>
        </row>
        <row r="6106">
          <cell r="Z6106" t="str">
            <v>DENTAL</v>
          </cell>
          <cell r="AA6106" t="str">
            <v>UNIVERSIDAD SAN SEBASTIAN SEDE CONCPECION</v>
          </cell>
        </row>
        <row r="6107">
          <cell r="Z6107" t="str">
            <v>DENTAL</v>
          </cell>
          <cell r="AA6107" t="str">
            <v>UNIVERSIDAD SAN SEBASTIAN SEDE CONCPECION</v>
          </cell>
        </row>
        <row r="6108">
          <cell r="Z6108" t="str">
            <v>DENTAL</v>
          </cell>
          <cell r="AA6108" t="str">
            <v>UNIVERSIDAD SAN SEBASTIAN SEDE CONCPECION</v>
          </cell>
        </row>
        <row r="6109">
          <cell r="Z6109" t="str">
            <v>DENTAL</v>
          </cell>
          <cell r="AA6109" t="str">
            <v>UNIVERSIDAD SAN SEBASTIAN SEDE CONCPECION</v>
          </cell>
        </row>
        <row r="6110">
          <cell r="Z6110" t="str">
            <v>DENTAL</v>
          </cell>
          <cell r="AA6110" t="str">
            <v>UNIVERSIDAD SAN SEBASTIAN SEDE CONCPECION</v>
          </cell>
        </row>
        <row r="6111">
          <cell r="Z6111" t="str">
            <v>DENTAL</v>
          </cell>
          <cell r="AA6111" t="str">
            <v>UNIVERSIDAD SAN SEBASTIAN SEDE CONCPECION</v>
          </cell>
        </row>
        <row r="6112">
          <cell r="Z6112" t="str">
            <v>DENTAL</v>
          </cell>
          <cell r="AA6112" t="str">
            <v>UNIVERSIDAD SAN SEBASTIAN SEDE CONCPECION</v>
          </cell>
        </row>
        <row r="6113">
          <cell r="Z6113" t="str">
            <v>DENTAL</v>
          </cell>
        </row>
        <row r="6114">
          <cell r="Z6114" t="str">
            <v>DENTAL</v>
          </cell>
        </row>
        <row r="6115">
          <cell r="Z6115" t="str">
            <v>DENTAL</v>
          </cell>
          <cell r="AA6115" t="str">
            <v>HOSPITAL EXEQUIEL GONZALEZ CORTES</v>
          </cell>
        </row>
        <row r="6116">
          <cell r="Z6116" t="str">
            <v>DENTAL</v>
          </cell>
          <cell r="AA6116" t="str">
            <v>HOSPITAL EXEQUIEL GONZALEZ CORTES</v>
          </cell>
        </row>
        <row r="6117">
          <cell r="Z6117" t="str">
            <v>DENTAL</v>
          </cell>
          <cell r="AA6117" t="str">
            <v>HOSPITAL EXEQUIEL GONZALEZ CORTES</v>
          </cell>
        </row>
        <row r="6118">
          <cell r="Z6118" t="str">
            <v>DENTAL</v>
          </cell>
          <cell r="AA6118" t="str">
            <v>HOSPITAL EXEQUIEL GONZALEZ CORTES</v>
          </cell>
        </row>
        <row r="6119">
          <cell r="Z6119" t="str">
            <v>DENTAL</v>
          </cell>
          <cell r="AA6119" t="str">
            <v>HOSPITAL EXEQUIEL GONZALEZ CORTES</v>
          </cell>
        </row>
        <row r="6120">
          <cell r="Z6120" t="str">
            <v>DENTAL</v>
          </cell>
          <cell r="AA6120" t="str">
            <v>HOSPITAL EXEQUIEL GONZALEZ CORTES</v>
          </cell>
        </row>
        <row r="6121">
          <cell r="Z6121" t="str">
            <v>DENTAL</v>
          </cell>
          <cell r="AA6121" t="str">
            <v>UNIVERSIDAD SAN SEBASTIAN</v>
          </cell>
        </row>
        <row r="6122">
          <cell r="Z6122" t="str">
            <v>DENTAL</v>
          </cell>
          <cell r="AA6122" t="str">
            <v>UNIVERSIDAD SAN SEBASTIAN</v>
          </cell>
        </row>
        <row r="6123">
          <cell r="Z6123" t="str">
            <v>DENTAL</v>
          </cell>
          <cell r="AA6123" t="str">
            <v>UNIVERSIDAD SAN SEBASTIAN</v>
          </cell>
        </row>
        <row r="6124">
          <cell r="Z6124" t="str">
            <v>DENTAL</v>
          </cell>
        </row>
        <row r="6125">
          <cell r="Z6125" t="str">
            <v>DENTAL</v>
          </cell>
        </row>
        <row r="6126">
          <cell r="Z6126" t="str">
            <v>DENTAL</v>
          </cell>
          <cell r="AA6126" t="str">
            <v>HOSPITAL DE SALAMANCA</v>
          </cell>
        </row>
        <row r="6127">
          <cell r="Z6127" t="str">
            <v>DENTAL</v>
          </cell>
        </row>
        <row r="6128">
          <cell r="Z6128" t="str">
            <v>DENTAL</v>
          </cell>
        </row>
        <row r="6129">
          <cell r="Z6129" t="str">
            <v>DENTAL</v>
          </cell>
          <cell r="AA6129" t="str">
            <v>SOCIEDAD CONCESIONARIA METROPOLITANA DE SALUD S.A.</v>
          </cell>
        </row>
        <row r="6130">
          <cell r="Z6130" t="str">
            <v>DENTAL</v>
          </cell>
        </row>
        <row r="6131">
          <cell r="Z6131" t="str">
            <v>DENTAL</v>
          </cell>
          <cell r="AA6131" t="str">
            <v>HOSPITAL DE SALAMANCA</v>
          </cell>
        </row>
        <row r="6132">
          <cell r="Z6132" t="str">
            <v>DENTAL</v>
          </cell>
        </row>
        <row r="6133">
          <cell r="Z6133" t="str">
            <v>DENTAL</v>
          </cell>
          <cell r="AA6133" t="str">
            <v>CESFAM SAN FELIPE DEL REAL</v>
          </cell>
        </row>
        <row r="6134">
          <cell r="Z6134" t="str">
            <v>DENTAL</v>
          </cell>
          <cell r="AA6134" t="str">
            <v>CESFAM SAN FELIPE DEL REAL</v>
          </cell>
        </row>
        <row r="6135">
          <cell r="Z6135" t="str">
            <v>DENTAL</v>
          </cell>
        </row>
        <row r="6136">
          <cell r="Z6136" t="str">
            <v>DENTAL</v>
          </cell>
          <cell r="AA6136" t="str">
            <v>HOSPITAL DE SALAMANCA</v>
          </cell>
        </row>
        <row r="6137">
          <cell r="Z6137" t="str">
            <v>DENTAL</v>
          </cell>
          <cell r="AA6137" t="str">
            <v>CORPORACION MUNICIPAL DE CONCHALI</v>
          </cell>
        </row>
        <row r="6138">
          <cell r="Z6138" t="str">
            <v>DENTAL</v>
          </cell>
        </row>
        <row r="6139">
          <cell r="Z6139" t="str">
            <v>DENTAL</v>
          </cell>
          <cell r="AA6139" t="str">
            <v xml:space="preserve">CESFAM CONSTITUCIÓN </v>
          </cell>
        </row>
        <row r="6140">
          <cell r="Z6140" t="str">
            <v>DENTAL</v>
          </cell>
          <cell r="AA6140" t="str">
            <v>CESFAM RENGO</v>
          </cell>
        </row>
        <row r="6141">
          <cell r="Z6141" t="str">
            <v>DENTAL</v>
          </cell>
          <cell r="AA6141" t="str">
            <v xml:space="preserve">CESFAM CONSTITUCIÓN </v>
          </cell>
        </row>
        <row r="6142">
          <cell r="Z6142" t="str">
            <v>DENTAL</v>
          </cell>
          <cell r="AA6142" t="str">
            <v>CESFAM LOMA COLORADA</v>
          </cell>
        </row>
        <row r="6143">
          <cell r="Z6143" t="str">
            <v>DENTAL</v>
          </cell>
          <cell r="AA6143" t="str">
            <v>CESFAM LOMA COLORADA</v>
          </cell>
        </row>
        <row r="6144">
          <cell r="Z6144" t="str">
            <v>DENTAL</v>
          </cell>
          <cell r="AA6144" t="str">
            <v xml:space="preserve">CESFAM CONSTITUCIÓN </v>
          </cell>
        </row>
        <row r="6145">
          <cell r="Z6145" t="str">
            <v>DENTAL</v>
          </cell>
          <cell r="AA6145" t="str">
            <v xml:space="preserve">CESFAM CONSTITUCIÓN </v>
          </cell>
        </row>
        <row r="6146">
          <cell r="Z6146" t="str">
            <v>DENTAL</v>
          </cell>
          <cell r="AA6146" t="str">
            <v xml:space="preserve">CESFAM CONSTITUCIÓN </v>
          </cell>
        </row>
        <row r="6147">
          <cell r="Z6147" t="str">
            <v>DENTAL</v>
          </cell>
          <cell r="AA6147" t="str">
            <v xml:space="preserve">CESFAM CONSTITUCIÓN </v>
          </cell>
        </row>
        <row r="6148">
          <cell r="Z6148" t="str">
            <v>DENTAL</v>
          </cell>
          <cell r="AA6148" t="str">
            <v>CESFAM RENGO</v>
          </cell>
        </row>
        <row r="6149">
          <cell r="Z6149" t="str">
            <v>DENTAL</v>
          </cell>
          <cell r="AA6149" t="str">
            <v>CESFAM LOMA COLORADA</v>
          </cell>
        </row>
        <row r="6150">
          <cell r="Z6150" t="str">
            <v>DENTAL</v>
          </cell>
          <cell r="AA6150" t="str">
            <v>CESFAM RENGO</v>
          </cell>
        </row>
        <row r="6151">
          <cell r="Z6151" t="str">
            <v>DENTAL</v>
          </cell>
          <cell r="AA6151" t="str">
            <v>CESFAM RENGO</v>
          </cell>
        </row>
        <row r="6152">
          <cell r="Z6152" t="str">
            <v>DENTAL</v>
          </cell>
        </row>
        <row r="6153">
          <cell r="Z6153" t="str">
            <v>DENTAL</v>
          </cell>
        </row>
        <row r="6154">
          <cell r="Z6154" t="str">
            <v>DENTAL</v>
          </cell>
        </row>
        <row r="6155">
          <cell r="Z6155" t="str">
            <v>DENTAL</v>
          </cell>
          <cell r="AA6155" t="str">
            <v>I.MUNICIPALIDAD DE LA UNION</v>
          </cell>
        </row>
        <row r="6156">
          <cell r="Z6156" t="str">
            <v>DENTAL</v>
          </cell>
          <cell r="AA6156" t="str">
            <v>I.MUNICIPALIDAD DE LA UNION</v>
          </cell>
        </row>
        <row r="6157">
          <cell r="Z6157" t="str">
            <v>DENTAL</v>
          </cell>
          <cell r="AA6157" t="str">
            <v>I.MUNICIPALIDAD DE LA UNION</v>
          </cell>
        </row>
        <row r="6158">
          <cell r="Z6158" t="str">
            <v>DENTAL</v>
          </cell>
        </row>
        <row r="6159">
          <cell r="Z6159" t="str">
            <v>DENTAL</v>
          </cell>
        </row>
        <row r="6160">
          <cell r="Z6160" t="str">
            <v>DENTAL</v>
          </cell>
        </row>
        <row r="6161">
          <cell r="Z6161" t="str">
            <v>DENTAL</v>
          </cell>
        </row>
        <row r="6162">
          <cell r="Z6162" t="str">
            <v>DENTAL</v>
          </cell>
          <cell r="AA6162" t="str">
            <v>HOSPITAL SANTO TOMAS DE LIMACHE</v>
          </cell>
        </row>
        <row r="6163">
          <cell r="Z6163" t="str">
            <v>DENTAL</v>
          </cell>
          <cell r="AA6163" t="str">
            <v>I.MUNICIPALIDAD DE LA UNION</v>
          </cell>
        </row>
        <row r="6164">
          <cell r="Z6164" t="str">
            <v>DENTAL</v>
          </cell>
        </row>
        <row r="6165">
          <cell r="Z6165" t="str">
            <v>DENTAL</v>
          </cell>
          <cell r="AA6165" t="str">
            <v>I.MUNICIPALIDAD DE LA UNION</v>
          </cell>
        </row>
        <row r="6166">
          <cell r="Z6166" t="str">
            <v>DENTAL</v>
          </cell>
          <cell r="AA6166" t="str">
            <v>I.MUNICIPALIDAD DE LA UNION</v>
          </cell>
        </row>
        <row r="6167">
          <cell r="Z6167" t="str">
            <v>DENTAL</v>
          </cell>
          <cell r="AA6167" t="str">
            <v>HOSPITAL EXEQUIEL GONZALEZ CORTES</v>
          </cell>
        </row>
        <row r="6168">
          <cell r="Z6168" t="str">
            <v>DENTAL</v>
          </cell>
        </row>
        <row r="6169">
          <cell r="Z6169" t="str">
            <v>DENTAL</v>
          </cell>
          <cell r="AA6169" t="str">
            <v>I.MUNICIPALIDAD DE INDEPENDENCIA</v>
          </cell>
        </row>
        <row r="6170">
          <cell r="Z6170" t="str">
            <v>DENTAL</v>
          </cell>
        </row>
        <row r="6171">
          <cell r="Z6171" t="str">
            <v>DENTAL</v>
          </cell>
          <cell r="AA6171" t="str">
            <v>DIAGNORAD ANTOFAGASTA</v>
          </cell>
        </row>
        <row r="6172">
          <cell r="Z6172" t="str">
            <v>DENTAL</v>
          </cell>
          <cell r="AA6172" t="str">
            <v>DIAGNORAD ANTOFAGASTA</v>
          </cell>
        </row>
        <row r="6173">
          <cell r="Z6173" t="str">
            <v>DENTAL</v>
          </cell>
        </row>
        <row r="6174">
          <cell r="Z6174" t="str">
            <v>DENTAL</v>
          </cell>
        </row>
        <row r="6175">
          <cell r="Z6175" t="str">
            <v>DENTAL</v>
          </cell>
          <cell r="AA6175" t="str">
            <v>DIPRECA FONDO HOSPITAL</v>
          </cell>
        </row>
        <row r="6176">
          <cell r="Z6176" t="str">
            <v>DENTAL</v>
          </cell>
          <cell r="AA6176" t="str">
            <v>SOCIEDAD CONCESIONARIA METROPOLITANA DE SALUD S.A.</v>
          </cell>
        </row>
        <row r="6177">
          <cell r="Z6177" t="str">
            <v>DENTAL</v>
          </cell>
        </row>
        <row r="6178">
          <cell r="Z6178" t="str">
            <v>DENTAL</v>
          </cell>
          <cell r="AA6178" t="str">
            <v>CESFAM JORGE JORDAN</v>
          </cell>
        </row>
        <row r="6179">
          <cell r="Z6179" t="str">
            <v>DENTAL</v>
          </cell>
          <cell r="AA6179" t="str">
            <v>CESFAM JORGE JORDAN</v>
          </cell>
        </row>
        <row r="6180">
          <cell r="Z6180" t="str">
            <v>DENTAL</v>
          </cell>
          <cell r="AA6180" t="str">
            <v>CESFAM MARCOS MACUADA</v>
          </cell>
        </row>
        <row r="6181">
          <cell r="Z6181" t="str">
            <v>DENTAL</v>
          </cell>
        </row>
        <row r="6182">
          <cell r="Z6182" t="str">
            <v>DENTAL</v>
          </cell>
        </row>
        <row r="6183">
          <cell r="Z6183" t="str">
            <v>DENTAL</v>
          </cell>
        </row>
        <row r="6184">
          <cell r="Z6184" t="str">
            <v>DENTAL</v>
          </cell>
        </row>
        <row r="6185">
          <cell r="Z6185" t="str">
            <v>DENTAL</v>
          </cell>
        </row>
        <row r="6186">
          <cell r="Z6186" t="str">
            <v>DENTAL</v>
          </cell>
        </row>
        <row r="6187">
          <cell r="Z6187" t="str">
            <v>DENTAL</v>
          </cell>
        </row>
        <row r="6188">
          <cell r="Z6188" t="str">
            <v>DENTAL</v>
          </cell>
          <cell r="AA6188" t="str">
            <v>CESFAM PENCAHUE</v>
          </cell>
        </row>
        <row r="6189">
          <cell r="Z6189" t="str">
            <v>DENTAL</v>
          </cell>
        </row>
        <row r="6190">
          <cell r="Z6190" t="str">
            <v>DENTAL</v>
          </cell>
          <cell r="AA6190" t="str">
            <v>INTEGRAMEDICA S.A (Las Condes)</v>
          </cell>
        </row>
        <row r="6191">
          <cell r="Z6191" t="str">
            <v>DENTAL</v>
          </cell>
        </row>
        <row r="6192">
          <cell r="Z6192" t="str">
            <v>DENTAL</v>
          </cell>
          <cell r="AA6192" t="str">
            <v>HOSPITAL SAN VICENTE TAGUA TAGUA</v>
          </cell>
        </row>
        <row r="6193">
          <cell r="Z6193" t="str">
            <v>DENTAL</v>
          </cell>
          <cell r="AA6193" t="str">
            <v>HOSPITAL DE PICHILEMU</v>
          </cell>
        </row>
        <row r="6194">
          <cell r="Z6194" t="str">
            <v>DENTAL</v>
          </cell>
        </row>
        <row r="6195">
          <cell r="Z6195" t="str">
            <v>DENTAL</v>
          </cell>
          <cell r="AA6195" t="str">
            <v>HOSPITAL LITUECHE</v>
          </cell>
        </row>
        <row r="6196">
          <cell r="Z6196" t="str">
            <v>DENTAL</v>
          </cell>
          <cell r="AA6196" t="str">
            <v>TECMEDENT</v>
          </cell>
        </row>
        <row r="6197">
          <cell r="Z6197" t="str">
            <v>DENTAL</v>
          </cell>
          <cell r="AA6197" t="str">
            <v>CESFAM LORETO DE COLTAUCO</v>
          </cell>
        </row>
        <row r="6198">
          <cell r="Z6198" t="str">
            <v>DENTAL</v>
          </cell>
        </row>
        <row r="6199">
          <cell r="Z6199" t="str">
            <v>DENTAL</v>
          </cell>
        </row>
        <row r="6200">
          <cell r="Z6200" t="str">
            <v>DENTAL</v>
          </cell>
          <cell r="AA6200" t="str">
            <v>CESFAM N° 2 RANCAGUA</v>
          </cell>
        </row>
        <row r="6201">
          <cell r="Z6201" t="str">
            <v>DENTAL</v>
          </cell>
          <cell r="AA6201" t="str">
            <v>CESFAM N° 2 RANCAGUA</v>
          </cell>
        </row>
        <row r="6202">
          <cell r="Z6202" t="str">
            <v>DENTAL</v>
          </cell>
        </row>
        <row r="6203">
          <cell r="Z6203" t="str">
            <v>DENTAL</v>
          </cell>
          <cell r="AA6203" t="str">
            <v>HOSPITAL LAS HIGUERAS</v>
          </cell>
        </row>
        <row r="6204">
          <cell r="Z6204" t="str">
            <v>DENTAL</v>
          </cell>
          <cell r="AA6204" t="str">
            <v>CESFAM N° 2 RANCAGUA</v>
          </cell>
        </row>
        <row r="6205">
          <cell r="Z6205" t="str">
            <v>DENTAL</v>
          </cell>
          <cell r="AA6205" t="str">
            <v>CESFAM N° 2 RANCAGUA</v>
          </cell>
        </row>
        <row r="6206">
          <cell r="Z6206" t="str">
            <v>DENTAL</v>
          </cell>
          <cell r="AA6206" t="str">
            <v>CESFAM N° 2 RANCAGUA</v>
          </cell>
        </row>
        <row r="6207">
          <cell r="Z6207" t="str">
            <v>DENTAL</v>
          </cell>
          <cell r="AA6207" t="str">
            <v>CESFAM N° 2 RANCAGUA</v>
          </cell>
        </row>
        <row r="6208">
          <cell r="Z6208" t="str">
            <v>DENTAL</v>
          </cell>
        </row>
        <row r="6209">
          <cell r="Z6209" t="str">
            <v>DENTAL</v>
          </cell>
        </row>
        <row r="6210">
          <cell r="Z6210" t="str">
            <v>DENTAL</v>
          </cell>
          <cell r="AA6210" t="str">
            <v>CESFAM MARCOS MACUADA</v>
          </cell>
        </row>
        <row r="6211">
          <cell r="Z6211" t="str">
            <v>DENTAL</v>
          </cell>
          <cell r="AA6211" t="str">
            <v>CESFAM SAN RAFAEL</v>
          </cell>
        </row>
        <row r="6212">
          <cell r="Z6212" t="str">
            <v>DENTAL</v>
          </cell>
          <cell r="AA6212" t="str">
            <v>I. MUNICIPALIDAD DE LA CISTERNA</v>
          </cell>
        </row>
        <row r="6213">
          <cell r="Z6213" t="str">
            <v>DENTAL</v>
          </cell>
          <cell r="AA6213" t="str">
            <v>SOCIEDAD CONCESIONARIA METROPOLITANA DE SALUD S.A.</v>
          </cell>
        </row>
        <row r="6214">
          <cell r="Z6214" t="str">
            <v>DENTAL</v>
          </cell>
          <cell r="AA6214" t="str">
            <v>CESFAM MARCOS MACUADA</v>
          </cell>
        </row>
        <row r="6215">
          <cell r="Z6215" t="str">
            <v>DENTAL</v>
          </cell>
          <cell r="AA6215" t="str">
            <v>CESFAM JORGE JORDAN</v>
          </cell>
        </row>
        <row r="6216">
          <cell r="Z6216" t="str">
            <v>DENTAL</v>
          </cell>
          <cell r="AA6216" t="str">
            <v>SOCIEDAD CONCESIONARIA METROPOLITANA DE SALUD S.A.</v>
          </cell>
        </row>
        <row r="6217">
          <cell r="Z6217" t="str">
            <v>DENTAL</v>
          </cell>
        </row>
        <row r="6218">
          <cell r="Z6218" t="str">
            <v>DENTAL</v>
          </cell>
        </row>
        <row r="6219">
          <cell r="Z6219" t="str">
            <v>DENTAL</v>
          </cell>
        </row>
        <row r="6220">
          <cell r="Z6220" t="str">
            <v>DENTAL</v>
          </cell>
          <cell r="AA6220" t="str">
            <v>CESFAM MARCOS MACUADA</v>
          </cell>
        </row>
        <row r="6221">
          <cell r="Z6221" t="str">
            <v>DENTAL</v>
          </cell>
          <cell r="AA6221" t="str">
            <v>CESFAM JORGE JORDAN</v>
          </cell>
        </row>
        <row r="6222">
          <cell r="Z6222" t="str">
            <v>DENTAL</v>
          </cell>
          <cell r="AA6222" t="str">
            <v>NORDEN  SEDE PEÑALOLEN</v>
          </cell>
        </row>
        <row r="6223">
          <cell r="Z6223" t="str">
            <v>DENTAL</v>
          </cell>
        </row>
        <row r="6224">
          <cell r="Z6224" t="str">
            <v>DENTAL</v>
          </cell>
        </row>
        <row r="6225">
          <cell r="Z6225" t="str">
            <v>DENTAL</v>
          </cell>
          <cell r="AA6225" t="str">
            <v>SOCIEDAD CONCESIONARIA METROPOLITANA DE SALUD S.A.</v>
          </cell>
        </row>
        <row r="6226">
          <cell r="Z6226" t="str">
            <v>DENTAL</v>
          </cell>
          <cell r="AA6226" t="str">
            <v>HOSPITAL LAS HIGUERAS</v>
          </cell>
        </row>
        <row r="6227">
          <cell r="Z6227" t="str">
            <v>DENTAL</v>
          </cell>
          <cell r="AA6227" t="str">
            <v>SOCIEDAD CONCESIONARIA METROPOLITANA DE SALUD S.A.</v>
          </cell>
        </row>
        <row r="6228">
          <cell r="Z6228" t="str">
            <v>DENTAL</v>
          </cell>
          <cell r="AA6228" t="str">
            <v>SOCIEDAD CONCESIONARIA METROPOLITANA DE SALUD S.A.</v>
          </cell>
        </row>
        <row r="6229">
          <cell r="Z6229" t="str">
            <v>DENTAL</v>
          </cell>
        </row>
        <row r="6230">
          <cell r="Z6230" t="str">
            <v>DENTAL</v>
          </cell>
          <cell r="AA6230" t="str">
            <v>CESFAM LORETO DE COLTAUCO</v>
          </cell>
        </row>
        <row r="6231">
          <cell r="Z6231" t="str">
            <v>DENTAL</v>
          </cell>
          <cell r="AA6231" t="str">
            <v>SOCIEDAD CONCESIONARIA METROPOLITANA DE SALUD S.A.</v>
          </cell>
        </row>
        <row r="6232">
          <cell r="Z6232" t="str">
            <v>DENTAL</v>
          </cell>
          <cell r="AA6232" t="str">
            <v>SOCIEDAD CONCESIONARIA METROPOLITANA DE SALUD S.A.</v>
          </cell>
        </row>
        <row r="6233">
          <cell r="Z6233" t="str">
            <v>DENTAL</v>
          </cell>
        </row>
        <row r="6234">
          <cell r="Z6234" t="str">
            <v>DENTAL</v>
          </cell>
        </row>
        <row r="6235">
          <cell r="Z6235" t="str">
            <v>DENTAL</v>
          </cell>
        </row>
        <row r="6236">
          <cell r="Z6236" t="str">
            <v>DENTAL</v>
          </cell>
        </row>
        <row r="6237">
          <cell r="Z6237" t="str">
            <v>DENTAL</v>
          </cell>
          <cell r="AA6237" t="str">
            <v>SOCIEDAD CONCESIONARIA METROPOLITANA DE SALUD S.A.</v>
          </cell>
        </row>
        <row r="6238">
          <cell r="Z6238" t="str">
            <v>DENTAL</v>
          </cell>
          <cell r="AA6238" t="str">
            <v>NORDEN  SEDE PEÑALOLEN</v>
          </cell>
        </row>
        <row r="6239">
          <cell r="Z6239" t="str">
            <v>DENTAL</v>
          </cell>
        </row>
        <row r="6240">
          <cell r="Z6240" t="str">
            <v>DENTAL</v>
          </cell>
          <cell r="AA6240" t="str">
            <v>UNIVERSIDAD SAN SEBASTIAN</v>
          </cell>
        </row>
        <row r="6241">
          <cell r="Z6241" t="str">
            <v>DENTAL</v>
          </cell>
          <cell r="AA6241" t="str">
            <v>UNIVERSIDAD SAN SEBASTIAN</v>
          </cell>
        </row>
        <row r="6242">
          <cell r="Z6242" t="str">
            <v>DENTAL</v>
          </cell>
          <cell r="AA6242" t="str">
            <v>UNIVERSIDAD SAN SEBASTIAN</v>
          </cell>
        </row>
        <row r="6243">
          <cell r="Z6243" t="str">
            <v>DENTAL</v>
          </cell>
          <cell r="AA6243" t="str">
            <v>UNIVERSIDAD SAN SEBASTIAN</v>
          </cell>
        </row>
        <row r="6244">
          <cell r="Z6244" t="str">
            <v>DENTAL</v>
          </cell>
          <cell r="AA6244" t="str">
            <v>UNIVERSIDAD SAN SEBASTIAN</v>
          </cell>
        </row>
        <row r="6245">
          <cell r="Z6245" t="str">
            <v>DENTAL</v>
          </cell>
          <cell r="AA6245" t="str">
            <v>UNIVERSIDAD SAN SEBASTIAN</v>
          </cell>
        </row>
        <row r="6246">
          <cell r="Z6246" t="str">
            <v>DENTAL</v>
          </cell>
          <cell r="AA6246" t="str">
            <v>UNIVERSIDAD SAN SEBASTIAN</v>
          </cell>
        </row>
        <row r="6247">
          <cell r="Z6247" t="str">
            <v>DENTAL</v>
          </cell>
          <cell r="AA6247" t="str">
            <v>UNIVERSIDAD SAN SEBASTIAN</v>
          </cell>
        </row>
        <row r="6248">
          <cell r="Z6248" t="str">
            <v>DENTAL</v>
          </cell>
        </row>
        <row r="6249">
          <cell r="Z6249" t="str">
            <v>DENTAL</v>
          </cell>
        </row>
        <row r="6250">
          <cell r="Z6250" t="str">
            <v>DENTAL</v>
          </cell>
          <cell r="AA6250" t="str">
            <v>UNIVERSIDAD SAN SEBASTIAN SEDE CONCPECION</v>
          </cell>
        </row>
        <row r="6251">
          <cell r="Z6251" t="str">
            <v>DENTAL</v>
          </cell>
          <cell r="AA6251" t="str">
            <v>UNIVERSIDAD SAN SEBASTIAN</v>
          </cell>
        </row>
        <row r="6252">
          <cell r="Z6252" t="str">
            <v>DENTAL</v>
          </cell>
          <cell r="AA6252" t="str">
            <v>HOSPITAL ROBERTO DEL RIO</v>
          </cell>
        </row>
        <row r="6253">
          <cell r="Z6253" t="str">
            <v>DENTAL</v>
          </cell>
          <cell r="AA6253" t="str">
            <v>HOSPITAL DE OVALLE</v>
          </cell>
        </row>
        <row r="6254">
          <cell r="Z6254" t="str">
            <v>DENTAL</v>
          </cell>
        </row>
        <row r="6255">
          <cell r="Z6255" t="str">
            <v>DENTAL</v>
          </cell>
          <cell r="AA6255" t="str">
            <v>HOSPITAL DE OVALLE</v>
          </cell>
        </row>
        <row r="6256">
          <cell r="Z6256" t="str">
            <v>DENTAL</v>
          </cell>
        </row>
        <row r="6257">
          <cell r="Z6257" t="str">
            <v>DENTAL</v>
          </cell>
          <cell r="AA6257" t="str">
            <v>CECOSF EDUARDO FREI</v>
          </cell>
        </row>
        <row r="6258">
          <cell r="Z6258" t="str">
            <v>DENTAL</v>
          </cell>
          <cell r="AA6258" t="str">
            <v>HOSPITAL DE OVALLE</v>
          </cell>
        </row>
        <row r="6259">
          <cell r="Z6259" t="str">
            <v>DENTAL</v>
          </cell>
          <cell r="AA6259" t="str">
            <v>POSTA LIMAHUIDA</v>
          </cell>
        </row>
        <row r="6260">
          <cell r="Z6260" t="str">
            <v>DENTAL</v>
          </cell>
        </row>
        <row r="6261">
          <cell r="Z6261" t="str">
            <v>DENTAL</v>
          </cell>
        </row>
        <row r="6262">
          <cell r="Z6262" t="str">
            <v>DENTAL</v>
          </cell>
          <cell r="AA6262" t="str">
            <v>HOSPITAL ROBERTO DEL RIO</v>
          </cell>
        </row>
        <row r="6263">
          <cell r="Z6263" t="str">
            <v>DENTAL</v>
          </cell>
        </row>
        <row r="6264">
          <cell r="Z6264" t="str">
            <v>DENTAL</v>
          </cell>
        </row>
        <row r="6265">
          <cell r="Z6265" t="str">
            <v>DENTAL</v>
          </cell>
        </row>
        <row r="6266">
          <cell r="Z6266" t="str">
            <v>DENTAL</v>
          </cell>
          <cell r="AA6266" t="str">
            <v>INTEGRAMEDICA RANCAGUA</v>
          </cell>
        </row>
        <row r="6267">
          <cell r="Z6267" t="str">
            <v>DENTAL</v>
          </cell>
        </row>
        <row r="6268">
          <cell r="Z6268" t="str">
            <v>DENTAL</v>
          </cell>
          <cell r="AA6268" t="str">
            <v>CESFAM SAN RAFAEL</v>
          </cell>
        </row>
        <row r="6269">
          <cell r="Z6269" t="str">
            <v>DENTAL</v>
          </cell>
          <cell r="AA6269" t="str">
            <v>CESFAM CURICO CENTRO</v>
          </cell>
        </row>
        <row r="6270">
          <cell r="Z6270" t="str">
            <v>DENTAL</v>
          </cell>
        </row>
        <row r="6271">
          <cell r="Z6271" t="str">
            <v>DENTAL</v>
          </cell>
          <cell r="AA6271" t="str">
            <v>NORDEN VITACURA</v>
          </cell>
        </row>
        <row r="6272">
          <cell r="Z6272" t="str">
            <v>DENTAL</v>
          </cell>
          <cell r="AA6272" t="str">
            <v>NORDEN VITACURA</v>
          </cell>
        </row>
        <row r="6273">
          <cell r="Z6273" t="str">
            <v>DENTAL</v>
          </cell>
          <cell r="AA6273" t="str">
            <v>NORDEN VITACURA</v>
          </cell>
        </row>
        <row r="6274">
          <cell r="Z6274" t="str">
            <v>DENTAL</v>
          </cell>
          <cell r="AA6274" t="str">
            <v>NORDEN VITACURA</v>
          </cell>
        </row>
        <row r="6275">
          <cell r="Z6275" t="str">
            <v>DENTAL</v>
          </cell>
        </row>
        <row r="6276">
          <cell r="Z6276" t="str">
            <v>DENTAL</v>
          </cell>
          <cell r="AA6276" t="str">
            <v>CESFAM SAN RAFAEL</v>
          </cell>
        </row>
        <row r="6277">
          <cell r="Z6277" t="str">
            <v>DENTAL</v>
          </cell>
          <cell r="AA6277" t="str">
            <v>HOSPITAL PENCO -LIRQUEN</v>
          </cell>
        </row>
        <row r="6278">
          <cell r="Z6278" t="str">
            <v>DENTAL</v>
          </cell>
        </row>
        <row r="6279">
          <cell r="Z6279" t="str">
            <v>DENTAL</v>
          </cell>
        </row>
        <row r="6280">
          <cell r="Z6280" t="str">
            <v>DENTAL</v>
          </cell>
          <cell r="AA6280" t="str">
            <v>HOSPITAL PENCO -LIRQUEN</v>
          </cell>
        </row>
        <row r="6281">
          <cell r="Z6281" t="str">
            <v>DENTAL</v>
          </cell>
        </row>
        <row r="6282">
          <cell r="Z6282" t="str">
            <v>DENTAL</v>
          </cell>
        </row>
        <row r="6283">
          <cell r="Z6283" t="str">
            <v>DENTAL</v>
          </cell>
          <cell r="AA6283" t="str">
            <v>HOSPITAL LOS VILOS</v>
          </cell>
        </row>
        <row r="6284">
          <cell r="Z6284" t="str">
            <v>DENTAL</v>
          </cell>
          <cell r="AA6284" t="str">
            <v>CESFAM LOS CERROS</v>
          </cell>
        </row>
        <row r="6285">
          <cell r="Z6285" t="str">
            <v>DENTAL</v>
          </cell>
          <cell r="AA6285" t="str">
            <v>CESFAM LOS CERROS</v>
          </cell>
        </row>
        <row r="6286">
          <cell r="Z6286" t="str">
            <v>DENTAL</v>
          </cell>
        </row>
        <row r="6287">
          <cell r="Z6287" t="str">
            <v>DENTAL</v>
          </cell>
        </row>
        <row r="6288">
          <cell r="Z6288" t="str">
            <v>DENTAL</v>
          </cell>
        </row>
        <row r="6289">
          <cell r="Z6289" t="str">
            <v>DENTAL</v>
          </cell>
        </row>
        <row r="6290">
          <cell r="Z6290" t="str">
            <v>DENTAL</v>
          </cell>
          <cell r="AA6290" t="str">
            <v>INTEGRAMEDICA RANCAGUA</v>
          </cell>
        </row>
        <row r="6291">
          <cell r="Z6291" t="str">
            <v>DENTAL</v>
          </cell>
        </row>
        <row r="6292">
          <cell r="Z6292" t="str">
            <v>DENTAL</v>
          </cell>
        </row>
        <row r="6293">
          <cell r="Z6293" t="str">
            <v>DENTAL</v>
          </cell>
        </row>
        <row r="6294">
          <cell r="Z6294" t="str">
            <v>DENTAL</v>
          </cell>
        </row>
        <row r="6295">
          <cell r="Z6295" t="str">
            <v>DENTAL</v>
          </cell>
        </row>
        <row r="6296">
          <cell r="Z6296" t="str">
            <v>DENTAL</v>
          </cell>
        </row>
        <row r="6297">
          <cell r="Z6297" t="str">
            <v>DENTAL</v>
          </cell>
        </row>
        <row r="6298">
          <cell r="Z6298" t="str">
            <v>DENTAL</v>
          </cell>
        </row>
        <row r="6299">
          <cell r="Z6299" t="str">
            <v>DENTAL</v>
          </cell>
          <cell r="AA6299" t="str">
            <v>CENTRO NORDEN AGUSTINAS 640</v>
          </cell>
        </row>
        <row r="6300">
          <cell r="Z6300" t="str">
            <v>DENTAL</v>
          </cell>
        </row>
        <row r="6301">
          <cell r="Z6301" t="str">
            <v>DENTAL</v>
          </cell>
        </row>
        <row r="6302">
          <cell r="Z6302" t="str">
            <v>DENTAL</v>
          </cell>
          <cell r="AA6302" t="str">
            <v>I.MUNICIPALIDAD DE INDEPENDENCIA</v>
          </cell>
        </row>
        <row r="6303">
          <cell r="Z6303" t="str">
            <v>DENTAL</v>
          </cell>
        </row>
        <row r="6304">
          <cell r="Z6304" t="str">
            <v>DENTAL</v>
          </cell>
        </row>
        <row r="6305">
          <cell r="Z6305" t="str">
            <v>DENTAL</v>
          </cell>
          <cell r="AA6305" t="str">
            <v>CESFAM SAN VICENTE TALCAHUANO</v>
          </cell>
        </row>
        <row r="6306">
          <cell r="Z6306" t="str">
            <v>DENTAL</v>
          </cell>
          <cell r="AA6306" t="str">
            <v>CESFAM SAN VICENTE TALCAHUANO</v>
          </cell>
        </row>
        <row r="6307">
          <cell r="Z6307" t="str">
            <v>DENTAL</v>
          </cell>
        </row>
        <row r="6308">
          <cell r="Z6308" t="str">
            <v>DENTAL</v>
          </cell>
          <cell r="AA6308" t="str">
            <v>I.MUNICIPALIDAD DE INDEPENDENCIA</v>
          </cell>
        </row>
        <row r="6309">
          <cell r="Z6309" t="str">
            <v>DENTAL</v>
          </cell>
          <cell r="AA6309" t="str">
            <v>HOSPITAL LA LIGUA</v>
          </cell>
        </row>
        <row r="6310">
          <cell r="Z6310" t="str">
            <v>DENTAL</v>
          </cell>
          <cell r="AA6310" t="str">
            <v>HOSPITAL LA LIGUA</v>
          </cell>
        </row>
        <row r="6311">
          <cell r="Z6311" t="str">
            <v>DENTAL</v>
          </cell>
          <cell r="AA6311" t="str">
            <v>HOSPITAL LA LIGUA</v>
          </cell>
        </row>
        <row r="6312">
          <cell r="Z6312" t="str">
            <v>DENTAL</v>
          </cell>
          <cell r="AA6312" t="str">
            <v>CESFAM SAN VICENTE TALCAHUANO</v>
          </cell>
        </row>
        <row r="6313">
          <cell r="Z6313" t="str">
            <v>DENTAL</v>
          </cell>
          <cell r="AA6313" t="str">
            <v>CESFAM SAN VICENTE TALCAHUANO</v>
          </cell>
        </row>
        <row r="6314">
          <cell r="Z6314" t="str">
            <v>DENTAL</v>
          </cell>
          <cell r="AA6314" t="str">
            <v>CESFAM SAN VICENTE TALCAHUANO</v>
          </cell>
        </row>
        <row r="6315">
          <cell r="Z6315" t="str">
            <v>DENTAL</v>
          </cell>
        </row>
        <row r="6316">
          <cell r="Z6316" t="str">
            <v>DENTAL</v>
          </cell>
        </row>
        <row r="6317">
          <cell r="Z6317" t="str">
            <v>DENTAL</v>
          </cell>
          <cell r="AA6317" t="str">
            <v>CESFAM SAN VICENTE TALCAHUANO</v>
          </cell>
        </row>
        <row r="6318">
          <cell r="Z6318" t="str">
            <v>DENTAL</v>
          </cell>
        </row>
        <row r="6319">
          <cell r="Z6319" t="str">
            <v>DENTAL</v>
          </cell>
        </row>
        <row r="6320">
          <cell r="Z6320" t="str">
            <v>DENTAL</v>
          </cell>
          <cell r="AA6320" t="str">
            <v>SERVICIO DE SALUD DEL MAULE</v>
          </cell>
        </row>
        <row r="6321">
          <cell r="Z6321" t="str">
            <v>DENTAL</v>
          </cell>
          <cell r="AA6321" t="str">
            <v>SERVICIO DE SALUD DEL MAULE</v>
          </cell>
        </row>
        <row r="6322">
          <cell r="Z6322" t="str">
            <v>DENTAL</v>
          </cell>
          <cell r="AA6322" t="str">
            <v>UNIVERSIDAD SAN SEBASTIAN</v>
          </cell>
        </row>
        <row r="6323">
          <cell r="Z6323" t="str">
            <v>DENTAL</v>
          </cell>
          <cell r="AA6323" t="str">
            <v>UNIVERSIDAD SAN SEBASTIAN</v>
          </cell>
        </row>
        <row r="6324">
          <cell r="Z6324" t="str">
            <v>DENTAL</v>
          </cell>
          <cell r="AA6324" t="str">
            <v>UNIVERSIDAD SAN SEBASTIAN</v>
          </cell>
        </row>
        <row r="6325">
          <cell r="Z6325" t="str">
            <v>DENTAL</v>
          </cell>
          <cell r="AA6325" t="str">
            <v>UNIVERSIDAD SAN SEBASTIAN</v>
          </cell>
        </row>
        <row r="6326">
          <cell r="Z6326" t="str">
            <v>DENTAL</v>
          </cell>
          <cell r="AA6326" t="str">
            <v>UNIVERSIDAD SAN SEBASTIAN</v>
          </cell>
        </row>
        <row r="6327">
          <cell r="Z6327" t="str">
            <v>DENTAL</v>
          </cell>
          <cell r="AA6327" t="str">
            <v>UNIVERSIDAD SAN SEBASTIAN</v>
          </cell>
        </row>
        <row r="6328">
          <cell r="Z6328" t="str">
            <v>DENTAL</v>
          </cell>
        </row>
        <row r="6329">
          <cell r="Z6329" t="str">
            <v>DENTAL</v>
          </cell>
        </row>
        <row r="6330">
          <cell r="Z6330" t="str">
            <v>DENTAL</v>
          </cell>
        </row>
        <row r="6331">
          <cell r="Z6331" t="str">
            <v>DENTAL</v>
          </cell>
          <cell r="AA6331" t="str">
            <v>INTEGRAMEDICA SAN MIGUEL</v>
          </cell>
        </row>
        <row r="6332">
          <cell r="Z6332" t="str">
            <v>DENTAL</v>
          </cell>
          <cell r="AA6332" t="str">
            <v>VICTOR ROLANDO COUCHOT BUSTOS</v>
          </cell>
        </row>
        <row r="6333">
          <cell r="Z6333" t="str">
            <v>DENTAL</v>
          </cell>
          <cell r="AA6333" t="str">
            <v>VICTOR ROLANDO COUCHOT BUSTOS</v>
          </cell>
        </row>
        <row r="6334">
          <cell r="Z6334" t="str">
            <v>DENTAL</v>
          </cell>
          <cell r="AA6334" t="str">
            <v>VICTOR ROLANDO COUCHOT BUSTOS</v>
          </cell>
        </row>
        <row r="6335">
          <cell r="Z6335" t="str">
            <v>DENTAL</v>
          </cell>
          <cell r="AA6335" t="str">
            <v>INTEGRAMEDICA SAN MIGUEL</v>
          </cell>
        </row>
        <row r="6336">
          <cell r="Z6336" t="str">
            <v>DENTAL</v>
          </cell>
        </row>
        <row r="6337">
          <cell r="Z6337" t="str">
            <v>DENTAL</v>
          </cell>
        </row>
        <row r="6338">
          <cell r="Z6338" t="str">
            <v>DENTAL</v>
          </cell>
          <cell r="AA6338" t="str">
            <v>INTEGRAMEDICA BANDERA</v>
          </cell>
        </row>
        <row r="6339">
          <cell r="Z6339" t="str">
            <v>DENTAL</v>
          </cell>
          <cell r="AA6339" t="str">
            <v>UNIVERSIDAD ARTURO PRAT</v>
          </cell>
        </row>
        <row r="6340">
          <cell r="Z6340" t="str">
            <v>DENTAL</v>
          </cell>
          <cell r="AA6340" t="str">
            <v>UNIVERSIDAD ARTURO PRAT</v>
          </cell>
        </row>
        <row r="6341">
          <cell r="Z6341" t="str">
            <v>DENTAL</v>
          </cell>
          <cell r="AA6341" t="str">
            <v>UNIVERSIDAD ARTURO PRAT</v>
          </cell>
        </row>
        <row r="6342">
          <cell r="Z6342" t="str">
            <v>DENTAL</v>
          </cell>
          <cell r="AA6342" t="str">
            <v>UNIVERSIDAD ARTURO PRAT</v>
          </cell>
        </row>
        <row r="6343">
          <cell r="Z6343" t="str">
            <v>DENTAL</v>
          </cell>
          <cell r="AA6343" t="str">
            <v>UNIVERSIDAD ARTURO PRAT</v>
          </cell>
        </row>
        <row r="6344">
          <cell r="Z6344" t="str">
            <v>DENTAL</v>
          </cell>
          <cell r="AA6344" t="str">
            <v>UNIVERSIDAD ARTURO PRAT</v>
          </cell>
        </row>
        <row r="6345">
          <cell r="Z6345" t="str">
            <v>DENTAL</v>
          </cell>
        </row>
        <row r="6346">
          <cell r="Z6346" t="str">
            <v>DENTAL</v>
          </cell>
          <cell r="AA6346" t="str">
            <v>CENTRO DENTAL MATIAS COUSIÑO</v>
          </cell>
        </row>
        <row r="6347">
          <cell r="Z6347" t="str">
            <v>DENTAL</v>
          </cell>
          <cell r="AA6347" t="str">
            <v>INTEGRAMEDICA S.A (Las Condes)</v>
          </cell>
        </row>
        <row r="6348">
          <cell r="Z6348" t="str">
            <v>DENTAL</v>
          </cell>
          <cell r="AA6348" t="str">
            <v>INTEGRAMEDICA S.A (Las Condes)</v>
          </cell>
        </row>
        <row r="6349">
          <cell r="Z6349" t="str">
            <v>DENTAL</v>
          </cell>
          <cell r="AA6349" t="str">
            <v>INTEGRAMEDICA S.A (Las Condes)</v>
          </cell>
        </row>
        <row r="6350">
          <cell r="Z6350" t="str">
            <v>DENTAL</v>
          </cell>
          <cell r="AA6350" t="str">
            <v>INTEGRAMEDICA S.A (Las Condes)</v>
          </cell>
        </row>
        <row r="6351">
          <cell r="Z6351" t="str">
            <v>DENTAL</v>
          </cell>
          <cell r="AA6351" t="str">
            <v>INTEGRAMEDICA S.A (Las Condes)</v>
          </cell>
        </row>
        <row r="6352">
          <cell r="Z6352" t="str">
            <v>DENTAL</v>
          </cell>
          <cell r="AA6352" t="str">
            <v>INTEGRAMEDICA S.A (Las Condes)</v>
          </cell>
        </row>
        <row r="6353">
          <cell r="Z6353" t="str">
            <v>DENTAL</v>
          </cell>
          <cell r="AA6353" t="str">
            <v>INTEGRAMEDICA S.A (Las Condes)</v>
          </cell>
        </row>
        <row r="6354">
          <cell r="Z6354" t="str">
            <v>DENTAL</v>
          </cell>
          <cell r="AA6354" t="str">
            <v>INTEGRAMEDICA TALCA</v>
          </cell>
        </row>
        <row r="6355">
          <cell r="Z6355" t="str">
            <v>DENTAL</v>
          </cell>
        </row>
        <row r="6356">
          <cell r="Z6356" t="str">
            <v>DENTAL</v>
          </cell>
        </row>
        <row r="6357">
          <cell r="Z6357" t="str">
            <v>DENTAL</v>
          </cell>
        </row>
        <row r="6358">
          <cell r="Z6358" t="str">
            <v>DENTAL</v>
          </cell>
        </row>
        <row r="6359">
          <cell r="Z6359" t="str">
            <v>DENTAL</v>
          </cell>
        </row>
        <row r="6360">
          <cell r="Z6360" t="str">
            <v>DENTAL</v>
          </cell>
        </row>
        <row r="6361">
          <cell r="Z6361" t="str">
            <v>DENTAL</v>
          </cell>
        </row>
        <row r="6362">
          <cell r="Z6362" t="str">
            <v>DENTAL</v>
          </cell>
        </row>
        <row r="6363">
          <cell r="Z6363" t="str">
            <v>DENTAL</v>
          </cell>
          <cell r="AA6363" t="str">
            <v>CESFAM LO BARNECHEA</v>
          </cell>
        </row>
        <row r="6364">
          <cell r="Z6364" t="str">
            <v>DENTAL</v>
          </cell>
          <cell r="AA6364" t="str">
            <v>CESFAM LO BARNECHEA</v>
          </cell>
        </row>
        <row r="6365">
          <cell r="Z6365" t="str">
            <v>DENTAL</v>
          </cell>
          <cell r="AA6365" t="str">
            <v>CESFAM LO BARNECHEA</v>
          </cell>
        </row>
        <row r="6366">
          <cell r="Z6366" t="str">
            <v>DENTAL</v>
          </cell>
          <cell r="AA6366" t="str">
            <v>CESFAM LO BARNECHEA</v>
          </cell>
        </row>
        <row r="6367">
          <cell r="Z6367" t="str">
            <v>DENTAL</v>
          </cell>
          <cell r="AA6367" t="str">
            <v>CESFAM LO BARNECHEA</v>
          </cell>
        </row>
        <row r="6368">
          <cell r="Z6368" t="str">
            <v>DENTAL</v>
          </cell>
          <cell r="AA6368" t="str">
            <v>CESFAM LO BARNECHEA</v>
          </cell>
        </row>
        <row r="6369">
          <cell r="Z6369" t="str">
            <v>DENTAL</v>
          </cell>
          <cell r="AA6369" t="str">
            <v>CESFAM LO BARNECHEA</v>
          </cell>
        </row>
        <row r="6370">
          <cell r="Z6370" t="str">
            <v>DENTAL</v>
          </cell>
          <cell r="AA6370" t="str">
            <v>HOSPITAL DE PUERTO AYSEN</v>
          </cell>
        </row>
        <row r="6371">
          <cell r="Z6371" t="str">
            <v>DENTAL</v>
          </cell>
          <cell r="AA6371" t="str">
            <v>HOSPITAL DE PUERTO AYSEN</v>
          </cell>
        </row>
        <row r="6372">
          <cell r="Z6372" t="str">
            <v>DENTAL</v>
          </cell>
        </row>
        <row r="6373">
          <cell r="Z6373" t="str">
            <v>DENTAL</v>
          </cell>
        </row>
        <row r="6374">
          <cell r="Z6374" t="str">
            <v>DENTAL</v>
          </cell>
          <cell r="AA6374" t="str">
            <v>HOSPITAL DE PUERTO AYSEN</v>
          </cell>
        </row>
        <row r="6375">
          <cell r="Z6375" t="str">
            <v>DENTAL</v>
          </cell>
          <cell r="AA6375" t="str">
            <v>HOSPITAL CLINICO HERMINDA MARTIN CHILLAN</v>
          </cell>
        </row>
        <row r="6376">
          <cell r="Z6376" t="str">
            <v>DENTAL</v>
          </cell>
          <cell r="AA6376" t="str">
            <v>CESFAM LLOLLEO</v>
          </cell>
        </row>
        <row r="6377">
          <cell r="Z6377" t="str">
            <v>DENTAL</v>
          </cell>
          <cell r="AA6377" t="str">
            <v>HOSPITAL DE CONSTITUCION</v>
          </cell>
        </row>
        <row r="6378">
          <cell r="Z6378" t="str">
            <v>DENTAL</v>
          </cell>
          <cell r="AA6378" t="str">
            <v>HOSPITAL DE CONSTITUCION</v>
          </cell>
        </row>
        <row r="6379">
          <cell r="Z6379" t="str">
            <v>DENTAL</v>
          </cell>
          <cell r="AA6379" t="str">
            <v>HOSPITAL DE CONSTITUCION</v>
          </cell>
        </row>
        <row r="6380">
          <cell r="Z6380" t="str">
            <v>DENTAL</v>
          </cell>
          <cell r="AA6380" t="str">
            <v>CESFAM LLOLLEO</v>
          </cell>
        </row>
        <row r="6381">
          <cell r="Z6381" t="str">
            <v>DENTAL</v>
          </cell>
          <cell r="AA6381" t="str">
            <v>CESFAM LLOLLEO</v>
          </cell>
        </row>
        <row r="6382">
          <cell r="Z6382" t="str">
            <v>DENTAL</v>
          </cell>
          <cell r="AA6382" t="str">
            <v>CESFAM LLOLLEO</v>
          </cell>
        </row>
        <row r="6383">
          <cell r="Z6383" t="str">
            <v>DENTAL</v>
          </cell>
          <cell r="AA6383" t="str">
            <v>CESFAM LLOLLEO</v>
          </cell>
        </row>
        <row r="6384">
          <cell r="Z6384" t="str">
            <v>DENTAL</v>
          </cell>
          <cell r="AA6384" t="str">
            <v>HOSPITAL DE CONSTITUCION</v>
          </cell>
        </row>
        <row r="6385">
          <cell r="Z6385" t="str">
            <v>DENTAL</v>
          </cell>
          <cell r="AA6385" t="str">
            <v>GEMCO GENERAL MACHINERY S.A.</v>
          </cell>
        </row>
        <row r="6386">
          <cell r="Z6386" t="str">
            <v>DENTAL</v>
          </cell>
        </row>
        <row r="6387">
          <cell r="Z6387" t="str">
            <v>DENTAL</v>
          </cell>
          <cell r="AA6387" t="str">
            <v>GEMCO GENERAL MACHINERY S.A.</v>
          </cell>
        </row>
        <row r="6388">
          <cell r="Z6388" t="str">
            <v>DENTAL</v>
          </cell>
          <cell r="AA6388" t="str">
            <v>GEMCO GENERAL MACHINERY S.A.</v>
          </cell>
        </row>
        <row r="6389">
          <cell r="Z6389" t="str">
            <v>DENTAL</v>
          </cell>
          <cell r="AA6389" t="str">
            <v>GEMCO GENERAL MACHINERY S.A.</v>
          </cell>
        </row>
        <row r="6390">
          <cell r="Z6390" t="str">
            <v>DENTAL</v>
          </cell>
          <cell r="AA6390" t="str">
            <v>HOSPITAL REGIONAL DE RANCAGUA</v>
          </cell>
        </row>
        <row r="6391">
          <cell r="Z6391" t="str">
            <v>DENTAL</v>
          </cell>
        </row>
        <row r="6392">
          <cell r="Z6392" t="str">
            <v>DENTAL</v>
          </cell>
        </row>
        <row r="6393">
          <cell r="Z6393" t="str">
            <v>DENTAL</v>
          </cell>
          <cell r="AA6393" t="str">
            <v>UC CHRISTUS SERVICIOS AMBULATORIOS SPA</v>
          </cell>
        </row>
        <row r="6394">
          <cell r="Z6394" t="str">
            <v>DENTAL</v>
          </cell>
          <cell r="AA6394" t="str">
            <v>HOSPITAL DE ANGOL</v>
          </cell>
        </row>
        <row r="6395">
          <cell r="Z6395" t="str">
            <v>DENTAL</v>
          </cell>
          <cell r="AA6395" t="str">
            <v>HOSPITAL DE ANGOL</v>
          </cell>
        </row>
        <row r="6396">
          <cell r="Z6396" t="str">
            <v>DENTAL</v>
          </cell>
          <cell r="AA6396" t="str">
            <v>HOSPITAL DE ANGOL</v>
          </cell>
        </row>
        <row r="6397">
          <cell r="Z6397" t="str">
            <v>DENTAL</v>
          </cell>
          <cell r="AA6397" t="str">
            <v>HOSPITAL DE ANGOL</v>
          </cell>
        </row>
        <row r="6398">
          <cell r="Z6398" t="str">
            <v>DENTAL</v>
          </cell>
          <cell r="AA6398" t="str">
            <v>HOSPITAL DE ANGOL</v>
          </cell>
        </row>
        <row r="6399">
          <cell r="Z6399" t="str">
            <v>DENTAL</v>
          </cell>
          <cell r="AA6399" t="str">
            <v>HOSPITAL DE ANGOL</v>
          </cell>
        </row>
        <row r="6400">
          <cell r="Z6400" t="str">
            <v>DENTAL</v>
          </cell>
          <cell r="AA6400" t="str">
            <v>HOSPITAL DE ANGOL</v>
          </cell>
        </row>
        <row r="6401">
          <cell r="Z6401" t="str">
            <v>DENTAL</v>
          </cell>
        </row>
        <row r="6402">
          <cell r="Z6402" t="str">
            <v>DENTAL</v>
          </cell>
          <cell r="AA6402" t="str">
            <v>HOSPITAL ALTO HOSPICIO</v>
          </cell>
        </row>
        <row r="6403">
          <cell r="Z6403" t="str">
            <v>DENTAL</v>
          </cell>
          <cell r="AA6403" t="str">
            <v>HOSPITAL ALTO HOSPICIO</v>
          </cell>
        </row>
        <row r="6404">
          <cell r="Z6404" t="str">
            <v>DENTAL</v>
          </cell>
          <cell r="AA6404" t="str">
            <v>HOSPITAL ALTO HOSPICIO</v>
          </cell>
        </row>
        <row r="6405">
          <cell r="Z6405" t="str">
            <v>DENTAL</v>
          </cell>
          <cell r="AA6405" t="str">
            <v>HOSPITAL ALTO HOSPICIO</v>
          </cell>
        </row>
        <row r="6406">
          <cell r="Z6406" t="str">
            <v>DENTAL</v>
          </cell>
          <cell r="AA6406" t="str">
            <v>HOSPITAL ALTO HOSPICIO</v>
          </cell>
        </row>
        <row r="6407">
          <cell r="Z6407" t="str">
            <v>DENTAL</v>
          </cell>
          <cell r="AA6407" t="str">
            <v>HOSPITAL ALTO HOSPICIO</v>
          </cell>
        </row>
        <row r="6408">
          <cell r="Z6408" t="str">
            <v>DENTAL</v>
          </cell>
          <cell r="AA6408" t="str">
            <v>HOSPITAL ALTO HOSPICIO</v>
          </cell>
        </row>
        <row r="6409">
          <cell r="Z6409" t="str">
            <v>DENTAL</v>
          </cell>
          <cell r="AA6409" t="str">
            <v>HOSPITAL ALTO HOSPICIO</v>
          </cell>
        </row>
        <row r="6410">
          <cell r="Z6410" t="str">
            <v>DENTAL</v>
          </cell>
        </row>
        <row r="6411">
          <cell r="Z6411" t="str">
            <v>DENTAL</v>
          </cell>
          <cell r="AA6411" t="str">
            <v>HOSPITAL DEL SALVADOR</v>
          </cell>
        </row>
        <row r="6412">
          <cell r="Z6412" t="str">
            <v>DENTAL</v>
          </cell>
          <cell r="AA6412" t="str">
            <v>HOSPITAL DEL SALVADOR</v>
          </cell>
        </row>
        <row r="6413">
          <cell r="Z6413" t="str">
            <v>DENTAL</v>
          </cell>
        </row>
        <row r="6414">
          <cell r="Z6414" t="str">
            <v>DENTAL</v>
          </cell>
          <cell r="AA6414" t="str">
            <v>UNIVERSIDAD DE LA FRONTERA</v>
          </cell>
        </row>
        <row r="6415">
          <cell r="Z6415" t="str">
            <v>DENTAL</v>
          </cell>
          <cell r="AA6415" t="str">
            <v>UNIVERSIDAD DE LA FRONTERA</v>
          </cell>
        </row>
        <row r="6416">
          <cell r="Z6416" t="str">
            <v>DENTAL</v>
          </cell>
          <cell r="AA6416" t="str">
            <v>HOSPITAL DE ANGOL</v>
          </cell>
        </row>
        <row r="6417">
          <cell r="Z6417" t="str">
            <v>DENTAL</v>
          </cell>
          <cell r="AA6417" t="str">
            <v>HOSPITAL DE ANGOL</v>
          </cell>
        </row>
        <row r="6418">
          <cell r="Z6418" t="str">
            <v>DENTAL</v>
          </cell>
          <cell r="AA6418" t="str">
            <v>HOSPITAL DE ANGOL</v>
          </cell>
        </row>
        <row r="6419">
          <cell r="Z6419" t="str">
            <v>DENTAL</v>
          </cell>
          <cell r="AA6419" t="str">
            <v>HOSPITAL DE ANGOL</v>
          </cell>
        </row>
        <row r="6420">
          <cell r="Z6420" t="str">
            <v>DENTAL</v>
          </cell>
          <cell r="AA6420" t="str">
            <v>HOSPITAL DE ANGOL</v>
          </cell>
        </row>
        <row r="6421">
          <cell r="Z6421" t="str">
            <v>DENTAL</v>
          </cell>
        </row>
        <row r="6422">
          <cell r="Z6422" t="str">
            <v>DENTAL</v>
          </cell>
        </row>
        <row r="6423">
          <cell r="Z6423" t="str">
            <v>DENTAL</v>
          </cell>
        </row>
        <row r="6424">
          <cell r="Z6424" t="str">
            <v>DENTAL</v>
          </cell>
          <cell r="AA6424" t="str">
            <v>HOSPITAL DE FRESIA</v>
          </cell>
        </row>
        <row r="6425">
          <cell r="Z6425" t="str">
            <v>DENTAL</v>
          </cell>
        </row>
        <row r="6426">
          <cell r="Z6426" t="str">
            <v>DENTAL</v>
          </cell>
          <cell r="AA6426" t="str">
            <v>CLINICA MOVIL CENTINELA</v>
          </cell>
        </row>
        <row r="6427">
          <cell r="Z6427" t="str">
            <v>DENTAL</v>
          </cell>
          <cell r="AA6427" t="str">
            <v>CLINICA MOVIL CENTINELA</v>
          </cell>
        </row>
        <row r="6428">
          <cell r="Z6428" t="str">
            <v>DENTAL</v>
          </cell>
          <cell r="AA6428" t="str">
            <v>CLINICA MOVIL CENTINELA</v>
          </cell>
        </row>
        <row r="6429">
          <cell r="Z6429" t="str">
            <v>DENTAL</v>
          </cell>
          <cell r="AA6429" t="str">
            <v>CLINICA MOVIL CENTINELA</v>
          </cell>
        </row>
        <row r="6430">
          <cell r="Z6430" t="str">
            <v>DENTAL</v>
          </cell>
          <cell r="AA6430" t="str">
            <v>CLINICA MOVIL CENTINELA</v>
          </cell>
        </row>
        <row r="6431">
          <cell r="Z6431" t="str">
            <v>DENTAL</v>
          </cell>
          <cell r="AA6431" t="str">
            <v>CLINICA MOVIL CENTINELA</v>
          </cell>
        </row>
        <row r="6432">
          <cell r="Z6432" t="str">
            <v>DENTAL</v>
          </cell>
          <cell r="AA6432" t="str">
            <v>CLINICA MOVIL CENTINELA</v>
          </cell>
        </row>
        <row r="6433">
          <cell r="Z6433" t="str">
            <v>DENTAL</v>
          </cell>
          <cell r="AA6433" t="str">
            <v>CLINICA MOVIL CENTINELA</v>
          </cell>
        </row>
        <row r="6434">
          <cell r="Z6434" t="str">
            <v>DENTAL</v>
          </cell>
          <cell r="AA6434" t="str">
            <v>CLINICA MOVIL CENTINELA</v>
          </cell>
        </row>
        <row r="6435">
          <cell r="Z6435" t="str">
            <v>DENTAL</v>
          </cell>
          <cell r="AA6435" t="str">
            <v>CLINICA MOVIL CENTINELA</v>
          </cell>
        </row>
        <row r="6436">
          <cell r="Z6436" t="str">
            <v>DENTAL</v>
          </cell>
          <cell r="AA6436" t="str">
            <v>CLINICA MOVIL CENTINELA</v>
          </cell>
        </row>
        <row r="6437">
          <cell r="Z6437" t="str">
            <v>DENTAL</v>
          </cell>
          <cell r="AA6437" t="str">
            <v>CLINICA MOVIL CENTINELA</v>
          </cell>
        </row>
        <row r="6438">
          <cell r="Z6438" t="str">
            <v>DENTAL</v>
          </cell>
          <cell r="AA6438" t="str">
            <v>CLINICA MOVIL CENTINELA</v>
          </cell>
        </row>
        <row r="6439">
          <cell r="Z6439" t="str">
            <v>DENTAL</v>
          </cell>
          <cell r="AA6439" t="str">
            <v>CLINICA MOVIL CENTINELA</v>
          </cell>
        </row>
        <row r="6440">
          <cell r="Z6440" t="str">
            <v>DENTAL</v>
          </cell>
          <cell r="AA6440" t="str">
            <v>CLINICA MOVIL CENTINELA</v>
          </cell>
        </row>
        <row r="6441">
          <cell r="Z6441" t="str">
            <v>DENTAL</v>
          </cell>
          <cell r="AA6441" t="str">
            <v>CLINICA MOVIL CENTINELA</v>
          </cell>
        </row>
        <row r="6442">
          <cell r="Z6442" t="str">
            <v>DENTAL</v>
          </cell>
        </row>
        <row r="6443">
          <cell r="Z6443" t="str">
            <v>DENTAL</v>
          </cell>
          <cell r="AA6443" t="str">
            <v>CLINICA MOVIL CENTINELA</v>
          </cell>
        </row>
        <row r="6444">
          <cell r="Z6444" t="str">
            <v>DENTAL</v>
          </cell>
          <cell r="AA6444" t="str">
            <v>CLINICA MOVIL CENTINELA</v>
          </cell>
        </row>
        <row r="6445">
          <cell r="Z6445" t="str">
            <v>DENTAL</v>
          </cell>
          <cell r="AA6445" t="str">
            <v>CLINICA MOVIL CENTINELA</v>
          </cell>
        </row>
        <row r="6446">
          <cell r="Z6446" t="str">
            <v>DENTAL</v>
          </cell>
          <cell r="AA6446" t="str">
            <v>CLINICA MOVIL CENTINELA</v>
          </cell>
        </row>
        <row r="6447">
          <cell r="Z6447" t="str">
            <v>DENTAL</v>
          </cell>
          <cell r="AA6447" t="str">
            <v>CLINICA MOVIL CENTINELA</v>
          </cell>
        </row>
        <row r="6448">
          <cell r="Z6448" t="str">
            <v>DENTAL</v>
          </cell>
          <cell r="AA6448" t="str">
            <v>JUNAEB ALTOBIOBIO</v>
          </cell>
        </row>
        <row r="6449">
          <cell r="Z6449" t="str">
            <v>DENTAL</v>
          </cell>
          <cell r="AA6449" t="str">
            <v>JUNAEB ESCUELA NUEVA ZELANDIA</v>
          </cell>
        </row>
        <row r="6450">
          <cell r="Z6450" t="str">
            <v>DENTAL</v>
          </cell>
        </row>
        <row r="6451">
          <cell r="Z6451" t="str">
            <v>DENTAL</v>
          </cell>
          <cell r="AA6451" t="str">
            <v>JUNAEB ESCUELA VICTOR DOMINGO SILVA</v>
          </cell>
        </row>
        <row r="6452">
          <cell r="Z6452" t="str">
            <v>DENTAL</v>
          </cell>
          <cell r="AA6452" t="str">
            <v>JUNAEB ESCUELA NUEVA ZELANDIA</v>
          </cell>
        </row>
        <row r="6453">
          <cell r="Z6453" t="str">
            <v>DENTAL</v>
          </cell>
          <cell r="AA6453" t="str">
            <v>CLINICA MOVIL CENTINELA</v>
          </cell>
        </row>
        <row r="6454">
          <cell r="Z6454" t="str">
            <v>DENTAL</v>
          </cell>
          <cell r="AA6454" t="str">
            <v>JUNAEB MODULO FRUTILLAR</v>
          </cell>
        </row>
        <row r="6455">
          <cell r="Z6455" t="str">
            <v>DENTAL</v>
          </cell>
          <cell r="AA6455" t="str">
            <v>JUNAEB ESCUELA NUEVA ZELANDIA</v>
          </cell>
        </row>
        <row r="6456">
          <cell r="Z6456" t="str">
            <v>DENTAL</v>
          </cell>
        </row>
        <row r="6457">
          <cell r="Z6457" t="str">
            <v>DENTAL</v>
          </cell>
          <cell r="AA6457" t="str">
            <v>UC CHRISTUS SERVICIOS AMBULATORIOS SPA</v>
          </cell>
        </row>
        <row r="6458">
          <cell r="Z6458" t="str">
            <v>DENTAL</v>
          </cell>
          <cell r="AA6458" t="str">
            <v>HOSPITAL DE VILLARRICA</v>
          </cell>
        </row>
        <row r="6459">
          <cell r="Z6459" t="str">
            <v>DENTAL</v>
          </cell>
          <cell r="AA6459" t="str">
            <v>UC CHRISTUS SERVICIOS AMBULATORIOS SPA</v>
          </cell>
        </row>
        <row r="6460">
          <cell r="Z6460" t="str">
            <v>DENTAL</v>
          </cell>
          <cell r="AA6460" t="str">
            <v>HOSPITAL DE VILLARRICA</v>
          </cell>
        </row>
        <row r="6461">
          <cell r="Z6461" t="str">
            <v>DENTAL</v>
          </cell>
          <cell r="AA6461" t="str">
            <v>UC CHRISTUS SERVICIOS AMBULATORIOS SPA</v>
          </cell>
        </row>
        <row r="6462">
          <cell r="Z6462" t="str">
            <v>DENTAL</v>
          </cell>
          <cell r="AA6462" t="str">
            <v>HOSPITAL DE VILLARRICA</v>
          </cell>
        </row>
        <row r="6463">
          <cell r="Z6463" t="str">
            <v>DENTAL</v>
          </cell>
          <cell r="AA6463" t="str">
            <v>HOSPITAL DE VILLARRICA</v>
          </cell>
        </row>
        <row r="6464">
          <cell r="Z6464" t="str">
            <v>DENTAL</v>
          </cell>
          <cell r="AA6464" t="str">
            <v>UNIVERSIDAD DE VALPARAISO</v>
          </cell>
        </row>
        <row r="6465">
          <cell r="Z6465" t="str">
            <v>DENTAL</v>
          </cell>
          <cell r="AA6465" t="str">
            <v>HOSPITAL DE LANCO</v>
          </cell>
        </row>
        <row r="6466">
          <cell r="Z6466" t="str">
            <v>DENTAL</v>
          </cell>
          <cell r="AA6466" t="str">
            <v>HOSPITAL DE YUMBEL</v>
          </cell>
        </row>
        <row r="6467">
          <cell r="Z6467" t="str">
            <v>DENTAL</v>
          </cell>
          <cell r="AA6467" t="str">
            <v>HOSPITAL DE YUMBEL</v>
          </cell>
        </row>
        <row r="6468">
          <cell r="Z6468" t="str">
            <v>DENTAL</v>
          </cell>
        </row>
        <row r="6469">
          <cell r="Z6469" t="str">
            <v>DENTAL</v>
          </cell>
          <cell r="AA6469" t="str">
            <v>HOSPITAL SAN JUAN DE DIOS</v>
          </cell>
        </row>
        <row r="6470">
          <cell r="Z6470" t="str">
            <v>DENTAL</v>
          </cell>
        </row>
        <row r="6471">
          <cell r="Z6471" t="str">
            <v>DENTAL</v>
          </cell>
        </row>
        <row r="6472">
          <cell r="Z6472" t="str">
            <v>DENTAL</v>
          </cell>
          <cell r="AA6472" t="str">
            <v>HOSPITAL SAN JUAN DE DIOS</v>
          </cell>
        </row>
        <row r="6473">
          <cell r="Z6473" t="str">
            <v>DENTAL</v>
          </cell>
          <cell r="AA6473" t="str">
            <v>HOSPITAL SAN JUAN DE DIOS</v>
          </cell>
        </row>
        <row r="6474">
          <cell r="Z6474" t="str">
            <v>DENTAL</v>
          </cell>
        </row>
        <row r="6475">
          <cell r="Z6475" t="str">
            <v>DENTAL</v>
          </cell>
        </row>
        <row r="6476">
          <cell r="Z6476" t="str">
            <v>DENTAL</v>
          </cell>
        </row>
        <row r="6477">
          <cell r="Z6477" t="str">
            <v>DENTAL</v>
          </cell>
        </row>
        <row r="6478">
          <cell r="Z6478" t="str">
            <v>DENTAL</v>
          </cell>
        </row>
        <row r="6479">
          <cell r="Z6479" t="str">
            <v>DENTAL</v>
          </cell>
        </row>
        <row r="6480">
          <cell r="Z6480" t="str">
            <v>DENTAL</v>
          </cell>
          <cell r="AA6480" t="str">
            <v>HOSPITAL DE YUMBEL</v>
          </cell>
        </row>
        <row r="6481">
          <cell r="Z6481" t="str">
            <v>DENTAL</v>
          </cell>
        </row>
        <row r="6482">
          <cell r="Z6482" t="str">
            <v>DENTAL</v>
          </cell>
        </row>
        <row r="6483">
          <cell r="Z6483" t="str">
            <v>DENTAL</v>
          </cell>
          <cell r="AA6483" t="str">
            <v>HOSPITAL DE SANTA BARBARA</v>
          </cell>
        </row>
        <row r="6484">
          <cell r="Z6484" t="str">
            <v>DENTAL</v>
          </cell>
          <cell r="AA6484" t="str">
            <v>HOSPITAL NACIMIENTO</v>
          </cell>
        </row>
        <row r="6485">
          <cell r="Z6485" t="str">
            <v>DENTAL</v>
          </cell>
          <cell r="AA6485" t="str">
            <v>HOSPITAL NACIMIENTO</v>
          </cell>
        </row>
        <row r="6486">
          <cell r="Z6486" t="str">
            <v>DENTAL</v>
          </cell>
          <cell r="AA6486" t="str">
            <v>HOSPITAL DE SANTA BARBARA</v>
          </cell>
        </row>
        <row r="6487">
          <cell r="Z6487" t="str">
            <v>DENTAL</v>
          </cell>
          <cell r="AA6487" t="str">
            <v>HOSPITAL DE YUMBEL</v>
          </cell>
        </row>
        <row r="6488">
          <cell r="Z6488" t="str">
            <v>DENTAL</v>
          </cell>
          <cell r="AA6488" t="str">
            <v>HOSPITAL DE MULCHEN</v>
          </cell>
        </row>
        <row r="6489">
          <cell r="Z6489" t="str">
            <v>DENTAL</v>
          </cell>
          <cell r="AA6489" t="str">
            <v>HOSPITAL DE SANTA BARBARA</v>
          </cell>
        </row>
        <row r="6490">
          <cell r="Z6490" t="str">
            <v>DENTAL</v>
          </cell>
          <cell r="AA6490" t="str">
            <v>HOSPITAL DE SANTA BARBARA</v>
          </cell>
        </row>
        <row r="6491">
          <cell r="Z6491" t="str">
            <v>DENTAL</v>
          </cell>
          <cell r="AA6491" t="str">
            <v>HOSPITAL DE MULCHEN</v>
          </cell>
        </row>
        <row r="6492">
          <cell r="Z6492" t="str">
            <v>DENTAL</v>
          </cell>
          <cell r="AA6492" t="str">
            <v>HOSPITAL DE YUMBEL</v>
          </cell>
        </row>
        <row r="6493">
          <cell r="Z6493" t="str">
            <v>DENTAL</v>
          </cell>
          <cell r="AA6493" t="str">
            <v>HOSPITAL DE YUMBEL</v>
          </cell>
        </row>
        <row r="6494">
          <cell r="Z6494" t="str">
            <v>DENTAL</v>
          </cell>
          <cell r="AA6494" t="str">
            <v>HOSPITAL DE MULCHEN</v>
          </cell>
        </row>
        <row r="6495">
          <cell r="Z6495" t="str">
            <v>DENTAL</v>
          </cell>
          <cell r="AA6495" t="str">
            <v>HOSPITAL DE MULCHEN</v>
          </cell>
        </row>
        <row r="6496">
          <cell r="Z6496" t="str">
            <v>DENTAL</v>
          </cell>
          <cell r="AA6496" t="str">
            <v>HOSPITAL DE SANTA BARBARA</v>
          </cell>
        </row>
        <row r="6497">
          <cell r="Z6497" t="str">
            <v>DENTAL</v>
          </cell>
          <cell r="AA6497" t="str">
            <v>HOSPITAL DE MULCHEN</v>
          </cell>
        </row>
        <row r="6498">
          <cell r="Z6498" t="str">
            <v>DENTAL</v>
          </cell>
          <cell r="AA6498" t="str">
            <v>HOSPITAL DE YUMBEL</v>
          </cell>
        </row>
        <row r="6499">
          <cell r="Z6499" t="str">
            <v>DENTAL</v>
          </cell>
          <cell r="AA6499" t="str">
            <v>HOSPITAL SAN VICENTE TAGUA TAGUA</v>
          </cell>
        </row>
        <row r="6500">
          <cell r="Z6500" t="str">
            <v>DENTAL</v>
          </cell>
          <cell r="AA6500" t="str">
            <v>HOSPITAL SAN VICENTE TAGUA TAGUA</v>
          </cell>
        </row>
        <row r="6501">
          <cell r="Z6501" t="str">
            <v>DENTAL</v>
          </cell>
        </row>
        <row r="6502">
          <cell r="Z6502" t="str">
            <v>DENTAL</v>
          </cell>
          <cell r="AA6502" t="str">
            <v>CLINICA PICHIMAPU SPA</v>
          </cell>
        </row>
        <row r="6503">
          <cell r="Z6503" t="str">
            <v>DENTAL</v>
          </cell>
          <cell r="AA6503" t="str">
            <v>CLINICA PICHIMAPU SPA</v>
          </cell>
        </row>
        <row r="6504">
          <cell r="Z6504" t="str">
            <v>DENTAL</v>
          </cell>
          <cell r="AA6504" t="str">
            <v>CLINICA PICHIMAPU SPA</v>
          </cell>
        </row>
        <row r="6505">
          <cell r="Z6505" t="str">
            <v>DENTAL</v>
          </cell>
          <cell r="AA6505" t="str">
            <v>CESFAM THOMAS FENTON</v>
          </cell>
        </row>
        <row r="6506">
          <cell r="Z6506" t="str">
            <v>DENTAL</v>
          </cell>
          <cell r="AA6506" t="str">
            <v>CESFAM THOMAS FENTON</v>
          </cell>
        </row>
        <row r="6507">
          <cell r="Z6507" t="str">
            <v>DENTAL</v>
          </cell>
          <cell r="AA6507" t="str">
            <v>CLINICA PICHIMAPU SPA</v>
          </cell>
        </row>
        <row r="6508">
          <cell r="Z6508" t="str">
            <v>DENTAL</v>
          </cell>
        </row>
        <row r="6509">
          <cell r="Z6509" t="str">
            <v>DENTAL</v>
          </cell>
          <cell r="AA6509" t="str">
            <v>CLINICA PICHIMAPU SPA</v>
          </cell>
        </row>
        <row r="6510">
          <cell r="Z6510" t="str">
            <v>DENTAL</v>
          </cell>
        </row>
        <row r="6511">
          <cell r="Z6511" t="str">
            <v>DENTAL</v>
          </cell>
          <cell r="AA6511" t="str">
            <v>UC CHRISTUS SERVICIOS AMBULATORIOS SPA</v>
          </cell>
        </row>
        <row r="6512">
          <cell r="Z6512" t="str">
            <v>DENTAL</v>
          </cell>
          <cell r="AA6512" t="str">
            <v>UC CHRISTUS SERVICIOS AMBULATORIOS SPA</v>
          </cell>
        </row>
        <row r="6513">
          <cell r="Z6513" t="str">
            <v>DENTAL</v>
          </cell>
          <cell r="AA6513" t="str">
            <v>UC CHRISTUS SERVICIOS AMBULATORIOS SPA</v>
          </cell>
        </row>
        <row r="6514">
          <cell r="Z6514" t="str">
            <v>DENTAL</v>
          </cell>
          <cell r="AA6514" t="str">
            <v>HOSPITAL CLINICO DE MAGALLANES</v>
          </cell>
        </row>
        <row r="6515">
          <cell r="Z6515" t="str">
            <v>DENTAL</v>
          </cell>
          <cell r="AA6515" t="str">
            <v>UC CHRISTUS SERVICIOS AMBULATORIOS SPA</v>
          </cell>
        </row>
        <row r="6516">
          <cell r="Z6516" t="str">
            <v>DENTAL</v>
          </cell>
          <cell r="AA6516" t="str">
            <v>UC CHRISTUS SERVICIOS AMBULATORIOS SPA</v>
          </cell>
        </row>
        <row r="6517">
          <cell r="Z6517" t="str">
            <v>DENTAL</v>
          </cell>
          <cell r="AA6517" t="str">
            <v>UC CHRISTUS SERVICIOS AMBULATORIOS SPA</v>
          </cell>
        </row>
        <row r="6518">
          <cell r="Z6518" t="str">
            <v>DENTAL</v>
          </cell>
          <cell r="AA6518" t="str">
            <v>HOSPITAL CLINICO DE MAGALLANES</v>
          </cell>
        </row>
        <row r="6519">
          <cell r="Z6519" t="str">
            <v>DENTAL</v>
          </cell>
          <cell r="AA6519" t="str">
            <v>UC CHRISTUS SERVICIOS AMBULATORIOS SPA</v>
          </cell>
        </row>
        <row r="6520">
          <cell r="Z6520" t="str">
            <v>DENTAL</v>
          </cell>
          <cell r="AA6520" t="str">
            <v>COMPLEJO ASISTENCIAL DR.SOTERO DEL RIO</v>
          </cell>
        </row>
        <row r="6521">
          <cell r="Z6521" t="str">
            <v>DENTAL</v>
          </cell>
          <cell r="AA6521" t="str">
            <v>SERVICIO DE SALUD MAGALLANES</v>
          </cell>
        </row>
        <row r="6522">
          <cell r="Z6522" t="str">
            <v>DENTAL</v>
          </cell>
          <cell r="AA6522" t="str">
            <v>COMPLEJO ASISTENCIAL DR.SOTERO DEL RIO</v>
          </cell>
        </row>
        <row r="6523">
          <cell r="Z6523" t="str">
            <v>DENTAL</v>
          </cell>
          <cell r="AA6523" t="str">
            <v>COMPLEJO ASISTENCIAL DR.SOTERO DEL RIO</v>
          </cell>
        </row>
        <row r="6524">
          <cell r="Z6524" t="str">
            <v>DENTAL</v>
          </cell>
          <cell r="AA6524" t="str">
            <v>COMPLEJO ASISTENCIAL DR.SOTERO DEL RIO</v>
          </cell>
        </row>
        <row r="6525">
          <cell r="Z6525" t="str">
            <v>DENTAL</v>
          </cell>
        </row>
        <row r="6526">
          <cell r="Z6526" t="str">
            <v>DENTAL</v>
          </cell>
          <cell r="AA6526" t="str">
            <v>CESFAM SAN RAFAEL</v>
          </cell>
        </row>
        <row r="6527">
          <cell r="Z6527" t="str">
            <v>DENTAL</v>
          </cell>
        </row>
        <row r="6528">
          <cell r="Z6528" t="str">
            <v>DENTAL</v>
          </cell>
        </row>
        <row r="6529">
          <cell r="Z6529" t="str">
            <v>DENTAL</v>
          </cell>
        </row>
        <row r="6530">
          <cell r="Z6530" t="str">
            <v>DENTAL</v>
          </cell>
          <cell r="AA6530" t="str">
            <v>CESFAM LAS AMERICAS</v>
          </cell>
        </row>
        <row r="6531">
          <cell r="Z6531" t="str">
            <v>DENTAL</v>
          </cell>
          <cell r="AA6531" t="str">
            <v>SERVICIO DE SALUD MAGALLANES</v>
          </cell>
        </row>
        <row r="6532">
          <cell r="Z6532" t="str">
            <v>DENTAL</v>
          </cell>
          <cell r="AA6532" t="str">
            <v>SERVICIO DE SALUD MAGALLANES</v>
          </cell>
        </row>
        <row r="6533">
          <cell r="Z6533" t="str">
            <v>DENTAL</v>
          </cell>
        </row>
        <row r="6534">
          <cell r="Z6534" t="str">
            <v>DENTAL</v>
          </cell>
        </row>
        <row r="6535">
          <cell r="Z6535" t="str">
            <v>DENTAL</v>
          </cell>
          <cell r="AA6535" t="str">
            <v>CESFAM MARTA UGARTE QUILICURA</v>
          </cell>
        </row>
        <row r="6536">
          <cell r="Z6536" t="str">
            <v>DENTAL</v>
          </cell>
          <cell r="AA6536" t="str">
            <v>CESFAM MARTA UGARTE QUILICURA</v>
          </cell>
        </row>
        <row r="6537">
          <cell r="Z6537" t="str">
            <v>DENTAL</v>
          </cell>
          <cell r="AA6537" t="str">
            <v>CESFAM MARTA UGARTE QUILICURA</v>
          </cell>
        </row>
        <row r="6538">
          <cell r="Z6538" t="str">
            <v>DENTAL</v>
          </cell>
          <cell r="AA6538" t="str">
            <v>CESFAM MARTA UGARTE QUILICURA</v>
          </cell>
        </row>
        <row r="6539">
          <cell r="Z6539" t="str">
            <v>DENTAL</v>
          </cell>
          <cell r="AA6539" t="str">
            <v>CESFAM MARTA UGARTE QUILICURA</v>
          </cell>
        </row>
        <row r="6540">
          <cell r="Z6540" t="str">
            <v>DENTAL</v>
          </cell>
          <cell r="AA6540" t="str">
            <v>CESFAM MARTA UGARTE QUILICURA</v>
          </cell>
        </row>
        <row r="6541">
          <cell r="Z6541" t="str">
            <v>DENTAL</v>
          </cell>
          <cell r="AA6541" t="str">
            <v>SERV DE SALUD BÍO BÍO - HOSPITAL DE HUEPIL</v>
          </cell>
        </row>
        <row r="6542">
          <cell r="Z6542" t="str">
            <v>DENTAL</v>
          </cell>
          <cell r="AA6542" t="str">
            <v>HOSPITAL VICTOR RIOS RUIZ</v>
          </cell>
        </row>
        <row r="6543">
          <cell r="Z6543" t="str">
            <v>DENTAL</v>
          </cell>
          <cell r="AA6543" t="str">
            <v>SERV DE SALUD BÍO BÍO - HOSPITAL DE HUEPIL</v>
          </cell>
        </row>
        <row r="6544">
          <cell r="Z6544" t="str">
            <v>DENTAL</v>
          </cell>
          <cell r="AA6544" t="str">
            <v>SERV DE SALUD BÍO BÍO - HOSPITAL DE HUEPIL</v>
          </cell>
        </row>
        <row r="6545">
          <cell r="Z6545" t="str">
            <v>DENTAL</v>
          </cell>
          <cell r="AA6545" t="str">
            <v>SERV DE SALUD BÍO BÍO - HOSPITAL DE HUEPIL</v>
          </cell>
        </row>
        <row r="6546">
          <cell r="Z6546" t="str">
            <v>DENTAL</v>
          </cell>
          <cell r="AA6546" t="str">
            <v>SERV DE SALUD BÍO BÍO - HOSPITAL DE HUEPIL</v>
          </cell>
        </row>
        <row r="6547">
          <cell r="Z6547" t="str">
            <v>DENTAL</v>
          </cell>
          <cell r="AA6547" t="str">
            <v>SERV DE SALUD BÍO BÍO - HOSPITAL DE HUEPIL</v>
          </cell>
        </row>
        <row r="6548">
          <cell r="Z6548" t="str">
            <v>DENTAL</v>
          </cell>
          <cell r="AA6548" t="str">
            <v>CESFAM LAS TORRES</v>
          </cell>
        </row>
        <row r="6549">
          <cell r="Z6549" t="str">
            <v>DENTAL</v>
          </cell>
          <cell r="AA6549" t="str">
            <v>CESFAM LAS TORRES</v>
          </cell>
        </row>
        <row r="6550">
          <cell r="Z6550" t="str">
            <v>DENTAL</v>
          </cell>
          <cell r="AA6550" t="str">
            <v>CESFAM LAS TORRES</v>
          </cell>
        </row>
        <row r="6551">
          <cell r="Z6551" t="str">
            <v>DENTAL</v>
          </cell>
          <cell r="AA6551" t="str">
            <v>CESFAM LAS TORRES</v>
          </cell>
        </row>
        <row r="6552">
          <cell r="Z6552" t="str">
            <v>DENTAL</v>
          </cell>
          <cell r="AA6552" t="str">
            <v>CESFAM LAS TORRES</v>
          </cell>
        </row>
        <row r="6553">
          <cell r="Z6553" t="str">
            <v>DENTAL</v>
          </cell>
          <cell r="AA6553" t="str">
            <v>CESFAM LAS TORRES</v>
          </cell>
        </row>
        <row r="6554">
          <cell r="Z6554" t="str">
            <v>DENTAL</v>
          </cell>
        </row>
        <row r="6555">
          <cell r="Z6555" t="str">
            <v>DENTAL</v>
          </cell>
        </row>
        <row r="6556">
          <cell r="Z6556" t="str">
            <v>DENTAL</v>
          </cell>
        </row>
        <row r="6557">
          <cell r="Z6557" t="str">
            <v>DENTAL</v>
          </cell>
          <cell r="AA6557" t="str">
            <v>CESFAM JULIO CONTARDO URZUA DE TALCA</v>
          </cell>
        </row>
        <row r="6558">
          <cell r="Z6558" t="str">
            <v>DENTAL</v>
          </cell>
          <cell r="AA6558" t="str">
            <v>CESFAM LAS AMERICAS</v>
          </cell>
        </row>
        <row r="6559">
          <cell r="Z6559" t="str">
            <v>DENTAL</v>
          </cell>
        </row>
        <row r="6560">
          <cell r="Z6560" t="str">
            <v>DENTAL</v>
          </cell>
        </row>
        <row r="6561">
          <cell r="Z6561" t="str">
            <v>DENTAL</v>
          </cell>
        </row>
        <row r="6562">
          <cell r="Z6562" t="str">
            <v>DENTAL</v>
          </cell>
        </row>
        <row r="6563">
          <cell r="Z6563" t="str">
            <v>DENTAL</v>
          </cell>
          <cell r="AA6563" t="str">
            <v>DRA. ALICIA GUAMBUGUETE</v>
          </cell>
        </row>
        <row r="6564">
          <cell r="Z6564" t="str">
            <v>DENTAL</v>
          </cell>
          <cell r="AA6564" t="str">
            <v>DIAGNORAD ANTOFAGASTA</v>
          </cell>
        </row>
        <row r="6565">
          <cell r="Z6565" t="str">
            <v>DENTAL</v>
          </cell>
        </row>
        <row r="6566">
          <cell r="Z6566" t="str">
            <v>DENTAL</v>
          </cell>
        </row>
        <row r="6567">
          <cell r="Z6567" t="str">
            <v>DENTAL</v>
          </cell>
          <cell r="AA6567" t="str">
            <v>HOSPITAL SAN VICENTE TAGUA TAGUA</v>
          </cell>
        </row>
        <row r="6568">
          <cell r="Z6568" t="str">
            <v>DENTAL</v>
          </cell>
        </row>
        <row r="6569">
          <cell r="Z6569" t="str">
            <v>DENTAL</v>
          </cell>
          <cell r="AA6569" t="str">
            <v>CLINICA UNIVERSIDAD DE LOS ANDES SAN BERNARDO</v>
          </cell>
        </row>
        <row r="6570">
          <cell r="Z6570" t="str">
            <v>DENTAL</v>
          </cell>
        </row>
        <row r="6571">
          <cell r="Z6571" t="str">
            <v>DENTAL</v>
          </cell>
        </row>
        <row r="6572">
          <cell r="Z6572" t="str">
            <v>DENTAL</v>
          </cell>
          <cell r="AA6572" t="str">
            <v>HOSPITAL DE CURICO</v>
          </cell>
        </row>
        <row r="6573">
          <cell r="Z6573" t="str">
            <v>DENTAL</v>
          </cell>
          <cell r="AA6573" t="str">
            <v>DIAGNORAD ANTOFAGASTA</v>
          </cell>
        </row>
        <row r="6574">
          <cell r="Z6574" t="str">
            <v>DENTAL</v>
          </cell>
        </row>
        <row r="6575">
          <cell r="Z6575" t="str">
            <v>DENTAL</v>
          </cell>
          <cell r="AA6575" t="str">
            <v>CESFAM JULIO CONTARDO URZUA DE TALCA</v>
          </cell>
        </row>
        <row r="6576">
          <cell r="Z6576" t="str">
            <v>DENTAL</v>
          </cell>
          <cell r="AA6576" t="str">
            <v>CESFAM LAS AMERICAS</v>
          </cell>
        </row>
        <row r="6577">
          <cell r="Z6577" t="str">
            <v>DENTAL</v>
          </cell>
          <cell r="AA6577" t="str">
            <v>DIAGNORAD ANTOFAGASTA</v>
          </cell>
        </row>
        <row r="6578">
          <cell r="Z6578" t="str">
            <v>DENTAL</v>
          </cell>
          <cell r="AA6578" t="str">
            <v>HOSPITAL DE CURICO</v>
          </cell>
        </row>
        <row r="6579">
          <cell r="Z6579" t="str">
            <v>DENTAL</v>
          </cell>
          <cell r="AA6579" t="str">
            <v>HOSPITAL DE CURICO</v>
          </cell>
        </row>
        <row r="6580">
          <cell r="Z6580" t="str">
            <v>DENTAL</v>
          </cell>
          <cell r="AA6580" t="str">
            <v>CLINICA UNIVERSIDAD DE LOS ANDES SAN BERNARDO</v>
          </cell>
        </row>
        <row r="6581">
          <cell r="Z6581" t="str">
            <v>DENTAL</v>
          </cell>
          <cell r="AA6581" t="str">
            <v>CLINICA UNIVERSIDAD DE LOS ANDES SAN BERNARDO</v>
          </cell>
        </row>
        <row r="6582">
          <cell r="Z6582" t="str">
            <v>DENTAL</v>
          </cell>
          <cell r="AA6582" t="str">
            <v>HOSPITAL DE CURICO</v>
          </cell>
        </row>
        <row r="6583">
          <cell r="Z6583" t="str">
            <v>DENTAL</v>
          </cell>
          <cell r="AA6583" t="str">
            <v>HOSPITAL DE CURICO</v>
          </cell>
        </row>
        <row r="6584">
          <cell r="Z6584" t="str">
            <v>DENTAL</v>
          </cell>
          <cell r="AA6584" t="str">
            <v>HOSPITAL DE CURICO</v>
          </cell>
        </row>
        <row r="6585">
          <cell r="Z6585" t="str">
            <v>DENTAL</v>
          </cell>
          <cell r="AA6585" t="str">
            <v>HOSPITAL DE CURICO</v>
          </cell>
        </row>
        <row r="6586">
          <cell r="Z6586" t="str">
            <v>DENTAL</v>
          </cell>
          <cell r="AA6586" t="str">
            <v>HOSPITAL DE CURICO</v>
          </cell>
        </row>
        <row r="6587">
          <cell r="Z6587" t="str">
            <v>DENTAL</v>
          </cell>
          <cell r="AA6587" t="str">
            <v>HOSPITAL DE CURICO</v>
          </cell>
        </row>
        <row r="6588">
          <cell r="Z6588" t="str">
            <v>DENTAL</v>
          </cell>
          <cell r="AA6588" t="str">
            <v>CLINICA UNIVERSIDAD DE LOS ANDES SAN BERNARDO</v>
          </cell>
        </row>
        <row r="6589">
          <cell r="Z6589" t="str">
            <v>DENTAL</v>
          </cell>
          <cell r="AA6589" t="str">
            <v>HOSPITAL DE CURICO</v>
          </cell>
        </row>
        <row r="6590">
          <cell r="Z6590" t="str">
            <v>DENTAL</v>
          </cell>
          <cell r="AA6590" t="str">
            <v>CLINICA UNIVERSIDAD DE LOS ANDES SAN BERNARDO</v>
          </cell>
        </row>
        <row r="6591">
          <cell r="Z6591" t="str">
            <v>DENTAL</v>
          </cell>
          <cell r="AA6591" t="str">
            <v>CLINICA UNIVERSIDAD DE LOS ANDES SAN BERNARDO</v>
          </cell>
        </row>
        <row r="6592">
          <cell r="Z6592" t="str">
            <v>DENTAL</v>
          </cell>
          <cell r="AA6592" t="str">
            <v>CLINICA UNIVERSIDAD DE LOS ANDES SAN BERNARDO</v>
          </cell>
        </row>
        <row r="6593">
          <cell r="Z6593" t="str">
            <v>DENTAL</v>
          </cell>
          <cell r="AA6593" t="str">
            <v>HOSPITAL DE CURICO</v>
          </cell>
        </row>
        <row r="6594">
          <cell r="Z6594" t="str">
            <v>DENTAL</v>
          </cell>
          <cell r="AA6594" t="str">
            <v>HOSPITAL DE CURICO</v>
          </cell>
        </row>
        <row r="6595">
          <cell r="Z6595" t="str">
            <v>DENTAL</v>
          </cell>
          <cell r="AA6595" t="str">
            <v>HOSPITAL DE CURICO</v>
          </cell>
        </row>
        <row r="6596">
          <cell r="Z6596" t="str">
            <v>DENTAL</v>
          </cell>
          <cell r="AA6596" t="str">
            <v>HOSPITAL DE CURICO</v>
          </cell>
        </row>
        <row r="6597">
          <cell r="Z6597" t="str">
            <v>DENTAL</v>
          </cell>
        </row>
        <row r="6598">
          <cell r="Z6598" t="str">
            <v>DENTAL</v>
          </cell>
        </row>
        <row r="6599">
          <cell r="Z6599" t="str">
            <v>DENTAL</v>
          </cell>
        </row>
        <row r="6600">
          <cell r="Z6600" t="str">
            <v>DENTAL</v>
          </cell>
        </row>
        <row r="6601">
          <cell r="Z6601" t="str">
            <v>DENTAL</v>
          </cell>
          <cell r="AA6601" t="str">
            <v>HOSPITAL VICTOR RIOS RUIZ</v>
          </cell>
        </row>
        <row r="6602">
          <cell r="Z6602" t="str">
            <v>DENTAL</v>
          </cell>
          <cell r="AA6602" t="str">
            <v>HOSPITAL VICTOR RIOS RUIZ</v>
          </cell>
        </row>
        <row r="6603">
          <cell r="Z6603" t="str">
            <v>DENTAL</v>
          </cell>
        </row>
        <row r="6604">
          <cell r="Z6604" t="str">
            <v>DENTAL</v>
          </cell>
        </row>
        <row r="6605">
          <cell r="Z6605" t="str">
            <v>DENTAL</v>
          </cell>
          <cell r="AA6605" t="str">
            <v>HOSPITAL VICTOR RIOS RUIZ</v>
          </cell>
        </row>
        <row r="6606">
          <cell r="Z6606" t="str">
            <v>DENTAL</v>
          </cell>
          <cell r="AA6606" t="str">
            <v>CESFAM YANEQUEN NEGRETE</v>
          </cell>
        </row>
        <row r="6607">
          <cell r="Z6607" t="str">
            <v>DENTAL</v>
          </cell>
          <cell r="AA6607" t="str">
            <v>EJERCITO DE CHILE CENTRAL ODONTOLOGICA D</v>
          </cell>
        </row>
        <row r="6608">
          <cell r="Z6608" t="str">
            <v>DENTAL</v>
          </cell>
        </row>
        <row r="6609">
          <cell r="Z6609" t="str">
            <v>DENTAL</v>
          </cell>
          <cell r="AA6609" t="str">
            <v>CESFAM YANEQUEN NEGRETE</v>
          </cell>
        </row>
        <row r="6610">
          <cell r="Z6610" t="str">
            <v>DENTAL</v>
          </cell>
        </row>
        <row r="6611">
          <cell r="Z6611" t="str">
            <v>DENTAL</v>
          </cell>
          <cell r="AA6611" t="str">
            <v>HOSPITAL BARROS LUCO TRUDEAU</v>
          </cell>
        </row>
        <row r="6612">
          <cell r="Z6612" t="str">
            <v>DENTAL</v>
          </cell>
          <cell r="AA6612" t="str">
            <v>HOSPITAL BARROS LUCO TRUDEAU</v>
          </cell>
        </row>
        <row r="6613">
          <cell r="Z6613" t="str">
            <v>DENTAL</v>
          </cell>
          <cell r="AA6613" t="str">
            <v>HOSPITAL VICTOR RIOS RUIZ</v>
          </cell>
        </row>
        <row r="6614">
          <cell r="Z6614" t="str">
            <v>DENTAL</v>
          </cell>
          <cell r="AA6614" t="str">
            <v>HOSPITAL VICTOR RIOS RUIZ</v>
          </cell>
        </row>
        <row r="6615">
          <cell r="Z6615" t="str">
            <v>DENTAL</v>
          </cell>
          <cell r="AA6615" t="str">
            <v>HOSPITAL VICTOR RIOS RUIZ</v>
          </cell>
        </row>
        <row r="6616">
          <cell r="Z6616" t="str">
            <v>DENTAL</v>
          </cell>
          <cell r="AA6616" t="str">
            <v>HOSPITAL VICTOR RIOS RUIZ</v>
          </cell>
        </row>
        <row r="6617">
          <cell r="Z6617" t="str">
            <v>DENTAL</v>
          </cell>
          <cell r="AA6617" t="str">
            <v>HOSPITAL VICTOR RIOS RUIZ</v>
          </cell>
        </row>
        <row r="6618">
          <cell r="Z6618" t="str">
            <v>DENTAL</v>
          </cell>
          <cell r="AA6618" t="str">
            <v>HOSPITAL VICTOR RIOS RUIZ</v>
          </cell>
        </row>
        <row r="6619">
          <cell r="Z6619" t="str">
            <v>DENTAL</v>
          </cell>
          <cell r="AA6619" t="str">
            <v>HOSPITAL VICTOR RIOS RUIZ</v>
          </cell>
        </row>
        <row r="6620">
          <cell r="Z6620" t="str">
            <v>DENTAL</v>
          </cell>
          <cell r="AA6620" t="str">
            <v>HOSPITAL VICTOR RIOS RUIZ</v>
          </cell>
        </row>
        <row r="6621">
          <cell r="Z6621" t="str">
            <v>DENTAL</v>
          </cell>
          <cell r="AA6621" t="str">
            <v>HOSPITAL VICTOR RIOS RUIZ</v>
          </cell>
        </row>
        <row r="6622">
          <cell r="Z6622" t="str">
            <v>DENTAL</v>
          </cell>
          <cell r="AA6622" t="str">
            <v>HOSPITAL DE SANTA BARBARA</v>
          </cell>
        </row>
        <row r="6623">
          <cell r="Z6623" t="str">
            <v>DENTAL</v>
          </cell>
          <cell r="AA6623" t="str">
            <v>HOSPITAL VICTOR RIOS RUIZ</v>
          </cell>
        </row>
        <row r="6624">
          <cell r="Z6624" t="str">
            <v>DENTAL</v>
          </cell>
          <cell r="AA6624" t="str">
            <v>HOSPITAL VICTOR RIOS RUIZ</v>
          </cell>
        </row>
        <row r="6625">
          <cell r="Z6625" t="str">
            <v>DENTAL</v>
          </cell>
          <cell r="AA6625" t="str">
            <v>HOSPITAL BARROS LUCO TRUDEAU</v>
          </cell>
        </row>
        <row r="6626">
          <cell r="Z6626" t="str">
            <v>DENTAL</v>
          </cell>
          <cell r="AA6626" t="str">
            <v>HOSPITAL VICTOR RIOS RUIZ</v>
          </cell>
        </row>
        <row r="6627">
          <cell r="Z6627" t="str">
            <v>DENTAL</v>
          </cell>
          <cell r="AA6627" t="str">
            <v>HOSPITAL VICTOR RIOS RUIZ</v>
          </cell>
        </row>
        <row r="6628">
          <cell r="Z6628" t="str">
            <v>DENTAL</v>
          </cell>
          <cell r="AA6628" t="str">
            <v>HOSPITAL VICTOR RIOS RUIZ</v>
          </cell>
        </row>
        <row r="6629">
          <cell r="Z6629" t="str">
            <v>DENTAL</v>
          </cell>
          <cell r="AA6629" t="str">
            <v>HOSPITAL VICTOR RIOS RUIZ</v>
          </cell>
        </row>
        <row r="6630">
          <cell r="Z6630" t="str">
            <v>DENTAL</v>
          </cell>
          <cell r="AA6630" t="str">
            <v>HOSPITAL VICTOR RIOS RUIZ</v>
          </cell>
        </row>
        <row r="6631">
          <cell r="Z6631" t="str">
            <v>DENTAL</v>
          </cell>
          <cell r="AA6631" t="str">
            <v>HOSPITAL VICTOR RIOS RUIZ</v>
          </cell>
        </row>
        <row r="6632">
          <cell r="Z6632" t="str">
            <v>DENTAL</v>
          </cell>
          <cell r="AA6632" t="str">
            <v>HOSPITAL VICTOR RIOS RUIZ</v>
          </cell>
        </row>
        <row r="6633">
          <cell r="Z6633" t="str">
            <v>DENTAL</v>
          </cell>
          <cell r="AA6633" t="str">
            <v>HOSPITAL VICTOR RIOS RUIZ</v>
          </cell>
        </row>
        <row r="6634">
          <cell r="Z6634" t="str">
            <v>DENTAL</v>
          </cell>
          <cell r="AA6634" t="str">
            <v>HOSPITAL VICTOR RIOS RUIZ</v>
          </cell>
        </row>
        <row r="6635">
          <cell r="Z6635" t="str">
            <v>DENTAL</v>
          </cell>
          <cell r="AA6635" t="str">
            <v>HOSPITAL DE MULCHEN</v>
          </cell>
        </row>
        <row r="6636">
          <cell r="Z6636" t="str">
            <v>DENTAL</v>
          </cell>
          <cell r="AA6636" t="str">
            <v>HOSPITAL VICTOR RIOS RUIZ</v>
          </cell>
        </row>
        <row r="6637">
          <cell r="Z6637" t="str">
            <v>DENTAL</v>
          </cell>
          <cell r="AA6637" t="str">
            <v>HOSPITAL VICTOR RIOS RUIZ</v>
          </cell>
        </row>
        <row r="6638">
          <cell r="Z6638" t="str">
            <v>DENTAL</v>
          </cell>
          <cell r="AA6638" t="str">
            <v>HOSPITAL BARROS LUCO TRUDEAU</v>
          </cell>
        </row>
        <row r="6639">
          <cell r="Z6639" t="str">
            <v>DENTAL</v>
          </cell>
          <cell r="AA6639" t="str">
            <v>HOSPITAL ROBERTO DEL RIO</v>
          </cell>
        </row>
        <row r="6640">
          <cell r="Z6640" t="str">
            <v>DENTAL</v>
          </cell>
          <cell r="AA6640" t="str">
            <v>HOSPITAL VICTOR RIOS RUIZ</v>
          </cell>
        </row>
        <row r="6641">
          <cell r="Z6641" t="str">
            <v>DENTAL</v>
          </cell>
          <cell r="AA6641" t="str">
            <v>HOSPITAL VICTOR RIOS RUIZ</v>
          </cell>
        </row>
        <row r="6642">
          <cell r="Z6642" t="str">
            <v>DENTAL</v>
          </cell>
          <cell r="AA6642" t="str">
            <v>HOSPITAL VICTOR RIOS RUIZ</v>
          </cell>
        </row>
        <row r="6643">
          <cell r="Z6643" t="str">
            <v>DENTAL</v>
          </cell>
          <cell r="AA6643" t="str">
            <v>HOSPITAL BARROS LUCO TRUDEAU</v>
          </cell>
        </row>
        <row r="6644">
          <cell r="Z6644" t="str">
            <v>DENTAL</v>
          </cell>
          <cell r="AA6644" t="str">
            <v>HOSPITAL VICTOR RIOS RUIZ</v>
          </cell>
        </row>
        <row r="6645">
          <cell r="Z6645" t="str">
            <v>DENTAL</v>
          </cell>
          <cell r="AA6645" t="str">
            <v>HOSPITAL VICTOR RIOS RUIZ</v>
          </cell>
        </row>
        <row r="6646">
          <cell r="Z6646" t="str">
            <v>DENTAL</v>
          </cell>
          <cell r="AA6646" t="str">
            <v>HOSPITAL BARROS LUCO TRUDEAU</v>
          </cell>
        </row>
        <row r="6647">
          <cell r="Z6647" t="str">
            <v>DENTAL</v>
          </cell>
        </row>
        <row r="6648">
          <cell r="Z6648" t="str">
            <v>DENTAL</v>
          </cell>
        </row>
        <row r="6649">
          <cell r="Z6649" t="str">
            <v>DENTAL</v>
          </cell>
        </row>
        <row r="6650">
          <cell r="Z6650" t="str">
            <v>DENTAL</v>
          </cell>
        </row>
        <row r="6651">
          <cell r="Z6651" t="str">
            <v>DENTAL</v>
          </cell>
        </row>
        <row r="6652">
          <cell r="Z6652" t="str">
            <v>DENTAL</v>
          </cell>
        </row>
        <row r="6653">
          <cell r="Z6653" t="str">
            <v>DENTAL</v>
          </cell>
          <cell r="AA6653" t="str">
            <v>CESFAM ULTRAESTACION CHILLAN</v>
          </cell>
        </row>
        <row r="6654">
          <cell r="Z6654" t="str">
            <v>DENTAL</v>
          </cell>
          <cell r="AA6654" t="str">
            <v>HOSPITAL DE QUIRIHUE</v>
          </cell>
        </row>
        <row r="6655">
          <cell r="Z6655" t="str">
            <v>DENTAL</v>
          </cell>
        </row>
        <row r="6656">
          <cell r="Z6656" t="str">
            <v>DENTAL</v>
          </cell>
          <cell r="AA6656" t="str">
            <v>UC CHRISTUS SERVICIOS AMBULATORIOS SPA</v>
          </cell>
        </row>
        <row r="6657">
          <cell r="Z6657" t="str">
            <v>DENTAL</v>
          </cell>
          <cell r="AA6657" t="str">
            <v>UC CHRISTUS SERVICIOS AMBULATORIOS SPA</v>
          </cell>
        </row>
        <row r="6658">
          <cell r="Z6658" t="str">
            <v>DENTAL</v>
          </cell>
          <cell r="AA6658" t="str">
            <v>HOSPITAL DE QUIRIHUE</v>
          </cell>
        </row>
        <row r="6659">
          <cell r="Z6659" t="str">
            <v>DENTAL</v>
          </cell>
        </row>
        <row r="6660">
          <cell r="Z6660" t="str">
            <v>DENTAL</v>
          </cell>
        </row>
        <row r="6661">
          <cell r="Z6661" t="str">
            <v>DENTAL</v>
          </cell>
        </row>
        <row r="6662">
          <cell r="Z6662" t="str">
            <v>DENTAL</v>
          </cell>
        </row>
        <row r="6663">
          <cell r="Z6663" t="str">
            <v>DENTAL</v>
          </cell>
          <cell r="AA6663" t="str">
            <v>HOSPITAL DE SAN CARLOS</v>
          </cell>
        </row>
        <row r="6664">
          <cell r="Z6664" t="str">
            <v>DENTAL</v>
          </cell>
          <cell r="AA6664" t="str">
            <v>HOSPITAL DE SAN CARLOS</v>
          </cell>
        </row>
        <row r="6665">
          <cell r="Z6665" t="str">
            <v>DENTAL</v>
          </cell>
          <cell r="AA6665" t="str">
            <v>CESFAM ULTRAESTACION CHILLAN</v>
          </cell>
        </row>
        <row r="6666">
          <cell r="Z6666" t="str">
            <v>DENTAL</v>
          </cell>
          <cell r="AA6666" t="str">
            <v>CESFAM ULTRAESTACION CHILLAN</v>
          </cell>
        </row>
        <row r="6667">
          <cell r="Z6667" t="str">
            <v>DENTAL</v>
          </cell>
          <cell r="AA6667" t="str">
            <v>HOSPITAL CLINICO HERMINDA MARTIN CHILLAN</v>
          </cell>
        </row>
        <row r="6668">
          <cell r="Z6668" t="str">
            <v>DENTAL</v>
          </cell>
          <cell r="AA6668" t="str">
            <v>CESFAM ULTRAESTACION CHILLAN</v>
          </cell>
        </row>
        <row r="6669">
          <cell r="Z6669" t="str">
            <v>DENTAL</v>
          </cell>
          <cell r="AA6669" t="str">
            <v>HOSPITAL DE SAN CARLOS</v>
          </cell>
        </row>
        <row r="6670">
          <cell r="Z6670" t="str">
            <v>DENTAL</v>
          </cell>
          <cell r="AA6670" t="str">
            <v>HOSPITAL DE SAN CARLOS</v>
          </cell>
        </row>
        <row r="6671">
          <cell r="Z6671" t="str">
            <v>DENTAL</v>
          </cell>
          <cell r="AA6671" t="str">
            <v>CESFAM ULTRAESTACION CHILLAN</v>
          </cell>
        </row>
        <row r="6672">
          <cell r="Z6672" t="str">
            <v>DENTAL</v>
          </cell>
          <cell r="AA6672" t="str">
            <v>HOSPITAL DEL SALVADOR</v>
          </cell>
        </row>
        <row r="6673">
          <cell r="Z6673" t="str">
            <v>DENTAL</v>
          </cell>
          <cell r="AA6673" t="str">
            <v>HOSPITAL DEL SALVADOR</v>
          </cell>
        </row>
        <row r="6674">
          <cell r="Z6674" t="str">
            <v>DENTAL</v>
          </cell>
          <cell r="AA6674" t="str">
            <v>HOSPITAL DEL SALVADOR</v>
          </cell>
        </row>
        <row r="6675">
          <cell r="Z6675" t="str">
            <v>DENTAL</v>
          </cell>
          <cell r="AA6675" t="str">
            <v>HOSPITAL DEL SALVADOR</v>
          </cell>
        </row>
        <row r="6676">
          <cell r="Z6676" t="str">
            <v>DENTAL</v>
          </cell>
          <cell r="AA6676" t="str">
            <v>HOSPITAL DEL SALVADOR</v>
          </cell>
        </row>
        <row r="6677">
          <cell r="Z6677" t="str">
            <v>DENTAL</v>
          </cell>
          <cell r="AA6677" t="str">
            <v>HOSPITAL DEL SALVADOR</v>
          </cell>
        </row>
        <row r="6678">
          <cell r="Z6678" t="str">
            <v>DENTAL</v>
          </cell>
          <cell r="AA6678" t="str">
            <v>HOSPITAL DEL SALVADOR</v>
          </cell>
        </row>
        <row r="6679">
          <cell r="Z6679" t="str">
            <v>DENTAL</v>
          </cell>
          <cell r="AA6679" t="str">
            <v>HOSPITAL DEL SALVADOR</v>
          </cell>
        </row>
        <row r="6680">
          <cell r="Z6680" t="str">
            <v>DENTAL</v>
          </cell>
          <cell r="AA6680" t="str">
            <v>HOSPITAL DEL SALVADOR</v>
          </cell>
        </row>
        <row r="6681">
          <cell r="Z6681" t="str">
            <v>DENTAL</v>
          </cell>
          <cell r="AA6681" t="str">
            <v>HOSPITAL DEL SALVADOR</v>
          </cell>
        </row>
        <row r="6682">
          <cell r="Z6682" t="str">
            <v>DENTAL</v>
          </cell>
          <cell r="AA6682" t="str">
            <v>HOSPITAL DEL SALVADOR</v>
          </cell>
        </row>
        <row r="6683">
          <cell r="Z6683" t="str">
            <v>DENTAL</v>
          </cell>
          <cell r="AA6683" t="str">
            <v>HOSPITAL DEL SALVADOR</v>
          </cell>
        </row>
        <row r="6684">
          <cell r="Z6684" t="str">
            <v>DENTAL</v>
          </cell>
          <cell r="AA6684" t="str">
            <v>HOSPITAL DEL SALVADOR</v>
          </cell>
        </row>
        <row r="6685">
          <cell r="Z6685" t="str">
            <v>DENTAL</v>
          </cell>
          <cell r="AA6685" t="str">
            <v>HOSPITAL DEL SALVADOR</v>
          </cell>
        </row>
        <row r="6686">
          <cell r="Z6686" t="str">
            <v>DENTAL</v>
          </cell>
          <cell r="AA6686" t="str">
            <v>HOSPITAL DEL SALVADOR</v>
          </cell>
        </row>
        <row r="6687">
          <cell r="Z6687" t="str">
            <v>DENTAL</v>
          </cell>
          <cell r="AA6687" t="str">
            <v>HOSPITAL DEL SALVADOR</v>
          </cell>
        </row>
        <row r="6688">
          <cell r="Z6688" t="str">
            <v>DENTAL</v>
          </cell>
          <cell r="AA6688" t="str">
            <v>HOSPITAL DEL SALVADOR</v>
          </cell>
        </row>
        <row r="6689">
          <cell r="Z6689" t="str">
            <v>DENTAL</v>
          </cell>
          <cell r="AA6689" t="str">
            <v>HOSPITAL DEL SALVADOR</v>
          </cell>
        </row>
        <row r="6690">
          <cell r="Z6690" t="str">
            <v>DENTAL</v>
          </cell>
          <cell r="AA6690" t="str">
            <v>HOSPITAL DEL SALVADOR</v>
          </cell>
        </row>
        <row r="6691">
          <cell r="Z6691" t="str">
            <v>DENTAL</v>
          </cell>
          <cell r="AA6691" t="str">
            <v>HOSPITAL DEL SALVADOR</v>
          </cell>
        </row>
        <row r="6692">
          <cell r="Z6692" t="str">
            <v>DENTAL</v>
          </cell>
        </row>
        <row r="6693">
          <cell r="Z6693" t="str">
            <v>DENTAL</v>
          </cell>
        </row>
        <row r="6694">
          <cell r="Z6694" t="str">
            <v>DENTAL</v>
          </cell>
        </row>
        <row r="6695">
          <cell r="Z6695" t="str">
            <v>DENTAL</v>
          </cell>
        </row>
        <row r="6696">
          <cell r="Z6696" t="str">
            <v>DENTAL</v>
          </cell>
          <cell r="AA6696" t="str">
            <v>SERVICIO DE SALUD MAGALLANES</v>
          </cell>
        </row>
        <row r="6697">
          <cell r="Z6697" t="str">
            <v>DENTAL</v>
          </cell>
        </row>
        <row r="6698">
          <cell r="Z6698" t="str">
            <v>DENTAL</v>
          </cell>
        </row>
        <row r="6699">
          <cell r="Z6699" t="str">
            <v>DENTAL</v>
          </cell>
          <cell r="AA6699" t="str">
            <v>LJ AUTOMOTRIZ LTDA</v>
          </cell>
        </row>
        <row r="6700">
          <cell r="Z6700" t="str">
            <v>DENTAL</v>
          </cell>
          <cell r="AA6700" t="str">
            <v>LJ AUTOMOTRIZ LTDA</v>
          </cell>
        </row>
        <row r="6701">
          <cell r="Z6701" t="str">
            <v>DENTAL</v>
          </cell>
          <cell r="AA6701" t="str">
            <v>LJ AUTOMOTRIZ LTDA</v>
          </cell>
        </row>
        <row r="6702">
          <cell r="Z6702" t="str">
            <v>DENTAL</v>
          </cell>
          <cell r="AA6702" t="str">
            <v>LJ AUTOMOTRIZ LTDA</v>
          </cell>
        </row>
        <row r="6703">
          <cell r="Z6703" t="str">
            <v>DENTAL</v>
          </cell>
        </row>
        <row r="6704">
          <cell r="Z6704" t="str">
            <v>DENTAL</v>
          </cell>
          <cell r="AA6704" t="str">
            <v>UC CHRISTUS SERVICIOS AMBULATORIOS SPA</v>
          </cell>
        </row>
        <row r="6705">
          <cell r="Z6705" t="str">
            <v>DENTAL</v>
          </cell>
        </row>
        <row r="6706">
          <cell r="Z6706" t="str">
            <v>DENTAL</v>
          </cell>
        </row>
        <row r="6707">
          <cell r="Z6707" t="str">
            <v>DENTAL</v>
          </cell>
          <cell r="AA6707" t="str">
            <v>HOSPITAL CLINICO HERMINDA MARTIN CHILLAN</v>
          </cell>
        </row>
        <row r="6708">
          <cell r="Z6708" t="str">
            <v>DENTAL</v>
          </cell>
          <cell r="AA6708" t="str">
            <v>HOSPITAL CLINICO HERMINDA MARTIN CHILLAN</v>
          </cell>
        </row>
        <row r="6709">
          <cell r="Z6709" t="str">
            <v>DENTAL</v>
          </cell>
          <cell r="AA6709" t="str">
            <v>DRA. ALICIA GUAMBUGUETE</v>
          </cell>
        </row>
        <row r="6710">
          <cell r="Z6710" t="str">
            <v>DENTAL</v>
          </cell>
          <cell r="AA6710" t="str">
            <v>CLINICA MUC SPA</v>
          </cell>
        </row>
        <row r="6711">
          <cell r="Z6711" t="str">
            <v>DENTAL</v>
          </cell>
          <cell r="AA6711" t="str">
            <v>CESFAM VICTOR CASTRO</v>
          </cell>
        </row>
        <row r="6712">
          <cell r="Z6712" t="str">
            <v>DENTAL</v>
          </cell>
          <cell r="AA6712" t="str">
            <v>CESFAM VICTOR CASTRO</v>
          </cell>
        </row>
        <row r="6713">
          <cell r="Z6713" t="str">
            <v>DENTAL</v>
          </cell>
        </row>
        <row r="6714">
          <cell r="Z6714" t="str">
            <v>DENTAL</v>
          </cell>
        </row>
        <row r="6715">
          <cell r="Z6715" t="str">
            <v>DENTAL</v>
          </cell>
        </row>
        <row r="6716">
          <cell r="Z6716" t="str">
            <v>DENTAL</v>
          </cell>
        </row>
        <row r="6717">
          <cell r="Z6717" t="str">
            <v>DENTAL</v>
          </cell>
        </row>
        <row r="6718">
          <cell r="Z6718" t="str">
            <v>DENTAL</v>
          </cell>
          <cell r="AA6718" t="str">
            <v>I.MUNICIPALIDAD DE INDEPENDENCIA</v>
          </cell>
        </row>
        <row r="6719">
          <cell r="Z6719" t="str">
            <v>DENTAL</v>
          </cell>
          <cell r="AA6719" t="str">
            <v>DIAGNORAD ANTOFAGASTA</v>
          </cell>
        </row>
        <row r="6720">
          <cell r="Z6720" t="str">
            <v>DENTAL</v>
          </cell>
          <cell r="AA6720" t="str">
            <v>UNIVERSIDAD DE VALPARAISO</v>
          </cell>
        </row>
        <row r="6721">
          <cell r="Z6721" t="str">
            <v>DENTAL</v>
          </cell>
          <cell r="AA6721" t="str">
            <v>UNIVERSIDAD DE VALPARAISO</v>
          </cell>
        </row>
        <row r="6722">
          <cell r="Z6722" t="str">
            <v>DENTAL</v>
          </cell>
          <cell r="AA6722" t="str">
            <v>UNIVERSIDAD DE VALPARAISO</v>
          </cell>
        </row>
        <row r="6723">
          <cell r="Z6723" t="str">
            <v>DENTAL</v>
          </cell>
          <cell r="AA6723" t="str">
            <v>UNIVERSIDAD DE VALPARAISO</v>
          </cell>
        </row>
        <row r="6724">
          <cell r="Z6724" t="str">
            <v>DENTAL</v>
          </cell>
          <cell r="AA6724" t="str">
            <v>UNIVERSIDAD DE VALPARAISO</v>
          </cell>
        </row>
        <row r="6725">
          <cell r="Z6725" t="str">
            <v>DENTAL</v>
          </cell>
          <cell r="AA6725" t="str">
            <v>UNIVERSIDAD DE VALPARAISO</v>
          </cell>
        </row>
        <row r="6726">
          <cell r="Z6726" t="str">
            <v>DENTAL</v>
          </cell>
          <cell r="AA6726" t="str">
            <v>UNIVERSIDAD DE VALPARAISO</v>
          </cell>
        </row>
        <row r="6727">
          <cell r="Z6727" t="str">
            <v>DENTAL</v>
          </cell>
          <cell r="AA6727" t="str">
            <v>UNIVERSIDAD DE VALPARAISO</v>
          </cell>
        </row>
        <row r="6728">
          <cell r="Z6728" t="str">
            <v>DENTAL</v>
          </cell>
          <cell r="AA6728" t="str">
            <v>UNIVERSIDAD DE VALPARAISO</v>
          </cell>
        </row>
        <row r="6729">
          <cell r="Z6729" t="str">
            <v>DENTAL</v>
          </cell>
          <cell r="AA6729" t="str">
            <v>UNIVERSIDAD DE VALPARAISO</v>
          </cell>
        </row>
        <row r="6730">
          <cell r="Z6730" t="str">
            <v>DENTAL</v>
          </cell>
          <cell r="AA6730" t="str">
            <v>UNIVERSIDAD DE VALPARAISO</v>
          </cell>
        </row>
        <row r="6731">
          <cell r="Z6731" t="str">
            <v>DENTAL</v>
          </cell>
          <cell r="AA6731" t="str">
            <v>UNIVERSIDAD DE VALPARAISO</v>
          </cell>
        </row>
        <row r="6732">
          <cell r="Z6732" t="str">
            <v>DENTAL</v>
          </cell>
          <cell r="AA6732" t="str">
            <v>UNIVERSIDAD DE VALPARAISO</v>
          </cell>
        </row>
        <row r="6733">
          <cell r="Z6733" t="str">
            <v>DENTAL</v>
          </cell>
          <cell r="AA6733" t="str">
            <v>UNIVERSIDAD DE VALPARAISO</v>
          </cell>
        </row>
        <row r="6734">
          <cell r="Z6734" t="str">
            <v>DENTAL</v>
          </cell>
          <cell r="AA6734" t="str">
            <v>UNIVERSIDAD DE VALPARAISO</v>
          </cell>
        </row>
        <row r="6735">
          <cell r="Z6735" t="str">
            <v>DENTAL</v>
          </cell>
          <cell r="AA6735" t="str">
            <v>UNIVERSIDAD DE VALPARAISO</v>
          </cell>
        </row>
        <row r="6736">
          <cell r="Z6736" t="str">
            <v>DENTAL</v>
          </cell>
          <cell r="AA6736" t="str">
            <v>UNIVERSIDAD DE VALPARAISO</v>
          </cell>
        </row>
        <row r="6737">
          <cell r="Z6737" t="str">
            <v>DENTAL</v>
          </cell>
          <cell r="AA6737" t="str">
            <v>UNIVERSIDAD DE VALPARAISO</v>
          </cell>
        </row>
        <row r="6738">
          <cell r="Z6738" t="str">
            <v>DENTAL</v>
          </cell>
          <cell r="AA6738" t="str">
            <v>UNIVERSIDAD DE VALPARAISO</v>
          </cell>
        </row>
        <row r="6739">
          <cell r="Z6739" t="str">
            <v>DENTAL</v>
          </cell>
          <cell r="AA6739" t="str">
            <v>UNIVERSIDAD DE VALPARAISO</v>
          </cell>
        </row>
        <row r="6740">
          <cell r="Z6740" t="str">
            <v>DENTAL</v>
          </cell>
          <cell r="AA6740" t="str">
            <v>UNIVERSIDAD DE VALPARAISO</v>
          </cell>
        </row>
        <row r="6741">
          <cell r="Z6741" t="str">
            <v>DENTAL</v>
          </cell>
          <cell r="AA6741" t="str">
            <v>UNIVERSIDAD DE VALPARAISO</v>
          </cell>
        </row>
        <row r="6742">
          <cell r="Z6742" t="str">
            <v>DENTAL</v>
          </cell>
          <cell r="AA6742" t="str">
            <v>UNIVERSIDAD DE VALPARAISO</v>
          </cell>
        </row>
        <row r="6743">
          <cell r="Z6743" t="str">
            <v>DENTAL</v>
          </cell>
          <cell r="AA6743" t="str">
            <v>UNIVERSIDAD DE VALPARAISO</v>
          </cell>
        </row>
        <row r="6744">
          <cell r="Z6744" t="str">
            <v>DENTAL</v>
          </cell>
          <cell r="AA6744" t="str">
            <v>UNIVERSIDAD DE VALPARAISO</v>
          </cell>
        </row>
        <row r="6745">
          <cell r="Z6745" t="str">
            <v>DENTAL</v>
          </cell>
          <cell r="AA6745" t="str">
            <v>UNIVERSIDAD DE VALPARAISO</v>
          </cell>
        </row>
        <row r="6746">
          <cell r="Z6746" t="str">
            <v>DENTAL</v>
          </cell>
          <cell r="AA6746" t="str">
            <v>UNIVERSIDAD DE VALPARAISO</v>
          </cell>
        </row>
        <row r="6747">
          <cell r="Z6747" t="str">
            <v>DENTAL</v>
          </cell>
          <cell r="AA6747" t="str">
            <v>CESFAM LLOLLEO</v>
          </cell>
        </row>
        <row r="6748">
          <cell r="Z6748" t="str">
            <v>DENTAL</v>
          </cell>
        </row>
        <row r="6749">
          <cell r="Z6749" t="str">
            <v>DENTAL</v>
          </cell>
        </row>
        <row r="6750">
          <cell r="Z6750" t="str">
            <v>DENTAL</v>
          </cell>
          <cell r="AA6750" t="str">
            <v>UNIVERSIDAD DE LA FRONTERA</v>
          </cell>
        </row>
        <row r="6751">
          <cell r="Z6751" t="str">
            <v>DENTAL</v>
          </cell>
          <cell r="AA6751" t="str">
            <v>UNIVERSIDAD DE LA FRONTERA</v>
          </cell>
        </row>
        <row r="6752">
          <cell r="Z6752" t="str">
            <v>DENTAL</v>
          </cell>
          <cell r="AA6752" t="str">
            <v>UNIVERSIDAD DE LA FRONTERA</v>
          </cell>
        </row>
        <row r="6753">
          <cell r="Z6753" t="str">
            <v>DENTAL</v>
          </cell>
          <cell r="AA6753" t="str">
            <v>UNIVERSIDAD DE LA FRONTERA</v>
          </cell>
        </row>
        <row r="6754">
          <cell r="Z6754" t="str">
            <v>DENTAL</v>
          </cell>
          <cell r="AA6754" t="str">
            <v>UNIVERSIDAD DE LA FRONTERA</v>
          </cell>
        </row>
        <row r="6755">
          <cell r="Z6755" t="str">
            <v>DENTAL</v>
          </cell>
          <cell r="AA6755" t="str">
            <v>UNIVERSIDAD DE LA FRONTERA</v>
          </cell>
        </row>
        <row r="6756">
          <cell r="Z6756" t="str">
            <v>DENTAL</v>
          </cell>
          <cell r="AA6756" t="str">
            <v>UNIVERSIDAD DE LA FRONTERA</v>
          </cell>
        </row>
        <row r="6757">
          <cell r="Z6757" t="str">
            <v>DENTAL</v>
          </cell>
          <cell r="AA6757" t="str">
            <v>HOSPITAL DE TRAIGUEN</v>
          </cell>
        </row>
        <row r="6758">
          <cell r="Z6758" t="str">
            <v>DENTAL</v>
          </cell>
          <cell r="AA6758" t="str">
            <v>HOSPITAL DE TRAIGUEN</v>
          </cell>
        </row>
        <row r="6759">
          <cell r="Z6759" t="str">
            <v>DENTAL</v>
          </cell>
        </row>
        <row r="6760">
          <cell r="Z6760" t="str">
            <v>DENTAL</v>
          </cell>
          <cell r="AA6760" t="str">
            <v>CLINICA MUC SPA</v>
          </cell>
        </row>
        <row r="6761">
          <cell r="Z6761" t="str">
            <v>DENTAL</v>
          </cell>
          <cell r="AA6761" t="str">
            <v>CLINICA MUC SPA</v>
          </cell>
        </row>
        <row r="6762">
          <cell r="Z6762" t="str">
            <v>DENTAL</v>
          </cell>
          <cell r="AA6762" t="str">
            <v>COMPLEJO ASISTENCIAL DR.SOTERO DEL RIO</v>
          </cell>
        </row>
        <row r="6763">
          <cell r="Z6763" t="str">
            <v>DENTAL</v>
          </cell>
          <cell r="AA6763" t="str">
            <v>COMPLEJO ASISTENCIAL DR.SOTERO DEL RIO</v>
          </cell>
        </row>
        <row r="6764">
          <cell r="Z6764" t="str">
            <v>DENTAL</v>
          </cell>
          <cell r="AA6764" t="str">
            <v>COMPLEJO ASISTENCIAL DR.SOTERO DEL RIO</v>
          </cell>
        </row>
        <row r="6765">
          <cell r="Z6765" t="str">
            <v>DENTAL</v>
          </cell>
          <cell r="AA6765" t="str">
            <v>COMPLEJO ASISTENCIAL DR.SOTERO DEL RIO</v>
          </cell>
        </row>
        <row r="6766">
          <cell r="Z6766" t="str">
            <v>DENTAL</v>
          </cell>
          <cell r="AA6766" t="str">
            <v>COMPLEJO ASISTENCIAL DR.SOTERO DEL RIO</v>
          </cell>
        </row>
        <row r="6767">
          <cell r="Z6767" t="str">
            <v>DENTAL</v>
          </cell>
          <cell r="AA6767" t="str">
            <v>COMPLEJO ASISTENCIAL DR.SOTERO DEL RIO</v>
          </cell>
        </row>
        <row r="6768">
          <cell r="Z6768" t="str">
            <v>DENTAL</v>
          </cell>
        </row>
        <row r="6769">
          <cell r="Z6769" t="str">
            <v>DENTAL</v>
          </cell>
        </row>
        <row r="6770">
          <cell r="Z6770" t="str">
            <v>DENTAL</v>
          </cell>
          <cell r="AA6770" t="str">
            <v>MUNICIPALIDAD BARNECHEA</v>
          </cell>
        </row>
        <row r="6771">
          <cell r="Z6771" t="str">
            <v>DENTAL</v>
          </cell>
          <cell r="AA6771" t="str">
            <v>INTEGRAMEDICA TALCA</v>
          </cell>
        </row>
        <row r="6772">
          <cell r="Z6772" t="str">
            <v>DENTAL</v>
          </cell>
          <cell r="AA6772" t="str">
            <v>HOSPITAL DE PURRANQUE</v>
          </cell>
        </row>
        <row r="6773">
          <cell r="Z6773" t="str">
            <v>MOBILIARIO CLINICO</v>
          </cell>
          <cell r="AA6773" t="str">
            <v>HOSPITAL DR. GUSTAVO FRICKE</v>
          </cell>
        </row>
        <row r="6774">
          <cell r="Z6774" t="str">
            <v>MOBILIARIO CLINICO</v>
          </cell>
          <cell r="AA6774" t="str">
            <v>HOSPITAL DR. GUSTAVO FRICKE</v>
          </cell>
        </row>
        <row r="6775">
          <cell r="Z6775" t="str">
            <v>MOBILIARIO CLINICO</v>
          </cell>
          <cell r="AA6775" t="str">
            <v>HOSPITAL DR. GUSTAVO FRICKE</v>
          </cell>
        </row>
        <row r="6776">
          <cell r="Z6776" t="str">
            <v>MOBILIARIO CLINICO</v>
          </cell>
          <cell r="AA6776" t="str">
            <v>HOSPITAL DR. GUSTAVO FRICKE</v>
          </cell>
        </row>
        <row r="6777">
          <cell r="Z6777" t="str">
            <v>MOBILIARIO CLINICO</v>
          </cell>
          <cell r="AA6777" t="str">
            <v>HOSPITAL DR. GUSTAVO FRICKE</v>
          </cell>
        </row>
        <row r="6778">
          <cell r="Z6778" t="str">
            <v>MOBILIARIO CLINICO</v>
          </cell>
          <cell r="AA6778" t="str">
            <v>HOSPITAL DR. GUSTAVO FRICKE</v>
          </cell>
        </row>
        <row r="6779">
          <cell r="Z6779" t="str">
            <v>MOBILIARIO CLINICO</v>
          </cell>
          <cell r="AA6779" t="str">
            <v>HOSPITAL DR. GUSTAVO FRICKE</v>
          </cell>
        </row>
        <row r="6780">
          <cell r="Z6780" t="str">
            <v>MOBILIARIO CLINICO</v>
          </cell>
          <cell r="AA6780" t="str">
            <v>HOSPITAL DR. GUSTAVO FRICKE</v>
          </cell>
        </row>
        <row r="6781">
          <cell r="Z6781" t="str">
            <v>MOBILIARIO CLINICO</v>
          </cell>
          <cell r="AA6781" t="str">
            <v>HOSPITAL DR. GUSTAVO FRICKE</v>
          </cell>
        </row>
        <row r="6782">
          <cell r="Z6782" t="str">
            <v>MOBILIARIO CLINICO</v>
          </cell>
          <cell r="AA6782" t="str">
            <v>HOSPITAL DR. GUSTAVO FRICKE</v>
          </cell>
        </row>
        <row r="6783">
          <cell r="Z6783" t="str">
            <v>MOBILIARIO CLINICO</v>
          </cell>
          <cell r="AA6783" t="str">
            <v>HOSPITAL DR. GUSTAVO FRICKE</v>
          </cell>
        </row>
        <row r="6784">
          <cell r="Z6784" t="str">
            <v>MOBILIARIO CLINICO</v>
          </cell>
          <cell r="AA6784" t="str">
            <v>HOSPITAL DR. GUSTAVO FRICKE</v>
          </cell>
        </row>
        <row r="6785">
          <cell r="Z6785" t="str">
            <v>MOBILIARIO CLINICO</v>
          </cell>
          <cell r="AA6785" t="str">
            <v>HOSPITAL DR. GUSTAVO FRICKE</v>
          </cell>
        </row>
        <row r="6786">
          <cell r="Z6786" t="str">
            <v>MOBILIARIO CLINICO</v>
          </cell>
          <cell r="AA6786" t="str">
            <v>HOSPITAL DR. GUSTAVO FRICKE</v>
          </cell>
        </row>
        <row r="6787">
          <cell r="Z6787" t="str">
            <v>MOBILIARIO CLINICO</v>
          </cell>
          <cell r="AA6787" t="str">
            <v>HOSPITAL DR. GUSTAVO FRICKE</v>
          </cell>
        </row>
        <row r="6788">
          <cell r="Z6788" t="str">
            <v>MOBILIARIO CLINICO</v>
          </cell>
          <cell r="AA6788" t="str">
            <v>HOSPITAL DR. GUSTAVO FRICKE</v>
          </cell>
        </row>
        <row r="6789">
          <cell r="Z6789" t="str">
            <v>MOBILIARIO CLINICO</v>
          </cell>
          <cell r="AA6789" t="str">
            <v>HOSPITAL DR. GUSTAVO FRICKE</v>
          </cell>
        </row>
        <row r="6790">
          <cell r="Z6790" t="str">
            <v>MOBILIARIO CLINICO</v>
          </cell>
          <cell r="AA6790" t="str">
            <v>HOSPITAL DR. GUSTAVO FRICKE</v>
          </cell>
        </row>
        <row r="6791">
          <cell r="Z6791" t="str">
            <v>MOBILIARIO CLINICO</v>
          </cell>
          <cell r="AA6791" t="str">
            <v>HOSPITAL DR. GUSTAVO FRICKE</v>
          </cell>
        </row>
        <row r="6792">
          <cell r="Z6792" t="str">
            <v>MOBILIARIO CLINICO</v>
          </cell>
          <cell r="AA6792" t="str">
            <v>HOSPITAL DR. GUSTAVO FRICKE</v>
          </cell>
        </row>
        <row r="6793">
          <cell r="Z6793" t="str">
            <v>MOBILIARIO CLINICO</v>
          </cell>
          <cell r="AA6793" t="str">
            <v>HOSPITAL DR. GUSTAVO FRICKE</v>
          </cell>
        </row>
        <row r="6794">
          <cell r="Z6794" t="str">
            <v>MOBILIARIO CLINICO</v>
          </cell>
          <cell r="AA6794" t="str">
            <v>HOSPITAL DR. GUSTAVO FRICKE</v>
          </cell>
        </row>
        <row r="6795">
          <cell r="Z6795" t="str">
            <v>MOBILIARIO CLINICO</v>
          </cell>
          <cell r="AA6795" t="str">
            <v>HOSPITAL DR. GUSTAVO FRICKE</v>
          </cell>
        </row>
        <row r="6796">
          <cell r="Z6796" t="str">
            <v>MOBILIARIO CLINICO</v>
          </cell>
          <cell r="AA6796" t="str">
            <v>HOSPITAL DR. GUSTAVO FRICKE</v>
          </cell>
        </row>
        <row r="6797">
          <cell r="Z6797" t="str">
            <v>MOBILIARIO CLINICO</v>
          </cell>
          <cell r="AA6797" t="str">
            <v>HOSPITAL DR. GUSTAVO FRICKE</v>
          </cell>
        </row>
        <row r="6798">
          <cell r="Z6798" t="str">
            <v>MOBILIARIO CLINICO</v>
          </cell>
          <cell r="AA6798" t="str">
            <v>HOSPITAL DR. GUSTAVO FRICKE</v>
          </cell>
        </row>
        <row r="6799">
          <cell r="Z6799" t="str">
            <v>MOBILIARIO CLINICO</v>
          </cell>
          <cell r="AA6799" t="str">
            <v>HOSPITAL DR. GUSTAVO FRICKE</v>
          </cell>
        </row>
        <row r="6800">
          <cell r="Z6800" t="str">
            <v>MOBILIARIO CLINICO</v>
          </cell>
          <cell r="AA6800" t="str">
            <v>HOSPITAL DR. GUSTAVO FRICKE</v>
          </cell>
        </row>
        <row r="6801">
          <cell r="Z6801" t="str">
            <v>MOBILIARIO CLINICO</v>
          </cell>
          <cell r="AA6801" t="str">
            <v>HOSPITAL DR. GUSTAVO FRICKE</v>
          </cell>
        </row>
        <row r="6802">
          <cell r="Z6802" t="str">
            <v>MOBILIARIO CLINICO</v>
          </cell>
          <cell r="AA6802" t="str">
            <v>HOSPITAL DR. GUSTAVO FRICKE</v>
          </cell>
        </row>
        <row r="6803">
          <cell r="Z6803" t="str">
            <v>MOBILIARIO CLINICO</v>
          </cell>
          <cell r="AA6803" t="str">
            <v>HOSPITAL DR. GUSTAVO FRICKE</v>
          </cell>
        </row>
        <row r="6804">
          <cell r="Z6804" t="str">
            <v>MOBILIARIO CLINICO</v>
          </cell>
          <cell r="AA6804" t="str">
            <v>HOSPITAL DR. GUSTAVO FRICKE</v>
          </cell>
        </row>
        <row r="6805">
          <cell r="Z6805" t="str">
            <v>MOBILIARIO CLINICO</v>
          </cell>
          <cell r="AA6805" t="str">
            <v>HOSPITAL DR. GUSTAVO FRICKE</v>
          </cell>
        </row>
        <row r="6806">
          <cell r="Z6806" t="str">
            <v>MOBILIARIO CLINICO</v>
          </cell>
          <cell r="AA6806" t="str">
            <v>HOSPITAL DR. GUSTAVO FRICKE</v>
          </cell>
        </row>
        <row r="6807">
          <cell r="Z6807" t="str">
            <v>MOBILIARIO CLINICO</v>
          </cell>
          <cell r="AA6807" t="str">
            <v>HOSPITAL DR. GUSTAVO FRICKE</v>
          </cell>
        </row>
        <row r="6808">
          <cell r="Z6808" t="str">
            <v>MOBILIARIO CLINICO</v>
          </cell>
          <cell r="AA6808" t="str">
            <v>HOSPITAL DR. GUSTAVO FRICKE</v>
          </cell>
        </row>
        <row r="6809">
          <cell r="Z6809" t="str">
            <v>MOBILIARIO CLINICO</v>
          </cell>
          <cell r="AA6809" t="str">
            <v>HOSPITAL DR. GUSTAVO FRICKE</v>
          </cell>
        </row>
        <row r="6810">
          <cell r="Z6810" t="str">
            <v>MOBILIARIO CLINICO</v>
          </cell>
          <cell r="AA6810" t="str">
            <v>HOSPITAL DR. GUSTAVO FRICKE</v>
          </cell>
        </row>
        <row r="6811">
          <cell r="Z6811" t="str">
            <v>MOBILIARIO CLINICO</v>
          </cell>
          <cell r="AA6811" t="str">
            <v>HOSPITAL DR. GUSTAVO FRICKE</v>
          </cell>
        </row>
        <row r="6812">
          <cell r="Z6812" t="str">
            <v>MOBILIARIO CLINICO</v>
          </cell>
          <cell r="AA6812" t="str">
            <v>HOSPITAL DR. GUSTAVO FRICKE</v>
          </cell>
        </row>
        <row r="6813">
          <cell r="Z6813" t="str">
            <v>MOBILIARIO CLINICO</v>
          </cell>
          <cell r="AA6813" t="str">
            <v>HOSPITAL DR. GUSTAVO FRICKE</v>
          </cell>
        </row>
        <row r="6814">
          <cell r="Z6814" t="str">
            <v>MOBILIARIO CLINICO</v>
          </cell>
          <cell r="AA6814" t="str">
            <v>HOSPITAL DR. GUSTAVO FRICKE</v>
          </cell>
        </row>
        <row r="6815">
          <cell r="Z6815" t="str">
            <v>MOBILIARIO CLINICO</v>
          </cell>
          <cell r="AA6815" t="str">
            <v>HOSPITAL DR. GUSTAVO FRICKE</v>
          </cell>
        </row>
        <row r="6816">
          <cell r="Z6816" t="str">
            <v>MOBILIARIO CLINICO</v>
          </cell>
          <cell r="AA6816" t="str">
            <v>HOSPITAL DR. GUSTAVO FRICKE</v>
          </cell>
        </row>
        <row r="6817">
          <cell r="Z6817" t="str">
            <v>MOBILIARIO CLINICO</v>
          </cell>
          <cell r="AA6817" t="str">
            <v>HOSPITAL DR. GUSTAVO FRICKE</v>
          </cell>
        </row>
        <row r="6818">
          <cell r="Z6818" t="str">
            <v>MOBILIARIO CLINICO</v>
          </cell>
          <cell r="AA6818" t="str">
            <v>HOSPITAL DR. GUSTAVO FRICKE</v>
          </cell>
        </row>
        <row r="6819">
          <cell r="Z6819" t="str">
            <v>MOBILIARIO CLINICO</v>
          </cell>
          <cell r="AA6819" t="str">
            <v>HOSPITAL DR. GUSTAVO FRICKE</v>
          </cell>
        </row>
        <row r="6820">
          <cell r="Z6820" t="str">
            <v>MOBILIARIO CLINICO</v>
          </cell>
          <cell r="AA6820" t="str">
            <v>HOSPITAL DR. GUSTAVO FRICKE</v>
          </cell>
        </row>
        <row r="6821">
          <cell r="Z6821" t="str">
            <v>MOBILIARIO CLINICO</v>
          </cell>
          <cell r="AA6821" t="str">
            <v>HOSPITAL DR. GUSTAVO FRICKE</v>
          </cell>
        </row>
        <row r="6822">
          <cell r="Z6822" t="str">
            <v>MOBILIARIO CLINICO</v>
          </cell>
          <cell r="AA6822" t="str">
            <v>HOSPITAL DR. GUSTAVO FRICKE</v>
          </cell>
        </row>
        <row r="6823">
          <cell r="Z6823" t="str">
            <v>MOBILIARIO CLINICO</v>
          </cell>
          <cell r="AA6823" t="str">
            <v>HOSPITAL DR. GUSTAVO FRICKE</v>
          </cell>
        </row>
        <row r="6824">
          <cell r="Z6824" t="str">
            <v>MOBILIARIO CLINICO</v>
          </cell>
          <cell r="AA6824" t="str">
            <v>HOSPITAL DR. GUSTAVO FRICKE</v>
          </cell>
        </row>
        <row r="6825">
          <cell r="Z6825" t="str">
            <v>MOBILIARIO CLINICO</v>
          </cell>
          <cell r="AA6825" t="str">
            <v>HOSPITAL DR. GUSTAVO FRICKE</v>
          </cell>
        </row>
        <row r="6826">
          <cell r="Z6826" t="str">
            <v>MOBILIARIO CLINICO</v>
          </cell>
          <cell r="AA6826" t="str">
            <v>HOSPITAL DR. GUSTAVO FRICKE</v>
          </cell>
        </row>
        <row r="6827">
          <cell r="Z6827" t="str">
            <v>MOBILIARIO CLINICO</v>
          </cell>
          <cell r="AA6827" t="str">
            <v>HOSPITAL DR. GUSTAVO FRICKE</v>
          </cell>
        </row>
        <row r="6828">
          <cell r="Z6828" t="str">
            <v>MOBILIARIO CLINICO</v>
          </cell>
          <cell r="AA6828" t="str">
            <v>HOSPITAL DR. GUSTAVO FRICKE</v>
          </cell>
        </row>
        <row r="6829">
          <cell r="Z6829" t="str">
            <v>MOBILIARIO CLINICO</v>
          </cell>
          <cell r="AA6829" t="str">
            <v>HOSPITAL DR. GUSTAVO FRICKE</v>
          </cell>
        </row>
        <row r="6830">
          <cell r="Z6830" t="str">
            <v>MOBILIARIO CLINICO</v>
          </cell>
          <cell r="AA6830" t="str">
            <v>HOSPITAL DR. GUSTAVO FRICKE</v>
          </cell>
        </row>
        <row r="6831">
          <cell r="Z6831" t="str">
            <v>MOBILIARIO CLINICO</v>
          </cell>
          <cell r="AA6831" t="str">
            <v>HOSPITAL DR. GUSTAVO FRICKE</v>
          </cell>
        </row>
        <row r="6832">
          <cell r="Z6832" t="str">
            <v>MOBILIARIO CLINICO</v>
          </cell>
          <cell r="AA6832" t="str">
            <v>HOSPITAL DR. GUSTAVO FRICKE</v>
          </cell>
        </row>
        <row r="6833">
          <cell r="Z6833" t="str">
            <v>MOBILIARIO CLINICO</v>
          </cell>
          <cell r="AA6833" t="str">
            <v>HOSPITAL DR. GUSTAVO FRICKE</v>
          </cell>
        </row>
        <row r="6834">
          <cell r="Z6834" t="str">
            <v>MOBILIARIO CLINICO</v>
          </cell>
          <cell r="AA6834" t="str">
            <v>HOSPITAL DR. GUSTAVO FRICKE</v>
          </cell>
        </row>
        <row r="6835">
          <cell r="Z6835" t="str">
            <v>MOBILIARIO CLINICO</v>
          </cell>
          <cell r="AA6835" t="str">
            <v>HOSPITAL DR. GUSTAVO FRICKE</v>
          </cell>
        </row>
        <row r="6836">
          <cell r="Z6836" t="str">
            <v>MOBILIARIO CLINICO</v>
          </cell>
          <cell r="AA6836" t="str">
            <v>HOSPITAL DR. GUSTAVO FRICKE</v>
          </cell>
        </row>
        <row r="6837">
          <cell r="Z6837" t="str">
            <v>MOBILIARIO CLINICO</v>
          </cell>
          <cell r="AA6837" t="str">
            <v>HOSPITAL DR. GUSTAVO FRICKE</v>
          </cell>
        </row>
        <row r="6838">
          <cell r="Z6838" t="str">
            <v>MOBILIARIO CLINICO</v>
          </cell>
          <cell r="AA6838" t="str">
            <v>HOSPITAL DR. GUSTAVO FRICKE</v>
          </cell>
        </row>
        <row r="6839">
          <cell r="Z6839" t="str">
            <v>MOBILIARIO CLINICO</v>
          </cell>
          <cell r="AA6839" t="str">
            <v>HOSPITAL DR. GUSTAVO FRICKE</v>
          </cell>
        </row>
        <row r="6840">
          <cell r="Z6840" t="str">
            <v>MOBILIARIO CLINICO</v>
          </cell>
          <cell r="AA6840" t="str">
            <v>HOSPITAL DR. GUSTAVO FRICKE</v>
          </cell>
        </row>
        <row r="6841">
          <cell r="Z6841" t="str">
            <v>MOBILIARIO CLINICO</v>
          </cell>
          <cell r="AA6841" t="str">
            <v>HOSPITAL DR. GUSTAVO FRICKE</v>
          </cell>
        </row>
        <row r="6842">
          <cell r="Z6842" t="str">
            <v>MOBILIARIO CLINICO</v>
          </cell>
          <cell r="AA6842" t="str">
            <v>HOSPITAL DR. GUSTAVO FRICKE</v>
          </cell>
        </row>
        <row r="6843">
          <cell r="Z6843" t="str">
            <v>MOBILIARIO CLINICO</v>
          </cell>
          <cell r="AA6843" t="str">
            <v>HOSPITAL DR. GUSTAVO FRICKE</v>
          </cell>
        </row>
        <row r="6844">
          <cell r="Z6844" t="str">
            <v>MOBILIARIO CLINICO</v>
          </cell>
          <cell r="AA6844" t="str">
            <v>HOSPITAL DR. GUSTAVO FRICKE</v>
          </cell>
        </row>
        <row r="6845">
          <cell r="Z6845" t="str">
            <v>MOBILIARIO CLINICO</v>
          </cell>
          <cell r="AA6845" t="str">
            <v>HOSPITAL DR. GUSTAVO FRICKE</v>
          </cell>
        </row>
        <row r="6846">
          <cell r="Z6846" t="str">
            <v>MOBILIARIO CLINICO</v>
          </cell>
          <cell r="AA6846" t="str">
            <v>HOSPITAL DR. GUSTAVO FRICKE</v>
          </cell>
        </row>
        <row r="6847">
          <cell r="Z6847" t="str">
            <v>MOBILIARIO CLINICO</v>
          </cell>
          <cell r="AA6847" t="str">
            <v>HOSPITAL DR. GUSTAVO FRICKE</v>
          </cell>
        </row>
        <row r="6848">
          <cell r="Z6848" t="str">
            <v>MOBILIARIO CLINICO</v>
          </cell>
          <cell r="AA6848" t="str">
            <v>HOSPITAL DR. GUSTAVO FRICKE</v>
          </cell>
        </row>
        <row r="6849">
          <cell r="Z6849" t="str">
            <v>MOBILIARIO CLINICO</v>
          </cell>
          <cell r="AA6849" t="str">
            <v>HOSPITAL DR. GUSTAVO FRICKE</v>
          </cell>
        </row>
        <row r="6850">
          <cell r="Z6850" t="str">
            <v>MOBILIARIO CLINICO</v>
          </cell>
          <cell r="AA6850" t="str">
            <v>HOSPITAL DR. GUSTAVO FRICKE</v>
          </cell>
        </row>
        <row r="6851">
          <cell r="Z6851" t="str">
            <v>MOBILIARIO CLINICO</v>
          </cell>
          <cell r="AA6851" t="str">
            <v>HOSPITAL DR. GUSTAVO FRICKE</v>
          </cell>
        </row>
        <row r="6852">
          <cell r="Z6852" t="str">
            <v>MOBILIARIO CLINICO</v>
          </cell>
          <cell r="AA6852" t="str">
            <v>HOSPITAL DR. GUSTAVO FRICKE</v>
          </cell>
        </row>
        <row r="6853">
          <cell r="Z6853" t="str">
            <v>MOBILIARIO CLINICO</v>
          </cell>
          <cell r="AA6853" t="str">
            <v>HOSPITAL DR. GUSTAVO FRICKE</v>
          </cell>
        </row>
        <row r="6854">
          <cell r="Z6854" t="str">
            <v>MOBILIARIO CLINICO</v>
          </cell>
          <cell r="AA6854" t="str">
            <v>HOSPITAL DR. GUSTAVO FRICKE</v>
          </cell>
        </row>
        <row r="6855">
          <cell r="Z6855" t="str">
            <v>MOBILIARIO CLINICO</v>
          </cell>
          <cell r="AA6855" t="str">
            <v>HOSPITAL DR. GUSTAVO FRICKE</v>
          </cell>
        </row>
        <row r="6856">
          <cell r="Z6856" t="str">
            <v>MOBILIARIO CLINICO</v>
          </cell>
          <cell r="AA6856" t="str">
            <v>HOSPITAL DR. GUSTAVO FRICKE</v>
          </cell>
        </row>
        <row r="6857">
          <cell r="Z6857" t="str">
            <v>MOBILIARIO CLINICO</v>
          </cell>
          <cell r="AA6857" t="str">
            <v>HOSPITAL DR. GUSTAVO FRICKE</v>
          </cell>
        </row>
        <row r="6858">
          <cell r="Z6858" t="str">
            <v>MOBILIARIO CLINICO</v>
          </cell>
          <cell r="AA6858" t="str">
            <v>HOSPITAL DR. GUSTAVO FRICKE</v>
          </cell>
        </row>
        <row r="6859">
          <cell r="Z6859" t="str">
            <v>MOBILIARIO CLINICO</v>
          </cell>
          <cell r="AA6859" t="str">
            <v>HOSPITAL DR. GUSTAVO FRICKE</v>
          </cell>
        </row>
        <row r="6860">
          <cell r="Z6860" t="str">
            <v>MOBILIARIO CLINICO</v>
          </cell>
          <cell r="AA6860" t="str">
            <v>HOSPITAL DR. GUSTAVO FRICKE</v>
          </cell>
        </row>
        <row r="6861">
          <cell r="Z6861" t="str">
            <v>MOBILIARIO CLINICO</v>
          </cell>
          <cell r="AA6861" t="str">
            <v>HOSPITAL DR. GUSTAVO FRICKE</v>
          </cell>
        </row>
        <row r="6862">
          <cell r="Z6862" t="str">
            <v>MOBILIARIO CLINICO</v>
          </cell>
          <cell r="AA6862" t="str">
            <v>HOSPITAL DR. GUSTAVO FRICKE</v>
          </cell>
        </row>
        <row r="6863">
          <cell r="Z6863" t="str">
            <v>MOBILIARIO CLINICO</v>
          </cell>
          <cell r="AA6863" t="str">
            <v>HOSPITAL DR. GUSTAVO FRICKE</v>
          </cell>
        </row>
        <row r="6864">
          <cell r="Z6864" t="str">
            <v>MOBILIARIO CLINICO</v>
          </cell>
          <cell r="AA6864" t="str">
            <v>HOSPITAL DR. GUSTAVO FRICKE</v>
          </cell>
        </row>
        <row r="6865">
          <cell r="Z6865" t="str">
            <v>MOBILIARIO CLINICO</v>
          </cell>
          <cell r="AA6865" t="str">
            <v>HOSPITAL DR. GUSTAVO FRICKE</v>
          </cell>
        </row>
        <row r="6866">
          <cell r="Z6866" t="str">
            <v>MOBILIARIO CLINICO</v>
          </cell>
          <cell r="AA6866" t="str">
            <v>HOSPITAL DR. GUSTAVO FRICKE</v>
          </cell>
        </row>
        <row r="6867">
          <cell r="Z6867" t="str">
            <v>MOBILIARIO CLINICO</v>
          </cell>
          <cell r="AA6867" t="str">
            <v>HOSPITAL DR. GUSTAVO FRICKE</v>
          </cell>
        </row>
        <row r="6868">
          <cell r="Z6868" t="str">
            <v>MOBILIARIO CLINICO</v>
          </cell>
          <cell r="AA6868" t="str">
            <v>HOSPITAL DR. GUSTAVO FRICKE</v>
          </cell>
        </row>
        <row r="6869">
          <cell r="Z6869" t="str">
            <v>MOBILIARIO CLINICO</v>
          </cell>
          <cell r="AA6869" t="str">
            <v>HOSPITAL DR. GUSTAVO FRICKE</v>
          </cell>
        </row>
        <row r="6870">
          <cell r="Z6870" t="str">
            <v>MOBILIARIO CLINICO</v>
          </cell>
          <cell r="AA6870" t="str">
            <v>HOSPITAL DR. GUSTAVO FRICKE</v>
          </cell>
        </row>
        <row r="6871">
          <cell r="Z6871" t="str">
            <v>MOBILIARIO CLINICO</v>
          </cell>
          <cell r="AA6871" t="str">
            <v>HOSPITAL DR. GUSTAVO FRICKE</v>
          </cell>
        </row>
        <row r="6872">
          <cell r="Z6872" t="str">
            <v>MOBILIARIO CLINICO</v>
          </cell>
          <cell r="AA6872" t="str">
            <v>HOSPITAL DR. GUSTAVO FRICKE</v>
          </cell>
        </row>
        <row r="6873">
          <cell r="Z6873" t="str">
            <v>MOBILIARIO CLINICO</v>
          </cell>
          <cell r="AA6873" t="str">
            <v>HOSPITAL DR. GUSTAVO FRICKE</v>
          </cell>
        </row>
        <row r="6874">
          <cell r="Z6874" t="str">
            <v>MOBILIARIO CLINICO</v>
          </cell>
          <cell r="AA6874" t="str">
            <v>HOSPITAL DR. GUSTAVO FRICKE</v>
          </cell>
        </row>
        <row r="6875">
          <cell r="Z6875" t="str">
            <v>MOBILIARIO CLINICO</v>
          </cell>
          <cell r="AA6875" t="str">
            <v>HOSPITAL DR. GUSTAVO FRICKE</v>
          </cell>
        </row>
        <row r="6876">
          <cell r="Z6876" t="str">
            <v>MOBILIARIO CLINICO</v>
          </cell>
          <cell r="AA6876" t="str">
            <v>HOSPITAL DR. GUSTAVO FRICKE</v>
          </cell>
        </row>
        <row r="6877">
          <cell r="Z6877" t="str">
            <v>MOBILIARIO CLINICO</v>
          </cell>
          <cell r="AA6877" t="str">
            <v>HOSPITAL DR. GUSTAVO FRICKE</v>
          </cell>
        </row>
        <row r="6878">
          <cell r="Z6878" t="str">
            <v>MOBILIARIO CLINICO</v>
          </cell>
          <cell r="AA6878" t="str">
            <v>HOSPITAL DR. GUSTAVO FRICKE</v>
          </cell>
        </row>
        <row r="6879">
          <cell r="Z6879" t="str">
            <v>MOBILIARIO CLINICO</v>
          </cell>
          <cell r="AA6879" t="str">
            <v>GEMCO GENERAL MACHINERY S.A.</v>
          </cell>
        </row>
        <row r="6880">
          <cell r="Z6880" t="str">
            <v>MOBILIARIO CLINICO</v>
          </cell>
        </row>
        <row r="6881">
          <cell r="Z6881" t="str">
            <v>MOBILIARIO CLINICO</v>
          </cell>
        </row>
        <row r="6882">
          <cell r="Z6882" t="str">
            <v>MOBILIARIO CLINICO</v>
          </cell>
        </row>
        <row r="6883">
          <cell r="Z6883" t="str">
            <v>MOBILIARIO CLINICO</v>
          </cell>
          <cell r="AA6883" t="str">
            <v>INSTITUTO NACIONAL DEL TORAX</v>
          </cell>
        </row>
        <row r="6884">
          <cell r="Z6884" t="str">
            <v>MOBILIARIO CLINICO</v>
          </cell>
          <cell r="AA6884" t="str">
            <v>ACHS</v>
          </cell>
        </row>
        <row r="6885">
          <cell r="Z6885" t="str">
            <v>MOBILIARIO CLINICO</v>
          </cell>
          <cell r="AA6885" t="str">
            <v>ACHS</v>
          </cell>
        </row>
        <row r="6886">
          <cell r="Z6886" t="str">
            <v>MOBILIARIO CLINICO</v>
          </cell>
          <cell r="AA6886" t="str">
            <v>ACHS</v>
          </cell>
        </row>
        <row r="6887">
          <cell r="Z6887" t="str">
            <v>MOBILIARIO CLINICO</v>
          </cell>
          <cell r="AA6887" t="str">
            <v>ACHS</v>
          </cell>
        </row>
        <row r="6888">
          <cell r="Z6888" t="str">
            <v>MOBILIARIO CLINICO</v>
          </cell>
        </row>
        <row r="6889">
          <cell r="Z6889" t="str">
            <v>MOBILIARIO CLINICO</v>
          </cell>
          <cell r="AA6889" t="str">
            <v>INSTITUTO DE SEGURIDAD DEL TRABAJO</v>
          </cell>
        </row>
        <row r="6890">
          <cell r="Z6890" t="str">
            <v>MOBILIARIO CLINICO</v>
          </cell>
          <cell r="AA6890" t="str">
            <v>INSTITUTO NACIONAL DEL TORAX</v>
          </cell>
        </row>
        <row r="6891">
          <cell r="Z6891" t="str">
            <v>MOBILIARIO CLINICO</v>
          </cell>
          <cell r="AA6891" t="str">
            <v>INSTITUTO NACIONAL DEL TORAX</v>
          </cell>
        </row>
        <row r="6892">
          <cell r="Z6892" t="str">
            <v>MOBILIARIO CLINICO</v>
          </cell>
          <cell r="AA6892" t="str">
            <v>INSTITUTO NACIONAL DEL TORAX</v>
          </cell>
        </row>
        <row r="6893">
          <cell r="Z6893" t="str">
            <v>MOBILIARIO CLINICO</v>
          </cell>
          <cell r="AA6893" t="str">
            <v>INSTITUTO NACIONAL DEL TORAX</v>
          </cell>
        </row>
        <row r="6894">
          <cell r="Z6894" t="str">
            <v>MOBILIARIO CLINICO</v>
          </cell>
          <cell r="AA6894" t="str">
            <v>INSTITUTO NACIONAL DEL TORAX</v>
          </cell>
        </row>
        <row r="6895">
          <cell r="Z6895" t="str">
            <v>MOBILIARIO CLINICO</v>
          </cell>
          <cell r="AA6895" t="str">
            <v>HOSPITAL DE ILLAPEL</v>
          </cell>
        </row>
        <row r="6896">
          <cell r="Z6896" t="str">
            <v>MOBILIARIO CLINICO</v>
          </cell>
        </row>
        <row r="6897">
          <cell r="Z6897" t="str">
            <v>ENDOSCOPÍA</v>
          </cell>
        </row>
        <row r="6898">
          <cell r="Z6898" t="str">
            <v>ENDOSCOPÍA</v>
          </cell>
          <cell r="AA6898" t="str">
            <v>INSTITUTO DE SEGURIDAD DEL TRABAJO</v>
          </cell>
        </row>
        <row r="6899">
          <cell r="Z6899" t="str">
            <v>ENDOSCOPÍA</v>
          </cell>
          <cell r="AA6899" t="str">
            <v>HOSPITAL EDUARDO PEREIRA</v>
          </cell>
        </row>
        <row r="6900">
          <cell r="Z6900" t="str">
            <v>DENTAL</v>
          </cell>
          <cell r="AA6900" t="str">
            <v>HOSPITAL VICTOR RIOS RUIZ</v>
          </cell>
        </row>
        <row r="6901">
          <cell r="Z6901" t="str">
            <v>DENTAL</v>
          </cell>
          <cell r="AA6901" t="str">
            <v>GEMCO GENERAL MACHINERY S.A.</v>
          </cell>
        </row>
        <row r="6902">
          <cell r="Z6902" t="str">
            <v>DENTAL</v>
          </cell>
          <cell r="AA6902" t="str">
            <v>CESFAM EL SAUCE COQUIMBO</v>
          </cell>
        </row>
        <row r="6903">
          <cell r="Z6903" t="str">
            <v>DENTAL</v>
          </cell>
        </row>
        <row r="6904">
          <cell r="Z6904" t="str">
            <v>DENTAL</v>
          </cell>
        </row>
        <row r="6905">
          <cell r="Z6905" t="str">
            <v>DENTAL</v>
          </cell>
        </row>
        <row r="6906">
          <cell r="Z6906" t="str">
            <v>DENTAL</v>
          </cell>
        </row>
        <row r="6907">
          <cell r="Z6907" t="str">
            <v>DENTAL</v>
          </cell>
        </row>
        <row r="6908">
          <cell r="Z6908" t="str">
            <v>DENTAL</v>
          </cell>
        </row>
        <row r="6909">
          <cell r="Z6909" t="str">
            <v>DENTAL</v>
          </cell>
        </row>
        <row r="6910">
          <cell r="Z6910" t="str">
            <v>DENTAL</v>
          </cell>
        </row>
        <row r="6911">
          <cell r="Z6911" t="str">
            <v>DENTAL</v>
          </cell>
        </row>
        <row r="6912">
          <cell r="Z6912" t="str">
            <v>DENTAL</v>
          </cell>
        </row>
        <row r="6913">
          <cell r="Z6913" t="str">
            <v>DENTAL</v>
          </cell>
        </row>
        <row r="6914">
          <cell r="Z6914" t="str">
            <v>DENTAL</v>
          </cell>
        </row>
        <row r="6915">
          <cell r="Z6915" t="str">
            <v>DENTAL</v>
          </cell>
        </row>
        <row r="6916">
          <cell r="Z6916" t="str">
            <v>DENTAL</v>
          </cell>
        </row>
        <row r="6917">
          <cell r="Z6917" t="str">
            <v>DENTAL</v>
          </cell>
        </row>
        <row r="6918">
          <cell r="Z6918" t="str">
            <v>DENTAL</v>
          </cell>
        </row>
        <row r="6919">
          <cell r="Z6919" t="str">
            <v>DENTAL</v>
          </cell>
        </row>
        <row r="6920">
          <cell r="Z6920" t="str">
            <v>DENTAL</v>
          </cell>
        </row>
        <row r="6921">
          <cell r="Z6921" t="str">
            <v>DENTAL</v>
          </cell>
        </row>
        <row r="6922">
          <cell r="Z6922" t="str">
            <v>DENTAL</v>
          </cell>
        </row>
        <row r="6923">
          <cell r="Z6923" t="str">
            <v>DENTAL</v>
          </cell>
        </row>
        <row r="6924">
          <cell r="Z6924" t="str">
            <v>DENTAL</v>
          </cell>
        </row>
        <row r="6925">
          <cell r="Z6925" t="str">
            <v>DENTAL</v>
          </cell>
        </row>
        <row r="6926">
          <cell r="Z6926" t="str">
            <v>DENTAL</v>
          </cell>
        </row>
        <row r="6927">
          <cell r="Z6927" t="str">
            <v>DENTAL</v>
          </cell>
        </row>
        <row r="6928">
          <cell r="Z6928" t="str">
            <v>DENTAL</v>
          </cell>
          <cell r="AA6928" t="str">
            <v>INTEGRAMEDICA TOBALABA</v>
          </cell>
        </row>
        <row r="6929">
          <cell r="Z6929" t="str">
            <v>DENTAL</v>
          </cell>
          <cell r="AA6929" t="str">
            <v>GEMCO GENERAL MACHINERY S.A.</v>
          </cell>
        </row>
        <row r="6930">
          <cell r="Z6930" t="str">
            <v>DENTAL</v>
          </cell>
          <cell r="AA6930" t="str">
            <v>INSUMOS Y SERVICIOS MEDICOS S.A.</v>
          </cell>
        </row>
        <row r="6931">
          <cell r="Z6931" t="str">
            <v>DENTAL</v>
          </cell>
          <cell r="AA6931" t="str">
            <v>HOSPITAL DE PUERTO MONTT</v>
          </cell>
        </row>
        <row r="6932">
          <cell r="Z6932" t="str">
            <v>DENTAL</v>
          </cell>
          <cell r="AA6932" t="str">
            <v>CLINICA SANATORIO ALEMAN</v>
          </cell>
        </row>
        <row r="6933">
          <cell r="Z6933" t="str">
            <v>DENTAL</v>
          </cell>
          <cell r="AA6933" t="str">
            <v>CLINICA SANATORIO ALEMAN</v>
          </cell>
        </row>
        <row r="6934">
          <cell r="Z6934" t="str">
            <v>DENTAL</v>
          </cell>
          <cell r="AA6934" t="str">
            <v>CLINICA MUC SPA</v>
          </cell>
        </row>
        <row r="6935">
          <cell r="Z6935" t="str">
            <v>DENTAL</v>
          </cell>
          <cell r="AA6935" t="str">
            <v>CLINICA MUC SPA</v>
          </cell>
        </row>
        <row r="6936">
          <cell r="Z6936" t="str">
            <v>DENTAL</v>
          </cell>
          <cell r="AA6936" t="str">
            <v>INSUMOS Y SERVICIOS MEDICOS S.A.</v>
          </cell>
        </row>
        <row r="6937">
          <cell r="Z6937" t="str">
            <v>DENTAL</v>
          </cell>
        </row>
        <row r="6938">
          <cell r="Z6938" t="str">
            <v>DENTAL</v>
          </cell>
        </row>
        <row r="6939">
          <cell r="Z6939" t="str">
            <v>DENTAL</v>
          </cell>
        </row>
        <row r="6940">
          <cell r="Z6940" t="str">
            <v>DENTAL</v>
          </cell>
        </row>
        <row r="6941">
          <cell r="Z6941" t="str">
            <v>DENTAL</v>
          </cell>
          <cell r="AA6941" t="str">
            <v>UC CHRISTUS SERVICIOS AMBULATORIOS SPA</v>
          </cell>
        </row>
        <row r="6942">
          <cell r="Z6942" t="str">
            <v>DENTAL</v>
          </cell>
          <cell r="AA6942" t="str">
            <v>CE LOS TILOS</v>
          </cell>
        </row>
        <row r="6943">
          <cell r="Z6943" t="str">
            <v>DENTAL</v>
          </cell>
          <cell r="AA6943" t="str">
            <v>INSUMOS Y SERVICIOS MEDICOS S.A.</v>
          </cell>
        </row>
        <row r="6944">
          <cell r="Z6944" t="str">
            <v>DENTAL</v>
          </cell>
          <cell r="AA6944" t="str">
            <v>HOSPITAL CLINICO DE LA FUERZA AEREA FACH GRAL DR RAUL YAZIGI JAUREGUI</v>
          </cell>
        </row>
        <row r="6945">
          <cell r="Z6945" t="str">
            <v>DENTAL</v>
          </cell>
        </row>
        <row r="6946">
          <cell r="Z6946" t="str">
            <v>DENTAL</v>
          </cell>
        </row>
        <row r="6947">
          <cell r="Z6947" t="str">
            <v>DENTAL</v>
          </cell>
          <cell r="AA6947" t="str">
            <v>INSUMOS Y SERVICIOS MEDICOS S.A.</v>
          </cell>
        </row>
        <row r="6948">
          <cell r="Z6948" t="str">
            <v>DENTAL</v>
          </cell>
          <cell r="AA6948" t="str">
            <v>CLINICA MOVIL CENTINELA</v>
          </cell>
        </row>
        <row r="6949">
          <cell r="Z6949" t="str">
            <v>DENTAL</v>
          </cell>
          <cell r="AA6949" t="str">
            <v>CLINICA MOVIL CENTINELA</v>
          </cell>
        </row>
        <row r="6950">
          <cell r="Z6950" t="str">
            <v>DENTAL</v>
          </cell>
          <cell r="AA6950" t="str">
            <v>CLINICA MOVIL CENTINELA</v>
          </cell>
        </row>
        <row r="6951">
          <cell r="Z6951" t="str">
            <v>DENTAL</v>
          </cell>
          <cell r="AA6951" t="str">
            <v>CLINICA MOVIL CENTINELA</v>
          </cell>
        </row>
        <row r="6952">
          <cell r="Z6952" t="str">
            <v>DENTAL</v>
          </cell>
          <cell r="AA6952" t="str">
            <v>CLINICA MOVIL CENTINELA</v>
          </cell>
        </row>
        <row r="6953">
          <cell r="Z6953" t="str">
            <v>DENTAL</v>
          </cell>
          <cell r="AA6953" t="str">
            <v>CLINICA MOVIL CENTINELA</v>
          </cell>
        </row>
        <row r="6954">
          <cell r="Z6954" t="str">
            <v>DENTAL</v>
          </cell>
          <cell r="AA6954" t="str">
            <v>CLINICA MOVIL CENTINELA</v>
          </cell>
        </row>
        <row r="6955">
          <cell r="Z6955" t="str">
            <v>DENTAL</v>
          </cell>
          <cell r="AA6955" t="str">
            <v>CLINICA MOVIL CENTINELA</v>
          </cell>
        </row>
        <row r="6956">
          <cell r="Z6956" t="str">
            <v>DENTAL</v>
          </cell>
          <cell r="AA6956" t="str">
            <v>CLINICA MOVIL CENTINELA</v>
          </cell>
        </row>
        <row r="6957">
          <cell r="Z6957" t="str">
            <v>DENTAL</v>
          </cell>
          <cell r="AA6957" t="str">
            <v>CLINICA MOVIL CENTINELA</v>
          </cell>
        </row>
        <row r="6958">
          <cell r="Z6958" t="str">
            <v>DENTAL</v>
          </cell>
          <cell r="AA6958" t="str">
            <v>CLINICA MOVIL CENTINELA</v>
          </cell>
        </row>
        <row r="6959">
          <cell r="Z6959" t="str">
            <v>DENTAL</v>
          </cell>
          <cell r="AA6959" t="str">
            <v>CLINICA MOVIL CENTINELA</v>
          </cell>
        </row>
        <row r="6960">
          <cell r="Z6960" t="str">
            <v>DENTAL</v>
          </cell>
          <cell r="AA6960" t="str">
            <v>CLINICA MOVIL CENTINELA</v>
          </cell>
        </row>
        <row r="6961">
          <cell r="Z6961" t="str">
            <v>DENTAL</v>
          </cell>
          <cell r="AA6961" t="str">
            <v>CLINICA MOVIL CENTINELA</v>
          </cell>
        </row>
        <row r="6962">
          <cell r="Z6962" t="str">
            <v>DENTAL</v>
          </cell>
          <cell r="AA6962" t="str">
            <v>CLINICA MOVIL CENTINELA</v>
          </cell>
        </row>
        <row r="6963">
          <cell r="Z6963" t="str">
            <v>DENTAL</v>
          </cell>
          <cell r="AA6963" t="str">
            <v>CLINICA MOVIL CENTINELA</v>
          </cell>
        </row>
        <row r="6964">
          <cell r="Z6964" t="str">
            <v>DENTAL</v>
          </cell>
          <cell r="AA6964" t="str">
            <v>CLINICA MOVIL CENTINELA</v>
          </cell>
        </row>
        <row r="6965">
          <cell r="Z6965" t="str">
            <v>DENTAL</v>
          </cell>
          <cell r="AA6965" t="str">
            <v>HOSPITAL CLINICO DE MAGALLANES</v>
          </cell>
        </row>
        <row r="6966">
          <cell r="Z6966" t="str">
            <v>DENTAL</v>
          </cell>
          <cell r="AA6966" t="str">
            <v>HOSPITAL DE QUILLOTA</v>
          </cell>
        </row>
        <row r="6967">
          <cell r="Z6967" t="str">
            <v>DENTAL</v>
          </cell>
          <cell r="AA6967" t="str">
            <v>HOSPITAL DE SANTA BARBARA</v>
          </cell>
        </row>
        <row r="6968">
          <cell r="Z6968" t="str">
            <v>DENTAL</v>
          </cell>
          <cell r="AA6968" t="str">
            <v>HOSPITAL NACIMIENTO</v>
          </cell>
        </row>
        <row r="6969">
          <cell r="Z6969" t="str">
            <v>DENTAL</v>
          </cell>
        </row>
        <row r="6970">
          <cell r="Z6970" t="str">
            <v>DENTAL</v>
          </cell>
          <cell r="AA6970" t="str">
            <v>HOSPITAL DE YUMBEL</v>
          </cell>
        </row>
        <row r="6971">
          <cell r="Z6971" t="str">
            <v>DENTAL</v>
          </cell>
        </row>
        <row r="6972">
          <cell r="Z6972" t="str">
            <v>DENTAL</v>
          </cell>
          <cell r="AA6972" t="str">
            <v>SERV DE SALUD BÍO BÍO - HOSPITAL DE HUEPIL</v>
          </cell>
        </row>
        <row r="6973">
          <cell r="Z6973" t="str">
            <v>DENTAL</v>
          </cell>
          <cell r="AA6973" t="str">
            <v>CESFAM YANEQUEN NEGRETE</v>
          </cell>
        </row>
        <row r="6974">
          <cell r="Z6974" t="str">
            <v>DENTAL</v>
          </cell>
          <cell r="AA6974" t="str">
            <v>CESFAM YANEQUEN NEGRETE</v>
          </cell>
        </row>
        <row r="6975">
          <cell r="Z6975" t="str">
            <v>DENTAL</v>
          </cell>
        </row>
        <row r="6976">
          <cell r="Z6976" t="str">
            <v>DENTAL</v>
          </cell>
        </row>
        <row r="6977">
          <cell r="Z6977" t="str">
            <v>DENTAL</v>
          </cell>
          <cell r="AA6977" t="str">
            <v>LJ AUTOMOTRIZ LTDA</v>
          </cell>
        </row>
        <row r="6978">
          <cell r="Z6978" t="str">
            <v>DENTAL</v>
          </cell>
          <cell r="AA6978" t="str">
            <v>LJ AUTOMOTRIZ LTDA</v>
          </cell>
        </row>
        <row r="6979">
          <cell r="Z6979" t="str">
            <v>DENTAL</v>
          </cell>
          <cell r="AA6979" t="str">
            <v>LJ AUTOMOTRIZ LTDA</v>
          </cell>
        </row>
        <row r="6980">
          <cell r="Z6980" t="str">
            <v>DENTAL</v>
          </cell>
        </row>
        <row r="6981">
          <cell r="Z6981" t="str">
            <v>DENTAL</v>
          </cell>
          <cell r="AA6981" t="str">
            <v>HOSPITAL DEL SALVADOR</v>
          </cell>
        </row>
        <row r="6982">
          <cell r="Z6982" t="str">
            <v>DENTAL</v>
          </cell>
          <cell r="AA6982" t="str">
            <v>HOSPITAL DE ANDACOLLO</v>
          </cell>
        </row>
        <row r="6983">
          <cell r="Z6983" t="str">
            <v>DENTAL</v>
          </cell>
        </row>
        <row r="6984">
          <cell r="Z6984" t="str">
            <v>DENTAL</v>
          </cell>
        </row>
        <row r="6985">
          <cell r="Z6985" t="str">
            <v>DENTAL</v>
          </cell>
          <cell r="AA6985" t="str">
            <v>SOCIEDAD CMA-COSTANERA S.A.</v>
          </cell>
        </row>
        <row r="6986">
          <cell r="Z6986" t="str">
            <v>DENTAL</v>
          </cell>
          <cell r="AA6986" t="str">
            <v>HOSPITAL SAN JOSÉ</v>
          </cell>
        </row>
        <row r="6987">
          <cell r="Z6987" t="str">
            <v>DENTAL</v>
          </cell>
          <cell r="AA6987" t="str">
            <v>UC CHRISTUS SERVICIOS AMBULATORIOS SPA</v>
          </cell>
        </row>
        <row r="6988">
          <cell r="Z6988" t="str">
            <v>DENTAL</v>
          </cell>
          <cell r="AA6988" t="str">
            <v>CESFAM THOMAS FENTON</v>
          </cell>
        </row>
        <row r="6989">
          <cell r="Z6989" t="str">
            <v>DENTAL</v>
          </cell>
          <cell r="AA6989" t="str">
            <v>CESFAM THOMAS FENTON</v>
          </cell>
        </row>
        <row r="6990">
          <cell r="Z6990" t="str">
            <v>DENTAL</v>
          </cell>
        </row>
        <row r="6991">
          <cell r="Z6991" t="str">
            <v>DENTAL</v>
          </cell>
        </row>
        <row r="6992">
          <cell r="Z6992" t="str">
            <v>DENTAL</v>
          </cell>
        </row>
        <row r="6993">
          <cell r="Z6993" t="str">
            <v>DENTAL</v>
          </cell>
        </row>
        <row r="6994">
          <cell r="Z6994" t="str">
            <v>DENTAL</v>
          </cell>
        </row>
        <row r="6995">
          <cell r="Z6995" t="str">
            <v>DENTAL</v>
          </cell>
          <cell r="AA6995" t="str">
            <v>CLINICA HOGAR BUENA SALUD S.P.A</v>
          </cell>
        </row>
        <row r="6996">
          <cell r="Z6996" t="str">
            <v>DENTAL</v>
          </cell>
          <cell r="AA6996" t="str">
            <v>LJ AUTOMOTRIZ LTDA</v>
          </cell>
        </row>
        <row r="6997">
          <cell r="Z6997" t="str">
            <v>DENTAL</v>
          </cell>
          <cell r="AA6997" t="str">
            <v>LJ AUTOMOTRIZ LTDA</v>
          </cell>
        </row>
        <row r="6998">
          <cell r="Z6998" t="str">
            <v>DENTAL</v>
          </cell>
        </row>
        <row r="6999">
          <cell r="Z6999" t="str">
            <v>DENTAL</v>
          </cell>
          <cell r="AA6999" t="str">
            <v>HOSPITAL CLINICO DE MAGALLANES</v>
          </cell>
        </row>
        <row r="7000">
          <cell r="Z7000" t="str">
            <v>DENTAL</v>
          </cell>
          <cell r="AA7000" t="str">
            <v>FUNDACION JOSEFINA MARTINEZ DE FERRARI</v>
          </cell>
        </row>
        <row r="7001">
          <cell r="Z7001" t="str">
            <v>DENTAL</v>
          </cell>
        </row>
        <row r="7002">
          <cell r="Z7002" t="str">
            <v>DENTAL</v>
          </cell>
          <cell r="AA7002" t="str">
            <v>INSUMOS Y SERVICIOS MEDICOS S.A.</v>
          </cell>
        </row>
        <row r="7003">
          <cell r="Z7003" t="str">
            <v>DENTAL</v>
          </cell>
          <cell r="AA7003" t="str">
            <v>INSUMOS Y SERVICIOS MEDICOS S.A.</v>
          </cell>
        </row>
        <row r="7004">
          <cell r="Z7004" t="str">
            <v>DENTAL</v>
          </cell>
          <cell r="AA7004" t="str">
            <v>INTEGRAMEDICA CENTROS MEDICOS S.A.</v>
          </cell>
        </row>
        <row r="7005">
          <cell r="Z7005" t="str">
            <v>DENTAL</v>
          </cell>
          <cell r="AA7005" t="str">
            <v>SERVICIO DE SALUD BIO-BIO</v>
          </cell>
        </row>
        <row r="7006">
          <cell r="Z7006" t="str">
            <v>DENTAL</v>
          </cell>
          <cell r="AA7006" t="str">
            <v>SERVICIO DE SALUD BIO-BIO</v>
          </cell>
        </row>
        <row r="7007">
          <cell r="Z7007" t="str">
            <v>DENTAL</v>
          </cell>
          <cell r="AA7007" t="str">
            <v>SERVICIO DE SALUD BIO-BIO</v>
          </cell>
        </row>
        <row r="7008">
          <cell r="Z7008" t="str">
            <v>DENTAL</v>
          </cell>
        </row>
        <row r="7009">
          <cell r="Z7009" t="str">
            <v>DENTAL</v>
          </cell>
          <cell r="AA7009" t="str">
            <v>SERVICIO DE SALUD BIO-BIO</v>
          </cell>
        </row>
        <row r="7010">
          <cell r="Z7010" t="str">
            <v>DENTAL</v>
          </cell>
          <cell r="AA7010" t="str">
            <v>SERVICIO DE SALUD TALCAHUANO</v>
          </cell>
        </row>
        <row r="7011">
          <cell r="Z7011" t="str">
            <v>DENTAL</v>
          </cell>
          <cell r="AA7011" t="str">
            <v>GOBIERNO REGIONAL LIBERTADOR BDO. O'HIGGINS</v>
          </cell>
        </row>
        <row r="7012">
          <cell r="Z7012" t="str">
            <v>DENTAL</v>
          </cell>
          <cell r="AA7012" t="str">
            <v>SERVICIO DE SALUD METROPOLITANO SUR</v>
          </cell>
        </row>
        <row r="7013">
          <cell r="Z7013" t="str">
            <v>DENTAL</v>
          </cell>
          <cell r="AA7013" t="str">
            <v>S. SALUD METROPOLITANO SUR ORIENTE</v>
          </cell>
        </row>
        <row r="7014">
          <cell r="Z7014" t="str">
            <v>DENTAL</v>
          </cell>
          <cell r="AA7014" t="str">
            <v>HOSPITAL LUIS CALVO MACKENNA</v>
          </cell>
        </row>
        <row r="7015">
          <cell r="Z7015" t="str">
            <v>DENTAL</v>
          </cell>
        </row>
        <row r="7016">
          <cell r="Z7016" t="str">
            <v>DENTAL</v>
          </cell>
          <cell r="AA7016" t="str">
            <v>SERVICIO DE SALUD BIO-BIO</v>
          </cell>
        </row>
        <row r="7017">
          <cell r="Z7017" t="str">
            <v>DENTAL</v>
          </cell>
          <cell r="AA7017" t="str">
            <v>JUNAEB ESCUELA NUEVA ZELANDIA</v>
          </cell>
        </row>
        <row r="7018">
          <cell r="Z7018" t="str">
            <v>DENTAL</v>
          </cell>
          <cell r="AA7018" t="str">
            <v>JUNAEB ESCUELA NUEVA ZELANDIA</v>
          </cell>
        </row>
        <row r="7019">
          <cell r="Z7019" t="str">
            <v>DENTAL</v>
          </cell>
          <cell r="AA7019" t="str">
            <v>INTEGRAMEDICA S.A (Las Condes)</v>
          </cell>
        </row>
        <row r="7020">
          <cell r="Z7020" t="str">
            <v>DENTAL</v>
          </cell>
          <cell r="AA7020" t="str">
            <v>POLICIA DE INVESTIGACIONES DE CHILE</v>
          </cell>
        </row>
        <row r="7021">
          <cell r="Z7021" t="str">
            <v>DENTAL</v>
          </cell>
          <cell r="AA7021" t="str">
            <v>SERVICIO DE SALUD METROPOLITANO CENTRAL</v>
          </cell>
        </row>
        <row r="7022">
          <cell r="Z7022" t="str">
            <v>DENTAL</v>
          </cell>
          <cell r="AA7022" t="str">
            <v>SERVICIO DE SALUD METROPOLITANO CENTRAL</v>
          </cell>
        </row>
        <row r="7023">
          <cell r="Z7023" t="str">
            <v>DENTAL</v>
          </cell>
          <cell r="AA7023" t="str">
            <v>SERVICIO DE SALUD METROPOLITANO CENTRAL</v>
          </cell>
        </row>
        <row r="7024">
          <cell r="Z7024" t="str">
            <v>DENTAL</v>
          </cell>
          <cell r="AA7024" t="str">
            <v>SERVICIO DE SALUD METROPOLITANO CENTRAL</v>
          </cell>
        </row>
        <row r="7025">
          <cell r="Z7025" t="str">
            <v>DENTAL</v>
          </cell>
          <cell r="AA7025" t="str">
            <v>INTEGRAMEDICA S.A (Las Condes)</v>
          </cell>
        </row>
        <row r="7026">
          <cell r="Z7026" t="str">
            <v>DENTAL</v>
          </cell>
          <cell r="AA7026" t="str">
            <v>INTEGRAMEDICA S.A (Las Condes)</v>
          </cell>
        </row>
        <row r="7027">
          <cell r="Z7027" t="str">
            <v>DENTAL</v>
          </cell>
          <cell r="AA7027" t="str">
            <v>INTEGRAMEDICA S.A (Las Condes)</v>
          </cell>
        </row>
        <row r="7028">
          <cell r="Z7028" t="str">
            <v>DENTAL</v>
          </cell>
          <cell r="AA7028" t="str">
            <v>INTEGRAMEDICA S.A (Las Condes)</v>
          </cell>
        </row>
        <row r="7029">
          <cell r="Z7029" t="str">
            <v>DENTAL</v>
          </cell>
          <cell r="AA7029" t="str">
            <v>INTEGRAMEDICA S.A (Las Condes)</v>
          </cell>
        </row>
        <row r="7030">
          <cell r="Z7030" t="str">
            <v>DENTAL</v>
          </cell>
          <cell r="AA7030" t="str">
            <v>HOSPITAL SAN JOSÉ</v>
          </cell>
        </row>
        <row r="7031">
          <cell r="Z7031" t="str">
            <v>DENTAL</v>
          </cell>
          <cell r="AA7031" t="str">
            <v>SOCIEDAD MEDICA E IMAGENEOLOGICA ANCUD LTDA</v>
          </cell>
        </row>
        <row r="7032">
          <cell r="Z7032" t="str">
            <v>DENTAL</v>
          </cell>
          <cell r="AA7032" t="str">
            <v>MUNICIPALIDAD BARNECHEA</v>
          </cell>
        </row>
        <row r="7033">
          <cell r="Z7033" t="str">
            <v>DENTAL</v>
          </cell>
        </row>
        <row r="7034">
          <cell r="Z7034" t="str">
            <v>DENTAL</v>
          </cell>
        </row>
        <row r="7035">
          <cell r="Z7035" t="str">
            <v>DENTAL</v>
          </cell>
        </row>
        <row r="7036">
          <cell r="Z7036" t="str">
            <v>DENTAL</v>
          </cell>
          <cell r="AA7036" t="str">
            <v>HOSPITAL NAVAL ALMIRANTE ADRIAZOLA</v>
          </cell>
        </row>
        <row r="7037">
          <cell r="Z7037" t="str">
            <v>DENTAL</v>
          </cell>
          <cell r="AA7037" t="str">
            <v>S. SALUD METROPOLITANO SUR ORIENTE</v>
          </cell>
        </row>
        <row r="7038">
          <cell r="Z7038" t="str">
            <v>DENTAL</v>
          </cell>
        </row>
        <row r="7039">
          <cell r="Z7039" t="str">
            <v>DENTAL</v>
          </cell>
          <cell r="AA7039" t="str">
            <v>CESFAM EL SAUCE COQUIMBO</v>
          </cell>
        </row>
        <row r="7040">
          <cell r="Z7040" t="str">
            <v>DENTAL</v>
          </cell>
          <cell r="AA7040" t="str">
            <v>CESFAM EL SAUCE COQUIMBO</v>
          </cell>
        </row>
        <row r="7041">
          <cell r="Z7041" t="str">
            <v>DENTAL</v>
          </cell>
          <cell r="AA7041" t="str">
            <v>JUNAEB MODULO FRUTILLAR</v>
          </cell>
        </row>
        <row r="7042">
          <cell r="Z7042" t="str">
            <v>DENTAL</v>
          </cell>
          <cell r="AA7042" t="str">
            <v>JUNAEB ALTOBIOBIO</v>
          </cell>
        </row>
        <row r="7043">
          <cell r="Z7043" t="str">
            <v>DENTAL</v>
          </cell>
          <cell r="AA7043" t="str">
            <v>JUNAEB ESCUELA VICTOR DOMINGO SILVA</v>
          </cell>
        </row>
        <row r="7044">
          <cell r="Z7044" t="str">
            <v>DENTAL</v>
          </cell>
          <cell r="AA7044" t="str">
            <v>HOSPITAL DE QUINTEROS</v>
          </cell>
        </row>
        <row r="7045">
          <cell r="Z7045" t="str">
            <v>DENTAL</v>
          </cell>
          <cell r="AA7045" t="str">
            <v>HOSPITAL DE QUINTEROS</v>
          </cell>
        </row>
        <row r="7046">
          <cell r="Z7046" t="str">
            <v>DENTAL</v>
          </cell>
          <cell r="AA7046" t="str">
            <v>DIAGNORAD ANTOFAGASTA</v>
          </cell>
        </row>
        <row r="7047">
          <cell r="Z7047" t="str">
            <v>DENTAL</v>
          </cell>
        </row>
        <row r="7048">
          <cell r="Z7048" t="str">
            <v>DENTAL</v>
          </cell>
        </row>
        <row r="7049">
          <cell r="Z7049" t="str">
            <v>DENTAL</v>
          </cell>
        </row>
        <row r="7050">
          <cell r="Z7050" t="str">
            <v>DENTAL</v>
          </cell>
        </row>
        <row r="7051">
          <cell r="Z7051" t="str">
            <v>DENTAL</v>
          </cell>
          <cell r="AA7051" t="str">
            <v>CESFAM LAS AMERICAS</v>
          </cell>
        </row>
        <row r="7052">
          <cell r="Z7052" t="str">
            <v>DENTAL</v>
          </cell>
          <cell r="AA7052" t="str">
            <v>CESFAM LAS AMERICAS</v>
          </cell>
        </row>
        <row r="7053">
          <cell r="Z7053" t="str">
            <v>DENTAL</v>
          </cell>
          <cell r="AA7053" t="str">
            <v>CESFAM LAS AMERICAS</v>
          </cell>
        </row>
        <row r="7054">
          <cell r="Z7054" t="str">
            <v>DENTAL</v>
          </cell>
        </row>
        <row r="7055">
          <cell r="Z7055" t="str">
            <v>DENTAL</v>
          </cell>
          <cell r="AA7055" t="str">
            <v>HOSPITAL DE QUILPUE</v>
          </cell>
        </row>
        <row r="7056">
          <cell r="Z7056" t="str">
            <v>DENTAL</v>
          </cell>
          <cell r="AA7056" t="str">
            <v>SERVICIO DE SALUD BIO-BIO</v>
          </cell>
        </row>
        <row r="7057">
          <cell r="Z7057" t="str">
            <v>DENTAL</v>
          </cell>
          <cell r="AA7057" t="str">
            <v>HOSPITAL REGIONAL DE ARICA DR. JUAN NOÉ CREVANI</v>
          </cell>
        </row>
        <row r="7058">
          <cell r="Z7058" t="str">
            <v>DENTAL</v>
          </cell>
          <cell r="AA7058" t="str">
            <v>HOSPITAL REGIONAL DE ARICA DR. JUAN NOÉ CREVANI</v>
          </cell>
        </row>
        <row r="7059">
          <cell r="Z7059" t="str">
            <v>DENTAL</v>
          </cell>
        </row>
        <row r="7060">
          <cell r="Z7060" t="str">
            <v>DENTAL</v>
          </cell>
          <cell r="AA7060" t="str">
            <v>HOSPITAL DE QUILPUE</v>
          </cell>
        </row>
        <row r="7061">
          <cell r="Z7061" t="str">
            <v>DENTAL</v>
          </cell>
          <cell r="AA7061" t="str">
            <v>INTEGRAMEDICA VESPUCIO</v>
          </cell>
        </row>
        <row r="7062">
          <cell r="Z7062" t="str">
            <v>DENTAL</v>
          </cell>
          <cell r="AA7062" t="str">
            <v>HOSPITAL REGIONAL DE ARICA DR. JUAN NOÉ CREVANI</v>
          </cell>
        </row>
        <row r="7063">
          <cell r="Z7063" t="str">
            <v>DENTAL</v>
          </cell>
          <cell r="AA7063" t="str">
            <v>INTEGRAMEDICA PLAZA OESTE</v>
          </cell>
        </row>
        <row r="7064">
          <cell r="Z7064" t="str">
            <v>DENTAL</v>
          </cell>
        </row>
        <row r="7065">
          <cell r="Z7065" t="str">
            <v>DENTAL</v>
          </cell>
        </row>
        <row r="7066">
          <cell r="Z7066" t="str">
            <v>DENTAL</v>
          </cell>
        </row>
        <row r="7067">
          <cell r="Z7067" t="str">
            <v>DENTAL</v>
          </cell>
          <cell r="AA7067" t="str">
            <v>INTEGRAMEDICA PLAZA OESTE</v>
          </cell>
        </row>
        <row r="7068">
          <cell r="Z7068" t="str">
            <v>DENTAL</v>
          </cell>
          <cell r="AA7068" t="str">
            <v>INTEGRAMEDICA VESPUCIO</v>
          </cell>
        </row>
        <row r="7069">
          <cell r="Z7069" t="str">
            <v>DENTAL</v>
          </cell>
          <cell r="AA7069" t="str">
            <v>INTEGRAMEDICA VESPUCIO</v>
          </cell>
        </row>
        <row r="7070">
          <cell r="Z7070" t="str">
            <v>DENTAL</v>
          </cell>
          <cell r="AA7070" t="str">
            <v>CESFAM LAS AMERICAS</v>
          </cell>
        </row>
        <row r="7071">
          <cell r="Z7071" t="str">
            <v>DENTAL</v>
          </cell>
          <cell r="AA7071" t="str">
            <v>CESFAM LAS AMERICAS</v>
          </cell>
        </row>
        <row r="7072">
          <cell r="Z7072" t="str">
            <v>DENTAL</v>
          </cell>
          <cell r="AA7072" t="str">
            <v>INTEGRAMEDICA VESPUCIO</v>
          </cell>
        </row>
        <row r="7073">
          <cell r="Z7073" t="str">
            <v>DENTAL</v>
          </cell>
          <cell r="AA7073" t="str">
            <v>INTEGRAMEDICA VESPUCIO</v>
          </cell>
        </row>
        <row r="7074">
          <cell r="Z7074" t="str">
            <v>DENTAL</v>
          </cell>
          <cell r="AA7074" t="str">
            <v>INTEGRAMEDICA VESPUCIO</v>
          </cell>
        </row>
        <row r="7075">
          <cell r="Z7075" t="str">
            <v>DENTAL</v>
          </cell>
          <cell r="AA7075" t="str">
            <v>INTEGRAMEDICA VESPUCIO</v>
          </cell>
        </row>
        <row r="7076">
          <cell r="Z7076" t="str">
            <v>DENTAL</v>
          </cell>
          <cell r="AA7076" t="str">
            <v>INTEGRAMEDICA BANDERA</v>
          </cell>
        </row>
        <row r="7077">
          <cell r="Z7077" t="str">
            <v>DENTAL</v>
          </cell>
          <cell r="AA7077" t="str">
            <v>INTEGRAMEDICA BANDERA</v>
          </cell>
        </row>
        <row r="7078">
          <cell r="Z7078" t="str">
            <v>DENTAL</v>
          </cell>
          <cell r="AA7078" t="str">
            <v>INTEGRAMEDICA BANDERA</v>
          </cell>
        </row>
        <row r="7079">
          <cell r="Z7079" t="str">
            <v>DENTAL</v>
          </cell>
          <cell r="AA7079" t="str">
            <v>INTEGRAMEDICA BANDERA</v>
          </cell>
        </row>
        <row r="7080">
          <cell r="Z7080" t="str">
            <v>DENTAL</v>
          </cell>
          <cell r="AA7080" t="str">
            <v>GEMCO GENERAL MACHINERY S.A.</v>
          </cell>
        </row>
        <row r="7081">
          <cell r="Z7081" t="str">
            <v>DENTAL</v>
          </cell>
        </row>
        <row r="7082">
          <cell r="Z7082" t="str">
            <v>DENTAL</v>
          </cell>
          <cell r="AA7082" t="str">
            <v>INTEGRAMEDICA BANDERA</v>
          </cell>
        </row>
        <row r="7083">
          <cell r="Z7083" t="str">
            <v>DENTAL</v>
          </cell>
          <cell r="AA7083" t="str">
            <v>INTEGRAMEDICA PLAZA EGAÑA</v>
          </cell>
        </row>
        <row r="7084">
          <cell r="Z7084" t="str">
            <v>DENTAL</v>
          </cell>
          <cell r="AA7084" t="str">
            <v>INTEGRAMEDICA BANDERA</v>
          </cell>
        </row>
        <row r="7085">
          <cell r="Z7085" t="str">
            <v>DENTAL</v>
          </cell>
          <cell r="AA7085" t="str">
            <v>INTEGRAMEDICA BANDERA</v>
          </cell>
        </row>
        <row r="7086">
          <cell r="Z7086" t="str">
            <v>DENTAL</v>
          </cell>
        </row>
        <row r="7087">
          <cell r="Z7087" t="str">
            <v>DENTAL</v>
          </cell>
          <cell r="AA7087" t="str">
            <v>INTEGRAMEDICA LA SERENA</v>
          </cell>
        </row>
        <row r="7088">
          <cell r="Z7088" t="str">
            <v>DENTAL</v>
          </cell>
          <cell r="AA7088" t="str">
            <v>CESFAM SAN RAFAEL</v>
          </cell>
        </row>
        <row r="7089">
          <cell r="Z7089" t="str">
            <v>DENTAL</v>
          </cell>
          <cell r="AA7089" t="str">
            <v>CESFAM SAN RAFAEL</v>
          </cell>
        </row>
        <row r="7090">
          <cell r="Z7090" t="str">
            <v>DENTAL</v>
          </cell>
          <cell r="AA7090" t="str">
            <v>CESFAM SAN RAFAEL</v>
          </cell>
        </row>
        <row r="7091">
          <cell r="Z7091" t="str">
            <v>DENTAL</v>
          </cell>
          <cell r="AA7091" t="str">
            <v>CESFAM SAN RAFAEL</v>
          </cell>
        </row>
        <row r="7092">
          <cell r="Z7092" t="str">
            <v>DENTAL</v>
          </cell>
          <cell r="AA7092" t="str">
            <v>INTEGRAMEDICA VIÑA DEL MAR</v>
          </cell>
        </row>
        <row r="7093">
          <cell r="Z7093" t="str">
            <v>DENTAL</v>
          </cell>
          <cell r="AA7093" t="str">
            <v>INTEGRAMEDICA VIÑA DEL MAR</v>
          </cell>
        </row>
        <row r="7094">
          <cell r="Z7094" t="str">
            <v>DENTAL</v>
          </cell>
          <cell r="AA7094" t="str">
            <v>INTEGRAMEDICA RANCAGUA</v>
          </cell>
        </row>
        <row r="7095">
          <cell r="Z7095" t="str">
            <v>DENTAL</v>
          </cell>
          <cell r="AA7095" t="str">
            <v>SONORAD INDEPENDENCIA</v>
          </cell>
        </row>
        <row r="7096">
          <cell r="Z7096" t="str">
            <v>DENTAL</v>
          </cell>
          <cell r="AA7096" t="str">
            <v>SONORAD INDEPENDENCIA</v>
          </cell>
        </row>
        <row r="7097">
          <cell r="Z7097" t="str">
            <v>DENTAL</v>
          </cell>
          <cell r="AA7097" t="str">
            <v>ODONTOLOGIA PROVIDENCIA SPA</v>
          </cell>
        </row>
        <row r="7098">
          <cell r="Z7098" t="str">
            <v>DENTAL</v>
          </cell>
          <cell r="AA7098" t="str">
            <v>SONORAD INDEPENDENCIA</v>
          </cell>
        </row>
        <row r="7099">
          <cell r="Z7099" t="str">
            <v>DENTAL</v>
          </cell>
          <cell r="AA7099" t="str">
            <v>INTEGRAMEDICA MANQUEHUE</v>
          </cell>
        </row>
        <row r="7100">
          <cell r="Z7100" t="str">
            <v>DENTAL</v>
          </cell>
          <cell r="AA7100" t="str">
            <v>INTEGRAMEDICA SAN MIGUEL</v>
          </cell>
        </row>
        <row r="7101">
          <cell r="Z7101" t="str">
            <v>DENTAL</v>
          </cell>
          <cell r="AA7101" t="str">
            <v>SERVICIO DE SALUD TALCAHUANO</v>
          </cell>
        </row>
        <row r="7102">
          <cell r="Z7102" t="str">
            <v>DENTAL</v>
          </cell>
        </row>
        <row r="7103">
          <cell r="Z7103" t="str">
            <v>DENTAL</v>
          </cell>
          <cell r="AA7103" t="str">
            <v>SERVICIO DE SALUD TALCAHUANO</v>
          </cell>
        </row>
        <row r="7104">
          <cell r="Z7104" t="str">
            <v>DENTAL</v>
          </cell>
          <cell r="AA7104" t="str">
            <v>SERVICIO DE SALUD TALCAHUANO</v>
          </cell>
        </row>
        <row r="7105">
          <cell r="Z7105" t="str">
            <v>DENTAL</v>
          </cell>
          <cell r="AA7105" t="str">
            <v>SERVICIO DE SALUD TALCAHUANO</v>
          </cell>
        </row>
        <row r="7106">
          <cell r="Z7106" t="str">
            <v>DENTAL</v>
          </cell>
          <cell r="AA7106" t="str">
            <v>CESFAM CARLOS TRUPP TALCA</v>
          </cell>
        </row>
        <row r="7107">
          <cell r="Z7107" t="str">
            <v>DENTAL</v>
          </cell>
          <cell r="AA7107" t="str">
            <v>CESFAM MARCOS MACUADA</v>
          </cell>
        </row>
        <row r="7108">
          <cell r="Z7108" t="str">
            <v>DENTAL</v>
          </cell>
          <cell r="AA7108" t="str">
            <v>DIAGNORAD ANTOFAGASTA</v>
          </cell>
        </row>
        <row r="7109">
          <cell r="Z7109" t="str">
            <v>DENTAL</v>
          </cell>
        </row>
        <row r="7110">
          <cell r="Z7110" t="str">
            <v>DENTAL</v>
          </cell>
        </row>
        <row r="7111">
          <cell r="Z7111" t="str">
            <v>DENTAL</v>
          </cell>
          <cell r="AA7111" t="str">
            <v>HOSPITAL DE VILLARRICA</v>
          </cell>
        </row>
        <row r="7112">
          <cell r="Z7112" t="str">
            <v>DENTAL</v>
          </cell>
          <cell r="AA7112" t="str">
            <v>HOSPITAL DE VILLARRICA</v>
          </cell>
        </row>
        <row r="7113">
          <cell r="Z7113" t="str">
            <v>DENTAL</v>
          </cell>
          <cell r="AA7113" t="str">
            <v>HOSPITAL DE CONSTITUCION</v>
          </cell>
        </row>
        <row r="7114">
          <cell r="Z7114" t="str">
            <v>DENTAL</v>
          </cell>
          <cell r="AA7114" t="str">
            <v>HOSPITAL DE CONSTITUCION</v>
          </cell>
        </row>
        <row r="7115">
          <cell r="Z7115" t="str">
            <v>DENTAL</v>
          </cell>
          <cell r="AA7115" t="str">
            <v>INTEGRAMEDICA BANDERA</v>
          </cell>
        </row>
        <row r="7116">
          <cell r="Z7116" t="str">
            <v>DENTAL</v>
          </cell>
          <cell r="AA7116" t="str">
            <v>INGENIERIA Y CONSTRUCCION COPAYAPU LIMITADA</v>
          </cell>
        </row>
        <row r="7117">
          <cell r="Z7117" t="str">
            <v>DENTAL</v>
          </cell>
          <cell r="AA7117" t="str">
            <v>INTEGRAMEDICA PLAZA OESTE</v>
          </cell>
        </row>
        <row r="7118">
          <cell r="Z7118" t="str">
            <v>DENTAL</v>
          </cell>
          <cell r="AA7118" t="str">
            <v>INTEGRAMEDICA BIO BIO</v>
          </cell>
        </row>
        <row r="7119">
          <cell r="Z7119" t="str">
            <v>DENTAL</v>
          </cell>
          <cell r="AA7119" t="str">
            <v>INTEGRAMEDICA BIO BIO</v>
          </cell>
        </row>
        <row r="7120">
          <cell r="Z7120" t="str">
            <v>DENTAL</v>
          </cell>
          <cell r="AA7120" t="str">
            <v>INTEGRAMEDICA BIO BIO</v>
          </cell>
        </row>
        <row r="7121">
          <cell r="Z7121" t="str">
            <v>DENTAL</v>
          </cell>
          <cell r="AA7121" t="str">
            <v>INTEGRAMEDICA MAIPU</v>
          </cell>
        </row>
        <row r="7122">
          <cell r="Z7122" t="str">
            <v>DENTAL</v>
          </cell>
          <cell r="AA7122" t="str">
            <v>INTEGRAMEDICA MAIPU</v>
          </cell>
        </row>
        <row r="7123">
          <cell r="Z7123" t="str">
            <v>DENTAL</v>
          </cell>
          <cell r="AA7123" t="str">
            <v>INTEGRAMEDICA MAIPU</v>
          </cell>
        </row>
        <row r="7124">
          <cell r="Z7124" t="str">
            <v>DENTAL</v>
          </cell>
          <cell r="AA7124" t="str">
            <v>INTEGRAMEDICA MAIPU</v>
          </cell>
        </row>
        <row r="7125">
          <cell r="Z7125" t="str">
            <v>DENTAL</v>
          </cell>
          <cell r="AA7125" t="str">
            <v>INTEGRAMEDICA MAIPU</v>
          </cell>
        </row>
        <row r="7126">
          <cell r="Z7126" t="str">
            <v>DENTAL</v>
          </cell>
          <cell r="AA7126" t="str">
            <v>INTEGRAMEDICA MANQUEHUE</v>
          </cell>
        </row>
        <row r="7127">
          <cell r="Z7127" t="str">
            <v>DENTAL</v>
          </cell>
          <cell r="AA7127" t="str">
            <v>INTEGRAMEDICA MANQUEHUE</v>
          </cell>
        </row>
        <row r="7128">
          <cell r="Z7128" t="str">
            <v>DENTAL</v>
          </cell>
          <cell r="AA7128" t="str">
            <v>INTEGRAMEDICA MANQUEHUE</v>
          </cell>
        </row>
        <row r="7129">
          <cell r="Z7129" t="str">
            <v>DENTAL</v>
          </cell>
          <cell r="AA7129" t="str">
            <v>INTEGRAMEDICA MANQUEHUE</v>
          </cell>
        </row>
        <row r="7130">
          <cell r="Z7130" t="str">
            <v>DENTAL</v>
          </cell>
          <cell r="AA7130" t="str">
            <v>INTEGRAMEDICA MANQUEHUE</v>
          </cell>
        </row>
        <row r="7131">
          <cell r="Z7131" t="str">
            <v>DENTAL</v>
          </cell>
          <cell r="AA7131" t="str">
            <v>INTEGRAMEDICA S.A (Las Condes)</v>
          </cell>
        </row>
        <row r="7132">
          <cell r="Z7132" t="str">
            <v>DENTAL</v>
          </cell>
          <cell r="AA7132" t="str">
            <v>INTEGRAMEDICA LA SERENA</v>
          </cell>
        </row>
        <row r="7133">
          <cell r="Z7133" t="str">
            <v>DENTAL</v>
          </cell>
          <cell r="AA7133" t="str">
            <v>INTEGRAMEDICA ALAMEDA</v>
          </cell>
        </row>
        <row r="7134">
          <cell r="Z7134" t="str">
            <v>DENTAL</v>
          </cell>
          <cell r="AA7134" t="str">
            <v>INTEGRAMEDICA ALAMEDA</v>
          </cell>
        </row>
        <row r="7135">
          <cell r="Z7135" t="str">
            <v>DENTAL</v>
          </cell>
          <cell r="AA7135" t="str">
            <v>INTEGRAMEDICA ALAMEDA</v>
          </cell>
        </row>
        <row r="7136">
          <cell r="Z7136" t="str">
            <v>DENTAL</v>
          </cell>
          <cell r="AA7136" t="str">
            <v>INTEGRAMEDICA ALAMEDA</v>
          </cell>
        </row>
        <row r="7137">
          <cell r="Z7137" t="str">
            <v>DENTAL</v>
          </cell>
          <cell r="AA7137" t="str">
            <v>INTEGRAMEDICA ALAMEDA</v>
          </cell>
        </row>
        <row r="7138">
          <cell r="Z7138" t="str">
            <v>DENTAL</v>
          </cell>
          <cell r="AA7138" t="str">
            <v>INTEGRAMEDICA S.A (Las Condes)</v>
          </cell>
        </row>
        <row r="7139">
          <cell r="Z7139" t="str">
            <v>DENTAL</v>
          </cell>
          <cell r="AA7139" t="str">
            <v>INTEGRAMEDICA S.A (Las Condes)</v>
          </cell>
        </row>
        <row r="7140">
          <cell r="Z7140" t="str">
            <v>DENTAL</v>
          </cell>
          <cell r="AA7140" t="str">
            <v>INTEGRAMEDICA S.A (Las Condes)</v>
          </cell>
        </row>
        <row r="7141">
          <cell r="Z7141" t="str">
            <v>DENTAL</v>
          </cell>
          <cell r="AA7141" t="str">
            <v>INTEGRAMEDICA S.A (Las Condes)</v>
          </cell>
        </row>
        <row r="7142">
          <cell r="Z7142" t="str">
            <v>DENTAL</v>
          </cell>
          <cell r="AA7142" t="str">
            <v>INTEGRAMEDICA S.A (Las Condes)</v>
          </cell>
        </row>
        <row r="7143">
          <cell r="Z7143" t="str">
            <v>DENTAL</v>
          </cell>
          <cell r="AA7143" t="str">
            <v>INTEGRAMEDICA PLAZA OESTE</v>
          </cell>
        </row>
        <row r="7144">
          <cell r="Z7144" t="str">
            <v>DENTAL</v>
          </cell>
          <cell r="AA7144" t="str">
            <v>INTEGRAMEDICA PLAZA OESTE</v>
          </cell>
        </row>
        <row r="7145">
          <cell r="Z7145" t="str">
            <v>DENTAL</v>
          </cell>
          <cell r="AA7145" t="str">
            <v>INTEGRAMEDICA PLAZA OESTE</v>
          </cell>
        </row>
        <row r="7146">
          <cell r="Z7146" t="str">
            <v>DENTAL</v>
          </cell>
          <cell r="AA7146" t="str">
            <v>INTEGRAMEDICA PLAZA OESTE</v>
          </cell>
        </row>
        <row r="7147">
          <cell r="Z7147" t="str">
            <v>DENTAL</v>
          </cell>
          <cell r="AA7147" t="str">
            <v>INTEGRAMEDICA TOBALABA</v>
          </cell>
        </row>
        <row r="7148">
          <cell r="Z7148" t="str">
            <v>DENTAL</v>
          </cell>
          <cell r="AA7148" t="str">
            <v>INTEGRAMEDICA MANQUEHUE</v>
          </cell>
        </row>
        <row r="7149">
          <cell r="Z7149" t="str">
            <v>DENTAL</v>
          </cell>
          <cell r="AA7149" t="str">
            <v>INTEGRAMEDICA MANQUEHUE</v>
          </cell>
        </row>
        <row r="7150">
          <cell r="Z7150" t="str">
            <v>DENTAL</v>
          </cell>
          <cell r="AA7150" t="str">
            <v>INTEGRAMEDICA MANQUEHUE</v>
          </cell>
        </row>
        <row r="7151">
          <cell r="Z7151" t="str">
            <v>DENTAL</v>
          </cell>
          <cell r="AA7151" t="str">
            <v>INTEGRAMEDICA MANQUEHUE</v>
          </cell>
        </row>
        <row r="7152">
          <cell r="Z7152" t="str">
            <v>DENTAL</v>
          </cell>
          <cell r="AA7152" t="str">
            <v>INTEGRAMEDICA MANQUEHUE</v>
          </cell>
        </row>
        <row r="7153">
          <cell r="Z7153" t="str">
            <v>DENTAL</v>
          </cell>
          <cell r="AA7153" t="str">
            <v>INTEGRAMEDICA PUENTE ALTO</v>
          </cell>
        </row>
        <row r="7154">
          <cell r="Z7154" t="str">
            <v>DENTAL</v>
          </cell>
          <cell r="AA7154" t="str">
            <v>INTEGRAMEDICA PUENTE ALTO</v>
          </cell>
        </row>
        <row r="7155">
          <cell r="Z7155" t="str">
            <v>DENTAL</v>
          </cell>
          <cell r="AA7155" t="str">
            <v>INTEGRAMEDICA PUENTE ALTO</v>
          </cell>
        </row>
        <row r="7156">
          <cell r="Z7156" t="str">
            <v>DENTAL</v>
          </cell>
          <cell r="AA7156" t="str">
            <v>INTEGRAMEDICA PUENTE ALTO</v>
          </cell>
        </row>
        <row r="7157">
          <cell r="Z7157" t="str">
            <v>DENTAL</v>
          </cell>
          <cell r="AA7157" t="str">
            <v>INTEGRAMEDICA PLAZA EGAÑA</v>
          </cell>
        </row>
        <row r="7158">
          <cell r="Z7158" t="str">
            <v>DENTAL</v>
          </cell>
          <cell r="AA7158" t="str">
            <v>INTEGRAMEDICA PLAZA EGAÑA</v>
          </cell>
        </row>
        <row r="7159">
          <cell r="Z7159" t="str">
            <v>DENTAL</v>
          </cell>
          <cell r="AA7159" t="str">
            <v>INTEGRAMEDICA PLAZA EGAÑA</v>
          </cell>
        </row>
        <row r="7160">
          <cell r="Z7160" t="str">
            <v>DENTAL</v>
          </cell>
          <cell r="AA7160" t="str">
            <v>INTEGRAMEDICA PLAZA EGAÑA</v>
          </cell>
        </row>
        <row r="7161">
          <cell r="Z7161" t="str">
            <v>DENTAL</v>
          </cell>
          <cell r="AA7161" t="str">
            <v>INTEGRAMEDICA PLAZA EGAÑA</v>
          </cell>
        </row>
        <row r="7162">
          <cell r="Z7162" t="str">
            <v>DENTAL</v>
          </cell>
          <cell r="AA7162" t="str">
            <v>INTEGRAMEDICA PLAZA SUR</v>
          </cell>
        </row>
        <row r="7163">
          <cell r="Z7163" t="str">
            <v>DENTAL</v>
          </cell>
          <cell r="AA7163" t="str">
            <v>INTEGRAMEDICA PLAZA SUR</v>
          </cell>
        </row>
        <row r="7164">
          <cell r="Z7164" t="str">
            <v>DENTAL</v>
          </cell>
          <cell r="AA7164" t="str">
            <v>INTEGRAMEDICA PLAZA SUR</v>
          </cell>
        </row>
        <row r="7165">
          <cell r="Z7165" t="str">
            <v>DENTAL</v>
          </cell>
          <cell r="AA7165" t="str">
            <v>INTEGRAMEDICA PLAZA SUR</v>
          </cell>
        </row>
        <row r="7166">
          <cell r="Z7166" t="str">
            <v>DENTAL</v>
          </cell>
          <cell r="AA7166" t="str">
            <v>INTEGRAMEDICA SANTA LUCIA.</v>
          </cell>
        </row>
        <row r="7167">
          <cell r="Z7167" t="str">
            <v>DENTAL</v>
          </cell>
          <cell r="AA7167" t="str">
            <v>INTEGRAMEDICA SANTA LUCIA.</v>
          </cell>
        </row>
        <row r="7168">
          <cell r="Z7168" t="str">
            <v>DENTAL</v>
          </cell>
          <cell r="AA7168" t="str">
            <v>INTEGRAMEDICA SANTA LUCIA.</v>
          </cell>
        </row>
        <row r="7169">
          <cell r="Z7169" t="str">
            <v>DENTAL</v>
          </cell>
          <cell r="AA7169" t="str">
            <v>INTEGRAMEDICA SANTA LUCIA.</v>
          </cell>
        </row>
        <row r="7170">
          <cell r="Z7170" t="str">
            <v>DENTAL</v>
          </cell>
          <cell r="AA7170" t="str">
            <v>INTEGRAMEDICA TALCA</v>
          </cell>
        </row>
        <row r="7171">
          <cell r="Z7171" t="str">
            <v>DENTAL</v>
          </cell>
          <cell r="AA7171" t="str">
            <v>INTEGRAMEDICA TALCA</v>
          </cell>
        </row>
        <row r="7172">
          <cell r="Z7172" t="str">
            <v>DENTAL</v>
          </cell>
          <cell r="AA7172" t="str">
            <v>INTEGRAMEDICA TALCA</v>
          </cell>
        </row>
        <row r="7173">
          <cell r="Z7173" t="str">
            <v>DENTAL</v>
          </cell>
          <cell r="AA7173" t="str">
            <v>INTEGRAMEDICA TOBALABA</v>
          </cell>
        </row>
        <row r="7174">
          <cell r="Z7174" t="str">
            <v>DENTAL</v>
          </cell>
          <cell r="AA7174" t="str">
            <v>INTEGRAMEDICA TOBALABA</v>
          </cell>
        </row>
        <row r="7175">
          <cell r="Z7175" t="str">
            <v>DENTAL</v>
          </cell>
          <cell r="AA7175" t="str">
            <v>INTEGRAMEDICA TOBALABA</v>
          </cell>
        </row>
        <row r="7176">
          <cell r="Z7176" t="str">
            <v>DENTAL</v>
          </cell>
          <cell r="AA7176" t="str">
            <v>INTEGRAMEDICA TOBALABA</v>
          </cell>
        </row>
        <row r="7177">
          <cell r="Z7177" t="str">
            <v>DENTAL</v>
          </cell>
          <cell r="AA7177" t="str">
            <v>SONORAD HUERFANOS</v>
          </cell>
        </row>
        <row r="7178">
          <cell r="Z7178" t="str">
            <v>DENTAL</v>
          </cell>
          <cell r="AA7178" t="str">
            <v>SONORAD HUERFANOS</v>
          </cell>
        </row>
        <row r="7179">
          <cell r="Z7179" t="str">
            <v>DENTAL</v>
          </cell>
          <cell r="AA7179" t="str">
            <v>INTEGRAMEDICA SANTA LUCIA.</v>
          </cell>
        </row>
        <row r="7180">
          <cell r="Z7180" t="str">
            <v>DENTAL</v>
          </cell>
          <cell r="AA7180" t="str">
            <v>INTEGRAMEDICA SANTA LUCIA.</v>
          </cell>
        </row>
        <row r="7181">
          <cell r="Z7181" t="str">
            <v>DENTAL</v>
          </cell>
          <cell r="AA7181" t="str">
            <v>INSUMOS Y SERVICIOS MEDICOS S.A.</v>
          </cell>
        </row>
        <row r="7182">
          <cell r="Z7182" t="str">
            <v>DENTAL</v>
          </cell>
          <cell r="AA7182" t="str">
            <v>CESFAM CIRUJANO GUZMAN</v>
          </cell>
        </row>
        <row r="7183">
          <cell r="Z7183" t="str">
            <v>DENTAL</v>
          </cell>
          <cell r="AA7183" t="str">
            <v>CESFAM CIRUJANO GUZMAN</v>
          </cell>
        </row>
        <row r="7184">
          <cell r="Z7184" t="str">
            <v>DENTAL</v>
          </cell>
        </row>
        <row r="7185">
          <cell r="Z7185" t="str">
            <v>DENTAL</v>
          </cell>
          <cell r="AA7185" t="str">
            <v>POLICIA DE INVESTIGACIONES ANTOFAGASTA</v>
          </cell>
        </row>
        <row r="7186">
          <cell r="Z7186" t="str">
            <v>DENTAL</v>
          </cell>
          <cell r="AA7186" t="str">
            <v>DIPRECA FONDO HOSPITAL</v>
          </cell>
        </row>
        <row r="7187">
          <cell r="Z7187" t="str">
            <v>DENTAL</v>
          </cell>
          <cell r="AA7187" t="str">
            <v>SERVICIO DE SALUD METROPOLITANO SUR</v>
          </cell>
        </row>
        <row r="7188">
          <cell r="Z7188" t="str">
            <v>DENTAL</v>
          </cell>
        </row>
        <row r="7189">
          <cell r="Z7189" t="str">
            <v>DENTAL</v>
          </cell>
          <cell r="AA7189" t="str">
            <v>INSTITUTO DE SALUD PUBLICA</v>
          </cell>
        </row>
        <row r="7190">
          <cell r="Z7190" t="str">
            <v>DENTAL</v>
          </cell>
        </row>
        <row r="7191">
          <cell r="Z7191" t="str">
            <v>DENTAL</v>
          </cell>
          <cell r="AA7191" t="str">
            <v>HOSPITAL DE PURRANQUE</v>
          </cell>
        </row>
        <row r="7192">
          <cell r="Z7192" t="str">
            <v>DENTAL</v>
          </cell>
          <cell r="AA7192" t="str">
            <v>CESFAM PENCAHUE</v>
          </cell>
        </row>
        <row r="7193">
          <cell r="Z7193" t="str">
            <v>DENTAL</v>
          </cell>
        </row>
        <row r="7194">
          <cell r="Z7194" t="str">
            <v>DENTAL</v>
          </cell>
        </row>
        <row r="7195">
          <cell r="Z7195" t="str">
            <v>DENTAL</v>
          </cell>
        </row>
        <row r="7196">
          <cell r="Z7196" t="str">
            <v>DENTAL</v>
          </cell>
        </row>
        <row r="7197">
          <cell r="Z7197" t="str">
            <v>DENTAL</v>
          </cell>
          <cell r="AA7197" t="str">
            <v>SERVICIO DE SALUD VALPARAISO SN ANTONIO</v>
          </cell>
        </row>
        <row r="7198">
          <cell r="Z7198" t="str">
            <v>DENTAL</v>
          </cell>
        </row>
        <row r="7199">
          <cell r="Z7199" t="str">
            <v>DENTAL</v>
          </cell>
          <cell r="AA7199" t="str">
            <v>SERVICIO DE SALUD VALPARAISO SN ANTONIO</v>
          </cell>
        </row>
        <row r="7200">
          <cell r="Z7200" t="str">
            <v>DENTAL</v>
          </cell>
          <cell r="AA7200" t="str">
            <v>SERVICIO DE SALUD VALPARAISO SN ANTONIO</v>
          </cell>
        </row>
        <row r="7201">
          <cell r="Z7201" t="str">
            <v>DENTAL</v>
          </cell>
        </row>
        <row r="7202">
          <cell r="Z7202" t="str">
            <v>DENTAL</v>
          </cell>
        </row>
        <row r="7203">
          <cell r="Z7203" t="str">
            <v>DENTAL</v>
          </cell>
        </row>
        <row r="7204">
          <cell r="Z7204" t="str">
            <v>DENTAL</v>
          </cell>
          <cell r="AA7204" t="str">
            <v>SERVICIO DE SALUD BIO-BIO</v>
          </cell>
        </row>
        <row r="7205">
          <cell r="Z7205" t="str">
            <v>DENTAL</v>
          </cell>
          <cell r="AA7205" t="str">
            <v>SERVICIO DE SALUD BIO-BIO</v>
          </cell>
        </row>
        <row r="7206">
          <cell r="Z7206" t="str">
            <v>DENTAL</v>
          </cell>
          <cell r="AA7206" t="str">
            <v>HOSPITAL DE PUERTO AYSEN</v>
          </cell>
        </row>
        <row r="7207">
          <cell r="Z7207" t="str">
            <v>DENTAL</v>
          </cell>
          <cell r="AA7207" t="str">
            <v>SERVICIO DE SALUD BIO-BIO</v>
          </cell>
        </row>
        <row r="7208">
          <cell r="Z7208" t="str">
            <v>DENTAL</v>
          </cell>
          <cell r="AA7208" t="str">
            <v>SERVICIO DE SALUD BIO-BIO</v>
          </cell>
        </row>
        <row r="7209">
          <cell r="Z7209" t="str">
            <v>DENTAL</v>
          </cell>
          <cell r="AA7209" t="str">
            <v>VICTOR PATRICIO CANALES BURGOS</v>
          </cell>
        </row>
        <row r="7210">
          <cell r="Z7210" t="str">
            <v>DENTAL</v>
          </cell>
          <cell r="AA7210" t="str">
            <v>POLICIA DE INVESTIGACIONES DE CHILE</v>
          </cell>
        </row>
        <row r="7211">
          <cell r="Z7211" t="str">
            <v>DENTAL</v>
          </cell>
        </row>
        <row r="7212">
          <cell r="Z7212" t="str">
            <v>DENTAL</v>
          </cell>
        </row>
        <row r="7213">
          <cell r="Z7213" t="str">
            <v>DENTAL</v>
          </cell>
          <cell r="AA7213" t="str">
            <v>LA ARAUCANA SALUD S.A.</v>
          </cell>
        </row>
        <row r="7214">
          <cell r="Z7214" t="str">
            <v>DENTAL</v>
          </cell>
          <cell r="AA7214" t="str">
            <v>LA ARAUCANA SALUD S.A.</v>
          </cell>
        </row>
        <row r="7215">
          <cell r="Z7215" t="str">
            <v>DENTAL</v>
          </cell>
          <cell r="AA7215" t="str">
            <v>SERVICIO DE SALUD DEL MAULE</v>
          </cell>
        </row>
        <row r="7216">
          <cell r="Z7216" t="str">
            <v>DENTAL</v>
          </cell>
          <cell r="AA7216" t="str">
            <v>I. MUNICIPALIDAD DE LINARES</v>
          </cell>
        </row>
        <row r="7217">
          <cell r="Z7217" t="str">
            <v>DENTAL</v>
          </cell>
          <cell r="AA7217" t="str">
            <v>I. MUNICIPALIDAD DE LINARES</v>
          </cell>
        </row>
        <row r="7218">
          <cell r="Z7218" t="str">
            <v>DENTAL</v>
          </cell>
        </row>
        <row r="7219">
          <cell r="Z7219" t="str">
            <v>DENTAL</v>
          </cell>
        </row>
        <row r="7220">
          <cell r="Z7220" t="str">
            <v>DENTAL</v>
          </cell>
          <cell r="AA7220" t="str">
            <v>HOSPITAL DE QUIRIHUE</v>
          </cell>
        </row>
        <row r="7221">
          <cell r="Z7221" t="str">
            <v>DENTAL</v>
          </cell>
          <cell r="AA7221" t="str">
            <v>HOSPITAL DE QUIRIHUE</v>
          </cell>
        </row>
        <row r="7222">
          <cell r="Z7222" t="str">
            <v>DENTAL</v>
          </cell>
          <cell r="AA7222" t="str">
            <v>CESFAM FAUSTINO GONZALEZ</v>
          </cell>
        </row>
        <row r="7223">
          <cell r="Z7223" t="str">
            <v>DENTAL</v>
          </cell>
          <cell r="AA7223" t="str">
            <v>CESFAM FAUSTINO GONZALEZ</v>
          </cell>
        </row>
        <row r="7224">
          <cell r="Z7224" t="str">
            <v>DENTAL</v>
          </cell>
          <cell r="AA7224" t="str">
            <v>CESFAM FAUSTINO GONZALEZ</v>
          </cell>
        </row>
        <row r="7225">
          <cell r="Z7225" t="str">
            <v>DENTAL</v>
          </cell>
        </row>
        <row r="7226">
          <cell r="Z7226" t="str">
            <v>DENTAL</v>
          </cell>
          <cell r="AA7226" t="str">
            <v>CESFAM JULIO CONTARDO URZUA DE TALCA</v>
          </cell>
        </row>
        <row r="7227">
          <cell r="Z7227" t="str">
            <v>DENTAL</v>
          </cell>
          <cell r="AA7227" t="str">
            <v>CESFAM JULIO CONTARDO URZUA DE TALCA</v>
          </cell>
        </row>
        <row r="7228">
          <cell r="Z7228" t="str">
            <v>DENTAL</v>
          </cell>
          <cell r="AA7228" t="str">
            <v>CESFAM CARLOS TRUPP TALCA</v>
          </cell>
        </row>
        <row r="7229">
          <cell r="Z7229" t="str">
            <v>DENTAL</v>
          </cell>
          <cell r="AA7229" t="str">
            <v>CESFAM TALCA</v>
          </cell>
        </row>
        <row r="7230">
          <cell r="Z7230" t="str">
            <v>DENTAL</v>
          </cell>
          <cell r="AA7230" t="str">
            <v>CESFAM TALCA</v>
          </cell>
        </row>
        <row r="7231">
          <cell r="Z7231" t="str">
            <v>DENTAL</v>
          </cell>
          <cell r="AA7231" t="str">
            <v>CESFAM CARLOS TRUPP TALCA</v>
          </cell>
        </row>
        <row r="7232">
          <cell r="Z7232" t="str">
            <v>DENTAL</v>
          </cell>
          <cell r="AA7232" t="str">
            <v>DR. CRISTIAN FUENTES GARCIA</v>
          </cell>
        </row>
        <row r="7233">
          <cell r="Z7233" t="str">
            <v>DENTAL</v>
          </cell>
          <cell r="AA7233" t="str">
            <v>CESFAM CARLOS TRUPP TALCA</v>
          </cell>
        </row>
        <row r="7234">
          <cell r="Z7234" t="str">
            <v>DENTAL</v>
          </cell>
          <cell r="AA7234" t="str">
            <v>CESFAM SOL DE SEPTIEMBRE</v>
          </cell>
        </row>
        <row r="7235">
          <cell r="Z7235" t="str">
            <v>DENTAL</v>
          </cell>
          <cell r="AA7235" t="str">
            <v>CESFAM ROMERAL</v>
          </cell>
        </row>
        <row r="7236">
          <cell r="Z7236" t="str">
            <v>DENTAL</v>
          </cell>
          <cell r="AA7236" t="str">
            <v>CESFAM ROMERAL</v>
          </cell>
        </row>
        <row r="7237">
          <cell r="Z7237" t="str">
            <v>DENTAL</v>
          </cell>
          <cell r="AA7237" t="str">
            <v>CESFAM LA PINCOYA</v>
          </cell>
        </row>
        <row r="7238">
          <cell r="Z7238" t="str">
            <v>DENTAL</v>
          </cell>
          <cell r="AA7238" t="str">
            <v>CESFAM LA PINCOYA</v>
          </cell>
        </row>
        <row r="7239">
          <cell r="Z7239" t="str">
            <v>DENTAL</v>
          </cell>
        </row>
        <row r="7240">
          <cell r="Z7240" t="str">
            <v>DENTAL</v>
          </cell>
          <cell r="AA7240" t="str">
            <v>CESFAM SOL DE SEPTIEMBRE</v>
          </cell>
        </row>
        <row r="7241">
          <cell r="Z7241" t="str">
            <v>DENTAL</v>
          </cell>
          <cell r="AA7241" t="str">
            <v>CESFAM LA PINCOYA</v>
          </cell>
        </row>
        <row r="7242">
          <cell r="Z7242" t="str">
            <v>DENTAL</v>
          </cell>
          <cell r="AA7242" t="str">
            <v>HOSPITAL DR. HERNAN HENRIQUEZ ARAVENA</v>
          </cell>
        </row>
        <row r="7243">
          <cell r="Z7243" t="str">
            <v>DENTAL</v>
          </cell>
          <cell r="AA7243" t="str">
            <v>CESFAM SOL DE SEPTIEMBRE</v>
          </cell>
        </row>
        <row r="7244">
          <cell r="Z7244" t="str">
            <v>DENTAL</v>
          </cell>
          <cell r="AA7244" t="str">
            <v>CESFAM SOL DE SEPTIEMBRE</v>
          </cell>
        </row>
        <row r="7245">
          <cell r="Z7245" t="str">
            <v>DENTAL</v>
          </cell>
          <cell r="AA7245" t="str">
            <v>INTEGRAMEDICA RANCAGUA</v>
          </cell>
        </row>
        <row r="7246">
          <cell r="Z7246" t="str">
            <v>DENTAL</v>
          </cell>
          <cell r="AA7246" t="str">
            <v>CESFAM SOL DE SEPTIEMBRE</v>
          </cell>
        </row>
        <row r="7247">
          <cell r="Z7247" t="str">
            <v>DENTAL</v>
          </cell>
          <cell r="AA7247" t="str">
            <v>CESFAM SOL DE SEPTIEMBRE</v>
          </cell>
        </row>
        <row r="7248">
          <cell r="Z7248" t="str">
            <v>DENTAL</v>
          </cell>
        </row>
        <row r="7249">
          <cell r="Z7249" t="str">
            <v>DENTAL</v>
          </cell>
          <cell r="AA7249" t="str">
            <v>CESFAM LONGAVI</v>
          </cell>
        </row>
        <row r="7250">
          <cell r="Z7250" t="str">
            <v>DENTAL</v>
          </cell>
          <cell r="AA7250" t="str">
            <v>CESFAM LONGAVI</v>
          </cell>
        </row>
        <row r="7251">
          <cell r="Z7251" t="str">
            <v>DENTAL</v>
          </cell>
          <cell r="AA7251" t="str">
            <v>CESFAM LONGAVI</v>
          </cell>
        </row>
        <row r="7252">
          <cell r="Z7252" t="str">
            <v>DENTAL</v>
          </cell>
        </row>
        <row r="7253">
          <cell r="Z7253" t="str">
            <v>DENTAL</v>
          </cell>
          <cell r="AA7253" t="str">
            <v>DR. FRANCISCO ASTURIAS PEREZ</v>
          </cell>
        </row>
        <row r="7254">
          <cell r="Z7254" t="str">
            <v>DENTAL</v>
          </cell>
          <cell r="AA7254" t="str">
            <v>DR. FRANCISCO ASTURIAS PEREZ</v>
          </cell>
        </row>
        <row r="7255">
          <cell r="Z7255" t="str">
            <v>DENTAL</v>
          </cell>
          <cell r="AA7255" t="str">
            <v>UNIVERSIDAD FINIS TERRAE</v>
          </cell>
        </row>
        <row r="7256">
          <cell r="Z7256" t="str">
            <v>DENTAL</v>
          </cell>
          <cell r="AA7256" t="str">
            <v>UNIVERSIDAD FINIS TERRAE</v>
          </cell>
        </row>
        <row r="7257">
          <cell r="Z7257" t="str">
            <v>DENTAL</v>
          </cell>
          <cell r="AA7257" t="str">
            <v>ODONTOLOGIA PROVIDENCIA SPA</v>
          </cell>
        </row>
        <row r="7258">
          <cell r="Z7258" t="str">
            <v>DENTAL</v>
          </cell>
        </row>
        <row r="7259">
          <cell r="Z7259" t="str">
            <v>DENTAL</v>
          </cell>
          <cell r="AA7259" t="str">
            <v>CLINICA MOVIL CENTINELA</v>
          </cell>
        </row>
        <row r="7260">
          <cell r="Z7260" t="str">
            <v>DENTAL</v>
          </cell>
          <cell r="AA7260" t="str">
            <v>CLINICA MOVIL CENTINELA</v>
          </cell>
        </row>
        <row r="7261">
          <cell r="Z7261" t="str">
            <v>DENTAL</v>
          </cell>
        </row>
        <row r="7262">
          <cell r="Z7262" t="str">
            <v>DENTAL</v>
          </cell>
        </row>
        <row r="7263">
          <cell r="Z7263" t="str">
            <v>DENTAL</v>
          </cell>
          <cell r="AA7263" t="str">
            <v>CESFAM RAUL BRAÑES</v>
          </cell>
        </row>
        <row r="7264">
          <cell r="Z7264" t="str">
            <v>DENTAL</v>
          </cell>
        </row>
        <row r="7265">
          <cell r="Z7265" t="str">
            <v>DENTAL</v>
          </cell>
          <cell r="AA7265" t="str">
            <v>CECOSF EDUARDO FREI</v>
          </cell>
        </row>
        <row r="7266">
          <cell r="Z7266" t="str">
            <v>DENTAL</v>
          </cell>
        </row>
        <row r="7267">
          <cell r="Z7267" t="str">
            <v>DENTAL</v>
          </cell>
          <cell r="AA7267" t="str">
            <v>HOSPITAL DEL PROFESOR</v>
          </cell>
        </row>
        <row r="7268">
          <cell r="Z7268" t="str">
            <v>DENTAL</v>
          </cell>
        </row>
        <row r="7269">
          <cell r="Z7269" t="str">
            <v>DENTAL</v>
          </cell>
          <cell r="AA7269" t="str">
            <v>CECOSF CERRO ESTANQUE DE TOME</v>
          </cell>
        </row>
        <row r="7270">
          <cell r="Z7270" t="str">
            <v>DENTAL</v>
          </cell>
        </row>
        <row r="7271">
          <cell r="Z7271" t="str">
            <v>DENTAL</v>
          </cell>
          <cell r="AA7271" t="str">
            <v>CLINICA MOVIL CENTINELA</v>
          </cell>
        </row>
        <row r="7272">
          <cell r="Z7272" t="str">
            <v>DENTAL</v>
          </cell>
        </row>
        <row r="7273">
          <cell r="Z7273" t="str">
            <v>DENTAL</v>
          </cell>
          <cell r="AA7273" t="str">
            <v>HOSPITAL DE PURRANQUE</v>
          </cell>
        </row>
        <row r="7274">
          <cell r="Z7274" t="str">
            <v>DENTAL</v>
          </cell>
        </row>
        <row r="7275">
          <cell r="Z7275" t="str">
            <v>DENTAL</v>
          </cell>
          <cell r="AA7275" t="str">
            <v>HOSPITAL DE PURRANQUE</v>
          </cell>
        </row>
        <row r="7276">
          <cell r="Z7276" t="str">
            <v>DENTAL</v>
          </cell>
          <cell r="AA7276" t="str">
            <v>HOSPITAL SAN LUIS BUIN</v>
          </cell>
        </row>
        <row r="7277">
          <cell r="Z7277" t="str">
            <v>DENTAL</v>
          </cell>
        </row>
        <row r="7278">
          <cell r="Z7278" t="str">
            <v>DENTAL</v>
          </cell>
          <cell r="AA7278" t="str">
            <v>CLINICA MOVIL CENTINELA</v>
          </cell>
        </row>
        <row r="7279">
          <cell r="Z7279" t="str">
            <v>DENTAL</v>
          </cell>
          <cell r="AA7279" t="str">
            <v>CLINICA MOVIL CENTINELA</v>
          </cell>
        </row>
        <row r="7280">
          <cell r="Z7280" t="str">
            <v>DENTAL</v>
          </cell>
          <cell r="AA7280" t="str">
            <v>CLINICA MOVIL CENTINELA</v>
          </cell>
        </row>
        <row r="7281">
          <cell r="Z7281" t="str">
            <v>DENTAL</v>
          </cell>
        </row>
        <row r="7282">
          <cell r="Z7282" t="str">
            <v>DENTAL</v>
          </cell>
        </row>
        <row r="7283">
          <cell r="Z7283" t="str">
            <v>DENTAL</v>
          </cell>
        </row>
        <row r="7284">
          <cell r="Z7284" t="str">
            <v>DENTAL</v>
          </cell>
        </row>
        <row r="7285">
          <cell r="Z7285" t="str">
            <v>DENTAL</v>
          </cell>
          <cell r="AA7285" t="str">
            <v>CLINICA MOVIL CENTINELA</v>
          </cell>
        </row>
        <row r="7286">
          <cell r="Z7286" t="str">
            <v>DENTAL</v>
          </cell>
          <cell r="AA7286" t="str">
            <v>CLINICA MOVIL CENTINELA</v>
          </cell>
        </row>
        <row r="7287">
          <cell r="Z7287" t="str">
            <v>DENTAL</v>
          </cell>
          <cell r="AA7287" t="str">
            <v>CLINICA MOVIL CENTINELA</v>
          </cell>
        </row>
        <row r="7288">
          <cell r="Z7288" t="str">
            <v>DENTAL</v>
          </cell>
          <cell r="AA7288" t="str">
            <v>POSTA LIMAHUIDA</v>
          </cell>
        </row>
        <row r="7289">
          <cell r="Z7289" t="str">
            <v>DENTAL</v>
          </cell>
        </row>
        <row r="7290">
          <cell r="Z7290" t="str">
            <v>DENTAL</v>
          </cell>
        </row>
        <row r="7291">
          <cell r="Z7291" t="str">
            <v>DENTAL</v>
          </cell>
          <cell r="AA7291" t="str">
            <v>SERVICIO DE SALUD DEL MAULE</v>
          </cell>
        </row>
        <row r="7292">
          <cell r="Z7292" t="str">
            <v>DENTAL</v>
          </cell>
        </row>
        <row r="7293">
          <cell r="Z7293" t="str">
            <v>DENTAL</v>
          </cell>
          <cell r="AA7293" t="str">
            <v>DR. CLAUDIO ARROYO</v>
          </cell>
        </row>
        <row r="7294">
          <cell r="Z7294" t="str">
            <v>DENTAL</v>
          </cell>
        </row>
        <row r="7295">
          <cell r="Z7295" t="str">
            <v>DENTAL</v>
          </cell>
          <cell r="AA7295" t="str">
            <v>INTEGRAMEDICA S.A (Las Condes)</v>
          </cell>
        </row>
        <row r="7296">
          <cell r="Z7296" t="str">
            <v>DENTAL</v>
          </cell>
          <cell r="AA7296" t="str">
            <v>INTEGRAMEDICA BANDERA</v>
          </cell>
        </row>
        <row r="7297">
          <cell r="Z7297" t="str">
            <v>DENTAL</v>
          </cell>
          <cell r="AA7297" t="str">
            <v>UNIVERSIDAD DEL DESARROLLO CONCEPCION</v>
          </cell>
        </row>
        <row r="7298">
          <cell r="Z7298" t="str">
            <v>OTRO</v>
          </cell>
          <cell r="AA7298" t="str">
            <v>HOSPITAL CARLOS CISTERNA DE CALAMA</v>
          </cell>
        </row>
        <row r="7299">
          <cell r="Z7299" t="str">
            <v>OTRO</v>
          </cell>
          <cell r="AA7299" t="str">
            <v>SERVICIO DE SALUD METROPOLITANO SUR</v>
          </cell>
        </row>
        <row r="7300">
          <cell r="Z7300" t="str">
            <v>OTRO</v>
          </cell>
          <cell r="AA7300" t="str">
            <v>JUNAEB ESCUELA VICTOR DOMINGO SILVA</v>
          </cell>
        </row>
        <row r="7301">
          <cell r="Z7301" t="str">
            <v>OTRO</v>
          </cell>
          <cell r="AA7301" t="str">
            <v>JUNAEB MODULO FRUTILLAR</v>
          </cell>
        </row>
        <row r="7302">
          <cell r="Z7302" t="str">
            <v>OTRO</v>
          </cell>
          <cell r="AA7302" t="str">
            <v>JUNAEB ESCUELA NUEVA ZELANDIA</v>
          </cell>
        </row>
        <row r="7303">
          <cell r="Z7303" t="str">
            <v>OTRO</v>
          </cell>
          <cell r="AA7303" t="str">
            <v>JUNAEB ESCUELA NUEVA ZELANDIA</v>
          </cell>
        </row>
        <row r="7304">
          <cell r="Z7304" t="str">
            <v>OTRO</v>
          </cell>
          <cell r="AA7304" t="str">
            <v>JUNAEB ESCUELA NUEVA ZELANDIA</v>
          </cell>
        </row>
        <row r="7305">
          <cell r="Z7305" t="str">
            <v>OTRO</v>
          </cell>
          <cell r="AA7305" t="str">
            <v>JUNAEB ALTOBIOBIO</v>
          </cell>
        </row>
        <row r="7306">
          <cell r="Z7306" t="str">
            <v>DENTAL</v>
          </cell>
          <cell r="AA7306" t="str">
            <v>HOSPITAL DE URGENCIA ASISTENCIA PUBLICA DR. ALEJ</v>
          </cell>
        </row>
        <row r="7307">
          <cell r="Z7307" t="str">
            <v>DENTAL</v>
          </cell>
        </row>
        <row r="7308">
          <cell r="Z7308" t="str">
            <v>DENTAL</v>
          </cell>
        </row>
        <row r="7309">
          <cell r="Z7309" t="str">
            <v>DENTAL</v>
          </cell>
          <cell r="AA7309" t="str">
            <v>HOSPITAL DR. GUSTAVO FRICKE</v>
          </cell>
        </row>
        <row r="7310">
          <cell r="Z7310" t="str">
            <v>DENTAL</v>
          </cell>
          <cell r="AA7310" t="str">
            <v>HOSPITAL DR. GUSTAVO FRICKE</v>
          </cell>
        </row>
        <row r="7311">
          <cell r="Z7311" t="str">
            <v>DENTAL</v>
          </cell>
          <cell r="AA7311" t="str">
            <v>HOSPITAL DR. GUSTAVO FRICKE</v>
          </cell>
        </row>
        <row r="7312">
          <cell r="Z7312" t="str">
            <v>DENTAL</v>
          </cell>
        </row>
        <row r="7313">
          <cell r="Z7313" t="str">
            <v>DENTAL</v>
          </cell>
        </row>
        <row r="7314">
          <cell r="Z7314" t="str">
            <v>DENTAL</v>
          </cell>
          <cell r="AA7314" t="str">
            <v>HOSPITAL EXEQUIEL GONZALEZ CORTES</v>
          </cell>
        </row>
        <row r="7315">
          <cell r="Z7315" t="str">
            <v>DENTAL</v>
          </cell>
          <cell r="AA7315" t="str">
            <v>HOSPITAL DR. GUSTAVO FRICKE</v>
          </cell>
        </row>
        <row r="7316">
          <cell r="Z7316" t="str">
            <v>DENTAL</v>
          </cell>
          <cell r="AA7316" t="str">
            <v>HOSPITAL DR. GUSTAVO FRICKE</v>
          </cell>
        </row>
        <row r="7317">
          <cell r="Z7317" t="str">
            <v>DENTAL</v>
          </cell>
          <cell r="AA7317" t="str">
            <v>HOSPITAL DR. GUSTAVO FRICKE</v>
          </cell>
        </row>
        <row r="7318">
          <cell r="Z7318" t="str">
            <v>DENTAL</v>
          </cell>
        </row>
        <row r="7319">
          <cell r="Z7319" t="str">
            <v>DENTAL</v>
          </cell>
        </row>
        <row r="7320">
          <cell r="Z7320" t="str">
            <v>DENTAL</v>
          </cell>
          <cell r="AA7320" t="str">
            <v>ACHS</v>
          </cell>
        </row>
        <row r="7321">
          <cell r="Z7321" t="str">
            <v>DENTAL</v>
          </cell>
          <cell r="AA7321" t="str">
            <v>SOCIEDAD MEDICA E IMAGENEOLOGICA ANCUD LTDA</v>
          </cell>
        </row>
        <row r="7322">
          <cell r="Z7322" t="str">
            <v>DENTAL</v>
          </cell>
          <cell r="AA7322" t="str">
            <v>CLINICA MOVIL CENTINELA</v>
          </cell>
        </row>
        <row r="7323">
          <cell r="Z7323" t="str">
            <v>DENTAL</v>
          </cell>
          <cell r="AA7323" t="str">
            <v>CESFAM SAN VICENTE TALCAHUANO</v>
          </cell>
        </row>
        <row r="7324">
          <cell r="Z7324" t="str">
            <v>DENTAL</v>
          </cell>
          <cell r="AA7324" t="str">
            <v>CESFAM LO BARNECHEA</v>
          </cell>
        </row>
        <row r="7325">
          <cell r="Z7325" t="str">
            <v>DENTAL</v>
          </cell>
          <cell r="AA7325" t="str">
            <v>CESFAM SAN VICENTE TALCAHUANO</v>
          </cell>
        </row>
        <row r="7326">
          <cell r="Z7326" t="str">
            <v>DENTAL</v>
          </cell>
        </row>
        <row r="7327">
          <cell r="Z7327" t="str">
            <v>DENTAL</v>
          </cell>
          <cell r="AA7327" t="str">
            <v>HOSPITAL BARROS LUCO TRUDEAU</v>
          </cell>
        </row>
        <row r="7328">
          <cell r="Z7328" t="str">
            <v>DENTAL</v>
          </cell>
        </row>
        <row r="7329">
          <cell r="Z7329" t="str">
            <v>DENTAL</v>
          </cell>
        </row>
        <row r="7330">
          <cell r="Z7330" t="str">
            <v>DENTAL</v>
          </cell>
        </row>
        <row r="7331">
          <cell r="Z7331" t="str">
            <v>DENTAL</v>
          </cell>
        </row>
        <row r="7332">
          <cell r="Z7332" t="str">
            <v>DENTAL</v>
          </cell>
          <cell r="AA7332" t="str">
            <v>CARLOS DURAN Y CIA. LTDA.</v>
          </cell>
        </row>
        <row r="7333">
          <cell r="Z7333" t="str">
            <v>DENTAL</v>
          </cell>
          <cell r="AA7333" t="str">
            <v>CARLOS DURAN Y CIA. LTDA.</v>
          </cell>
        </row>
        <row r="7334">
          <cell r="Z7334" t="str">
            <v>DENTAL</v>
          </cell>
        </row>
        <row r="7335">
          <cell r="Z7335" t="str">
            <v>DENTAL</v>
          </cell>
        </row>
        <row r="7336">
          <cell r="Z7336" t="str">
            <v>DENTAL</v>
          </cell>
        </row>
        <row r="7337">
          <cell r="Z7337" t="str">
            <v>DENTAL</v>
          </cell>
          <cell r="AA7337" t="str">
            <v>GEMCO GENERAL MACHINERY S.A.</v>
          </cell>
        </row>
        <row r="7338">
          <cell r="Z7338" t="str">
            <v>DENTAL</v>
          </cell>
        </row>
        <row r="7339">
          <cell r="Z7339" t="str">
            <v>DENTAL</v>
          </cell>
        </row>
        <row r="7340">
          <cell r="Z7340" t="str">
            <v>DENTAL</v>
          </cell>
        </row>
        <row r="7341">
          <cell r="Z7341" t="str">
            <v>DENTAL</v>
          </cell>
        </row>
        <row r="7342">
          <cell r="Z7342" t="str">
            <v>DENTAL</v>
          </cell>
          <cell r="AA7342" t="str">
            <v>HOSPITAL EXEQUIEL GONZALEZ CORTES</v>
          </cell>
        </row>
        <row r="7343">
          <cell r="Z7343" t="str">
            <v>DENTAL</v>
          </cell>
        </row>
        <row r="7344">
          <cell r="Z7344" t="str">
            <v>DENTAL</v>
          </cell>
          <cell r="AA7344" t="str">
            <v>CENTRO NORDEN AGUSTINAS 640</v>
          </cell>
        </row>
        <row r="7345">
          <cell r="Z7345" t="str">
            <v>DENTAL</v>
          </cell>
        </row>
        <row r="7346">
          <cell r="Z7346" t="str">
            <v>DENTAL</v>
          </cell>
        </row>
        <row r="7347">
          <cell r="Z7347" t="str">
            <v>DENTAL</v>
          </cell>
        </row>
        <row r="7348">
          <cell r="Z7348" t="str">
            <v>DENTAL</v>
          </cell>
        </row>
        <row r="7349">
          <cell r="Z7349" t="str">
            <v>DENTAL</v>
          </cell>
        </row>
        <row r="7350">
          <cell r="Z7350" t="str">
            <v>DENTAL</v>
          </cell>
          <cell r="AA7350" t="str">
            <v>ASMAR</v>
          </cell>
        </row>
        <row r="7351">
          <cell r="Z7351" t="str">
            <v>DENTAL</v>
          </cell>
          <cell r="AA7351" t="str">
            <v>CLINICA ESTORIL</v>
          </cell>
        </row>
        <row r="7352">
          <cell r="Z7352" t="str">
            <v>DENTAL</v>
          </cell>
        </row>
        <row r="7353">
          <cell r="Z7353" t="str">
            <v>DENTAL</v>
          </cell>
        </row>
        <row r="7354">
          <cell r="Z7354" t="str">
            <v>DENTAL</v>
          </cell>
        </row>
        <row r="7355">
          <cell r="Z7355" t="str">
            <v>DENTAL</v>
          </cell>
          <cell r="AA7355" t="str">
            <v>SOCIEDAD CONCESIONARIA METROPOLITANA DE SALUD S.A.</v>
          </cell>
        </row>
        <row r="7356">
          <cell r="Z7356" t="str">
            <v>DENTAL</v>
          </cell>
          <cell r="AA7356" t="str">
            <v>SOCIEDAD CONCESIONARIA METROPOLITANA DE SALUD S.A.</v>
          </cell>
        </row>
        <row r="7357">
          <cell r="Z7357" t="str">
            <v>DENTAL</v>
          </cell>
          <cell r="AA7357" t="str">
            <v>SOCIEDAD CONCESIONARIA METROPOLITANA DE SALUD S.A.</v>
          </cell>
        </row>
        <row r="7358">
          <cell r="Z7358" t="str">
            <v>DENTAL</v>
          </cell>
          <cell r="AA7358" t="str">
            <v>SOCIEDAD CONCESIONARIA METROPOLITANA DE SALUD S.A.</v>
          </cell>
        </row>
        <row r="7359">
          <cell r="Z7359" t="str">
            <v>DENTAL</v>
          </cell>
          <cell r="AA7359" t="str">
            <v>SOCIEDAD CONCESIONARIA METROPOLITANA DE SALUD S.A.</v>
          </cell>
        </row>
        <row r="7360">
          <cell r="Z7360" t="str">
            <v>DENTAL</v>
          </cell>
          <cell r="AA7360" t="str">
            <v>SOCIEDAD CONCESIONARIA METROPOLITANA DE SALUD S.A.</v>
          </cell>
        </row>
        <row r="7361">
          <cell r="Z7361" t="str">
            <v>DENTAL</v>
          </cell>
          <cell r="AA7361" t="str">
            <v>SOCIEDAD CONCESIONARIA METROPOLITANA DE SALUD S.A.</v>
          </cell>
        </row>
        <row r="7362">
          <cell r="Z7362" t="str">
            <v>DENTAL</v>
          </cell>
          <cell r="AA7362" t="str">
            <v>SOCIEDAD CONCESIONARIA METROPOLITANA DE SALUD S.A.</v>
          </cell>
        </row>
        <row r="7363">
          <cell r="Z7363" t="str">
            <v>DENTAL</v>
          </cell>
          <cell r="AA7363" t="str">
            <v>SOCIEDAD CONCESIONARIA METROPOLITANA DE SALUD S.A.</v>
          </cell>
        </row>
        <row r="7364">
          <cell r="Z7364" t="str">
            <v>DENTAL</v>
          </cell>
          <cell r="AA7364" t="str">
            <v>SOCIEDAD CONCESIONARIA METROPOLITANA DE SALUD S.A.</v>
          </cell>
        </row>
        <row r="7365">
          <cell r="Z7365" t="str">
            <v>DENTAL</v>
          </cell>
          <cell r="AA7365" t="str">
            <v>SOCIEDAD CONCESIONARIA METROPOLITANA DE SALUD S.A.</v>
          </cell>
        </row>
        <row r="7366">
          <cell r="Z7366" t="str">
            <v>DENTAL</v>
          </cell>
          <cell r="AA7366" t="str">
            <v>SOCIEDAD CONCESIONARIA METROPOLITANA DE SALUD S.A.</v>
          </cell>
        </row>
        <row r="7367">
          <cell r="Z7367" t="str">
            <v>DENTAL</v>
          </cell>
          <cell r="AA7367" t="str">
            <v>SOCIEDAD CONCESIONARIA METROPOLITANA DE SALUD S.A.</v>
          </cell>
        </row>
        <row r="7368">
          <cell r="Z7368" t="str">
            <v>DENTAL</v>
          </cell>
          <cell r="AA7368" t="str">
            <v>SOCIEDAD CONCESIONARIA METROPOLITANA DE SALUD S.A.</v>
          </cell>
        </row>
        <row r="7369">
          <cell r="Z7369" t="str">
            <v>DENTAL</v>
          </cell>
          <cell r="AA7369" t="str">
            <v>SOCIEDAD CONCESIONARIA METROPOLITANA DE SALUD S.A.</v>
          </cell>
        </row>
        <row r="7370">
          <cell r="Z7370" t="str">
            <v>DENTAL</v>
          </cell>
          <cell r="AA7370" t="str">
            <v>SOCIEDAD CONCESIONARIA METROPOLITANA DE SALUD S.A.</v>
          </cell>
        </row>
        <row r="7371">
          <cell r="Z7371" t="str">
            <v>DENTAL</v>
          </cell>
          <cell r="AA7371" t="str">
            <v>SOCIEDAD CONCESIONARIA METROPOLITANA DE SALUD S.A.</v>
          </cell>
        </row>
        <row r="7372">
          <cell r="Z7372" t="str">
            <v>DENTAL</v>
          </cell>
          <cell r="AA7372" t="str">
            <v>SOCIEDAD CONCESIONARIA METROPOLITANA DE SALUD S.A.</v>
          </cell>
        </row>
        <row r="7373">
          <cell r="Z7373" t="str">
            <v>DENTAL</v>
          </cell>
          <cell r="AA7373" t="str">
            <v>SOCIEDAD CONCESIONARIA METROPOLITANA DE SALUD S.A.</v>
          </cell>
        </row>
        <row r="7374">
          <cell r="Z7374" t="str">
            <v>DENTAL</v>
          </cell>
          <cell r="AA7374" t="str">
            <v>SOCIEDAD CONCESIONARIA METROPOLITANA DE SALUD S.A.</v>
          </cell>
        </row>
        <row r="7375">
          <cell r="Z7375" t="str">
            <v>DENTAL</v>
          </cell>
          <cell r="AA7375" t="str">
            <v>SOCIEDAD CONCESIONARIA METROPOLITANA DE SALUD S.A.</v>
          </cell>
        </row>
        <row r="7376">
          <cell r="Z7376" t="str">
            <v>DENTAL</v>
          </cell>
          <cell r="AA7376" t="str">
            <v>SOCIEDAD CONCESIONARIA METROPOLITANA DE SALUD S.A.</v>
          </cell>
        </row>
        <row r="7377">
          <cell r="Z7377" t="str">
            <v>DENTAL</v>
          </cell>
          <cell r="AA7377" t="str">
            <v>SOCIEDAD CONCESIONARIA METROPOLITANA DE SALUD S.A.</v>
          </cell>
        </row>
        <row r="7378">
          <cell r="Z7378" t="str">
            <v>DENTAL</v>
          </cell>
          <cell r="AA7378" t="str">
            <v>SOCIEDAD CONCESIONARIA METROPOLITANA DE SALUD S.A.</v>
          </cell>
        </row>
        <row r="7379">
          <cell r="Z7379" t="str">
            <v>DENTAL</v>
          </cell>
          <cell r="AA7379" t="str">
            <v>SOCIEDAD CONCESIONARIA METROPOLITANA DE SALUD S.A.</v>
          </cell>
        </row>
        <row r="7380">
          <cell r="Z7380" t="str">
            <v>DENTAL</v>
          </cell>
          <cell r="AA7380" t="str">
            <v>SOCIEDAD CONCESIONARIA METROPOLITANA DE SALUD S.A.</v>
          </cell>
        </row>
        <row r="7381">
          <cell r="Z7381" t="str">
            <v>DENTAL</v>
          </cell>
          <cell r="AA7381" t="str">
            <v>SOCIEDAD CONCESIONARIA METROPOLITANA DE SALUD S.A.</v>
          </cell>
        </row>
        <row r="7382">
          <cell r="Z7382" t="str">
            <v>DENTAL</v>
          </cell>
          <cell r="AA7382" t="str">
            <v>SOCIEDAD CONCESIONARIA METROPOLITANA DE SALUD S.A.</v>
          </cell>
        </row>
        <row r="7383">
          <cell r="Z7383" t="str">
            <v>DENTAL</v>
          </cell>
          <cell r="AA7383" t="str">
            <v>INTEGRAMEDICA VESPUCIO</v>
          </cell>
        </row>
        <row r="7384">
          <cell r="Z7384" t="str">
            <v>MOBILIARIO CLINICO</v>
          </cell>
          <cell r="AA7384" t="str">
            <v>CLINICA LAS CONDES S.A.</v>
          </cell>
        </row>
        <row r="7385">
          <cell r="Z7385" t="str">
            <v>DENTAL</v>
          </cell>
          <cell r="AA7385" t="str">
            <v>SERVICIO DE SALUD DEL MAULE</v>
          </cell>
        </row>
        <row r="7386">
          <cell r="Z7386" t="str">
            <v>DENTAL</v>
          </cell>
        </row>
        <row r="7387">
          <cell r="Z7387" t="str">
            <v>ENDOSCOPÍA</v>
          </cell>
          <cell r="AA7387" t="str">
            <v>HOSPITAL GUILLERMO GRANT BENAVENTE</v>
          </cell>
        </row>
        <row r="7388">
          <cell r="Z7388" t="str">
            <v>ENDOSCOPÍA</v>
          </cell>
          <cell r="AA7388" t="str">
            <v>UC CHRISTUS SERVICIOS AMBULATORIOS SPA</v>
          </cell>
        </row>
        <row r="7389">
          <cell r="Z7389" t="str">
            <v>ENDOSCOPÍA</v>
          </cell>
          <cell r="AA7389" t="str">
            <v>HOSPITAL DEL SALVADOR</v>
          </cell>
        </row>
        <row r="7390">
          <cell r="Z7390" t="str">
            <v>ENDOSCOPÍA</v>
          </cell>
          <cell r="AA7390" t="str">
            <v>HOSPITAL DE CURICO</v>
          </cell>
        </row>
        <row r="7391">
          <cell r="Z7391" t="str">
            <v>MOBILIARIO CLINICO</v>
          </cell>
        </row>
        <row r="7392">
          <cell r="Z7392" t="str">
            <v>MOBILIARIO CLINICO</v>
          </cell>
          <cell r="AA7392" t="str">
            <v>HOSPITAL DE QUILLOTA</v>
          </cell>
        </row>
        <row r="7393">
          <cell r="Z7393" t="str">
            <v>MOBILIARIO CLINICO</v>
          </cell>
          <cell r="AA7393" t="str">
            <v>HOSPITAL DE QUILLOTA</v>
          </cell>
        </row>
        <row r="7394">
          <cell r="Z7394" t="str">
            <v>MOBILIARIO CLINICO</v>
          </cell>
        </row>
        <row r="7395">
          <cell r="Z7395" t="str">
            <v>MOBILIARIO CLINICO</v>
          </cell>
        </row>
        <row r="7396">
          <cell r="Z7396" t="str">
            <v>MOBILIARIO CLINICO</v>
          </cell>
        </row>
        <row r="7397">
          <cell r="Z7397" t="str">
            <v>MOBILIARIO CLINICO</v>
          </cell>
        </row>
        <row r="7398">
          <cell r="Z7398" t="str">
            <v>MOBILIARIO CLINICO</v>
          </cell>
        </row>
        <row r="7399">
          <cell r="Z7399" t="str">
            <v>MOBILIARIO CLINICO</v>
          </cell>
        </row>
        <row r="7400">
          <cell r="Z7400" t="str">
            <v>MOBILIARIO CLINICO</v>
          </cell>
        </row>
        <row r="7401">
          <cell r="Z7401" t="str">
            <v>MOBILIARIO CLINICO</v>
          </cell>
        </row>
        <row r="7402">
          <cell r="Z7402" t="str">
            <v>MOBILIARIO CLINICO</v>
          </cell>
        </row>
        <row r="7403">
          <cell r="Z7403" t="str">
            <v>MOBILIARIO CLINICO</v>
          </cell>
        </row>
        <row r="7404">
          <cell r="Z7404" t="str">
            <v>MOBILIARIO CLINICO</v>
          </cell>
        </row>
        <row r="7405">
          <cell r="Z7405" t="str">
            <v>MOBILIARIO CLINICO</v>
          </cell>
        </row>
        <row r="7406">
          <cell r="Z7406" t="str">
            <v>MOBILIARIO CLINICO</v>
          </cell>
        </row>
        <row r="7407">
          <cell r="Z7407" t="str">
            <v>MOBILIARIO CLINICO</v>
          </cell>
        </row>
        <row r="7408">
          <cell r="Z7408" t="str">
            <v>MOBILIARIO CLINICO</v>
          </cell>
        </row>
        <row r="7409">
          <cell r="Z7409" t="str">
            <v>MOBILIARIO CLINICO</v>
          </cell>
        </row>
        <row r="7410">
          <cell r="Z7410" t="str">
            <v>MOBILIARIO CLINICO</v>
          </cell>
        </row>
        <row r="7411">
          <cell r="Z7411" t="str">
            <v>MOBILIARIO CLINICO</v>
          </cell>
        </row>
        <row r="7412">
          <cell r="Z7412" t="str">
            <v>MOBILIARIO CLINICO</v>
          </cell>
        </row>
        <row r="7413">
          <cell r="Z7413" t="str">
            <v>MOBILIARIO CLINICO</v>
          </cell>
        </row>
        <row r="7414">
          <cell r="Z7414" t="str">
            <v>MOBILIARIO CLINICO</v>
          </cell>
        </row>
        <row r="7415">
          <cell r="Z7415" t="str">
            <v>MOBILIARIO CLINICO</v>
          </cell>
        </row>
        <row r="7416">
          <cell r="Z7416" t="str">
            <v>MOBILIARIO CLINICO</v>
          </cell>
        </row>
        <row r="7417">
          <cell r="Z7417" t="str">
            <v>MOBILIARIO CLINICO</v>
          </cell>
        </row>
        <row r="7418">
          <cell r="Z7418" t="str">
            <v>MOBILIARIO CLINICO</v>
          </cell>
        </row>
        <row r="7419">
          <cell r="Z7419" t="str">
            <v>MOBILIARIO CLINICO</v>
          </cell>
        </row>
        <row r="7420">
          <cell r="Z7420" t="str">
            <v>MOBILIARIO CLINICO</v>
          </cell>
        </row>
        <row r="7421">
          <cell r="Z7421" t="str">
            <v>MOBILIARIO CLINICO</v>
          </cell>
        </row>
        <row r="7422">
          <cell r="Z7422" t="str">
            <v>MOBILIARIO CLINICO</v>
          </cell>
        </row>
        <row r="7423">
          <cell r="Z7423" t="str">
            <v>MOBILIARIO CLINICO</v>
          </cell>
        </row>
        <row r="7424">
          <cell r="Z7424" t="str">
            <v>MOBILIARIO CLINICO</v>
          </cell>
        </row>
        <row r="7425">
          <cell r="Z7425" t="str">
            <v>MOBILIARIO CLINICO</v>
          </cell>
        </row>
        <row r="7426">
          <cell r="Z7426" t="str">
            <v>MOBILIARIO CLINICO</v>
          </cell>
        </row>
        <row r="7427">
          <cell r="Z7427" t="str">
            <v>MOBILIARIO CLINICO</v>
          </cell>
        </row>
        <row r="7428">
          <cell r="Z7428" t="str">
            <v>MOBILIARIO CLINICO</v>
          </cell>
        </row>
        <row r="7429">
          <cell r="Z7429" t="str">
            <v>MOBILIARIO CLINICO</v>
          </cell>
        </row>
        <row r="7430">
          <cell r="Z7430" t="str">
            <v>MOBILIARIO CLINICO</v>
          </cell>
        </row>
        <row r="7431">
          <cell r="Z7431" t="str">
            <v>MOBILIARIO CLINICO</v>
          </cell>
        </row>
        <row r="7432">
          <cell r="Z7432" t="str">
            <v>MOBILIARIO CLINICO</v>
          </cell>
        </row>
        <row r="7433">
          <cell r="Z7433" t="str">
            <v>MOBILIARIO CLINICO</v>
          </cell>
        </row>
        <row r="7434">
          <cell r="Z7434" t="str">
            <v>MOBILIARIO CLINICO</v>
          </cell>
        </row>
        <row r="7435">
          <cell r="Z7435" t="str">
            <v>MOBILIARIO CLINICO</v>
          </cell>
        </row>
        <row r="7436">
          <cell r="Z7436" t="str">
            <v>MOBILIARIO CLINICO</v>
          </cell>
          <cell r="AA7436" t="str">
            <v>HOSPITAL CLINICO SAN BORJA-ARRIARAN</v>
          </cell>
        </row>
        <row r="7437">
          <cell r="Z7437" t="str">
            <v>MOBILIARIO CLINICO</v>
          </cell>
          <cell r="AA7437" t="str">
            <v>HOSPITAL DR. GUSTAVO FRICKE</v>
          </cell>
        </row>
        <row r="7438">
          <cell r="Z7438" t="str">
            <v>MOBILIARIO CLINICO</v>
          </cell>
          <cell r="AA7438" t="str">
            <v>HOSPITAL DR. GUSTAVO FRICKE</v>
          </cell>
        </row>
        <row r="7439">
          <cell r="Z7439" t="str">
            <v>MOBILIARIO CLINICO</v>
          </cell>
          <cell r="AA7439" t="str">
            <v>HOSPITAL DR. GUSTAVO FRICKE</v>
          </cell>
        </row>
        <row r="7440">
          <cell r="Z7440" t="str">
            <v>MOBILIARIO CLINICO</v>
          </cell>
          <cell r="AA7440" t="str">
            <v>HOSPITAL DR. GUSTAVO FRICKE</v>
          </cell>
        </row>
        <row r="7441">
          <cell r="Z7441" t="str">
            <v>MOBILIARIO CLINICO</v>
          </cell>
          <cell r="AA7441" t="str">
            <v>HOSPITAL DR. GUSTAVO FRICKE</v>
          </cell>
        </row>
        <row r="7442">
          <cell r="Z7442" t="str">
            <v>MOBILIARIO CLINICO</v>
          </cell>
          <cell r="AA7442" t="str">
            <v>HOSPITAL CLINICO SAN BORJA-ARRIARAN</v>
          </cell>
        </row>
        <row r="7443">
          <cell r="Z7443" t="str">
            <v>MOBILIARIO CLINICO</v>
          </cell>
          <cell r="AA7443" t="str">
            <v>HOSPITAL CLINICO SAN BORJA-ARRIARAN</v>
          </cell>
        </row>
        <row r="7444">
          <cell r="Z7444" t="str">
            <v>MOBILIARIO CLINICO</v>
          </cell>
          <cell r="AA7444" t="str">
            <v>HOSPITAL CLINICO SAN BORJA-ARRIARAN</v>
          </cell>
        </row>
        <row r="7445">
          <cell r="Z7445" t="str">
            <v>MOBILIARIO CLINICO</v>
          </cell>
          <cell r="AA7445" t="str">
            <v>HOSPITAL CLINICO SAN BORJA-ARRIARAN</v>
          </cell>
        </row>
        <row r="7446">
          <cell r="Z7446" t="str">
            <v>MOBILIARIO CLINICO</v>
          </cell>
          <cell r="AA7446" t="str">
            <v>HOSPITAL CLINICO SAN BORJA-ARRIARAN</v>
          </cell>
        </row>
        <row r="7447">
          <cell r="Z7447" t="str">
            <v>MOBILIARIO CLINICO</v>
          </cell>
          <cell r="AA7447" t="str">
            <v>HOSPITAL CLINICO SAN BORJA-ARRIARAN</v>
          </cell>
        </row>
        <row r="7448">
          <cell r="Z7448" t="str">
            <v>MOBILIARIO CLINICO</v>
          </cell>
          <cell r="AA7448" t="str">
            <v>HOSPITAL CLINICO SAN BORJA-ARRIARAN</v>
          </cell>
        </row>
        <row r="7449">
          <cell r="Z7449" t="str">
            <v>MOBILIARIO CLINICO</v>
          </cell>
          <cell r="AA7449" t="str">
            <v>SOCIEDAD CONCESIONARIA METROPOLITANA DE SALUD S.A.</v>
          </cell>
        </row>
        <row r="7450">
          <cell r="Z7450" t="str">
            <v>MOBILIARIO CLINICO</v>
          </cell>
          <cell r="AA7450" t="str">
            <v>SOCIEDAD CONCESIONARIA METROPOLITANA DE SALUD S.A.</v>
          </cell>
        </row>
        <row r="7451">
          <cell r="Z7451" t="str">
            <v>MOBILIARIO CLINICO</v>
          </cell>
          <cell r="AA7451" t="str">
            <v>GEMCO GENERAL MACHINERY S.A.</v>
          </cell>
        </row>
        <row r="7452">
          <cell r="Z7452" t="str">
            <v>MOBILIARIO CLINICO</v>
          </cell>
          <cell r="AA7452" t="str">
            <v>GEMCO GENERAL MACHINERY S.A.</v>
          </cell>
        </row>
        <row r="7453">
          <cell r="Z7453" t="str">
            <v>MOBILIARIO CLINICO</v>
          </cell>
          <cell r="AA7453" t="str">
            <v>GEMCO GENERAL MACHINERY S.A.</v>
          </cell>
        </row>
        <row r="7454">
          <cell r="Z7454" t="str">
            <v>MOBILIARIO CLINICO</v>
          </cell>
          <cell r="AA7454" t="str">
            <v>GEMCO GENERAL MACHINERY S.A.</v>
          </cell>
        </row>
        <row r="7455">
          <cell r="Z7455" t="str">
            <v>MOBILIARIO CLINICO</v>
          </cell>
          <cell r="AA7455" t="str">
            <v>GEMCO GENERAL MACHINERY S.A.</v>
          </cell>
        </row>
        <row r="7456">
          <cell r="Z7456" t="str">
            <v>MOBILIARIO CLINICO</v>
          </cell>
          <cell r="AA7456" t="str">
            <v>GEMCO GENERAL MACHINERY S.A.</v>
          </cell>
        </row>
        <row r="7457">
          <cell r="Z7457" t="str">
            <v>MOBILIARIO CLINICO</v>
          </cell>
          <cell r="AA7457" t="str">
            <v>GEMCO GENERAL MACHINERY S.A.</v>
          </cell>
        </row>
        <row r="7458">
          <cell r="Z7458" t="str">
            <v>MOBILIARIO CLINICO</v>
          </cell>
          <cell r="AA7458" t="str">
            <v>GEMCO GENERAL MACHINERY S.A.</v>
          </cell>
        </row>
        <row r="7459">
          <cell r="Z7459" t="str">
            <v>MOBILIARIO CLINICO</v>
          </cell>
          <cell r="AA7459" t="str">
            <v>GEMCO GENERAL MACHINERY S.A.</v>
          </cell>
        </row>
        <row r="7460">
          <cell r="Z7460" t="str">
            <v>MOBILIARIO CLINICO</v>
          </cell>
          <cell r="AA7460" t="str">
            <v>GEMCO GENERAL MACHINERY S.A.</v>
          </cell>
        </row>
        <row r="7461">
          <cell r="Z7461" t="str">
            <v>MOBILIARIO CLINICO</v>
          </cell>
        </row>
        <row r="7462">
          <cell r="Z7462" t="str">
            <v>MOBILIARIO CLINICO</v>
          </cell>
          <cell r="AA7462" t="str">
            <v>SOCIEDAD CONCESIONARIA METROPOLITANA DE SALUD S.A.</v>
          </cell>
        </row>
        <row r="7463">
          <cell r="Z7463" t="str">
            <v>MOBILIARIO CLINICO</v>
          </cell>
          <cell r="AA7463" t="str">
            <v>SOCIEDAD CONCESIONARIA METROPOLITANA DE SALUD S.A.</v>
          </cell>
        </row>
        <row r="7464">
          <cell r="Z7464" t="str">
            <v>MOBILIARIO CLINICO</v>
          </cell>
          <cell r="AA7464" t="str">
            <v>HOSPITAL SAN JUAN DE DIOS</v>
          </cell>
        </row>
        <row r="7465">
          <cell r="Z7465" t="str">
            <v>MOBILIARIO CLINICO</v>
          </cell>
          <cell r="AA7465" t="str">
            <v>HOSPITAL SAN JUAN DE DIOS</v>
          </cell>
        </row>
        <row r="7466">
          <cell r="Z7466" t="str">
            <v>MOBILIARIO CLINICO</v>
          </cell>
          <cell r="AA7466" t="str">
            <v>HOSPITAL SAN JUAN DE DIOS</v>
          </cell>
        </row>
        <row r="7467">
          <cell r="Z7467" t="str">
            <v>MOBILIARIO CLINICO</v>
          </cell>
          <cell r="AA7467" t="str">
            <v>HOSPITAL SAN JUAN DE DIOS</v>
          </cell>
        </row>
        <row r="7468">
          <cell r="Z7468" t="str">
            <v>MOBILIARIO CLINICO</v>
          </cell>
          <cell r="AA7468" t="str">
            <v>SOCIEDAD CONCESIONARIA METROPOLITANA DE SALUD S.A.</v>
          </cell>
        </row>
        <row r="7469">
          <cell r="Z7469" t="str">
            <v>MOBILIARIO CLINICO</v>
          </cell>
          <cell r="AA7469" t="str">
            <v>SOCIEDAD CONCESIONARIA METROPOLITANA DE SALUD S.A.</v>
          </cell>
        </row>
        <row r="7470">
          <cell r="Z7470" t="str">
            <v>MOBILIARIO CLINICO</v>
          </cell>
          <cell r="AA7470" t="str">
            <v>SOCIEDAD CONCESIONARIA METROPOLITANA DE SALUD S.A.</v>
          </cell>
        </row>
        <row r="7471">
          <cell r="Z7471" t="str">
            <v>MOBILIARIO CLINICO</v>
          </cell>
          <cell r="AA7471" t="str">
            <v>SOCIEDAD CONCESIONARIA METROPOLITANA DE SALUD S.A.</v>
          </cell>
        </row>
        <row r="7472">
          <cell r="Z7472" t="str">
            <v>MOBILIARIO CLINICO</v>
          </cell>
          <cell r="AA7472" t="str">
            <v>SOCIEDAD CONCESIONARIA METROPOLITANA DE SALUD S.A.</v>
          </cell>
        </row>
        <row r="7473">
          <cell r="Z7473" t="str">
            <v>MOBILIARIO CLINICO</v>
          </cell>
          <cell r="AA7473" t="str">
            <v>SOCIEDAD CONCESIONARIA METROPOLITANA DE SALUD S.A.</v>
          </cell>
        </row>
        <row r="7474">
          <cell r="Z7474" t="str">
            <v>MOBILIARIO CLINICO</v>
          </cell>
          <cell r="AA7474" t="str">
            <v>HOSPITAL DE MULCHEN</v>
          </cell>
        </row>
        <row r="7475">
          <cell r="Z7475" t="str">
            <v>MOBILIARIO CLINICO</v>
          </cell>
          <cell r="AA7475" t="str">
            <v>HOSPITAL DE MULCHEN</v>
          </cell>
        </row>
        <row r="7476">
          <cell r="Z7476" t="str">
            <v>MOBILIARIO CLINICO</v>
          </cell>
          <cell r="AA7476" t="str">
            <v>HOSPITAL DE MULCHEN</v>
          </cell>
        </row>
        <row r="7477">
          <cell r="Z7477" t="str">
            <v>MOBILIARIO CLINICO</v>
          </cell>
          <cell r="AA7477" t="str">
            <v>HOSPITAL DE MULCHEN</v>
          </cell>
        </row>
        <row r="7478">
          <cell r="Z7478" t="str">
            <v>MOBILIARIO CLINICO</v>
          </cell>
          <cell r="AA7478" t="str">
            <v>HOSPITAL DE MULCHEN</v>
          </cell>
        </row>
        <row r="7479">
          <cell r="Z7479" t="str">
            <v>MOBILIARIO CLINICO</v>
          </cell>
          <cell r="AA7479" t="str">
            <v>HOSPITAL DE MULCHEN</v>
          </cell>
        </row>
        <row r="7480">
          <cell r="Z7480" t="str">
            <v>MOBILIARIO CLINICO</v>
          </cell>
          <cell r="AA7480" t="str">
            <v>HOSPITAL DE MULCHEN</v>
          </cell>
        </row>
        <row r="7481">
          <cell r="Z7481" t="str">
            <v>MOBILIARIO CLINICO</v>
          </cell>
        </row>
        <row r="7482">
          <cell r="Z7482" t="str">
            <v>MOBILIARIO CLINICO</v>
          </cell>
          <cell r="AA7482" t="str">
            <v>SOCIEDAD CONCESIONARIA METROPOLITANA DE SALUD S.A.</v>
          </cell>
        </row>
        <row r="7483">
          <cell r="Z7483" t="str">
            <v>MOBILIARIO CLINICO</v>
          </cell>
          <cell r="AA7483" t="str">
            <v>SOCIEDAD CONCESIONARIA METROPOLITANA DE SALUD S.A.</v>
          </cell>
        </row>
        <row r="7484">
          <cell r="Z7484" t="str">
            <v>MOBILIARIO CLINICO</v>
          </cell>
          <cell r="AA7484" t="str">
            <v>HOSPITAL CLINICO SAN BORJA-ARRIARAN</v>
          </cell>
        </row>
        <row r="7485">
          <cell r="Z7485" t="str">
            <v>MOBILIARIO CLINICO</v>
          </cell>
          <cell r="AA7485" t="str">
            <v>HOSPITAL CLINICO SAN BORJA-ARRIARAN</v>
          </cell>
        </row>
        <row r="7486">
          <cell r="Z7486" t="str">
            <v>MOBILIARIO CLINICO</v>
          </cell>
          <cell r="AA7486" t="str">
            <v>HOSPITAL CLINICO SAN BORJA-ARRIARAN</v>
          </cell>
        </row>
        <row r="7487">
          <cell r="Z7487" t="str">
            <v>MOBILIARIO CLINICO</v>
          </cell>
        </row>
        <row r="7488">
          <cell r="Z7488" t="str">
            <v>MOBILIARIO CLINICO</v>
          </cell>
          <cell r="AA7488" t="str">
            <v>IMPORTADORA, COMERCIALIZADORA Y DA</v>
          </cell>
        </row>
        <row r="7489">
          <cell r="Z7489" t="str">
            <v>MOBILIARIO CLINICO</v>
          </cell>
          <cell r="AA7489" t="str">
            <v>IMPORTADORA, COMERCIALIZADORA Y DA</v>
          </cell>
        </row>
        <row r="7490">
          <cell r="Z7490" t="str">
            <v>MOBILIARIO CLINICO</v>
          </cell>
          <cell r="AA7490" t="str">
            <v>IMPORTADORA, COMERCIALIZADORA Y DA</v>
          </cell>
        </row>
        <row r="7491">
          <cell r="Z7491" t="str">
            <v>MOBILIARIO CLINICO</v>
          </cell>
          <cell r="AA7491" t="str">
            <v>IMPORTADORA, COMERCIALIZADORA Y DA</v>
          </cell>
        </row>
        <row r="7492">
          <cell r="Z7492" t="str">
            <v>MOBILIARIO CLINICO</v>
          </cell>
          <cell r="AA7492" t="str">
            <v>IMPORTADORA, COMERCIALIZADORA Y DA</v>
          </cell>
        </row>
        <row r="7493">
          <cell r="Z7493" t="str">
            <v>MOBILIARIO CLINICO</v>
          </cell>
          <cell r="AA7493" t="str">
            <v>IMPORTADORA, COMERCIALIZADORA Y DA</v>
          </cell>
        </row>
        <row r="7494">
          <cell r="Z7494" t="str">
            <v>MOBILIARIO CLINICO</v>
          </cell>
          <cell r="AA7494" t="str">
            <v>IMPORTADORA, COMERCIALIZADORA Y DA</v>
          </cell>
        </row>
        <row r="7495">
          <cell r="Z7495" t="str">
            <v>MOBILIARIO CLINICO</v>
          </cell>
          <cell r="AA7495" t="str">
            <v>IMPORTADORA, COMERCIALIZADORA Y DA</v>
          </cell>
        </row>
        <row r="7496">
          <cell r="Z7496" t="str">
            <v>MOBILIARIO CLINICO</v>
          </cell>
          <cell r="AA7496" t="str">
            <v>IMPORTADORA, COMERCIALIZADORA Y DA</v>
          </cell>
        </row>
        <row r="7497">
          <cell r="Z7497" t="str">
            <v>MOBILIARIO CLINICO</v>
          </cell>
          <cell r="AA7497" t="str">
            <v>IMPORTADORA, COMERCIALIZADORA Y DA</v>
          </cell>
        </row>
        <row r="7498">
          <cell r="Z7498" t="str">
            <v>MOBILIARIO CLINICO</v>
          </cell>
          <cell r="AA7498" t="str">
            <v>IMPORTADORA, COMERCIALIZADORA Y DA</v>
          </cell>
        </row>
        <row r="7499">
          <cell r="Z7499" t="str">
            <v>MOBILIARIO CLINICO</v>
          </cell>
          <cell r="AA7499" t="str">
            <v>IMPORTADORA, COMERCIALIZADORA Y DA</v>
          </cell>
        </row>
        <row r="7500">
          <cell r="Z7500" t="str">
            <v>MOBILIARIO CLINICO</v>
          </cell>
          <cell r="AA7500" t="str">
            <v>IMPORTADORA, COMERCIALIZADORA Y DA</v>
          </cell>
        </row>
        <row r="7501">
          <cell r="Z7501" t="str">
            <v>MOBILIARIO CLINICO</v>
          </cell>
          <cell r="AA7501" t="str">
            <v>IMPORTADORA, COMERCIALIZADORA Y DA</v>
          </cell>
        </row>
        <row r="7502">
          <cell r="Z7502" t="str">
            <v>MOBILIARIO CLINICO</v>
          </cell>
          <cell r="AA7502" t="str">
            <v>I.MUNICIPALIDAD DE INDEPENDENCIA</v>
          </cell>
        </row>
        <row r="7503">
          <cell r="Z7503" t="str">
            <v>MOBILIARIO CLINICO</v>
          </cell>
          <cell r="AA7503" t="str">
            <v>I.MUNICIPALIDAD DE INDEPENDENCIA</v>
          </cell>
        </row>
        <row r="7504">
          <cell r="Z7504" t="str">
            <v>MOBILIARIO CLINICO</v>
          </cell>
        </row>
        <row r="7505">
          <cell r="Z7505" t="str">
            <v>MOBILIARIO CLINICO</v>
          </cell>
        </row>
        <row r="7506">
          <cell r="Z7506" t="str">
            <v>MOBILIARIO CLINICO</v>
          </cell>
        </row>
        <row r="7507">
          <cell r="Z7507" t="str">
            <v>MOBILIARIO CLINICO</v>
          </cell>
        </row>
        <row r="7508">
          <cell r="Z7508" t="str">
            <v>MOBILIARIO CLINICO</v>
          </cell>
        </row>
        <row r="7509">
          <cell r="Z7509" t="str">
            <v>MOBILIARIO CLINICO</v>
          </cell>
        </row>
        <row r="7510">
          <cell r="Z7510" t="str">
            <v>MOBILIARIO CLINICO</v>
          </cell>
        </row>
        <row r="7511">
          <cell r="Z7511" t="str">
            <v>MOBILIARIO CLINICO</v>
          </cell>
        </row>
        <row r="7512">
          <cell r="Z7512" t="str">
            <v>MOBILIARIO CLINICO</v>
          </cell>
        </row>
        <row r="7513">
          <cell r="Z7513" t="str">
            <v>MOBILIARIO CLINICO</v>
          </cell>
        </row>
        <row r="7514">
          <cell r="Z7514" t="str">
            <v>MOBILIARIO CLINICO</v>
          </cell>
          <cell r="AA7514" t="str">
            <v>I.MUNICIPALIDAD DE INDEPENDENCIA</v>
          </cell>
        </row>
        <row r="7515">
          <cell r="Z7515" t="str">
            <v>MOBILIARIO CLINICO</v>
          </cell>
        </row>
        <row r="7516">
          <cell r="Z7516" t="str">
            <v>MOBILIARIO CLINICO</v>
          </cell>
          <cell r="AA7516" t="str">
            <v>SOCIEDAD CONCESIONARIA METROPOLITANA DE SALUD S.A.</v>
          </cell>
        </row>
        <row r="7517">
          <cell r="Z7517" t="str">
            <v>MOBILIARIO CLINICO</v>
          </cell>
          <cell r="AA7517" t="str">
            <v>SOCIEDAD CONCESIONARIA METROPOLITANA DE SALUD S.A.</v>
          </cell>
        </row>
        <row r="7518">
          <cell r="Z7518" t="str">
            <v>MOBILIARIO CLINICO</v>
          </cell>
          <cell r="AA7518" t="str">
            <v>SOCIEDAD CONCESIONARIA METROPOLITANA DE SALUD S.A.</v>
          </cell>
        </row>
        <row r="7519">
          <cell r="Z7519" t="str">
            <v>MOBILIARIO CLINICO</v>
          </cell>
          <cell r="AA7519" t="str">
            <v>SOCIEDAD CONCESIONARIA METROPOLITANA DE SALUD S.A.</v>
          </cell>
        </row>
        <row r="7520">
          <cell r="Z7520" t="str">
            <v>MOBILIARIO CLINICO</v>
          </cell>
          <cell r="AA7520" t="str">
            <v>SOCIEDAD CONCESIONARIA METROPOLITANA DE SALUD S.A.</v>
          </cell>
        </row>
        <row r="7521">
          <cell r="Z7521" t="str">
            <v>MOBILIARIO CLINICO</v>
          </cell>
          <cell r="AA7521" t="str">
            <v>SOCIEDAD CONCESIONARIA METROPOLITANA DE SALUD S.A.</v>
          </cell>
        </row>
        <row r="7522">
          <cell r="Z7522" t="str">
            <v>MOBILIARIO CLINICO</v>
          </cell>
          <cell r="AA7522" t="str">
            <v>SOCIEDAD CONCESIONARIA METROPOLITANA DE SALUD S.A.</v>
          </cell>
        </row>
        <row r="7523">
          <cell r="Z7523" t="str">
            <v>MOBILIARIO CLINICO</v>
          </cell>
          <cell r="AA7523" t="str">
            <v>SOCIEDAD CONCESIONARIA METROPOLITANA DE SALUD S.A.</v>
          </cell>
        </row>
        <row r="7524">
          <cell r="Z7524" t="str">
            <v>MOBILIARIO CLINICO</v>
          </cell>
          <cell r="AA7524" t="str">
            <v>SOCIEDAD CONCESIONARIA METROPOLITANA DE SALUD S.A.</v>
          </cell>
        </row>
        <row r="7525">
          <cell r="Z7525" t="str">
            <v>MOBILIARIO CLINICO</v>
          </cell>
          <cell r="AA7525" t="str">
            <v>SOCIEDAD CONCESIONARIA METROPOLITANA DE SALUD S.A.</v>
          </cell>
        </row>
        <row r="7526">
          <cell r="Z7526" t="str">
            <v>MOBILIARIO CLINICO</v>
          </cell>
          <cell r="AA7526" t="str">
            <v>HOSPITAL LA LIGUA</v>
          </cell>
        </row>
        <row r="7527">
          <cell r="Z7527" t="str">
            <v>MOBILIARIO CLINICO</v>
          </cell>
          <cell r="AA7527" t="str">
            <v>HOSPITAL LA LIGUA</v>
          </cell>
        </row>
        <row r="7528">
          <cell r="Z7528" t="str">
            <v>MOBILIARIO CLINICO</v>
          </cell>
          <cell r="AA7528" t="str">
            <v>HOSPITAL LA LIGUA</v>
          </cell>
        </row>
        <row r="7529">
          <cell r="Z7529" t="str">
            <v>MOBILIARIO CLINICO</v>
          </cell>
          <cell r="AA7529" t="str">
            <v>HOSPITAL LA LIGUA</v>
          </cell>
        </row>
        <row r="7530">
          <cell r="Z7530" t="str">
            <v>DENTAL</v>
          </cell>
        </row>
        <row r="7531">
          <cell r="Z7531" t="str">
            <v>ESTERILIZACIÓN</v>
          </cell>
        </row>
        <row r="7532">
          <cell r="Z7532" t="str">
            <v>ESTERILIZACIÓN</v>
          </cell>
        </row>
        <row r="7533">
          <cell r="Z7533" t="str">
            <v>ESTERILIZACIÓN</v>
          </cell>
        </row>
        <row r="7534">
          <cell r="Z7534" t="str">
            <v>DENTAL</v>
          </cell>
          <cell r="AA7534" t="str">
            <v>GEMCO GENERAL MACHINERY S.A.</v>
          </cell>
        </row>
        <row r="7535">
          <cell r="Z7535" t="str">
            <v>INCARDIA</v>
          </cell>
        </row>
        <row r="7536">
          <cell r="Z7536" t="str">
            <v>INCARDIA</v>
          </cell>
          <cell r="AA7536" t="str">
            <v>SERVICIO DE SALUD BIO-BIO</v>
          </cell>
        </row>
        <row r="7537">
          <cell r="Z7537" t="str">
            <v>INCARDIA</v>
          </cell>
          <cell r="AA7537" t="str">
            <v>SERVICIO DE SALUD BIO-BIO</v>
          </cell>
        </row>
        <row r="7538">
          <cell r="Z7538" t="str">
            <v>INCARDIA</v>
          </cell>
          <cell r="AA7538" t="str">
            <v>SERVICIO DE SALUD BIO-BIO</v>
          </cell>
        </row>
        <row r="7539">
          <cell r="Z7539" t="str">
            <v>INCARDIA</v>
          </cell>
          <cell r="AA7539" t="str">
            <v>SERVICIO DE SALUD BIO-BIO</v>
          </cell>
        </row>
        <row r="7540">
          <cell r="Z7540" t="str">
            <v>INCARDIA</v>
          </cell>
        </row>
        <row r="7541">
          <cell r="Z7541" t="str">
            <v>INCARDIA</v>
          </cell>
        </row>
        <row r="7542">
          <cell r="Z7542" t="str">
            <v>INCARDIA</v>
          </cell>
        </row>
        <row r="7543">
          <cell r="Z7543" t="str">
            <v>INCARDIA</v>
          </cell>
          <cell r="AA7543" t="str">
            <v>GEMCO GENERAL MACHINERY S.A.</v>
          </cell>
        </row>
        <row r="7544">
          <cell r="Z7544" t="str">
            <v>INCARDIA</v>
          </cell>
          <cell r="AA7544" t="str">
            <v>GEMCO GENERAL MACHINERY S.A.</v>
          </cell>
        </row>
        <row r="7545">
          <cell r="Z7545" t="str">
            <v>INCARDIA</v>
          </cell>
          <cell r="AA7545" t="str">
            <v>HOSPITAL DE PUERTO AYSEN</v>
          </cell>
        </row>
        <row r="7546">
          <cell r="Z7546" t="str">
            <v>INCARDIA</v>
          </cell>
          <cell r="AA7546" t="str">
            <v>GEMCO GENERAL MACHINERY S.A.</v>
          </cell>
        </row>
        <row r="7547">
          <cell r="Z7547" t="str">
            <v>INCARDIA</v>
          </cell>
          <cell r="AA7547" t="str">
            <v>CESFAM LA CANELA</v>
          </cell>
        </row>
        <row r="7548">
          <cell r="Z7548" t="str">
            <v>INCARDIA</v>
          </cell>
          <cell r="AA7548" t="str">
            <v>COMPLEJO ASISTENCIAL DR.SOTERO DEL RIO</v>
          </cell>
        </row>
        <row r="7549">
          <cell r="Z7549" t="str">
            <v>INCARDIA</v>
          </cell>
          <cell r="AA7549" t="str">
            <v>SOCIEDAD CONCESIONARIA METROPOLITANA DE SALUD S.A.</v>
          </cell>
        </row>
        <row r="7550">
          <cell r="Z7550" t="str">
            <v>INCARDIA</v>
          </cell>
          <cell r="AA7550" t="str">
            <v>GEMCO GENERAL MACHINERY S.A.</v>
          </cell>
        </row>
        <row r="7551">
          <cell r="Z7551" t="str">
            <v>INCARDIA</v>
          </cell>
          <cell r="AA7551" t="str">
            <v>GEMCO GENERAL MACHINERY S.A.</v>
          </cell>
        </row>
        <row r="7552">
          <cell r="Z7552" t="str">
            <v>INCARDIA</v>
          </cell>
          <cell r="AA7552" t="str">
            <v>SOCIEDAD CONCESIONARIA METROPOLITANA DE SALUD S.A.</v>
          </cell>
        </row>
        <row r="7553">
          <cell r="Z7553" t="str">
            <v>INCARDIA</v>
          </cell>
          <cell r="AA7553" t="str">
            <v>GEMCO GENERAL MACHINERY S.A.</v>
          </cell>
        </row>
        <row r="7554">
          <cell r="Z7554" t="str">
            <v>INCARDIA</v>
          </cell>
          <cell r="AA7554" t="str">
            <v>MUNICIPALIDAD DE HUALPEN</v>
          </cell>
        </row>
        <row r="7555">
          <cell r="Z7555" t="str">
            <v>INCARDIA</v>
          </cell>
          <cell r="AA7555" t="str">
            <v>HOSPITAL VICTOR RIOS RUIZ</v>
          </cell>
        </row>
        <row r="7556">
          <cell r="Z7556" t="str">
            <v>INCARDIA</v>
          </cell>
          <cell r="AA7556" t="str">
            <v>HOSPITAL SAN JOSÉ</v>
          </cell>
        </row>
        <row r="7557">
          <cell r="Z7557" t="str">
            <v>INCARDIA</v>
          </cell>
        </row>
        <row r="7558">
          <cell r="Z7558" t="str">
            <v>INCARDIA</v>
          </cell>
          <cell r="AA7558" t="str">
            <v>HOSPITAL SAN JOSÉ</v>
          </cell>
        </row>
        <row r="7559">
          <cell r="Z7559" t="str">
            <v>INCARDIA</v>
          </cell>
          <cell r="AA7559" t="str">
            <v>HOSPITAL SAN JOSÉ</v>
          </cell>
        </row>
        <row r="7560">
          <cell r="Z7560" t="str">
            <v>INCARDIA</v>
          </cell>
          <cell r="AA7560" t="str">
            <v>GEMCO GENERAL MACHINERY S.A.</v>
          </cell>
        </row>
        <row r="7561">
          <cell r="Z7561" t="str">
            <v>INCARDIA</v>
          </cell>
        </row>
        <row r="7562">
          <cell r="Z7562" t="str">
            <v>INCARDIA</v>
          </cell>
          <cell r="AA7562" t="str">
            <v>HOSPITAL DE FRUTILLAR</v>
          </cell>
        </row>
        <row r="7563">
          <cell r="Z7563" t="str">
            <v>INCARDIA</v>
          </cell>
          <cell r="AA7563" t="str">
            <v>HOSPITAL  PITRUFQUEN</v>
          </cell>
        </row>
        <row r="7564">
          <cell r="Z7564" t="str">
            <v>INCARDIA</v>
          </cell>
          <cell r="AA7564" t="str">
            <v>HOSPITAL  PITRUFQUEN</v>
          </cell>
        </row>
        <row r="7565">
          <cell r="Z7565" t="str">
            <v>INCARDIA</v>
          </cell>
        </row>
        <row r="7566">
          <cell r="Z7566" t="str">
            <v>INCARDIA</v>
          </cell>
          <cell r="AA7566" t="str">
            <v>SERVICIO DE SALUD BIO-BIO</v>
          </cell>
        </row>
        <row r="7567">
          <cell r="Z7567" t="str">
            <v>INCARDIA</v>
          </cell>
          <cell r="AA7567" t="str">
            <v>SERVICIO DE SALUD BIO-BIO</v>
          </cell>
        </row>
        <row r="7568">
          <cell r="Z7568" t="str">
            <v>INCARDIA</v>
          </cell>
          <cell r="AA7568" t="str">
            <v>HOSPITAL VICTOR RIOS RUIZ</v>
          </cell>
        </row>
        <row r="7569">
          <cell r="Z7569" t="str">
            <v>INCARDIA</v>
          </cell>
          <cell r="AA7569" t="str">
            <v>SERVICIO DE SALUD BIO-BIO</v>
          </cell>
        </row>
        <row r="7570">
          <cell r="Z7570" t="str">
            <v>INCARDIA</v>
          </cell>
          <cell r="AA7570" t="str">
            <v>HOSPITAL VICTOR RIOS RUIZ</v>
          </cell>
        </row>
        <row r="7571">
          <cell r="Z7571" t="str">
            <v>INCARDIA</v>
          </cell>
          <cell r="AA7571" t="str">
            <v>SERVICIO DE SALUD BIO-BIO</v>
          </cell>
        </row>
        <row r="7572">
          <cell r="Z7572" t="str">
            <v>INCARDIA</v>
          </cell>
          <cell r="AA7572" t="str">
            <v>SERVICIO DE SALUD BIO-BIO</v>
          </cell>
        </row>
        <row r="7573">
          <cell r="Z7573" t="str">
            <v>INCARDIA</v>
          </cell>
          <cell r="AA7573" t="str">
            <v>HOSPITAL VICTOR RIOS RUIZ</v>
          </cell>
        </row>
        <row r="7574">
          <cell r="Z7574" t="str">
            <v>INCARDIA</v>
          </cell>
          <cell r="AA7574" t="str">
            <v>SERVICIO DE SALUD BIO-BIO</v>
          </cell>
        </row>
        <row r="7575">
          <cell r="Z7575" t="str">
            <v>INCARDIA</v>
          </cell>
          <cell r="AA7575" t="str">
            <v>HOSPITAL VICTOR RIOS RUIZ</v>
          </cell>
        </row>
        <row r="7576">
          <cell r="Z7576" t="str">
            <v>INCARDIA</v>
          </cell>
          <cell r="AA7576" t="str">
            <v>SERVICIO DE SALUD BIO-BIO</v>
          </cell>
        </row>
        <row r="7577">
          <cell r="Z7577" t="str">
            <v>INCARDIA</v>
          </cell>
          <cell r="AA7577" t="str">
            <v>SERVICIO DE SALUD BIO-BIO</v>
          </cell>
        </row>
        <row r="7578">
          <cell r="Z7578" t="str">
            <v>INCARDIA</v>
          </cell>
          <cell r="AA7578" t="str">
            <v>SERVICIO DE SALUD BIO-BIO</v>
          </cell>
        </row>
        <row r="7579">
          <cell r="Z7579" t="str">
            <v>INCARDIA</v>
          </cell>
          <cell r="AA7579" t="str">
            <v>SERVICIO DE SALUD BIO-BIO</v>
          </cell>
        </row>
        <row r="7580">
          <cell r="Z7580" t="str">
            <v>INCARDIA</v>
          </cell>
        </row>
        <row r="7581">
          <cell r="Z7581" t="str">
            <v>INCARDIA</v>
          </cell>
        </row>
        <row r="7582">
          <cell r="Z7582" t="str">
            <v>INCARDIA</v>
          </cell>
        </row>
        <row r="7583">
          <cell r="Z7583" t="str">
            <v>INCARDIA</v>
          </cell>
        </row>
        <row r="7584">
          <cell r="Z7584" t="str">
            <v>INCARDIA</v>
          </cell>
          <cell r="AA7584" t="str">
            <v>HOSPITAL DE YUMBEL</v>
          </cell>
        </row>
        <row r="7585">
          <cell r="Z7585" t="str">
            <v>INCARDIA</v>
          </cell>
        </row>
        <row r="7586">
          <cell r="Z7586" t="str">
            <v>INCARDIA</v>
          </cell>
        </row>
        <row r="7587">
          <cell r="Z7587" t="str">
            <v>INCARDIA</v>
          </cell>
          <cell r="AA7587" t="str">
            <v>GEMCO GENERAL MACHINERY S.A.</v>
          </cell>
        </row>
        <row r="7588">
          <cell r="Z7588" t="str">
            <v>INCARDIA</v>
          </cell>
          <cell r="AA7588" t="str">
            <v>GEMCO GENERAL MACHINERY S.A.</v>
          </cell>
        </row>
        <row r="7589">
          <cell r="Z7589" t="str">
            <v>INCARDIA</v>
          </cell>
        </row>
        <row r="7590">
          <cell r="Z7590" t="str">
            <v>INCARDIA</v>
          </cell>
        </row>
        <row r="7591">
          <cell r="Z7591" t="str">
            <v>INCARDIA</v>
          </cell>
        </row>
        <row r="7592">
          <cell r="Z7592" t="str">
            <v>INCARDIA</v>
          </cell>
        </row>
        <row r="7593">
          <cell r="Z7593" t="str">
            <v>INCARDIA</v>
          </cell>
        </row>
        <row r="7594">
          <cell r="Z7594" t="str">
            <v>INCARDIA</v>
          </cell>
        </row>
        <row r="7595">
          <cell r="Z7595" t="str">
            <v>INCARDIA</v>
          </cell>
        </row>
        <row r="7596">
          <cell r="Z7596" t="str">
            <v>INCARDIA</v>
          </cell>
          <cell r="AA7596" t="str">
            <v>GEMCO GENERAL MACHINERY S.A.</v>
          </cell>
        </row>
        <row r="7597">
          <cell r="Z7597" t="str">
            <v>INCARDIA</v>
          </cell>
          <cell r="AA7597" t="str">
            <v>GEMCO GENERAL MACHINERY S.A.</v>
          </cell>
        </row>
        <row r="7598">
          <cell r="Z7598" t="str">
            <v>INCARDIA</v>
          </cell>
          <cell r="AA7598" t="str">
            <v>GEMCO GENERAL MACHINERY S.A.</v>
          </cell>
        </row>
        <row r="7599">
          <cell r="Z7599" t="str">
            <v>INCARDIA</v>
          </cell>
          <cell r="AA7599" t="str">
            <v>GEMCO GENERAL MACHINERY S.A.</v>
          </cell>
        </row>
        <row r="7600">
          <cell r="Z7600" t="str">
            <v>INCARDIA</v>
          </cell>
          <cell r="AA7600" t="str">
            <v>GEMCO GENERAL MACHINERY S.A.</v>
          </cell>
        </row>
        <row r="7601">
          <cell r="Z7601" t="str">
            <v>INCARDIA</v>
          </cell>
        </row>
        <row r="7602">
          <cell r="Z7602" t="str">
            <v>INCARDIA</v>
          </cell>
          <cell r="AA7602" t="str">
            <v>GEMCO GENERAL MACHINERY S.A.</v>
          </cell>
        </row>
        <row r="7603">
          <cell r="Z7603" t="str">
            <v>INCARDIA</v>
          </cell>
          <cell r="AA7603" t="str">
            <v>GEMCO GENERAL MACHINERY S.A.</v>
          </cell>
        </row>
        <row r="7604">
          <cell r="Z7604" t="str">
            <v>INCARDIA</v>
          </cell>
          <cell r="AA7604" t="str">
            <v>GEMCO GENERAL MACHINERY S.A.</v>
          </cell>
        </row>
        <row r="7605">
          <cell r="Z7605" t="str">
            <v>INCARDIA</v>
          </cell>
          <cell r="AA7605" t="str">
            <v>GEMCO GENERAL MACHINERY S.A.</v>
          </cell>
        </row>
        <row r="7606">
          <cell r="Z7606" t="str">
            <v>INCARDIA</v>
          </cell>
          <cell r="AA7606" t="str">
            <v>GEMCO GENERAL MACHINERY S.A.</v>
          </cell>
        </row>
        <row r="7607">
          <cell r="Z7607" t="str">
            <v>INCARDIA</v>
          </cell>
          <cell r="AA7607" t="str">
            <v>GEMCO GENERAL MACHINERY S.A.</v>
          </cell>
        </row>
        <row r="7608">
          <cell r="Z7608" t="str">
            <v>INCARDIA</v>
          </cell>
          <cell r="AA7608" t="str">
            <v>GEMCO GENERAL MACHINERY S.A.</v>
          </cell>
        </row>
        <row r="7609">
          <cell r="Z7609" t="str">
            <v>INCARDIA</v>
          </cell>
          <cell r="AA7609" t="str">
            <v>GEMCO GENERAL MACHINERY S.A.</v>
          </cell>
        </row>
        <row r="7610">
          <cell r="Z7610" t="str">
            <v>INCARDIA</v>
          </cell>
          <cell r="AA7610" t="str">
            <v>GEMCO GENERAL MACHINERY S.A.</v>
          </cell>
        </row>
        <row r="7611">
          <cell r="Z7611" t="str">
            <v>INCARDIA</v>
          </cell>
          <cell r="AA7611" t="str">
            <v>IMPORTADORA, COMERCIALIZADORA Y DA</v>
          </cell>
        </row>
        <row r="7612">
          <cell r="Z7612" t="str">
            <v>INCARDIA</v>
          </cell>
          <cell r="AA7612" t="str">
            <v>IMPORTADORA, COMERCIALIZADORA Y DA</v>
          </cell>
        </row>
        <row r="7613">
          <cell r="Z7613" t="str">
            <v>INCARDIA</v>
          </cell>
        </row>
        <row r="7614">
          <cell r="Z7614" t="str">
            <v>INCARDIA</v>
          </cell>
          <cell r="AA7614" t="str">
            <v>GEMCO GENERAL MACHINERY S.A.</v>
          </cell>
        </row>
        <row r="7615">
          <cell r="Z7615" t="str">
            <v>INCARDIA</v>
          </cell>
          <cell r="AA7615" t="str">
            <v>KINEROD BUIN</v>
          </cell>
        </row>
        <row r="7616">
          <cell r="Z7616" t="str">
            <v>INCARDIA</v>
          </cell>
        </row>
        <row r="7617">
          <cell r="Z7617" t="str">
            <v>INCARDIA</v>
          </cell>
          <cell r="AA7617" t="str">
            <v>HOSPITAL GUILLERMO GRANT BENAVENTE</v>
          </cell>
        </row>
        <row r="7618">
          <cell r="Z7618" t="str">
            <v>INCARDIA</v>
          </cell>
          <cell r="AA7618" t="str">
            <v>GEMCO GENERAL MACHINERY S.A.</v>
          </cell>
        </row>
        <row r="7619">
          <cell r="Z7619" t="str">
            <v>INCARDIA</v>
          </cell>
        </row>
        <row r="7620">
          <cell r="Z7620" t="str">
            <v>INCARDIA</v>
          </cell>
          <cell r="AA7620" t="str">
            <v>HOSPITAL  PITRUFQUEN</v>
          </cell>
        </row>
        <row r="7621">
          <cell r="Z7621" t="str">
            <v>INCARDIA</v>
          </cell>
          <cell r="AA7621" t="str">
            <v>HOSPITAL  PITRUFQUEN</v>
          </cell>
        </row>
        <row r="7622">
          <cell r="Z7622" t="str">
            <v>INCARDIA</v>
          </cell>
          <cell r="AA7622" t="str">
            <v>HOSPITAL  PITRUFQUEN</v>
          </cell>
        </row>
        <row r="7623">
          <cell r="Z7623" t="str">
            <v>INCARDIA</v>
          </cell>
          <cell r="AA7623" t="str">
            <v>SERVICIO DE SALUD TALCAHUANO</v>
          </cell>
        </row>
        <row r="7624">
          <cell r="Z7624" t="str">
            <v>INCARDIA</v>
          </cell>
          <cell r="AA7624" t="str">
            <v>SERVICIO DE SALUD TALCAHUANO</v>
          </cell>
        </row>
        <row r="7625">
          <cell r="Z7625" t="str">
            <v>INCARDIA</v>
          </cell>
          <cell r="AA7625" t="str">
            <v>SERVICIO DE SALUD TALCAHUANO</v>
          </cell>
        </row>
        <row r="7626">
          <cell r="Z7626" t="str">
            <v>INCARDIA</v>
          </cell>
          <cell r="AA7626" t="str">
            <v>SERVICIO DE SALUD TALCAHUANO</v>
          </cell>
        </row>
        <row r="7627">
          <cell r="Z7627" t="str">
            <v>INCARDIA</v>
          </cell>
          <cell r="AA7627" t="str">
            <v>SERVICIO DE SALUD TALCAHUANO</v>
          </cell>
        </row>
        <row r="7628">
          <cell r="Z7628" t="str">
            <v>INCARDIA</v>
          </cell>
          <cell r="AA7628" t="str">
            <v>SERVICIO DE SALUD TALCAHUANO</v>
          </cell>
        </row>
        <row r="7629">
          <cell r="Z7629" t="str">
            <v>INCARDIA</v>
          </cell>
          <cell r="AA7629" t="str">
            <v>SERVICIO DE SALUD TALCAHUANO</v>
          </cell>
        </row>
        <row r="7630">
          <cell r="Z7630" t="str">
            <v>INCARDIA</v>
          </cell>
        </row>
        <row r="7631">
          <cell r="Z7631" t="str">
            <v>ESTERILIZACIÓN</v>
          </cell>
          <cell r="AA7631" t="str">
            <v>GENDARMERIA DE CHILE</v>
          </cell>
        </row>
        <row r="7632">
          <cell r="Z7632" t="str">
            <v>ESTERILIZACIÓN</v>
          </cell>
        </row>
        <row r="7633">
          <cell r="Z7633" t="str">
            <v>ESTERILIZACIÓN</v>
          </cell>
        </row>
        <row r="7634">
          <cell r="Z7634" t="str">
            <v>ESTERILIZACIÓN</v>
          </cell>
        </row>
        <row r="7635">
          <cell r="Z7635" t="str">
            <v>ESTERILIZACIÓN</v>
          </cell>
          <cell r="AA7635" t="str">
            <v>GENDARMERIA DE CHILE</v>
          </cell>
        </row>
        <row r="7636">
          <cell r="Z7636" t="str">
            <v>ESTERILIZACIÓN</v>
          </cell>
          <cell r="AA7636" t="str">
            <v>GENDARMERIA DE CHILE</v>
          </cell>
        </row>
        <row r="7637">
          <cell r="Z7637" t="str">
            <v>ESTERILIZACIÓN</v>
          </cell>
          <cell r="AA7637" t="str">
            <v>GENDARMERIA DE CHILE</v>
          </cell>
        </row>
        <row r="7638">
          <cell r="Z7638" t="str">
            <v>ESTERILIZACIÓN</v>
          </cell>
          <cell r="AA7638" t="str">
            <v>GENDARMERIA DE CHILE</v>
          </cell>
        </row>
        <row r="7639">
          <cell r="Z7639" t="str">
            <v>ESTERILIZACIÓN</v>
          </cell>
          <cell r="AA7639" t="str">
            <v>GENDARMERIA DE CHILE</v>
          </cell>
        </row>
        <row r="7640">
          <cell r="Z7640" t="str">
            <v>ESTERILIZACIÓN</v>
          </cell>
          <cell r="AA7640" t="str">
            <v>GENDARMERIA DE CHILE</v>
          </cell>
        </row>
        <row r="7641">
          <cell r="Z7641" t="str">
            <v>ESTERILIZACIÓN</v>
          </cell>
          <cell r="AA7641" t="str">
            <v>GENDARMERIA DE CHILE</v>
          </cell>
        </row>
        <row r="7642">
          <cell r="Z7642" t="str">
            <v>ESTERILIZACIÓN</v>
          </cell>
          <cell r="AA7642" t="str">
            <v>GENDARMERIA DE CHILE</v>
          </cell>
        </row>
        <row r="7643">
          <cell r="Z7643" t="str">
            <v>ESTERILIZACIÓN</v>
          </cell>
          <cell r="AA7643" t="str">
            <v>GENDARMERIA DE CHILE</v>
          </cell>
        </row>
        <row r="7644">
          <cell r="Z7644" t="str">
            <v>ESTERILIZACIÓN</v>
          </cell>
          <cell r="AA7644" t="str">
            <v>GENDARMERIA DE CHILE</v>
          </cell>
        </row>
        <row r="7645">
          <cell r="Z7645" t="str">
            <v>ESTERILIZACIÓN</v>
          </cell>
          <cell r="AA7645" t="str">
            <v>GENDARMERIA DE CHILE</v>
          </cell>
        </row>
        <row r="7646">
          <cell r="Z7646" t="str">
            <v>ESTERILIZACIÓN</v>
          </cell>
          <cell r="AA7646" t="str">
            <v>GENDARMERIA DE CHILE</v>
          </cell>
        </row>
        <row r="7647">
          <cell r="Z7647" t="str">
            <v>ESTERILIZACIÓN</v>
          </cell>
          <cell r="AA7647" t="str">
            <v>GENDARMERIA DE CHILE</v>
          </cell>
        </row>
        <row r="7648">
          <cell r="Z7648" t="str">
            <v>ESTERILIZACIÓN</v>
          </cell>
          <cell r="AA7648" t="str">
            <v>GENDARMERIA DE CHILE</v>
          </cell>
        </row>
        <row r="7649">
          <cell r="Z7649" t="str">
            <v>ESTERILIZACIÓN</v>
          </cell>
          <cell r="AA7649" t="str">
            <v>GENDARMERIA DE CHILE</v>
          </cell>
        </row>
        <row r="7650">
          <cell r="Z7650" t="str">
            <v>ESTERILIZACIÓN</v>
          </cell>
          <cell r="AA7650" t="str">
            <v>GENDARMERIA DE CHILE</v>
          </cell>
        </row>
        <row r="7651">
          <cell r="Z7651" t="str">
            <v>ESTERILIZACIÓN</v>
          </cell>
          <cell r="AA7651" t="str">
            <v>GENDARMERIA DE CHILE</v>
          </cell>
        </row>
        <row r="7652">
          <cell r="Z7652" t="str">
            <v>INCARDIA</v>
          </cell>
        </row>
        <row r="7653">
          <cell r="Z7653" t="str">
            <v>DENTAL</v>
          </cell>
        </row>
        <row r="7654">
          <cell r="Z7654" t="str">
            <v>DENTAL</v>
          </cell>
        </row>
        <row r="7655">
          <cell r="Z7655" t="str">
            <v>ENDOSCOPÍA</v>
          </cell>
          <cell r="AA7655" t="str">
            <v>HOSPITAL DEL SALVADOR</v>
          </cell>
        </row>
        <row r="7656">
          <cell r="Z7656" t="str">
            <v>DENTAL</v>
          </cell>
        </row>
        <row r="7657">
          <cell r="Z7657" t="str">
            <v>DENTAL</v>
          </cell>
        </row>
        <row r="7658">
          <cell r="Z7658" t="str">
            <v>DENTAL</v>
          </cell>
          <cell r="AA7658" t="str">
            <v>I MUNICIPALIDAD DE VICUÑA</v>
          </cell>
        </row>
        <row r="7659">
          <cell r="Z7659" t="str">
            <v>DENTAL</v>
          </cell>
          <cell r="AA7659" t="str">
            <v>CESFAM MAGISTERIO, TALCA</v>
          </cell>
        </row>
        <row r="7660">
          <cell r="Z7660" t="str">
            <v>DENTAL</v>
          </cell>
        </row>
        <row r="7661">
          <cell r="Z7661" t="str">
            <v>DENTAL</v>
          </cell>
          <cell r="AA7661" t="str">
            <v>HOSPITAL BASE DE VALDIVIA</v>
          </cell>
        </row>
        <row r="7662">
          <cell r="Z7662" t="str">
            <v>DENTAL</v>
          </cell>
          <cell r="AA7662" t="str">
            <v>HOSPITAL REGIONAL DE ANTOFAGASTA</v>
          </cell>
        </row>
        <row r="7663">
          <cell r="Z7663" t="str">
            <v>DENTAL</v>
          </cell>
          <cell r="AA7663" t="str">
            <v>HOSPITAL CARLOS CISTERNA DE CALAMA</v>
          </cell>
        </row>
        <row r="7664">
          <cell r="Z7664" t="str">
            <v>DENTAL</v>
          </cell>
        </row>
        <row r="7665">
          <cell r="Z7665" t="str">
            <v>DENTAL</v>
          </cell>
        </row>
        <row r="7666">
          <cell r="Z7666" t="str">
            <v>DENTAL</v>
          </cell>
          <cell r="AA7666" t="str">
            <v>POLICENTER</v>
          </cell>
        </row>
        <row r="7667">
          <cell r="Z7667" t="str">
            <v>DENTAL</v>
          </cell>
          <cell r="AA7667" t="str">
            <v>CLINICA ESTORIL</v>
          </cell>
        </row>
        <row r="7668">
          <cell r="Z7668" t="str">
            <v>DENTAL</v>
          </cell>
        </row>
        <row r="7669">
          <cell r="Z7669" t="str">
            <v>DENTAL</v>
          </cell>
        </row>
        <row r="7670">
          <cell r="Z7670" t="str">
            <v>DENTAL</v>
          </cell>
          <cell r="AA7670" t="str">
            <v>HOSPITAL CARLOS CISTERNA DE CALAMA</v>
          </cell>
        </row>
        <row r="7671">
          <cell r="Z7671" t="str">
            <v>DENTAL</v>
          </cell>
        </row>
        <row r="7672">
          <cell r="Z7672" t="str">
            <v>DENTAL</v>
          </cell>
        </row>
        <row r="7673">
          <cell r="Z7673" t="str">
            <v>DENTAL</v>
          </cell>
        </row>
        <row r="7674">
          <cell r="Z7674" t="str">
            <v>DENTAL</v>
          </cell>
        </row>
        <row r="7675">
          <cell r="Z7675" t="str">
            <v>DENTAL</v>
          </cell>
          <cell r="AA7675" t="str">
            <v xml:space="preserve">HOSPITAL SAN CAMILO  </v>
          </cell>
        </row>
        <row r="7676">
          <cell r="Z7676" t="str">
            <v>DENTAL</v>
          </cell>
          <cell r="AA7676" t="str">
            <v>CESFAM LO BARNECHEA</v>
          </cell>
        </row>
        <row r="7677">
          <cell r="Z7677" t="str">
            <v>DENTAL</v>
          </cell>
        </row>
        <row r="7678">
          <cell r="Z7678" t="str">
            <v>DENTAL</v>
          </cell>
          <cell r="AA7678" t="str">
            <v>GEMCO GENERAL MACHINERY S.A.</v>
          </cell>
        </row>
        <row r="7679">
          <cell r="Z7679" t="str">
            <v>DENTAL</v>
          </cell>
        </row>
        <row r="7680">
          <cell r="Z7680" t="str">
            <v>DENTAL</v>
          </cell>
          <cell r="AA7680" t="str">
            <v>CESFAM LO BARNECHEA</v>
          </cell>
        </row>
        <row r="7681">
          <cell r="Z7681" t="str">
            <v>DENTAL</v>
          </cell>
        </row>
        <row r="7682">
          <cell r="Z7682" t="str">
            <v>DENTAL</v>
          </cell>
          <cell r="AA7682" t="str">
            <v>CESFAM CURICO CENTRO</v>
          </cell>
        </row>
        <row r="7683">
          <cell r="Z7683" t="str">
            <v>DENTAL</v>
          </cell>
        </row>
        <row r="7684">
          <cell r="Z7684" t="str">
            <v>DENTAL</v>
          </cell>
        </row>
        <row r="7685">
          <cell r="Z7685" t="str">
            <v>DENTAL</v>
          </cell>
          <cell r="AA7685" t="str">
            <v>CESFAM N° 2 RANCAGUA</v>
          </cell>
        </row>
        <row r="7686">
          <cell r="Z7686" t="str">
            <v>DENTAL</v>
          </cell>
          <cell r="AA7686" t="str">
            <v>HOSPITAL DE YUMBEL</v>
          </cell>
        </row>
        <row r="7687">
          <cell r="Z7687" t="str">
            <v>DENTAL</v>
          </cell>
          <cell r="AA7687" t="str">
            <v>HOSPITAL VICTOR RIOS RUIZ</v>
          </cell>
        </row>
        <row r="7688">
          <cell r="Z7688" t="str">
            <v>DENTAL</v>
          </cell>
        </row>
        <row r="7689">
          <cell r="Z7689" t="str">
            <v>DENTAL</v>
          </cell>
          <cell r="AA7689" t="str">
            <v>HOSPITAL DE SANTA BARBARA</v>
          </cell>
        </row>
        <row r="7690">
          <cell r="Z7690" t="str">
            <v>DENTAL</v>
          </cell>
        </row>
        <row r="7691">
          <cell r="Z7691" t="str">
            <v>DENTAL</v>
          </cell>
          <cell r="AA7691" t="str">
            <v>SERVICIO DE SALUD DEL MAULE</v>
          </cell>
        </row>
        <row r="7692">
          <cell r="Z7692" t="str">
            <v>DENTAL</v>
          </cell>
        </row>
        <row r="7693">
          <cell r="Z7693" t="str">
            <v>DENTAL</v>
          </cell>
        </row>
        <row r="7694">
          <cell r="Z7694" t="str">
            <v>DENTAL</v>
          </cell>
          <cell r="AA7694" t="str">
            <v>UNIVERSIDAD DE LA FRONTERA</v>
          </cell>
        </row>
        <row r="7695">
          <cell r="Z7695" t="str">
            <v>DENTAL</v>
          </cell>
          <cell r="AA7695" t="str">
            <v>CESFAM N° 2 RANCAGUA</v>
          </cell>
        </row>
        <row r="7696">
          <cell r="Z7696" t="str">
            <v>DENTAL</v>
          </cell>
        </row>
        <row r="7697">
          <cell r="Z7697" t="str">
            <v>DENTAL</v>
          </cell>
        </row>
        <row r="7698">
          <cell r="Z7698" t="str">
            <v>DENTAL</v>
          </cell>
        </row>
        <row r="7699">
          <cell r="Z7699" t="str">
            <v>DENTAL</v>
          </cell>
        </row>
        <row r="7700">
          <cell r="Z7700" t="str">
            <v>DENTAL</v>
          </cell>
        </row>
        <row r="7701">
          <cell r="Z7701" t="str">
            <v>DENTAL</v>
          </cell>
        </row>
        <row r="7702">
          <cell r="Z7702" t="str">
            <v>DENTAL</v>
          </cell>
        </row>
        <row r="7703">
          <cell r="Z7703" t="str">
            <v>DENTAL</v>
          </cell>
        </row>
        <row r="7704">
          <cell r="Z7704" t="str">
            <v>DENTAL</v>
          </cell>
        </row>
        <row r="7705">
          <cell r="Z7705" t="str">
            <v>DENTAL</v>
          </cell>
        </row>
        <row r="7706">
          <cell r="Z7706" t="str">
            <v>DENTAL</v>
          </cell>
        </row>
        <row r="7707">
          <cell r="Z7707" t="str">
            <v>DENTAL</v>
          </cell>
        </row>
        <row r="7708">
          <cell r="Z7708" t="str">
            <v>DENTAL</v>
          </cell>
        </row>
        <row r="7709">
          <cell r="Z7709" t="str">
            <v>DENTAL</v>
          </cell>
          <cell r="AA7709" t="str">
            <v>SERVICIO DE SALUD METROPOLITANO CENTRAL</v>
          </cell>
        </row>
        <row r="7710">
          <cell r="Z7710" t="str">
            <v>DENTAL</v>
          </cell>
          <cell r="AA7710" t="str">
            <v>CARLOS DURAN Y CIA. LTDA.</v>
          </cell>
        </row>
        <row r="7711">
          <cell r="Z7711" t="str">
            <v>DENTAL</v>
          </cell>
        </row>
        <row r="7712">
          <cell r="Z7712" t="str">
            <v>DENTAL</v>
          </cell>
        </row>
        <row r="7713">
          <cell r="Z7713" t="str">
            <v>DENTAL</v>
          </cell>
        </row>
        <row r="7714">
          <cell r="Z7714" t="str">
            <v>DENTAL</v>
          </cell>
        </row>
        <row r="7715">
          <cell r="Z7715" t="str">
            <v>DENTAL</v>
          </cell>
        </row>
        <row r="7716">
          <cell r="Z7716" t="str">
            <v>DENTAL</v>
          </cell>
        </row>
        <row r="7717">
          <cell r="Z7717" t="str">
            <v>DENTAL</v>
          </cell>
          <cell r="AA7717" t="str">
            <v>CESFAM RENGO</v>
          </cell>
        </row>
        <row r="7718">
          <cell r="Z7718" t="str">
            <v>DENTAL</v>
          </cell>
          <cell r="AA7718" t="str">
            <v>POLICENTER</v>
          </cell>
        </row>
        <row r="7719">
          <cell r="Z7719" t="str">
            <v>DENTAL</v>
          </cell>
        </row>
        <row r="7720">
          <cell r="Z7720" t="str">
            <v>DENTAL</v>
          </cell>
          <cell r="AA7720" t="str">
            <v>CESFAM BETTY MUÑOZ</v>
          </cell>
        </row>
        <row r="7721">
          <cell r="Z7721" t="str">
            <v>DENTAL</v>
          </cell>
        </row>
        <row r="7722">
          <cell r="Z7722" t="str">
            <v>DENTAL</v>
          </cell>
        </row>
        <row r="7723">
          <cell r="Z7723" t="str">
            <v>DENTAL</v>
          </cell>
          <cell r="AA7723" t="str">
            <v>CESFAM SANTA TERESA</v>
          </cell>
        </row>
        <row r="7724">
          <cell r="Z7724" t="str">
            <v>DENTAL</v>
          </cell>
        </row>
        <row r="7725">
          <cell r="Z7725" t="str">
            <v>DENTAL</v>
          </cell>
        </row>
        <row r="7726">
          <cell r="Z7726" t="str">
            <v>DENTAL</v>
          </cell>
        </row>
        <row r="7727">
          <cell r="Z7727" t="str">
            <v>DENTAL</v>
          </cell>
        </row>
        <row r="7728">
          <cell r="Z7728" t="str">
            <v>DENTAL</v>
          </cell>
          <cell r="AA7728" t="str">
            <v>SERVICIO DE SALUD VALPARAISO SN ANTONIO</v>
          </cell>
        </row>
        <row r="7729">
          <cell r="Z7729" t="str">
            <v>DENTAL</v>
          </cell>
        </row>
        <row r="7730">
          <cell r="Z7730" t="str">
            <v>DENTAL</v>
          </cell>
        </row>
        <row r="7731">
          <cell r="Z7731" t="str">
            <v>DENTAL</v>
          </cell>
        </row>
        <row r="7732">
          <cell r="Z7732" t="str">
            <v>DENTAL</v>
          </cell>
          <cell r="AA7732" t="str">
            <v>HOSPITAL DE IQUIQUE</v>
          </cell>
        </row>
        <row r="7733">
          <cell r="Z7733" t="str">
            <v>DENTAL</v>
          </cell>
          <cell r="AA7733" t="str">
            <v>HOSPITAL DE IQUIQUE</v>
          </cell>
        </row>
        <row r="7734">
          <cell r="Z7734" t="str">
            <v>DENTAL</v>
          </cell>
          <cell r="AA7734" t="str">
            <v>CESFAM MACHALI</v>
          </cell>
        </row>
        <row r="7735">
          <cell r="Z7735" t="str">
            <v>DENTAL</v>
          </cell>
        </row>
        <row r="7736">
          <cell r="Z7736" t="str">
            <v>DENTAL</v>
          </cell>
        </row>
        <row r="7737">
          <cell r="Z7737" t="str">
            <v>DENTAL</v>
          </cell>
          <cell r="AA7737" t="str">
            <v>POLICIA DE INVESTIGACIONES DE CHILE</v>
          </cell>
        </row>
        <row r="7738">
          <cell r="Z7738" t="str">
            <v>DENTAL</v>
          </cell>
        </row>
        <row r="7739">
          <cell r="Z7739" t="str">
            <v>DENTAL</v>
          </cell>
        </row>
        <row r="7740">
          <cell r="Z7740" t="str">
            <v>DENTAL</v>
          </cell>
        </row>
        <row r="7741">
          <cell r="Z7741" t="str">
            <v>DENTAL</v>
          </cell>
        </row>
        <row r="7742">
          <cell r="Z7742" t="str">
            <v>DENTAL</v>
          </cell>
          <cell r="AA7742" t="str">
            <v>HOSPITAL CLAUDIO VICUÑA</v>
          </cell>
        </row>
        <row r="7743">
          <cell r="Z7743" t="str">
            <v>DENTAL</v>
          </cell>
        </row>
        <row r="7744">
          <cell r="Z7744" t="str">
            <v>DENTAL</v>
          </cell>
        </row>
        <row r="7745">
          <cell r="Z7745" t="str">
            <v>DENTAL</v>
          </cell>
          <cell r="AA7745" t="str">
            <v>POLICIA DE INVESTIGACIONES DE CHILE</v>
          </cell>
        </row>
        <row r="7746">
          <cell r="Z7746" t="str">
            <v>DENTAL</v>
          </cell>
        </row>
        <row r="7747">
          <cell r="Z7747" t="str">
            <v>DENTAL</v>
          </cell>
          <cell r="AA7747" t="str">
            <v>POLICIA DE INVESTIGACIONES ANTOFAGASTA</v>
          </cell>
        </row>
        <row r="7748">
          <cell r="Z7748" t="str">
            <v>DENTAL</v>
          </cell>
        </row>
        <row r="7749">
          <cell r="Z7749" t="str">
            <v>DENTAL</v>
          </cell>
        </row>
        <row r="7750">
          <cell r="Z7750" t="str">
            <v>DENTAL</v>
          </cell>
        </row>
        <row r="7751">
          <cell r="Z7751" t="str">
            <v>DENTAL</v>
          </cell>
        </row>
        <row r="7752">
          <cell r="Z7752" t="str">
            <v>DENTAL</v>
          </cell>
          <cell r="AA7752" t="str">
            <v>HOSPITAL DE TOME</v>
          </cell>
        </row>
        <row r="7753">
          <cell r="Z7753" t="str">
            <v>DENTAL</v>
          </cell>
          <cell r="AA7753" t="str">
            <v>HOSPITAL SAN VICENTE TAGUA TAGUA</v>
          </cell>
        </row>
        <row r="7754">
          <cell r="Z7754" t="str">
            <v>DENTAL</v>
          </cell>
          <cell r="AA7754" t="str">
            <v>HOSPITAL DE FRESIA</v>
          </cell>
        </row>
        <row r="7755">
          <cell r="Z7755" t="str">
            <v>DENTAL</v>
          </cell>
          <cell r="AA7755" t="str">
            <v>CESFAM SAN RAFAEL</v>
          </cell>
        </row>
        <row r="7756">
          <cell r="Z7756" t="str">
            <v>DENTAL</v>
          </cell>
          <cell r="AA7756" t="str">
            <v>CESFAM ROMERAL</v>
          </cell>
        </row>
        <row r="7757">
          <cell r="Z7757" t="str">
            <v>DENTAL</v>
          </cell>
          <cell r="AA7757" t="str">
            <v>CENTRO ODONTOLOGICO MARITZA SALAS</v>
          </cell>
        </row>
        <row r="7758">
          <cell r="Z7758" t="str">
            <v>DENTAL</v>
          </cell>
        </row>
        <row r="7759">
          <cell r="Z7759" t="str">
            <v>DENTAL</v>
          </cell>
          <cell r="AA7759" t="str">
            <v>CESFAM MAGISTERIO, TALCA</v>
          </cell>
        </row>
        <row r="7760">
          <cell r="Z7760" t="str">
            <v>DENTAL</v>
          </cell>
          <cell r="AA7760" t="str">
            <v>DR. FRANCISCO ASTURIAS PEREZ</v>
          </cell>
        </row>
        <row r="7761">
          <cell r="Z7761" t="str">
            <v>DENTAL</v>
          </cell>
        </row>
        <row r="7762">
          <cell r="Z7762" t="str">
            <v>DENTAL</v>
          </cell>
          <cell r="AA7762" t="str">
            <v>CESFAM PICA</v>
          </cell>
        </row>
        <row r="7763">
          <cell r="Z7763" t="str">
            <v>DENTAL</v>
          </cell>
        </row>
        <row r="7764">
          <cell r="Z7764" t="str">
            <v>DENTAL</v>
          </cell>
          <cell r="AA7764" t="str">
            <v>HOSPITAL DE QUINTEROS</v>
          </cell>
        </row>
        <row r="7765">
          <cell r="Z7765" t="str">
            <v>DENTAL</v>
          </cell>
          <cell r="AA7765" t="str">
            <v>POLICENTER</v>
          </cell>
        </row>
        <row r="7766">
          <cell r="Z7766" t="str">
            <v>DENTAL</v>
          </cell>
        </row>
        <row r="7767">
          <cell r="Z7767" t="str">
            <v>DENTAL</v>
          </cell>
          <cell r="AA7767" t="str">
            <v>CESFAM PICA</v>
          </cell>
        </row>
        <row r="7768">
          <cell r="Z7768" t="str">
            <v>DENTAL</v>
          </cell>
          <cell r="AA7768" t="str">
            <v>MEGASALUD S.A.</v>
          </cell>
        </row>
        <row r="7769">
          <cell r="Z7769" t="str">
            <v>DENTAL</v>
          </cell>
        </row>
        <row r="7770">
          <cell r="Z7770" t="str">
            <v>DENTAL</v>
          </cell>
        </row>
        <row r="7771">
          <cell r="Z7771" t="str">
            <v>DENTAL</v>
          </cell>
          <cell r="AA7771" t="str">
            <v>HOSPITAL DE CABILDO</v>
          </cell>
        </row>
        <row r="7772">
          <cell r="Z7772" t="str">
            <v>DENTAL</v>
          </cell>
          <cell r="AA7772" t="str">
            <v>HOSPITAL DR. GUSTAVO FRICKE</v>
          </cell>
        </row>
        <row r="7773">
          <cell r="Z7773" t="str">
            <v>DENTAL</v>
          </cell>
          <cell r="AA7773" t="str">
            <v>HOSPITAL DE CABILDO</v>
          </cell>
        </row>
        <row r="7774">
          <cell r="Z7774" t="str">
            <v>DENTAL</v>
          </cell>
          <cell r="AA7774" t="str">
            <v>MEGASALUD S.A.</v>
          </cell>
        </row>
        <row r="7775">
          <cell r="Z7775" t="str">
            <v>DENTAL</v>
          </cell>
        </row>
        <row r="7776">
          <cell r="Z7776" t="str">
            <v>DENTAL</v>
          </cell>
        </row>
        <row r="7777">
          <cell r="Z7777" t="str">
            <v>DENTAL</v>
          </cell>
        </row>
        <row r="7778">
          <cell r="Z7778" t="str">
            <v>DENTAL</v>
          </cell>
        </row>
        <row r="7779">
          <cell r="Z7779" t="str">
            <v>DENTAL</v>
          </cell>
          <cell r="AA7779" t="str">
            <v>HOSPITAL LOS VILOS</v>
          </cell>
        </row>
        <row r="7780">
          <cell r="Z7780" t="str">
            <v>DENTAL</v>
          </cell>
          <cell r="AA7780" t="str">
            <v>HOSPITAL PENCO -LIRQUEN</v>
          </cell>
        </row>
        <row r="7781">
          <cell r="Z7781" t="str">
            <v>DENTAL</v>
          </cell>
          <cell r="AA7781" t="str">
            <v>CECOSF EDUARDO FREI</v>
          </cell>
        </row>
        <row r="7782">
          <cell r="Z7782" t="str">
            <v>DENTAL</v>
          </cell>
        </row>
        <row r="7783">
          <cell r="Z7783" t="str">
            <v>DENTAL</v>
          </cell>
          <cell r="AA7783" t="str">
            <v>CESFAM LOMA COLORADA</v>
          </cell>
        </row>
        <row r="7784">
          <cell r="Z7784" t="str">
            <v>DENTAL</v>
          </cell>
        </row>
        <row r="7785">
          <cell r="Z7785" t="str">
            <v>DENTAL</v>
          </cell>
          <cell r="AA7785" t="str">
            <v>GEMCO GENERAL MACHINERY S.A.</v>
          </cell>
        </row>
        <row r="7786">
          <cell r="Z7786" t="str">
            <v>DENTAL</v>
          </cell>
        </row>
        <row r="7787">
          <cell r="Z7787" t="str">
            <v>DENTAL</v>
          </cell>
        </row>
        <row r="7788">
          <cell r="Z7788" t="str">
            <v>ENDOSCOPÍA</v>
          </cell>
          <cell r="AA7788" t="str">
            <v>INTEGRAMEDICA BIO BIO</v>
          </cell>
        </row>
        <row r="7789">
          <cell r="Z7789" t="str">
            <v>INCARDIA</v>
          </cell>
        </row>
        <row r="7790">
          <cell r="Z7790" t="str">
            <v>INCARDIA</v>
          </cell>
        </row>
        <row r="7791">
          <cell r="Z7791" t="str">
            <v>INCARDIA</v>
          </cell>
          <cell r="AA7791" t="str">
            <v>GEMCO GENERAL MACHINERY S.A.</v>
          </cell>
        </row>
        <row r="7792">
          <cell r="Z7792" t="str">
            <v>INCARDIA</v>
          </cell>
        </row>
        <row r="7793">
          <cell r="Z7793" t="str">
            <v>INCARDIA</v>
          </cell>
          <cell r="AA7793" t="str">
            <v>GEMCO GENERAL MACHINERY S.A.</v>
          </cell>
        </row>
        <row r="7794">
          <cell r="Z7794" t="str">
            <v>INCARDIA</v>
          </cell>
          <cell r="AA7794" t="str">
            <v>GEMCO GENERAL MACHINERY S.A.</v>
          </cell>
        </row>
        <row r="7795">
          <cell r="Z7795" t="str">
            <v>INCARDIA</v>
          </cell>
        </row>
        <row r="7796">
          <cell r="Z7796" t="str">
            <v>ESTERILIZACIÓN</v>
          </cell>
          <cell r="AA7796" t="str">
            <v>INSUMOS Y SERVICIOS MEDICOS S.A.</v>
          </cell>
        </row>
        <row r="7797">
          <cell r="Z7797" t="str">
            <v>ESTERILIZACIÓN</v>
          </cell>
          <cell r="AA7797" t="str">
            <v>INSUMOS Y SERVICIOS MEDICOS S.A.</v>
          </cell>
        </row>
        <row r="7798">
          <cell r="Z7798" t="str">
            <v>ESTERILIZACIÓN</v>
          </cell>
          <cell r="AA7798" t="str">
            <v>GEMCO GENERAL MACHINERY S.A.</v>
          </cell>
        </row>
        <row r="7799">
          <cell r="Z7799" t="str">
            <v>OTRO</v>
          </cell>
          <cell r="AA7799" t="str">
            <v>GEMCO GENERAL MACHINERY S.A.</v>
          </cell>
        </row>
        <row r="7800">
          <cell r="Z7800" t="str">
            <v>ENDOSCOPÍA</v>
          </cell>
          <cell r="AA7800" t="str">
            <v>GEMCO GENERAL MACHINERY S.A.</v>
          </cell>
        </row>
        <row r="7801">
          <cell r="Z7801" t="str">
            <v>INCARDIA</v>
          </cell>
        </row>
        <row r="7802">
          <cell r="Z7802" t="str">
            <v>INCARDIA</v>
          </cell>
          <cell r="AA7802" t="str">
            <v>GEMCO GENERAL MACHINERY S.A.</v>
          </cell>
        </row>
        <row r="7803">
          <cell r="Z7803" t="str">
            <v>INCARDIA</v>
          </cell>
        </row>
        <row r="7804">
          <cell r="Z7804" t="str">
            <v>INCARDIA</v>
          </cell>
          <cell r="AA7804" t="str">
            <v>GEMCO GENERAL MACHINERY S.A.</v>
          </cell>
        </row>
        <row r="7805">
          <cell r="Z7805" t="str">
            <v>INCARDIA</v>
          </cell>
          <cell r="AA7805" t="str">
            <v>GEMCO GENERAL MACHINERY S.A.</v>
          </cell>
        </row>
        <row r="7806">
          <cell r="Z7806" t="str">
            <v>INCARDIA</v>
          </cell>
          <cell r="AA7806" t="str">
            <v>GEMCO GENERAL MACHINERY S.A.</v>
          </cell>
        </row>
        <row r="7807">
          <cell r="Z7807" t="str">
            <v>INCARDIA</v>
          </cell>
          <cell r="AA7807" t="str">
            <v>GEMCO GENERAL MACHINERY S.A.</v>
          </cell>
        </row>
        <row r="7808">
          <cell r="Z7808" t="str">
            <v>INCARDIA</v>
          </cell>
          <cell r="AA7808" t="str">
            <v>CESFAM LA CANELA</v>
          </cell>
        </row>
        <row r="7809">
          <cell r="Z7809" t="str">
            <v>INCARDIA</v>
          </cell>
          <cell r="AA7809" t="str">
            <v>HOSPITAL CLINICO SAN BORJA-ARRIARAN</v>
          </cell>
        </row>
        <row r="7810">
          <cell r="Z7810" t="str">
            <v>INCARDIA</v>
          </cell>
        </row>
        <row r="7811">
          <cell r="Z7811" t="str">
            <v>INCARDIA</v>
          </cell>
          <cell r="AA7811" t="str">
            <v>HOSPITAL DE SAN CARLOS</v>
          </cell>
        </row>
        <row r="7812">
          <cell r="Z7812" t="str">
            <v>INCARDIA</v>
          </cell>
        </row>
        <row r="7813">
          <cell r="Z7813" t="str">
            <v>INCARDIA</v>
          </cell>
        </row>
        <row r="7814">
          <cell r="Z7814" t="str">
            <v>INCARDIA</v>
          </cell>
        </row>
        <row r="7815">
          <cell r="Z7815" t="str">
            <v>INCARDIA</v>
          </cell>
        </row>
        <row r="7816">
          <cell r="Z7816" t="str">
            <v>INCARDIA</v>
          </cell>
        </row>
        <row r="7817">
          <cell r="Z7817" t="str">
            <v>ENDOSCOPÍA</v>
          </cell>
        </row>
        <row r="7818">
          <cell r="Z7818" t="str">
            <v>ENDOSCOPÍA</v>
          </cell>
          <cell r="AA7818" t="str">
            <v>GEMCO GENERAL MACHINERY S.A.</v>
          </cell>
        </row>
        <row r="7819">
          <cell r="Z7819" t="str">
            <v>ENDOSCOPÍA</v>
          </cell>
        </row>
        <row r="7820">
          <cell r="Z7820" t="str">
            <v>ENDOSCOPÍA</v>
          </cell>
        </row>
        <row r="7821">
          <cell r="Z7821" t="str">
            <v>ENDOSCOPÍA</v>
          </cell>
          <cell r="AA7821" t="str">
            <v>GEMCO GENERAL MACHINERY S.A.</v>
          </cell>
        </row>
        <row r="7822">
          <cell r="Z7822" t="str">
            <v>ENDOSCOPÍA</v>
          </cell>
          <cell r="AA7822" t="str">
            <v>SOCIEDAD CONCESIONARIA METROPOLITANA DE SALUD S.A.</v>
          </cell>
        </row>
        <row r="7823">
          <cell r="Z7823" t="str">
            <v>ENDOSCOPÍA</v>
          </cell>
          <cell r="AA7823" t="str">
            <v>GEMCO GENERAL MACHINERY S.A.</v>
          </cell>
        </row>
        <row r="7824">
          <cell r="Z7824" t="str">
            <v>ENDOSCOPÍA</v>
          </cell>
          <cell r="AA7824" t="str">
            <v>HOSPITAL SAN PABLO DE COQUIMBO</v>
          </cell>
        </row>
        <row r="7825">
          <cell r="Z7825" t="str">
            <v>OTRO</v>
          </cell>
          <cell r="AA7825" t="str">
            <v>INSUMOS Y SERVICIOS MEDICOS S.A.</v>
          </cell>
        </row>
        <row r="7826">
          <cell r="Z7826" t="str">
            <v>OTRO</v>
          </cell>
          <cell r="AA7826" t="str">
            <v>INSUMOS Y SERVICIOS MEDICOS S.A.</v>
          </cell>
        </row>
        <row r="7827">
          <cell r="Z7827" t="str">
            <v>OTRO</v>
          </cell>
          <cell r="AA7827" t="str">
            <v>INSUMOS Y SERVICIOS MEDICOS S.A.</v>
          </cell>
        </row>
        <row r="7828">
          <cell r="Z7828" t="str">
            <v>OTRO</v>
          </cell>
          <cell r="AA7828" t="str">
            <v>INSUMOS Y SERVICIOS MEDICOS S.A.</v>
          </cell>
        </row>
        <row r="7829">
          <cell r="Z7829" t="str">
            <v>OTRO</v>
          </cell>
          <cell r="AA7829" t="str">
            <v>INSUMOS Y SERVICIOS MEDICOS S.A.</v>
          </cell>
        </row>
        <row r="7830">
          <cell r="Z7830" t="str">
            <v>OTRO</v>
          </cell>
          <cell r="AA7830" t="str">
            <v>INSUMOS Y SERVICIOS MEDICOS S.A.</v>
          </cell>
        </row>
        <row r="7831">
          <cell r="Z7831" t="str">
            <v>OTRO</v>
          </cell>
          <cell r="AA7831" t="str">
            <v>INSUMOS Y SERVICIOS MEDICOS S.A.</v>
          </cell>
        </row>
        <row r="7832">
          <cell r="Z7832" t="str">
            <v>OTRO</v>
          </cell>
          <cell r="AA7832" t="str">
            <v>INSUMOS Y SERVICIOS MEDICOS S.A.</v>
          </cell>
        </row>
        <row r="7833">
          <cell r="Z7833" t="str">
            <v>OTRO</v>
          </cell>
          <cell r="AA7833" t="str">
            <v>INSUMOS Y SERVICIOS MEDICOS S.A.</v>
          </cell>
        </row>
        <row r="7834">
          <cell r="Z7834" t="str">
            <v>OTRO</v>
          </cell>
          <cell r="AA7834" t="str">
            <v>INSUMOS Y SERVICIOS MEDICOS S.A.</v>
          </cell>
        </row>
        <row r="7835">
          <cell r="Z7835" t="str">
            <v>OTRO</v>
          </cell>
          <cell r="AA7835" t="str">
            <v>INSUMOS Y SERVICIOS MEDICOS S.A.</v>
          </cell>
        </row>
        <row r="7836">
          <cell r="Z7836" t="str">
            <v>OTRO</v>
          </cell>
          <cell r="AA7836" t="str">
            <v>INSUMOS Y SERVICIOS MEDICOS S.A.</v>
          </cell>
        </row>
        <row r="7837">
          <cell r="Z7837" t="str">
            <v>OTRO</v>
          </cell>
          <cell r="AA7837" t="str">
            <v>INSUMOS Y SERVICIOS MEDICOS S.A.</v>
          </cell>
        </row>
        <row r="7838">
          <cell r="Z7838" t="str">
            <v>OTRO</v>
          </cell>
          <cell r="AA7838" t="str">
            <v>INSUMOS Y SERVICIOS MEDICOS S.A.</v>
          </cell>
        </row>
        <row r="7839">
          <cell r="Z7839" t="str">
            <v>OTRO</v>
          </cell>
          <cell r="AA7839" t="str">
            <v>INSUMOS Y SERVICIOS MEDICOS S.A.</v>
          </cell>
        </row>
        <row r="7840">
          <cell r="Z7840" t="str">
            <v>OTRO</v>
          </cell>
        </row>
        <row r="7841">
          <cell r="Z7841" t="str">
            <v>OTRO</v>
          </cell>
          <cell r="AA7841" t="str">
            <v>INSUMOS Y SERVICIOS MEDICOS S.A.</v>
          </cell>
        </row>
        <row r="7842">
          <cell r="Z7842" t="str">
            <v>OTRO</v>
          </cell>
          <cell r="AA7842" t="str">
            <v>INSUMOS Y SERVICIOS MEDICOS S.A.</v>
          </cell>
        </row>
        <row r="7843">
          <cell r="Z7843" t="str">
            <v>OTRO</v>
          </cell>
          <cell r="AA7843" t="str">
            <v>INSUMOS Y SERVICIOS MEDICOS S.A.</v>
          </cell>
        </row>
        <row r="7844">
          <cell r="Z7844" t="str">
            <v>OTRO</v>
          </cell>
          <cell r="AA7844" t="str">
            <v>INSUMOS Y SERVICIOS MEDICOS S.A.</v>
          </cell>
        </row>
        <row r="7845">
          <cell r="Z7845" t="str">
            <v>OTRO</v>
          </cell>
          <cell r="AA7845" t="str">
            <v>INSUMOS Y SERVICIOS MEDICOS S.A.</v>
          </cell>
        </row>
        <row r="7846">
          <cell r="Z7846" t="str">
            <v>OTRO</v>
          </cell>
          <cell r="AA7846" t="str">
            <v>INSUMOS Y SERVICIOS MEDICOS S.A.</v>
          </cell>
        </row>
        <row r="7847">
          <cell r="Z7847" t="str">
            <v>OTRO</v>
          </cell>
          <cell r="AA7847" t="str">
            <v>INSUMOS Y SERVICIOS MEDICOS S.A.</v>
          </cell>
        </row>
        <row r="7848">
          <cell r="Z7848" t="str">
            <v>OTRO</v>
          </cell>
          <cell r="AA7848" t="str">
            <v>INSUMOS Y SERVICIOS MEDICOS S.A.</v>
          </cell>
        </row>
        <row r="7849">
          <cell r="Z7849" t="str">
            <v>OTRO</v>
          </cell>
          <cell r="AA7849" t="str">
            <v>INSUMOS Y SERVICIOS MEDICOS S.A.</v>
          </cell>
        </row>
        <row r="7850">
          <cell r="Z7850" t="str">
            <v>OTRO</v>
          </cell>
          <cell r="AA7850" t="str">
            <v>INSUMOS Y SERVICIOS MEDICOS S.A.</v>
          </cell>
        </row>
        <row r="7851">
          <cell r="Z7851" t="str">
            <v>OTRO</v>
          </cell>
        </row>
        <row r="7852">
          <cell r="Z7852" t="str">
            <v>OTRO</v>
          </cell>
          <cell r="AA7852" t="str">
            <v>INSTITUTO NACIONAL DEL CANCER</v>
          </cell>
        </row>
        <row r="7853">
          <cell r="Z7853" t="str">
            <v>OTRO</v>
          </cell>
        </row>
        <row r="7854">
          <cell r="Z7854" t="str">
            <v>OTRO</v>
          </cell>
        </row>
        <row r="7855">
          <cell r="Z7855" t="str">
            <v>DENTAL</v>
          </cell>
          <cell r="AA7855" t="str">
            <v>INTEGRAMEDICA S.A (Las Condes)</v>
          </cell>
        </row>
        <row r="7856">
          <cell r="Z7856" t="str">
            <v>DENTAL</v>
          </cell>
        </row>
        <row r="7857">
          <cell r="Z7857" t="str">
            <v>ESTERILIZACIÓN</v>
          </cell>
          <cell r="AA7857" t="str">
            <v>HOSPITAL RIO NEGRO</v>
          </cell>
        </row>
        <row r="7858">
          <cell r="Z7858" t="str">
            <v>ESTERILIZACIÓN</v>
          </cell>
        </row>
        <row r="7859">
          <cell r="Z7859" t="str">
            <v>ESTERILIZACIÓN</v>
          </cell>
        </row>
        <row r="7860">
          <cell r="Z7860" t="str">
            <v>ESTERILIZACIÓN</v>
          </cell>
          <cell r="AA7860" t="str">
            <v>HOSPITAL DE LANCO</v>
          </cell>
        </row>
        <row r="7861">
          <cell r="Z7861" t="str">
            <v>ESTERILIZACIÓN</v>
          </cell>
          <cell r="AA7861" t="str">
            <v>HOSPITAL DE ANDACOLLO</v>
          </cell>
        </row>
        <row r="7862">
          <cell r="Z7862" t="str">
            <v>ESTERILIZACIÓN</v>
          </cell>
          <cell r="AA7862" t="str">
            <v>CESFAM VIOLETA PARRA (PUDAHUEL)</v>
          </cell>
        </row>
        <row r="7863">
          <cell r="Z7863" t="str">
            <v>ESTERILIZACIÓN</v>
          </cell>
          <cell r="AA7863" t="str">
            <v>CESFAM EL SAUCE COQUIMBO</v>
          </cell>
        </row>
        <row r="7864">
          <cell r="Z7864" t="str">
            <v>DENTAL</v>
          </cell>
          <cell r="AA7864" t="str">
            <v>INTEGRAMEDICA S.A (Las Condes)</v>
          </cell>
        </row>
        <row r="7865">
          <cell r="Z7865" t="str">
            <v>DENTAL</v>
          </cell>
        </row>
        <row r="7866">
          <cell r="Z7866" t="str">
            <v>ESTERILIZACIÓN</v>
          </cell>
        </row>
        <row r="7867">
          <cell r="Z7867" t="str">
            <v>ESTERILIZACIÓN</v>
          </cell>
          <cell r="AA7867" t="str">
            <v>GEMCO GENERAL MACHINERY S.A.</v>
          </cell>
        </row>
        <row r="7868">
          <cell r="Z7868" t="str">
            <v>ESTERILIZACIÓN</v>
          </cell>
          <cell r="AA7868" t="str">
            <v>CE LOS TILOS</v>
          </cell>
        </row>
        <row r="7869">
          <cell r="Z7869" t="str">
            <v>ESTERILIZACIÓN</v>
          </cell>
          <cell r="AA7869" t="str">
            <v>HOSPITAL DE QUELLON</v>
          </cell>
        </row>
        <row r="7870">
          <cell r="Z7870" t="str">
            <v>ESTERILIZACIÓN</v>
          </cell>
          <cell r="AA7870" t="str">
            <v>HOSPITAL ALTO HOSPICIO</v>
          </cell>
        </row>
        <row r="7871">
          <cell r="Z7871" t="str">
            <v>ESTERILIZACIÓN</v>
          </cell>
          <cell r="AA7871" t="str">
            <v>SERVICIO NACIONAL DE SALUD HOSPITAL DE LOTA</v>
          </cell>
        </row>
        <row r="7872">
          <cell r="Z7872" t="str">
            <v>ESTERILIZACIÓN</v>
          </cell>
          <cell r="AA7872" t="str">
            <v>REDLASER CONCEPCION SPA</v>
          </cell>
        </row>
        <row r="7873">
          <cell r="Z7873" t="str">
            <v>ESTERILIZACIÓN</v>
          </cell>
          <cell r="AA7873" t="str">
            <v>CLINICA HOGAR BUENA SALUD S.P.A</v>
          </cell>
        </row>
        <row r="7874">
          <cell r="Z7874" t="str">
            <v>ESTERILIZACIÓN</v>
          </cell>
        </row>
        <row r="7875">
          <cell r="Z7875" t="str">
            <v>ENDOSCOPÍA</v>
          </cell>
          <cell r="AA7875" t="str">
            <v>SOCIEDAD CONCESIONARIA METROPOLITANA DE SALUD S.A.</v>
          </cell>
        </row>
        <row r="7876">
          <cell r="Z7876" t="str">
            <v>ENDOSCOPÍA</v>
          </cell>
          <cell r="AA7876" t="str">
            <v>SOCIEDAD CONCESIONARIA METROPOLITANA DE SALUD S.A.</v>
          </cell>
        </row>
        <row r="7877">
          <cell r="Z7877" t="str">
            <v>ENDOSCOPÍA</v>
          </cell>
          <cell r="AA7877" t="str">
            <v>SOCIEDAD CONCESIONARIA METROPOLITANA DE SALUD S.A.</v>
          </cell>
        </row>
        <row r="7878">
          <cell r="Z7878" t="str">
            <v>ENDOSCOPÍA</v>
          </cell>
          <cell r="AA7878" t="str">
            <v>HOSPITAL CARLOS VAN BUREN</v>
          </cell>
        </row>
        <row r="7879">
          <cell r="Z7879" t="str">
            <v>ENDOSCOPÍA</v>
          </cell>
        </row>
        <row r="7880">
          <cell r="Z7880" t="str">
            <v>ENDOSCOPÍA</v>
          </cell>
          <cell r="AA7880" t="str">
            <v>HOSPITAL DE OVALLE</v>
          </cell>
        </row>
        <row r="7881">
          <cell r="Z7881" t="str">
            <v>ENDOSCOPÍA</v>
          </cell>
        </row>
        <row r="7882">
          <cell r="Z7882" t="str">
            <v>ENDOSCOPÍA</v>
          </cell>
        </row>
        <row r="7883">
          <cell r="Z7883" t="str">
            <v>ENDOSCOPÍA</v>
          </cell>
          <cell r="AA7883" t="str">
            <v>HOSPITAL METROPOLITANO DE SANTIAGO</v>
          </cell>
        </row>
        <row r="7884">
          <cell r="Z7884" t="str">
            <v>ENDOSCOPÍA</v>
          </cell>
          <cell r="AA7884" t="str">
            <v>HOSPITAL REGIONAL DE ANTOFAGASTA</v>
          </cell>
        </row>
        <row r="7885">
          <cell r="Z7885" t="str">
            <v>ENDOSCOPÍA</v>
          </cell>
          <cell r="AA7885" t="str">
            <v>INSTITUTO NACIONAL DEL TORAX</v>
          </cell>
        </row>
        <row r="7886">
          <cell r="Z7886" t="str">
            <v>ENDOSCOPÍA</v>
          </cell>
          <cell r="AA7886" t="str">
            <v>HOSPITAL GUILLERMO GRANT BENAVENTE</v>
          </cell>
        </row>
        <row r="7887">
          <cell r="Z7887" t="str">
            <v>ENDOSCOPÍA</v>
          </cell>
          <cell r="AA7887" t="str">
            <v>HOSPITAL DE URGENCIA ASISTENCIA PUBLICA DR. ALEJ</v>
          </cell>
        </row>
        <row r="7888">
          <cell r="Z7888" t="str">
            <v>ENDOSCOPÍA</v>
          </cell>
          <cell r="AA7888" t="str">
            <v>HOSPITAL DE LA FLORIDA</v>
          </cell>
        </row>
        <row r="7889">
          <cell r="Z7889" t="str">
            <v>ENDOSCOPÍA</v>
          </cell>
          <cell r="AA7889" t="str">
            <v>HOSPITAL DE LA FLORIDA</v>
          </cell>
        </row>
        <row r="7890">
          <cell r="Z7890" t="str">
            <v>ENDOSCOPÍA</v>
          </cell>
          <cell r="AA7890" t="str">
            <v>HOSPITAL REGIONAL DE ARICA DR. JUAN NOÉ CREVANI</v>
          </cell>
        </row>
        <row r="7891">
          <cell r="Z7891" t="str">
            <v>ENDOSCOPÍA</v>
          </cell>
          <cell r="AA7891" t="str">
            <v>HOSPITAL DE CASTRO</v>
          </cell>
        </row>
        <row r="7892">
          <cell r="Z7892" t="str">
            <v>ENDOSCOPÍA</v>
          </cell>
          <cell r="AA7892" t="str">
            <v>HOSPITAL DE URGENCIA ASISTENCIA PUBLICA DR. ALEJ</v>
          </cell>
        </row>
        <row r="7893">
          <cell r="Z7893" t="str">
            <v>ENDOSCOPÍA</v>
          </cell>
          <cell r="AA7893" t="str">
            <v>HOSPITAL DE URGENCIA ASISTENCIA PUBLICA DR. ALEJ</v>
          </cell>
        </row>
        <row r="7894">
          <cell r="Z7894" t="str">
            <v>ENDOSCOPÍA</v>
          </cell>
          <cell r="AA7894" t="str">
            <v>HOSPITAL DE URGENCIA ASISTENCIA PUBLICA DR. ALEJ</v>
          </cell>
        </row>
        <row r="7895">
          <cell r="Z7895" t="str">
            <v>ENDOSCOPÍA</v>
          </cell>
          <cell r="AA7895" t="str">
            <v>HOSPITAL DR. LUIS TISNE B.</v>
          </cell>
        </row>
        <row r="7896">
          <cell r="Z7896" t="str">
            <v>ENDOSCOPÍA</v>
          </cell>
        </row>
        <row r="7897">
          <cell r="Z7897" t="str">
            <v>ENDOSCOPÍA</v>
          </cell>
        </row>
        <row r="7898">
          <cell r="Z7898" t="str">
            <v>ENDOSCOPÍA</v>
          </cell>
          <cell r="AA7898" t="str">
            <v>DIPRECA FONDO HOSPITAL</v>
          </cell>
        </row>
        <row r="7899">
          <cell r="Z7899" t="str">
            <v>ENDOSCOPÍA</v>
          </cell>
          <cell r="AA7899" t="str">
            <v>HOSPITAL SAN JUAN DE DIOS</v>
          </cell>
        </row>
        <row r="7900">
          <cell r="Z7900" t="str">
            <v>ENDOSCOPÍA</v>
          </cell>
          <cell r="AA7900" t="str">
            <v>CLINICA SANATORIO ALEMAN</v>
          </cell>
        </row>
        <row r="7901">
          <cell r="Z7901" t="str">
            <v>ENDOSCOPÍA</v>
          </cell>
          <cell r="AA7901" t="str">
            <v>HOSPITAL REGIONAL DE ANTOFAGASTA</v>
          </cell>
        </row>
        <row r="7902">
          <cell r="Z7902" t="str">
            <v>ENDOSCOPÍA</v>
          </cell>
          <cell r="AA7902" t="str">
            <v>HOSPITAL CARLOS VAN BUREN</v>
          </cell>
        </row>
        <row r="7903">
          <cell r="Z7903" t="str">
            <v>ENDOSCOPÍA</v>
          </cell>
          <cell r="AA7903" t="str">
            <v>HOSPITAL METROPOLITANO DE SANTIAGO</v>
          </cell>
        </row>
        <row r="7904">
          <cell r="Z7904" t="str">
            <v>ENDOSCOPÍA</v>
          </cell>
          <cell r="AA7904" t="str">
            <v>CLINICA BIO-BIO S.A.</v>
          </cell>
        </row>
        <row r="7905">
          <cell r="Z7905" t="str">
            <v>ENDOSCOPÍA</v>
          </cell>
          <cell r="AA7905" t="str">
            <v>INSTITUTO NACIONAL DEL CANCER</v>
          </cell>
        </row>
        <row r="7906">
          <cell r="Z7906" t="str">
            <v>ENDOSCOPÍA</v>
          </cell>
          <cell r="AA7906" t="str">
            <v>HOSPITAL GUILLERMO GRANT BENAVENTE</v>
          </cell>
        </row>
        <row r="7907">
          <cell r="Z7907" t="str">
            <v>ENDOSCOPÍA</v>
          </cell>
          <cell r="AA7907" t="str">
            <v>DIPRECA FONDO HOSPITAL</v>
          </cell>
        </row>
        <row r="7908">
          <cell r="Z7908" t="str">
            <v>ENDOSCOPÍA</v>
          </cell>
          <cell r="AA7908" t="str">
            <v>INSTITUTO NACIONAL DEL TORAX</v>
          </cell>
        </row>
        <row r="7909">
          <cell r="Z7909" t="str">
            <v>ENDOSCOPÍA</v>
          </cell>
        </row>
        <row r="7910">
          <cell r="Z7910" t="str">
            <v>ENDOSCOPÍA</v>
          </cell>
          <cell r="AA7910" t="str">
            <v>GEMCO GENERAL MACHINERY S.A.</v>
          </cell>
        </row>
        <row r="7911">
          <cell r="Z7911" t="str">
            <v>ENDOSCOPÍA</v>
          </cell>
        </row>
        <row r="7912">
          <cell r="Z7912" t="str">
            <v>ENDOSCOPÍA</v>
          </cell>
          <cell r="AA7912" t="str">
            <v>HOSPITAL REGIONAL DE ANTOFAGASTA</v>
          </cell>
        </row>
        <row r="7913">
          <cell r="Z7913" t="str">
            <v>ENDOSCOPÍA</v>
          </cell>
          <cell r="AA7913" t="str">
            <v>HOSPITAL REGIONAL DE ANTOFAGASTA</v>
          </cell>
        </row>
        <row r="7914">
          <cell r="Z7914" t="str">
            <v>ENDOSCOPÍA</v>
          </cell>
          <cell r="AA7914" t="str">
            <v>HOSPITAL SAN PABLO DE COQUIMBO</v>
          </cell>
        </row>
        <row r="7915">
          <cell r="Z7915" t="str">
            <v>ENDOSCOPÍA</v>
          </cell>
          <cell r="AA7915" t="str">
            <v>HOSPITAL SAN PABLO DE COQUIMBO</v>
          </cell>
        </row>
        <row r="7916">
          <cell r="Z7916" t="str">
            <v>ENDOSCOPÍA</v>
          </cell>
          <cell r="AA7916" t="str">
            <v>HOSPITAL SAN PABLO DE COQUIMBO</v>
          </cell>
        </row>
        <row r="7917">
          <cell r="Z7917" t="str">
            <v>ENDOSCOPÍA</v>
          </cell>
        </row>
        <row r="7918">
          <cell r="Z7918" t="str">
            <v>ENDOSCOPÍA</v>
          </cell>
        </row>
        <row r="7919">
          <cell r="Z7919" t="str">
            <v>ENDOSCOPÍA</v>
          </cell>
          <cell r="AA7919" t="str">
            <v>CLINICA ALEMANA DE SANTIAGO S A</v>
          </cell>
        </row>
        <row r="7920">
          <cell r="Z7920" t="str">
            <v>ENDOSCOPÍA</v>
          </cell>
          <cell r="AA7920" t="str">
            <v>HOSPITAL REGIONAL DE ANTOFAGASTA</v>
          </cell>
        </row>
        <row r="7921">
          <cell r="Z7921" t="str">
            <v>ENDOSCOPÍA</v>
          </cell>
        </row>
        <row r="7922">
          <cell r="Z7922" t="str">
            <v>ENDOSCOPÍA</v>
          </cell>
          <cell r="AA7922" t="str">
            <v>HOSPITAL REGIONAL DE RANCAGUA</v>
          </cell>
        </row>
        <row r="7923">
          <cell r="Z7923" t="str">
            <v>ENDOSCOPÍA</v>
          </cell>
          <cell r="AA7923" t="str">
            <v>HOSPITAL VICTOR RIOS RUIZ</v>
          </cell>
        </row>
        <row r="7924">
          <cell r="Z7924" t="str">
            <v>ENDOSCOPÍA</v>
          </cell>
          <cell r="AA7924" t="str">
            <v>HOSPITAL REGIONAL DE RANCAGUA</v>
          </cell>
        </row>
        <row r="7925">
          <cell r="Z7925" t="str">
            <v>ENDOSCOPÍA</v>
          </cell>
          <cell r="AA7925" t="str">
            <v>CLINICA ALEMANA DE SANTIAGO S A</v>
          </cell>
        </row>
        <row r="7926">
          <cell r="Z7926" t="str">
            <v>ENDOSCOPÍA</v>
          </cell>
          <cell r="AA7926" t="str">
            <v>CLINICA ALEMANA DE SANTIAGO S A</v>
          </cell>
        </row>
        <row r="7927">
          <cell r="Z7927" t="str">
            <v>ENDOSCOPÍA</v>
          </cell>
          <cell r="AA7927" t="str">
            <v>CLINICA ALEMANA DE SANTIAGO S A</v>
          </cell>
        </row>
        <row r="7928">
          <cell r="Z7928" t="str">
            <v>ENDOSCOPÍA</v>
          </cell>
          <cell r="AA7928" t="str">
            <v>CLINICA ALEMANA DE SANTIAGO S A</v>
          </cell>
        </row>
        <row r="7929">
          <cell r="Z7929" t="str">
            <v>ENDOSCOPÍA</v>
          </cell>
          <cell r="AA7929" t="str">
            <v>CLINICA ALEMANA DE SANTIAGO S A</v>
          </cell>
        </row>
        <row r="7930">
          <cell r="Z7930" t="str">
            <v>ENDOSCOPÍA</v>
          </cell>
          <cell r="AA7930" t="str">
            <v>INTEGRAMEDICA S.A (Las Condes)</v>
          </cell>
        </row>
        <row r="7931">
          <cell r="Z7931" t="str">
            <v>ENDOSCOPÍA</v>
          </cell>
          <cell r="AA7931" t="str">
            <v>HOSPITAL VICTOR RIOS RUIZ</v>
          </cell>
        </row>
        <row r="7932">
          <cell r="Z7932" t="str">
            <v>ENDOSCOPÍA</v>
          </cell>
          <cell r="AA7932" t="str">
            <v>HOSPITAL REGIONAL DE RANCAGUA</v>
          </cell>
        </row>
        <row r="7933">
          <cell r="Z7933" t="str">
            <v>ENDOSCOPÍA</v>
          </cell>
          <cell r="AA7933" t="str">
            <v xml:space="preserve">HOSPITAL SAN CAMILO  </v>
          </cell>
        </row>
        <row r="7934">
          <cell r="Z7934" t="str">
            <v>ENDOSCOPÍA</v>
          </cell>
          <cell r="AA7934" t="str">
            <v>HOSPITAL VICTOR RIOS RUIZ</v>
          </cell>
        </row>
        <row r="7935">
          <cell r="Z7935" t="str">
            <v>ENDOSCOPÍA</v>
          </cell>
          <cell r="AA7935" t="str">
            <v>HOSPITAL VICTOR RIOS RUIZ</v>
          </cell>
        </row>
        <row r="7936">
          <cell r="Z7936" t="str">
            <v>ENDOSCOPÍA</v>
          </cell>
        </row>
        <row r="7937">
          <cell r="Z7937" t="str">
            <v>ENDOSCOPÍA</v>
          </cell>
        </row>
        <row r="7938">
          <cell r="Z7938" t="str">
            <v>ENDOSCOPÍA</v>
          </cell>
          <cell r="AA7938" t="str">
            <v>GEMCO GENERAL MACHINERY S.A.</v>
          </cell>
        </row>
        <row r="7939">
          <cell r="Z7939" t="str">
            <v>ENDOSCOPÍA</v>
          </cell>
          <cell r="AA7939" t="str">
            <v>GEMCO GENERAL MACHINERY S.A.</v>
          </cell>
        </row>
        <row r="7940">
          <cell r="Z7940" t="str">
            <v>ENDOSCOPÍA</v>
          </cell>
          <cell r="AA7940" t="str">
            <v>GEMCO GENERAL MACHINERY S.A.</v>
          </cell>
        </row>
        <row r="7941">
          <cell r="Z7941" t="str">
            <v>ENDOSCOPÍA</v>
          </cell>
          <cell r="AA7941" t="str">
            <v>GEMCO GENERAL MACHINERY S.A.</v>
          </cell>
        </row>
        <row r="7942">
          <cell r="Z7942" t="str">
            <v>ENDOSCOPÍA</v>
          </cell>
          <cell r="AA7942" t="str">
            <v>GEMCO GENERAL MACHINERY S.A.</v>
          </cell>
        </row>
        <row r="7943">
          <cell r="Z7943" t="str">
            <v>ENDOSCOPÍA</v>
          </cell>
        </row>
        <row r="7944">
          <cell r="Z7944" t="str">
            <v>ENDOSCOPÍA</v>
          </cell>
          <cell r="AA7944" t="str">
            <v>ACHS</v>
          </cell>
        </row>
        <row r="7945">
          <cell r="Z7945" t="str">
            <v>ENDOSCOPÍA</v>
          </cell>
          <cell r="AA7945" t="str">
            <v>GEMCO GENERAL MACHINERY S.A.</v>
          </cell>
        </row>
        <row r="7946">
          <cell r="Z7946" t="str">
            <v>ENDOSCOPÍA</v>
          </cell>
          <cell r="AA7946" t="str">
            <v>HOSPITAL METROPOLITANO DE SANTIAGO</v>
          </cell>
        </row>
        <row r="7947">
          <cell r="Z7947" t="str">
            <v>ENDOSCOPÍA</v>
          </cell>
          <cell r="AA7947" t="str">
            <v>HOSPITAL DE URGENCIA ASISTENCIA PUBLICA DR. ALEJ</v>
          </cell>
        </row>
        <row r="7948">
          <cell r="Z7948" t="str">
            <v>ENDOSCOPÍA</v>
          </cell>
        </row>
        <row r="7949">
          <cell r="Z7949" t="str">
            <v>ESTERILIZACIÓN</v>
          </cell>
          <cell r="AA7949" t="str">
            <v>SERVICIO DE SALUD OSORNO</v>
          </cell>
        </row>
        <row r="7950">
          <cell r="Z7950" t="str">
            <v>ESTERILIZACIÓN</v>
          </cell>
          <cell r="AA7950" t="str">
            <v>HOSPITAL DR. GUSTAVO FRICKE</v>
          </cell>
        </row>
        <row r="7951">
          <cell r="Z7951" t="str">
            <v>ESTERILIZACIÓN</v>
          </cell>
          <cell r="AA7951" t="str">
            <v>HOSPITAL ALTO HOSPICIO</v>
          </cell>
        </row>
        <row r="7952">
          <cell r="Z7952" t="str">
            <v>ESTERILIZACIÓN</v>
          </cell>
        </row>
        <row r="7953">
          <cell r="Z7953" t="str">
            <v>ESTERILIZACIÓN</v>
          </cell>
        </row>
        <row r="7954">
          <cell r="Z7954" t="str">
            <v>ESTERILIZACIÓN</v>
          </cell>
          <cell r="AA7954" t="str">
            <v>INSUMOS Y SERVICIOS MEDICOS S.A.</v>
          </cell>
        </row>
        <row r="7955">
          <cell r="Z7955" t="str">
            <v>ESTERILIZACIÓN</v>
          </cell>
          <cell r="AA7955" t="str">
            <v>HOSPITAL SAN JUAN DE DIOS</v>
          </cell>
        </row>
        <row r="7956">
          <cell r="Z7956" t="str">
            <v>ESTERILIZACIÓN</v>
          </cell>
          <cell r="AA7956" t="str">
            <v>SERVICIO DE SALUD OSORNO</v>
          </cell>
        </row>
        <row r="7957">
          <cell r="Z7957" t="str">
            <v>ESTERILIZACIÓN</v>
          </cell>
          <cell r="AA7957" t="str">
            <v>CLINICA MEDS LTDA</v>
          </cell>
        </row>
        <row r="7958">
          <cell r="Z7958" t="str">
            <v>DENTAL</v>
          </cell>
          <cell r="AA7958" t="str">
            <v>UNIVERSIDAD DEL DESARROLLO CONCEPCION</v>
          </cell>
        </row>
        <row r="7959">
          <cell r="Z7959" t="str">
            <v>DENTAL</v>
          </cell>
          <cell r="AA7959" t="str">
            <v>UNIVERSIDAD DEL DESARROLLO CONCEPCION</v>
          </cell>
        </row>
        <row r="7960">
          <cell r="Z7960" t="str">
            <v>DENTAL</v>
          </cell>
          <cell r="AA7960" t="str">
            <v>UNIVERSIDAD DEL DESARROLLO CONCEPCION</v>
          </cell>
        </row>
        <row r="7961">
          <cell r="Z7961" t="str">
            <v>DENTAL</v>
          </cell>
          <cell r="AA7961" t="str">
            <v>UNIVERSIDAD DEL DESARROLLO CONCEPCION</v>
          </cell>
        </row>
        <row r="7962">
          <cell r="Z7962" t="str">
            <v>DENTAL</v>
          </cell>
          <cell r="AA7962" t="str">
            <v>UNIVERSIDAD DEL DESARROLLO CONCEPCION</v>
          </cell>
        </row>
        <row r="7963">
          <cell r="Z7963" t="str">
            <v>DENTAL</v>
          </cell>
          <cell r="AA7963" t="str">
            <v>UNIVERSIDAD DEL DESARROLLO CONCEPCION</v>
          </cell>
        </row>
        <row r="7964">
          <cell r="Z7964" t="str">
            <v>DENTAL</v>
          </cell>
          <cell r="AA7964" t="str">
            <v>UNIVERSIDAD DEL DESARROLLO CONCEPCION</v>
          </cell>
        </row>
        <row r="7965">
          <cell r="Z7965" t="str">
            <v>DENTAL</v>
          </cell>
          <cell r="AA7965" t="str">
            <v>UNIVERSIDAD DEL DESARROLLO CONCEPCION</v>
          </cell>
        </row>
        <row r="7966">
          <cell r="Z7966" t="str">
            <v>DENTAL</v>
          </cell>
          <cell r="AA7966" t="str">
            <v>UNIVERSIDAD DEL DESARROLLO CONCEPCION</v>
          </cell>
        </row>
        <row r="7967">
          <cell r="Z7967" t="str">
            <v>DENTAL</v>
          </cell>
          <cell r="AA7967" t="str">
            <v>UNIVERSIDAD DEL DESARROLLO CONCEPCION</v>
          </cell>
        </row>
        <row r="7968">
          <cell r="Z7968" t="str">
            <v>DENTAL</v>
          </cell>
          <cell r="AA7968" t="str">
            <v>UNIVERSIDAD DEL DESARROLLO CONCEPCION</v>
          </cell>
        </row>
        <row r="7969">
          <cell r="Z7969" t="str">
            <v>DENTAL</v>
          </cell>
          <cell r="AA7969" t="str">
            <v>UNIVERSIDAD DEL DESARROLLO CONCEPCION</v>
          </cell>
        </row>
        <row r="7970">
          <cell r="Z7970" t="str">
            <v>DENTAL</v>
          </cell>
          <cell r="AA7970" t="str">
            <v>UNIVERSIDAD DEL DESARROLLO CONCEPCION</v>
          </cell>
        </row>
        <row r="7971">
          <cell r="Z7971" t="str">
            <v>DENTAL</v>
          </cell>
          <cell r="AA7971" t="str">
            <v>UNIVERSIDAD DEL DESARROLLO CONCEPCION</v>
          </cell>
        </row>
        <row r="7972">
          <cell r="Z7972" t="str">
            <v>DENTAL</v>
          </cell>
          <cell r="AA7972" t="str">
            <v>UNIVERSIDAD DEL DESARROLLO CONCEPCION</v>
          </cell>
        </row>
        <row r="7973">
          <cell r="Z7973" t="str">
            <v>DENTAL</v>
          </cell>
          <cell r="AA7973" t="str">
            <v>UNIVERSIDAD DEL DESARROLLO CONCEPCION</v>
          </cell>
        </row>
        <row r="7974">
          <cell r="Z7974" t="str">
            <v>DENTAL</v>
          </cell>
          <cell r="AA7974" t="str">
            <v>UNIVERSIDAD DEL DESARROLLO CONCEPCION</v>
          </cell>
        </row>
        <row r="7975">
          <cell r="Z7975" t="str">
            <v>DENTAL</v>
          </cell>
          <cell r="AA7975" t="str">
            <v>UNIVERSIDAD DEL DESARROLLO CONCEPCION</v>
          </cell>
        </row>
        <row r="7976">
          <cell r="Z7976" t="str">
            <v>DENTAL</v>
          </cell>
          <cell r="AA7976" t="str">
            <v>UNIVERSIDAD DEL DESARROLLO CONCEPCION</v>
          </cell>
        </row>
        <row r="7977">
          <cell r="Z7977" t="str">
            <v>DENTAL</v>
          </cell>
          <cell r="AA7977" t="str">
            <v>UNIVERSIDAD DEL DESARROLLO CONCEPCION</v>
          </cell>
        </row>
        <row r="7978">
          <cell r="Z7978" t="str">
            <v>DENTAL</v>
          </cell>
          <cell r="AA7978" t="str">
            <v>UNIVERSIDAD DEL DESARROLLO CONCEPCION</v>
          </cell>
        </row>
        <row r="7979">
          <cell r="Z7979" t="str">
            <v>DENTAL</v>
          </cell>
          <cell r="AA7979" t="str">
            <v>UNIVERSIDAD DEL DESARROLLO CONCEPCION</v>
          </cell>
        </row>
        <row r="7980">
          <cell r="Z7980" t="str">
            <v>DENTAL</v>
          </cell>
          <cell r="AA7980" t="str">
            <v>UNIVERSIDAD DEL DESARROLLO CONCEPCION</v>
          </cell>
        </row>
        <row r="7981">
          <cell r="Z7981" t="str">
            <v>DENTAL</v>
          </cell>
          <cell r="AA7981" t="str">
            <v>UNIVERSIDAD DEL DESARROLLO CONCEPCION</v>
          </cell>
        </row>
        <row r="7982">
          <cell r="Z7982" t="str">
            <v>DENTAL</v>
          </cell>
          <cell r="AA7982" t="str">
            <v>UNIVERSIDAD DEL DESARROLLO CONCEPCION</v>
          </cell>
        </row>
        <row r="7983">
          <cell r="Z7983" t="str">
            <v>DENTAL</v>
          </cell>
          <cell r="AA7983" t="str">
            <v>UNIVERSIDAD DEL DESARROLLO CONCEPCION</v>
          </cell>
        </row>
        <row r="7984">
          <cell r="Z7984" t="str">
            <v>DENTAL</v>
          </cell>
          <cell r="AA7984" t="str">
            <v>UNIVERSIDAD DEL DESARROLLO CONCEPCION</v>
          </cell>
        </row>
        <row r="7985">
          <cell r="Z7985" t="str">
            <v>DENTAL</v>
          </cell>
          <cell r="AA7985" t="str">
            <v>UNIVERSIDAD DEL DESARROLLO CONCEPCION</v>
          </cell>
        </row>
        <row r="7986">
          <cell r="Z7986" t="str">
            <v>DENTAL</v>
          </cell>
          <cell r="AA7986" t="str">
            <v>UNIVERSIDAD DEL DESARROLLO CONCEPCION</v>
          </cell>
        </row>
        <row r="7987">
          <cell r="Z7987" t="str">
            <v>DENTAL</v>
          </cell>
          <cell r="AA7987" t="str">
            <v>UNIVERSIDAD DEL DESARROLLO CONCEPCION</v>
          </cell>
        </row>
        <row r="7988">
          <cell r="Z7988" t="str">
            <v>ENDOSCOPÍA</v>
          </cell>
          <cell r="AA7988" t="str">
            <v>HOSPITAL CLINICO IST VIÑA DEL MAR</v>
          </cell>
        </row>
        <row r="7989">
          <cell r="Z7989" t="str">
            <v>ESTERILIZACIÓN</v>
          </cell>
          <cell r="AA7989" t="str">
            <v>INSUMOS Y SERVICIOS MEDICOS S.A.</v>
          </cell>
        </row>
        <row r="7990">
          <cell r="Z7990" t="str">
            <v>ESTERILIZACIÓN</v>
          </cell>
          <cell r="AA7990" t="str">
            <v>INSUMOS Y SERVICIOS MEDICOS S.A.</v>
          </cell>
        </row>
        <row r="7991">
          <cell r="Z7991" t="str">
            <v>ESTERILIZACIÓN</v>
          </cell>
          <cell r="AA7991" t="str">
            <v>INSUMOS Y SERVICIOS MEDICOS S.A.</v>
          </cell>
        </row>
        <row r="7992">
          <cell r="Z7992" t="str">
            <v>ESTERILIZACIÓN</v>
          </cell>
          <cell r="AA7992" t="str">
            <v>INSUMOS Y SERVICIOS MEDICOS S.A.</v>
          </cell>
        </row>
        <row r="7993">
          <cell r="Z7993" t="str">
            <v>ESTERILIZACIÓN</v>
          </cell>
          <cell r="AA7993" t="str">
            <v>CLINICA LAS CONDES S.A.</v>
          </cell>
        </row>
        <row r="7994">
          <cell r="Z7994" t="str">
            <v>ESTERILIZACIÓN</v>
          </cell>
          <cell r="AA7994" t="str">
            <v>CLINICA LAS CONDES S.A.</v>
          </cell>
        </row>
        <row r="7995">
          <cell r="Z7995" t="str">
            <v>ESTERILIZACIÓN</v>
          </cell>
          <cell r="AA7995" t="str">
            <v>CLINICA LAS CONDES S.A.</v>
          </cell>
        </row>
        <row r="7996">
          <cell r="Z7996" t="str">
            <v>DENTAL</v>
          </cell>
        </row>
        <row r="7997">
          <cell r="Z7997" t="str">
            <v>OTRO</v>
          </cell>
        </row>
        <row r="7998">
          <cell r="Z7998" t="str">
            <v>ENDOSCOPÍA</v>
          </cell>
          <cell r="AA7998" t="str">
            <v>HOSPITAL DE PUERTO MONTT</v>
          </cell>
        </row>
        <row r="7999">
          <cell r="Z7999" t="str">
            <v>DENTAL</v>
          </cell>
          <cell r="AA7999" t="str">
            <v>INTEGRAMEDICA ALAMEDA</v>
          </cell>
        </row>
        <row r="8000">
          <cell r="Z8000" t="str">
            <v>DENTAL</v>
          </cell>
          <cell r="AA8000" t="str">
            <v>INTEGRAMEDICA ALAMEDA</v>
          </cell>
        </row>
        <row r="8001">
          <cell r="Z8001" t="str">
            <v>DENTAL</v>
          </cell>
          <cell r="AA8001" t="str">
            <v>INTEGRAMEDICA ALAMEDA</v>
          </cell>
        </row>
        <row r="8002">
          <cell r="Z8002" t="str">
            <v>DENTAL</v>
          </cell>
          <cell r="AA8002" t="str">
            <v>INTEGRAMEDICA ALAMEDA</v>
          </cell>
        </row>
        <row r="8003">
          <cell r="Z8003" t="str">
            <v>DENTAL</v>
          </cell>
          <cell r="AA8003" t="str">
            <v>INTEGRAMEDICA ALAMEDA</v>
          </cell>
        </row>
        <row r="8004">
          <cell r="Z8004" t="str">
            <v>DENTAL</v>
          </cell>
          <cell r="AA8004" t="str">
            <v>INTEGRAMEDICA ALAMEDA</v>
          </cell>
        </row>
        <row r="8005">
          <cell r="Z8005" t="str">
            <v>DENTAL</v>
          </cell>
          <cell r="AA8005" t="str">
            <v>INTEGRAMEDICA ALAMEDA</v>
          </cell>
        </row>
        <row r="8006">
          <cell r="Z8006" t="str">
            <v>DENTAL</v>
          </cell>
        </row>
        <row r="8007">
          <cell r="Z8007" t="str">
            <v>DENTAL</v>
          </cell>
          <cell r="AA8007" t="str">
            <v>JUNAEB ALTOBIOBIO</v>
          </cell>
        </row>
        <row r="8008">
          <cell r="Z8008" t="str">
            <v>DENTAL</v>
          </cell>
          <cell r="AA8008" t="str">
            <v>JUNAEB ESCUELA VICTOR DOMINGO SILVA</v>
          </cell>
        </row>
        <row r="8009">
          <cell r="Z8009" t="str">
            <v>DENTAL</v>
          </cell>
          <cell r="AA8009" t="str">
            <v>JUNAEB MODULO FRUTILLAR</v>
          </cell>
        </row>
        <row r="8010">
          <cell r="Z8010" t="str">
            <v>DENTAL</v>
          </cell>
          <cell r="AA8010" t="str">
            <v>JUNAEB ESCUELA NUEVA ZELANDIA</v>
          </cell>
        </row>
        <row r="8011">
          <cell r="Z8011" t="str">
            <v>DENTAL</v>
          </cell>
          <cell r="AA8011" t="str">
            <v>JUNAEB ESCUELA NUEVA ZELANDIA</v>
          </cell>
        </row>
        <row r="8012">
          <cell r="Z8012" t="str">
            <v>DENTAL</v>
          </cell>
          <cell r="AA8012" t="str">
            <v>JUNAEB ESCUELA NUEVA ZELANDIA</v>
          </cell>
        </row>
        <row r="8013">
          <cell r="Z8013" t="str">
            <v>DENTAL</v>
          </cell>
        </row>
        <row r="8014">
          <cell r="Z8014" t="str">
            <v>DENTAL</v>
          </cell>
        </row>
        <row r="8015">
          <cell r="Z8015" t="str">
            <v>DENTAL</v>
          </cell>
        </row>
        <row r="8016">
          <cell r="Z8016" t="str">
            <v>DENTAL</v>
          </cell>
          <cell r="AA8016" t="str">
            <v>JUNAEB ESCUELA NUEVA ZELANDIA</v>
          </cell>
        </row>
        <row r="8017">
          <cell r="Z8017" t="str">
            <v>DENTAL</v>
          </cell>
          <cell r="AA8017" t="str">
            <v>JUNAEB MODULO FRUTILLAR</v>
          </cell>
        </row>
        <row r="8018">
          <cell r="Z8018" t="str">
            <v>DENTAL</v>
          </cell>
          <cell r="AA8018" t="str">
            <v>JUNAEB ESCUELA NUEVA ZELANDIA</v>
          </cell>
        </row>
        <row r="8019">
          <cell r="Z8019" t="str">
            <v>DENTAL</v>
          </cell>
          <cell r="AA8019" t="str">
            <v>JUNAEB ALTOBIOBIO</v>
          </cell>
        </row>
        <row r="8020">
          <cell r="Z8020" t="str">
            <v>DENTAL</v>
          </cell>
        </row>
        <row r="8021">
          <cell r="Z8021" t="str">
            <v>DENTAL</v>
          </cell>
          <cell r="AA8021" t="str">
            <v>JUNAEB ESCUELA NUEVA ZELANDIA</v>
          </cell>
        </row>
        <row r="8022">
          <cell r="Z8022" t="str">
            <v>DENTAL</v>
          </cell>
          <cell r="AA8022" t="str">
            <v>JUNAEB ESCUELA VICTOR DOMINGO SILVA</v>
          </cell>
        </row>
        <row r="8023">
          <cell r="Z8023" t="str">
            <v>DENTAL</v>
          </cell>
        </row>
        <row r="8024">
          <cell r="Z8024" t="str">
            <v>DENTAL</v>
          </cell>
          <cell r="AA8024" t="str">
            <v>HOSPITAL SANTO TOMAS DE LIMACHE</v>
          </cell>
        </row>
        <row r="8025">
          <cell r="Z8025" t="str">
            <v>DENTAL</v>
          </cell>
          <cell r="AA8025" t="str">
            <v>CAPREDENA</v>
          </cell>
        </row>
        <row r="8026">
          <cell r="Z8026" t="str">
            <v>DENTAL</v>
          </cell>
          <cell r="AA8026" t="str">
            <v>CAPREDENA</v>
          </cell>
        </row>
        <row r="8027">
          <cell r="Z8027" t="str">
            <v>DENTAL</v>
          </cell>
          <cell r="AA8027" t="str">
            <v>UNIVERSIDAD DEL DESARROLLO CONCEPCION</v>
          </cell>
        </row>
        <row r="8028">
          <cell r="Z8028" t="str">
            <v>DENTAL</v>
          </cell>
          <cell r="AA8028" t="str">
            <v>CAPREDENA</v>
          </cell>
        </row>
        <row r="8029">
          <cell r="Z8029" t="str">
            <v>DENTAL</v>
          </cell>
          <cell r="AA8029" t="str">
            <v>UNIVERSIDAD DEL DESARROLLO CONCEPCION</v>
          </cell>
        </row>
        <row r="8030">
          <cell r="Z8030" t="str">
            <v>DENTAL</v>
          </cell>
          <cell r="AA8030" t="str">
            <v>CLINICA MOVIL CENTINELA</v>
          </cell>
        </row>
        <row r="8031">
          <cell r="Z8031" t="str">
            <v>DENTAL</v>
          </cell>
          <cell r="AA8031" t="str">
            <v>CLINICA MOVIL CENTINELA</v>
          </cell>
        </row>
        <row r="8032">
          <cell r="Z8032" t="str">
            <v>DENTAL</v>
          </cell>
          <cell r="AA8032" t="str">
            <v>CLINICA MOVIL CENTINELA</v>
          </cell>
        </row>
        <row r="8033">
          <cell r="Z8033" t="str">
            <v>DENTAL</v>
          </cell>
          <cell r="AA8033" t="str">
            <v>CLINICA MOVIL CENTINELA</v>
          </cell>
        </row>
        <row r="8034">
          <cell r="Z8034" t="str">
            <v>DENTAL</v>
          </cell>
          <cell r="AA8034" t="str">
            <v>CLINICA MOVIL CENTINELA</v>
          </cell>
        </row>
        <row r="8035">
          <cell r="Z8035" t="str">
            <v>DENTAL</v>
          </cell>
        </row>
        <row r="8036">
          <cell r="Z8036" t="str">
            <v>DENTAL</v>
          </cell>
        </row>
        <row r="8037">
          <cell r="Z8037" t="str">
            <v>DENTAL</v>
          </cell>
          <cell r="AA8037" t="str">
            <v>CLINICA MOVIL CENTINELA</v>
          </cell>
        </row>
        <row r="8038">
          <cell r="Z8038" t="str">
            <v>DENTAL</v>
          </cell>
          <cell r="AA8038" t="str">
            <v>CLINICA MOVIL CENTINELA</v>
          </cell>
        </row>
        <row r="8039">
          <cell r="Z8039" t="str">
            <v>DENTAL</v>
          </cell>
          <cell r="AA8039" t="str">
            <v>CLINICA MOVIL CENTINELA</v>
          </cell>
        </row>
        <row r="8040">
          <cell r="Z8040" t="str">
            <v>DENTAL</v>
          </cell>
          <cell r="AA8040" t="str">
            <v>CLINICA MOVIL CENTINELA</v>
          </cell>
        </row>
        <row r="8041">
          <cell r="Z8041" t="str">
            <v>DENTAL</v>
          </cell>
          <cell r="AA8041" t="str">
            <v>CLINICA MOVIL CENTINELA</v>
          </cell>
        </row>
        <row r="8042">
          <cell r="Z8042" t="str">
            <v>DENTAL</v>
          </cell>
          <cell r="AA8042" t="str">
            <v>CLINICA MOVIL CENTINELA</v>
          </cell>
        </row>
        <row r="8043">
          <cell r="Z8043" t="str">
            <v>DENTAL</v>
          </cell>
          <cell r="AA8043" t="str">
            <v>CESFAM N° 2 RANCAGUA</v>
          </cell>
        </row>
        <row r="8044">
          <cell r="Z8044" t="str">
            <v>DENTAL</v>
          </cell>
          <cell r="AA8044" t="str">
            <v>CESFAM N° 2 RANCAGUA</v>
          </cell>
        </row>
        <row r="8045">
          <cell r="Z8045" t="str">
            <v>DENTAL</v>
          </cell>
          <cell r="AA8045" t="str">
            <v>CESFAM N° 2 RANCAGUA</v>
          </cell>
        </row>
        <row r="8046">
          <cell r="Z8046" t="str">
            <v>DENTAL</v>
          </cell>
          <cell r="AA8046" t="str">
            <v>CESFAM N° 2 RANCAGUA</v>
          </cell>
        </row>
        <row r="8047">
          <cell r="Z8047" t="str">
            <v>DENTAL</v>
          </cell>
          <cell r="AA8047" t="str">
            <v>CESFAM N° 2 RANCAGUA</v>
          </cell>
        </row>
        <row r="8048">
          <cell r="Z8048" t="str">
            <v>DENTAL</v>
          </cell>
          <cell r="AA8048" t="str">
            <v>CESFAM N° 2 RANCAGUA</v>
          </cell>
        </row>
        <row r="8049">
          <cell r="Z8049" t="str">
            <v>DENTAL</v>
          </cell>
        </row>
        <row r="8050">
          <cell r="Z8050" t="str">
            <v>DENTAL</v>
          </cell>
          <cell r="AA8050" t="str">
            <v>CLINICA MOVIL CENTINELA</v>
          </cell>
        </row>
        <row r="8051">
          <cell r="Z8051" t="str">
            <v>DENTAL</v>
          </cell>
          <cell r="AA8051" t="str">
            <v>CLINICA MOVIL CENTINELA</v>
          </cell>
        </row>
        <row r="8052">
          <cell r="Z8052" t="str">
            <v>DENTAL</v>
          </cell>
          <cell r="AA8052" t="str">
            <v>CLINICA MOVIL CENTINELA</v>
          </cell>
        </row>
        <row r="8053">
          <cell r="Z8053" t="str">
            <v>DENTAL</v>
          </cell>
          <cell r="AA8053" t="str">
            <v>CLINICA MOVIL CENTINELA</v>
          </cell>
        </row>
        <row r="8054">
          <cell r="Z8054" t="str">
            <v>DENTAL</v>
          </cell>
          <cell r="AA8054" t="str">
            <v>CLINICA MOVIL CENTINELA</v>
          </cell>
        </row>
        <row r="8055">
          <cell r="Z8055" t="str">
            <v>DENTAL</v>
          </cell>
          <cell r="AA8055" t="str">
            <v>CLINICA MOVIL CENTINELA</v>
          </cell>
        </row>
        <row r="8056">
          <cell r="Z8056" t="str">
            <v>DENTAL</v>
          </cell>
          <cell r="AA8056" t="str">
            <v>CLINICA MOVIL CENTINELA</v>
          </cell>
        </row>
        <row r="8057">
          <cell r="Z8057" t="str">
            <v>DENTAL</v>
          </cell>
        </row>
        <row r="8058">
          <cell r="Z8058" t="str">
            <v>DENTAL</v>
          </cell>
          <cell r="AA8058" t="str">
            <v>CECOSF CHUMAQUITO</v>
          </cell>
        </row>
        <row r="8059">
          <cell r="Z8059" t="str">
            <v>DENTAL</v>
          </cell>
          <cell r="AA8059" t="str">
            <v>CECOSF CHUMAQUITO</v>
          </cell>
        </row>
        <row r="8060">
          <cell r="Z8060" t="str">
            <v>ENDOSCOPÍA</v>
          </cell>
        </row>
        <row r="8061">
          <cell r="Z8061" t="str">
            <v>DENTAL</v>
          </cell>
        </row>
        <row r="8062">
          <cell r="Z8062" t="str">
            <v>DENTAL</v>
          </cell>
        </row>
        <row r="8063">
          <cell r="Z8063" t="str">
            <v>DENTAL</v>
          </cell>
        </row>
        <row r="8064">
          <cell r="Z8064" t="str">
            <v>DENTAL</v>
          </cell>
          <cell r="AA8064" t="str">
            <v>HOSPITAL MILITAR DE SANTIAGO</v>
          </cell>
        </row>
        <row r="8065">
          <cell r="Z8065" t="str">
            <v>DENTAL</v>
          </cell>
          <cell r="AA8065" t="str">
            <v>SOCIEDAD CONCESIONARIA METROPOLITANA DE SALUD S.A.</v>
          </cell>
        </row>
        <row r="8066">
          <cell r="Z8066" t="str">
            <v>DENTAL</v>
          </cell>
          <cell r="AA8066" t="str">
            <v>SOCIEDAD CONCESIONARIA METROPOLITANA DE SALUD S.A.</v>
          </cell>
        </row>
        <row r="8067">
          <cell r="Z8067" t="str">
            <v>DENTAL</v>
          </cell>
          <cell r="AA8067" t="str">
            <v>SOCIEDAD CONCESIONARIA METROPOLITANA DE SALUD S.A.</v>
          </cell>
        </row>
        <row r="8068">
          <cell r="Z8068" t="str">
            <v>DENTAL</v>
          </cell>
        </row>
        <row r="8069">
          <cell r="Z8069" t="str">
            <v>DENTAL</v>
          </cell>
          <cell r="AA8069" t="str">
            <v>SOCIEDAD CONCESIONARIA METROPOLITANA DE SALUD S.A.</v>
          </cell>
        </row>
        <row r="8070">
          <cell r="Z8070" t="str">
            <v>DENTAL</v>
          </cell>
          <cell r="AA8070" t="str">
            <v>SOCIEDAD CONCESIONARIA METROPOLITANA DE SALUD S.A.</v>
          </cell>
        </row>
        <row r="8071">
          <cell r="Z8071" t="str">
            <v>DENTAL</v>
          </cell>
          <cell r="AA8071" t="str">
            <v>SOCIEDAD CONCESIONARIA METROPOLITANA DE SALUD S.A.</v>
          </cell>
        </row>
        <row r="8072">
          <cell r="Z8072" t="str">
            <v>DENTAL</v>
          </cell>
          <cell r="AA8072" t="str">
            <v>SOCIEDAD CONCESIONARIA METROPOLITANA DE SALUD S.A.</v>
          </cell>
        </row>
        <row r="8073">
          <cell r="Z8073" t="str">
            <v>DENTAL</v>
          </cell>
          <cell r="AA8073" t="str">
            <v>SOCIEDAD CONCESIONARIA METROPOLITANA DE SALUD S.A.</v>
          </cell>
        </row>
        <row r="8074">
          <cell r="Z8074" t="str">
            <v>DENTAL</v>
          </cell>
          <cell r="AA8074" t="str">
            <v>SOCIEDAD CONCESIONARIA METROPOLITANA DE SALUD S.A.</v>
          </cell>
        </row>
        <row r="8075">
          <cell r="Z8075" t="str">
            <v>DENTAL</v>
          </cell>
          <cell r="AA8075" t="str">
            <v>CESFAM N° 2 RANCAGUA</v>
          </cell>
        </row>
        <row r="8076">
          <cell r="Z8076" t="str">
            <v>DENTAL</v>
          </cell>
          <cell r="AA8076" t="str">
            <v>CESFAM N° 2 RANCAGUA</v>
          </cell>
        </row>
        <row r="8077">
          <cell r="Z8077" t="str">
            <v>DENTAL</v>
          </cell>
          <cell r="AA8077" t="str">
            <v>CESFAM N° 2 RANCAGUA</v>
          </cell>
        </row>
        <row r="8078">
          <cell r="Z8078" t="str">
            <v>DENTAL</v>
          </cell>
          <cell r="AA8078" t="str">
            <v>CESFAM N° 2 RANCAGUA</v>
          </cell>
        </row>
        <row r="8079">
          <cell r="Z8079" t="str">
            <v>DENTAL</v>
          </cell>
          <cell r="AA8079" t="str">
            <v>CESFAM N° 2 RANCAGUA</v>
          </cell>
        </row>
        <row r="8080">
          <cell r="Z8080" t="str">
            <v>DENTAL</v>
          </cell>
          <cell r="AA8080" t="str">
            <v>CESFAM N° 2 RANCAGUA</v>
          </cell>
        </row>
        <row r="8081">
          <cell r="Z8081" t="str">
            <v>DENTAL</v>
          </cell>
          <cell r="AA8081" t="str">
            <v>CESFAM PENCAHUE</v>
          </cell>
        </row>
        <row r="8082">
          <cell r="Z8082" t="str">
            <v>DENTAL</v>
          </cell>
        </row>
        <row r="8083">
          <cell r="Z8083" t="str">
            <v>DENTAL</v>
          </cell>
          <cell r="AA8083" t="str">
            <v>JUNAEB ALTOBIOBIO</v>
          </cell>
        </row>
        <row r="8084">
          <cell r="Z8084" t="str">
            <v>DENTAL</v>
          </cell>
          <cell r="AA8084" t="str">
            <v>JUNAEB MODULO FRUTILLAR</v>
          </cell>
        </row>
        <row r="8085">
          <cell r="Z8085" t="str">
            <v>DENTAL</v>
          </cell>
          <cell r="AA8085" t="str">
            <v>JUNAEB ESCUELA NUEVA ZELANDIA</v>
          </cell>
        </row>
        <row r="8086">
          <cell r="Z8086" t="str">
            <v>DENTAL</v>
          </cell>
          <cell r="AA8086" t="str">
            <v>JUNAEB ESCUELA NUEVA ZELANDIA</v>
          </cell>
        </row>
        <row r="8087">
          <cell r="Z8087" t="str">
            <v>DENTAL</v>
          </cell>
          <cell r="AA8087" t="str">
            <v>JUNAEB ESCUELA VICTOR DOMINGO SILVA</v>
          </cell>
        </row>
        <row r="8088">
          <cell r="Z8088" t="str">
            <v>DENTAL</v>
          </cell>
          <cell r="AA8088" t="str">
            <v>JUNAEB ESCUELA NUEVA ZELANDIA</v>
          </cell>
        </row>
        <row r="8089">
          <cell r="Z8089" t="str">
            <v>DENTAL</v>
          </cell>
        </row>
        <row r="8090">
          <cell r="Z8090" t="str">
            <v>ESTERILIZACIÓN</v>
          </cell>
          <cell r="AA8090" t="str">
            <v>INTEGRAMEDICA TOBALABA</v>
          </cell>
        </row>
        <row r="8091">
          <cell r="Z8091" t="str">
            <v>DENTAL</v>
          </cell>
          <cell r="AA8091" t="str">
            <v>DRA. ALICIA GUAMBUGUETE</v>
          </cell>
        </row>
        <row r="8092">
          <cell r="Z8092" t="str">
            <v>DENTAL</v>
          </cell>
          <cell r="AA8092" t="str">
            <v>CLINICA MOVIL CENTINELA</v>
          </cell>
        </row>
        <row r="8093">
          <cell r="Z8093" t="str">
            <v>DENTAL</v>
          </cell>
          <cell r="AA8093" t="str">
            <v>CLINICA MOVIL CENTINELA</v>
          </cell>
        </row>
        <row r="8094">
          <cell r="Z8094" t="str">
            <v>DENTAL</v>
          </cell>
          <cell r="AA8094" t="str">
            <v>CLINICA MOVIL CENTINELA</v>
          </cell>
        </row>
        <row r="8095">
          <cell r="Z8095" t="str">
            <v>DENTAL</v>
          </cell>
          <cell r="AA8095" t="str">
            <v>CLINICA MOVIL CENTINELA</v>
          </cell>
        </row>
        <row r="8096">
          <cell r="Z8096" t="str">
            <v>DENTAL</v>
          </cell>
          <cell r="AA8096" t="str">
            <v>CLINICA MOVIL CENTINELA</v>
          </cell>
        </row>
        <row r="8097">
          <cell r="Z8097" t="str">
            <v>DENTAL</v>
          </cell>
          <cell r="AA8097" t="str">
            <v>CLINICA MOVIL CENTINELA</v>
          </cell>
        </row>
        <row r="8098">
          <cell r="Z8098" t="str">
            <v>DENTAL</v>
          </cell>
          <cell r="AA8098" t="str">
            <v>CLINICA MOVIL CENTINELA</v>
          </cell>
        </row>
        <row r="8099">
          <cell r="Z8099" t="str">
            <v>DENTAL</v>
          </cell>
          <cell r="AA8099" t="str">
            <v>CLINICA MOVIL CENTINELA</v>
          </cell>
        </row>
        <row r="8100">
          <cell r="Z8100" t="str">
            <v>DENTAL</v>
          </cell>
          <cell r="AA8100" t="str">
            <v>CLINICA MOVIL CENTINELA</v>
          </cell>
        </row>
        <row r="8101">
          <cell r="Z8101" t="str">
            <v>DENTAL</v>
          </cell>
          <cell r="AA8101" t="str">
            <v>CLINICA MOVIL CENTINELA</v>
          </cell>
        </row>
        <row r="8102">
          <cell r="Z8102" t="str">
            <v>DENTAL</v>
          </cell>
          <cell r="AA8102" t="str">
            <v>CLINICA MOVIL CENTINELA</v>
          </cell>
        </row>
        <row r="8103">
          <cell r="Z8103" t="str">
            <v>DENTAL</v>
          </cell>
          <cell r="AA8103" t="str">
            <v>CLINICA MOVIL CENTINELA</v>
          </cell>
        </row>
        <row r="8104">
          <cell r="Z8104" t="str">
            <v>DENTAL</v>
          </cell>
          <cell r="AA8104" t="str">
            <v>CLINICA MOVIL CENTINELA</v>
          </cell>
        </row>
        <row r="8105">
          <cell r="Z8105" t="str">
            <v>DENTAL</v>
          </cell>
          <cell r="AA8105" t="str">
            <v>CLINICA MOVIL CENTINELA</v>
          </cell>
        </row>
        <row r="8106">
          <cell r="Z8106" t="str">
            <v>DENTAL</v>
          </cell>
          <cell r="AA8106" t="str">
            <v>CLINICA MOVIL CENTINELA</v>
          </cell>
        </row>
        <row r="8107">
          <cell r="Z8107" t="str">
            <v>DENTAL</v>
          </cell>
          <cell r="AA8107" t="str">
            <v>CLINICA MOVIL CENTINELA</v>
          </cell>
        </row>
        <row r="8108">
          <cell r="Z8108" t="str">
            <v>DENTAL</v>
          </cell>
          <cell r="AA8108" t="str">
            <v>CLINICA MOVIL CENTINELA</v>
          </cell>
        </row>
        <row r="8109">
          <cell r="Z8109" t="str">
            <v>DENTAL</v>
          </cell>
          <cell r="AA8109" t="str">
            <v>POSTA LIMAHUIDA</v>
          </cell>
        </row>
        <row r="8110">
          <cell r="Z8110" t="str">
            <v>DENTAL</v>
          </cell>
          <cell r="AA8110" t="str">
            <v>HOSPITAL BARROS LUCO TRUDEAU</v>
          </cell>
        </row>
        <row r="8111">
          <cell r="Z8111" t="str">
            <v>DENTAL</v>
          </cell>
          <cell r="AA8111" t="str">
            <v>SERVICIO DE SALUD ÑUBLE</v>
          </cell>
        </row>
        <row r="8112">
          <cell r="Z8112" t="str">
            <v>DENTAL</v>
          </cell>
          <cell r="AA8112" t="str">
            <v>HOSPITAL LITUECHE</v>
          </cell>
        </row>
        <row r="8113">
          <cell r="Z8113" t="str">
            <v>DENTAL</v>
          </cell>
          <cell r="AA8113" t="str">
            <v>INTEGRAMEDICA PUENTE ALTO</v>
          </cell>
        </row>
        <row r="8114">
          <cell r="Z8114" t="str">
            <v>DENTAL</v>
          </cell>
          <cell r="AA8114" t="str">
            <v>INTEGRAMEDICA TOBALABA</v>
          </cell>
        </row>
        <row r="8115">
          <cell r="Z8115" t="str">
            <v>DENTAL</v>
          </cell>
          <cell r="AA8115" t="str">
            <v>INTEGRAMEDICA TOBALABA</v>
          </cell>
        </row>
        <row r="8116">
          <cell r="Z8116" t="str">
            <v>DENTAL</v>
          </cell>
          <cell r="AA8116" t="str">
            <v>INTEGRAMEDICA TOBALABA</v>
          </cell>
        </row>
        <row r="8117">
          <cell r="Z8117" t="str">
            <v>DENTAL</v>
          </cell>
          <cell r="AA8117" t="str">
            <v>INTEGRAMEDICA TOBALABA</v>
          </cell>
        </row>
        <row r="8118">
          <cell r="Z8118" t="str">
            <v>DENTAL</v>
          </cell>
          <cell r="AA8118" t="str">
            <v>INTEGRAMEDICA TOBALABA</v>
          </cell>
        </row>
        <row r="8119">
          <cell r="Z8119" t="str">
            <v>DENTAL</v>
          </cell>
          <cell r="AA8119" t="str">
            <v>INTEGRAMEDICA TOBALABA</v>
          </cell>
        </row>
        <row r="8120">
          <cell r="Z8120" t="str">
            <v>DENTAL</v>
          </cell>
          <cell r="AA8120" t="str">
            <v>INTEGRAMEDICA TOBALABA</v>
          </cell>
        </row>
        <row r="8121">
          <cell r="Z8121" t="str">
            <v>DENTAL</v>
          </cell>
        </row>
        <row r="8122">
          <cell r="Z8122" t="str">
            <v>DENTAL</v>
          </cell>
          <cell r="AA8122" t="str">
            <v>INTEGRAMEDICA MANQUEHUE</v>
          </cell>
        </row>
        <row r="8123">
          <cell r="Z8123" t="str">
            <v>DENTAL</v>
          </cell>
          <cell r="AA8123" t="str">
            <v>INTEGRAMEDICA TOBALABA</v>
          </cell>
        </row>
        <row r="8124">
          <cell r="Z8124" t="str">
            <v>DENTAL</v>
          </cell>
        </row>
        <row r="8125">
          <cell r="Z8125" t="str">
            <v>DENTAL</v>
          </cell>
          <cell r="AA8125" t="str">
            <v>GEMCO GENERAL MACHINERY S.A.</v>
          </cell>
        </row>
        <row r="8126">
          <cell r="Z8126" t="str">
            <v>DENTAL</v>
          </cell>
          <cell r="AA8126" t="str">
            <v>GEMCO GENERAL MACHINERY S.A.</v>
          </cell>
        </row>
        <row r="8127">
          <cell r="Z8127" t="str">
            <v>DENTAL</v>
          </cell>
          <cell r="AA8127" t="str">
            <v>GEMCO GENERAL MACHINERY S.A.</v>
          </cell>
        </row>
        <row r="8128">
          <cell r="Z8128" t="str">
            <v>DENTAL</v>
          </cell>
          <cell r="AA8128" t="str">
            <v>GEMCO GENERAL MACHINERY S.A.</v>
          </cell>
        </row>
        <row r="8129">
          <cell r="Z8129" t="str">
            <v>DENTAL</v>
          </cell>
          <cell r="AA8129" t="str">
            <v>GEMCO GENERAL MACHINERY S.A.</v>
          </cell>
        </row>
        <row r="8130">
          <cell r="Z8130" t="str">
            <v>DENTAL</v>
          </cell>
          <cell r="AA8130" t="str">
            <v>GEMCO GENERAL MACHINERY S.A.</v>
          </cell>
        </row>
        <row r="8131">
          <cell r="Z8131" t="str">
            <v>DENTAL</v>
          </cell>
          <cell r="AA8131" t="str">
            <v>GEMCO GENERAL MACHINERY S.A.</v>
          </cell>
        </row>
        <row r="8132">
          <cell r="Z8132" t="str">
            <v>DENTAL</v>
          </cell>
          <cell r="AA8132" t="str">
            <v>GEMCO GENERAL MACHINERY S.A.</v>
          </cell>
        </row>
        <row r="8133">
          <cell r="Z8133" t="str">
            <v>DENTAL</v>
          </cell>
          <cell r="AA8133" t="str">
            <v>GEMCO GENERAL MACHINERY S.A.</v>
          </cell>
        </row>
        <row r="8134">
          <cell r="Z8134" t="str">
            <v>DENTAL</v>
          </cell>
          <cell r="AA8134" t="str">
            <v>GEMCO GENERAL MACHINERY S.A.</v>
          </cell>
        </row>
        <row r="8135">
          <cell r="Z8135" t="str">
            <v>DENTAL</v>
          </cell>
          <cell r="AA8135" t="str">
            <v>GEMCO GENERAL MACHINERY S.A.</v>
          </cell>
        </row>
        <row r="8136">
          <cell r="Z8136" t="str">
            <v>DENTAL</v>
          </cell>
          <cell r="AA8136" t="str">
            <v>GEMCO GENERAL MACHINERY S.A.</v>
          </cell>
        </row>
        <row r="8137">
          <cell r="Z8137" t="str">
            <v>DENTAL</v>
          </cell>
          <cell r="AA8137" t="str">
            <v>GEMCO GENERAL MACHINERY S.A.</v>
          </cell>
        </row>
        <row r="8138">
          <cell r="Z8138" t="str">
            <v>DENTAL</v>
          </cell>
          <cell r="AA8138" t="str">
            <v>GEMCO GENERAL MACHINERY S.A.</v>
          </cell>
        </row>
        <row r="8139">
          <cell r="Z8139" t="str">
            <v>DENTAL</v>
          </cell>
          <cell r="AA8139" t="str">
            <v>GEMCO GENERAL MACHINERY S.A.</v>
          </cell>
        </row>
        <row r="8140">
          <cell r="Z8140" t="str">
            <v>DENTAL</v>
          </cell>
          <cell r="AA8140" t="str">
            <v>GEMCO GENERAL MACHINERY S.A.</v>
          </cell>
        </row>
        <row r="8141">
          <cell r="Z8141" t="str">
            <v>DENTAL</v>
          </cell>
          <cell r="AA8141" t="str">
            <v>GEMCO GENERAL MACHINERY S.A.</v>
          </cell>
        </row>
        <row r="8142">
          <cell r="Z8142" t="str">
            <v>DENTAL</v>
          </cell>
          <cell r="AA8142" t="str">
            <v>GEMCO GENERAL MACHINERY S.A.</v>
          </cell>
        </row>
        <row r="8143">
          <cell r="Z8143" t="str">
            <v>DENTAL</v>
          </cell>
          <cell r="AA8143" t="str">
            <v>GEMCO GENERAL MACHINERY S.A.</v>
          </cell>
        </row>
        <row r="8144">
          <cell r="Z8144" t="str">
            <v>DENTAL</v>
          </cell>
          <cell r="AA8144" t="str">
            <v>GEMCO GENERAL MACHINERY S.A.</v>
          </cell>
        </row>
        <row r="8145">
          <cell r="Z8145" t="str">
            <v>DENTAL</v>
          </cell>
          <cell r="AA8145" t="str">
            <v>GEMCO GENERAL MACHINERY S.A.</v>
          </cell>
        </row>
        <row r="8146">
          <cell r="Z8146" t="str">
            <v>DENTAL</v>
          </cell>
          <cell r="AA8146" t="str">
            <v>GEMCO GENERAL MACHINERY S.A.</v>
          </cell>
        </row>
        <row r="8147">
          <cell r="Z8147" t="str">
            <v>DENTAL</v>
          </cell>
          <cell r="AA8147" t="str">
            <v>GEMCO GENERAL MACHINERY S.A.</v>
          </cell>
        </row>
        <row r="8148">
          <cell r="Z8148" t="str">
            <v>DENTAL</v>
          </cell>
          <cell r="AA8148" t="str">
            <v>GEMCO GENERAL MACHINERY S.A.</v>
          </cell>
        </row>
        <row r="8149">
          <cell r="Z8149" t="str">
            <v>DENTAL</v>
          </cell>
          <cell r="AA8149" t="str">
            <v>GEMCO GENERAL MACHINERY S.A.</v>
          </cell>
        </row>
        <row r="8150">
          <cell r="Z8150" t="str">
            <v>DENTAL</v>
          </cell>
          <cell r="AA8150" t="str">
            <v>GEMCO GENERAL MACHINERY S.A.</v>
          </cell>
        </row>
        <row r="8151">
          <cell r="Z8151" t="str">
            <v>DENTAL</v>
          </cell>
          <cell r="AA8151" t="str">
            <v>GEMCO GENERAL MACHINERY S.A.</v>
          </cell>
        </row>
        <row r="8152">
          <cell r="Z8152" t="str">
            <v>DENTAL</v>
          </cell>
          <cell r="AA8152" t="str">
            <v>GEMCO GENERAL MACHINERY S.A.</v>
          </cell>
        </row>
        <row r="8153">
          <cell r="Z8153" t="str">
            <v>DENTAL</v>
          </cell>
          <cell r="AA8153" t="str">
            <v>GEMCO GENERAL MACHINERY S.A.</v>
          </cell>
        </row>
        <row r="8154">
          <cell r="Z8154" t="str">
            <v>DENTAL</v>
          </cell>
          <cell r="AA8154" t="str">
            <v>GEMCO GENERAL MACHINERY S.A.</v>
          </cell>
        </row>
        <row r="8155">
          <cell r="Z8155" t="str">
            <v>DENTAL</v>
          </cell>
          <cell r="AA8155" t="str">
            <v>GEMCO GENERAL MACHINERY S.A.</v>
          </cell>
        </row>
        <row r="8156">
          <cell r="Z8156" t="str">
            <v>DENTAL</v>
          </cell>
          <cell r="AA8156" t="str">
            <v>GEMCO GENERAL MACHINERY S.A.</v>
          </cell>
        </row>
        <row r="8157">
          <cell r="Z8157" t="str">
            <v>DENTAL</v>
          </cell>
          <cell r="AA8157" t="str">
            <v>GEMCO GENERAL MACHINERY S.A.</v>
          </cell>
        </row>
        <row r="8158">
          <cell r="Z8158" t="str">
            <v>DENTAL</v>
          </cell>
          <cell r="AA8158" t="str">
            <v>GEMCO GENERAL MACHINERY S.A.</v>
          </cell>
        </row>
        <row r="8159">
          <cell r="Z8159" t="str">
            <v>DENTAL</v>
          </cell>
          <cell r="AA8159" t="str">
            <v>GEMCO GENERAL MACHINERY S.A.</v>
          </cell>
        </row>
        <row r="8160">
          <cell r="Z8160" t="str">
            <v>DENTAL</v>
          </cell>
          <cell r="AA8160" t="str">
            <v>GEMCO GENERAL MACHINERY S.A.</v>
          </cell>
        </row>
        <row r="8161">
          <cell r="Z8161" t="str">
            <v>DENTAL</v>
          </cell>
          <cell r="AA8161" t="str">
            <v>GEMCO GENERAL MACHINERY S.A.</v>
          </cell>
        </row>
        <row r="8162">
          <cell r="Z8162" t="str">
            <v>DENTAL</v>
          </cell>
          <cell r="AA8162" t="str">
            <v>GEMCO GENERAL MACHINERY S.A.</v>
          </cell>
        </row>
        <row r="8163">
          <cell r="Z8163" t="str">
            <v>DENTAL</v>
          </cell>
          <cell r="AA8163" t="str">
            <v>GEMCO GENERAL MACHINERY S.A.</v>
          </cell>
        </row>
        <row r="8164">
          <cell r="Z8164" t="str">
            <v>DENTAL</v>
          </cell>
          <cell r="AA8164" t="str">
            <v>GEMCO GENERAL MACHINERY S.A.</v>
          </cell>
        </row>
        <row r="8165">
          <cell r="Z8165" t="str">
            <v>DENTAL</v>
          </cell>
          <cell r="AA8165" t="str">
            <v>GEMCO GENERAL MACHINERY S.A.</v>
          </cell>
        </row>
        <row r="8166">
          <cell r="Z8166" t="str">
            <v>DENTAL</v>
          </cell>
          <cell r="AA8166" t="str">
            <v>GEMCO GENERAL MACHINERY S.A.</v>
          </cell>
        </row>
        <row r="8167">
          <cell r="Z8167" t="str">
            <v>DENTAL</v>
          </cell>
          <cell r="AA8167" t="str">
            <v>GEMCO GENERAL MACHINERY S.A.</v>
          </cell>
        </row>
        <row r="8168">
          <cell r="Z8168" t="str">
            <v>DENTAL</v>
          </cell>
          <cell r="AA8168" t="str">
            <v>GEMCO GENERAL MACHINERY S.A.</v>
          </cell>
        </row>
        <row r="8169">
          <cell r="Z8169" t="str">
            <v>DENTAL</v>
          </cell>
          <cell r="AA8169" t="str">
            <v>GEMCO GENERAL MACHINERY S.A.</v>
          </cell>
        </row>
        <row r="8170">
          <cell r="Z8170" t="str">
            <v>DENTAL</v>
          </cell>
          <cell r="AA8170" t="str">
            <v>GEMCO GENERAL MACHINERY S.A.</v>
          </cell>
        </row>
        <row r="8171">
          <cell r="Z8171" t="str">
            <v>DENTAL</v>
          </cell>
          <cell r="AA8171" t="str">
            <v>GEMCO GENERAL MACHINERY S.A.</v>
          </cell>
        </row>
        <row r="8172">
          <cell r="Z8172" t="str">
            <v>DENTAL</v>
          </cell>
          <cell r="AA8172" t="str">
            <v>GEMCO GENERAL MACHINERY S.A.</v>
          </cell>
        </row>
        <row r="8173">
          <cell r="Z8173" t="str">
            <v>DENTAL</v>
          </cell>
          <cell r="AA8173" t="str">
            <v>GEMCO GENERAL MACHINERY S.A.</v>
          </cell>
        </row>
        <row r="8174">
          <cell r="Z8174" t="str">
            <v>DENTAL</v>
          </cell>
          <cell r="AA8174" t="str">
            <v>GEMCO GENERAL MACHINERY S.A.</v>
          </cell>
        </row>
        <row r="8175">
          <cell r="Z8175" t="str">
            <v>DENTAL</v>
          </cell>
          <cell r="AA8175" t="str">
            <v>GEMCO GENERAL MACHINERY S.A.</v>
          </cell>
        </row>
        <row r="8176">
          <cell r="Z8176" t="str">
            <v>DENTAL</v>
          </cell>
          <cell r="AA8176" t="str">
            <v>HOSPITAL SANTO TOMAS DE LIMACHE</v>
          </cell>
        </row>
        <row r="8177">
          <cell r="Z8177" t="str">
            <v>DENTAL</v>
          </cell>
          <cell r="AA8177" t="str">
            <v>GEMCO GENERAL MACHINERY S.A.</v>
          </cell>
        </row>
        <row r="8178">
          <cell r="Z8178" t="str">
            <v>DENTAL</v>
          </cell>
          <cell r="AA8178" t="str">
            <v>CESFAM  DICHATO</v>
          </cell>
        </row>
        <row r="8179">
          <cell r="Z8179" t="str">
            <v>DENTAL</v>
          </cell>
          <cell r="AA8179" t="str">
            <v>HOSPITAL BARROS LUCO TRUDEAU</v>
          </cell>
        </row>
        <row r="8180">
          <cell r="Z8180" t="str">
            <v>ESTERILIZACIÓN</v>
          </cell>
        </row>
        <row r="8181">
          <cell r="Z8181" t="str">
            <v>ESTERILIZACIÓN</v>
          </cell>
          <cell r="AA8181" t="str">
            <v>GEMCO GENERAL MACHINERY S.A.</v>
          </cell>
        </row>
        <row r="8182">
          <cell r="Z8182" t="str">
            <v>ESTERILIZACIÓN</v>
          </cell>
        </row>
        <row r="8183">
          <cell r="Z8183" t="str">
            <v>ESTERILIZACIÓN</v>
          </cell>
        </row>
        <row r="8184">
          <cell r="Z8184" t="str">
            <v>ESTERILIZACIÓN</v>
          </cell>
        </row>
        <row r="8185">
          <cell r="Z8185" t="str">
            <v>ESTERILIZACIÓN</v>
          </cell>
        </row>
        <row r="8186">
          <cell r="Z8186" t="str">
            <v>ESTERILIZACIÓN</v>
          </cell>
          <cell r="AA8186" t="str">
            <v>GEMCO GENERAL MACHINERY S.A.</v>
          </cell>
        </row>
        <row r="8187">
          <cell r="Z8187" t="str">
            <v>ESTERILIZACIÓN</v>
          </cell>
          <cell r="AA8187" t="str">
            <v>HOSPITAL DR. HERNAN HENRIQUEZ ARAVENA</v>
          </cell>
        </row>
        <row r="8188">
          <cell r="Z8188" t="str">
            <v>ESTERILIZACIÓN</v>
          </cell>
          <cell r="AA8188" t="str">
            <v>HOSPITAL DR. HERNAN HENRIQUEZ ARAVENA</v>
          </cell>
        </row>
        <row r="8189">
          <cell r="Z8189" t="str">
            <v>ESTERILIZACIÓN</v>
          </cell>
          <cell r="AA8189" t="str">
            <v>HOSPITAL DR. HERNAN HENRIQUEZ ARAVENA</v>
          </cell>
        </row>
        <row r="8190">
          <cell r="Z8190" t="str">
            <v>ESTERILIZACIÓN</v>
          </cell>
          <cell r="AA8190" t="str">
            <v>HOSPITAL DE LAUTARO</v>
          </cell>
        </row>
        <row r="8191">
          <cell r="Z8191" t="str">
            <v>ESTERILIZACIÓN</v>
          </cell>
          <cell r="AA8191" t="str">
            <v>HOSPITAL DE LAUTARO</v>
          </cell>
        </row>
        <row r="8192">
          <cell r="Z8192" t="str">
            <v>ESTERILIZACIÓN</v>
          </cell>
          <cell r="AA8192" t="str">
            <v>HOSPITAL DE LAUTARO</v>
          </cell>
        </row>
        <row r="8193">
          <cell r="Z8193" t="str">
            <v>ESTERILIZACIÓN</v>
          </cell>
          <cell r="AA8193" t="str">
            <v>HOSPITAL DE LAUTARO</v>
          </cell>
        </row>
        <row r="8194">
          <cell r="Z8194" t="str">
            <v>ESTERILIZACIÓN</v>
          </cell>
          <cell r="AA8194" t="str">
            <v>HOSPITAL PENCO -LIRQUEN</v>
          </cell>
        </row>
        <row r="8195">
          <cell r="Z8195" t="str">
            <v>ESTERILIZACIÓN</v>
          </cell>
          <cell r="AA8195" t="str">
            <v>HOSPITAL PENCO -LIRQUEN</v>
          </cell>
        </row>
        <row r="8196">
          <cell r="Z8196" t="str">
            <v>ESTERILIZACIÓN</v>
          </cell>
          <cell r="AA8196" t="str">
            <v>HOSPITAL PENCO -LIRQUEN</v>
          </cell>
        </row>
        <row r="8197">
          <cell r="Z8197" t="str">
            <v>ESTERILIZACIÓN</v>
          </cell>
          <cell r="AA8197" t="str">
            <v>HOSPITAL DE LAUTARO</v>
          </cell>
        </row>
        <row r="8198">
          <cell r="Z8198" t="str">
            <v>ESTERILIZACIÓN</v>
          </cell>
          <cell r="AA8198" t="str">
            <v>HOSPITAL PENCO -LIRQUEN</v>
          </cell>
        </row>
        <row r="8199">
          <cell r="Z8199" t="str">
            <v>ESTERILIZACIÓN</v>
          </cell>
          <cell r="AA8199" t="str">
            <v>HOSPITAL DE LAUTARO</v>
          </cell>
        </row>
        <row r="8200">
          <cell r="Z8200" t="str">
            <v>ESTERILIZACIÓN</v>
          </cell>
          <cell r="AA8200" t="str">
            <v>INSTITUTO NACIONAL DEL CANCER</v>
          </cell>
        </row>
        <row r="8201">
          <cell r="Z8201" t="str">
            <v>ESTERILIZACIÓN</v>
          </cell>
          <cell r="AA8201" t="str">
            <v>CLINICA SANATORIO ALEMAN</v>
          </cell>
        </row>
        <row r="8202">
          <cell r="Z8202" t="str">
            <v>ESTERILIZACIÓN</v>
          </cell>
          <cell r="AA8202" t="str">
            <v>HOSPITAL PENCO -LIRQUEN</v>
          </cell>
        </row>
        <row r="8203">
          <cell r="Z8203" t="str">
            <v>ESTERILIZACIÓN</v>
          </cell>
          <cell r="AA8203" t="str">
            <v>INSTITUTO NACIONAL DE GERIATRIA</v>
          </cell>
        </row>
        <row r="8204">
          <cell r="Z8204" t="str">
            <v>ESTERILIZACIÓN</v>
          </cell>
          <cell r="AA8204" t="str">
            <v>HOSPITAL DEL SALVADOR</v>
          </cell>
        </row>
        <row r="8205">
          <cell r="Z8205" t="str">
            <v>ESTERILIZACIÓN</v>
          </cell>
          <cell r="AA8205" t="str">
            <v>HOSPITAL DEL SALVADOR</v>
          </cell>
        </row>
        <row r="8206">
          <cell r="Z8206" t="str">
            <v>ESTERILIZACIÓN</v>
          </cell>
          <cell r="AA8206" t="str">
            <v>SOCIEDAD CONCESIONARIA METROPOLITANA DE SALUD S.A.</v>
          </cell>
        </row>
        <row r="8207">
          <cell r="Z8207" t="str">
            <v>ESTERILIZACIÓN</v>
          </cell>
          <cell r="AA8207" t="str">
            <v>SOCIEDAD CONCESIONARIA METROPOLITANA DE SALUD S.A.</v>
          </cell>
        </row>
        <row r="8208">
          <cell r="Z8208" t="str">
            <v>ESTERILIZACIÓN</v>
          </cell>
          <cell r="AA8208" t="str">
            <v>SOCIEDAD CONCESIONARIA METROPOLITANA DE SALUD S.A.</v>
          </cell>
        </row>
        <row r="8209">
          <cell r="Z8209" t="str">
            <v>ESTERILIZACIÓN</v>
          </cell>
          <cell r="AA8209" t="str">
            <v>HOSPITAL ALTO HOSPICIO</v>
          </cell>
        </row>
        <row r="8210">
          <cell r="Z8210" t="str">
            <v>ESTERILIZACIÓN</v>
          </cell>
          <cell r="AA8210" t="str">
            <v>HOSPITAL ALTO HOSPICIO</v>
          </cell>
        </row>
        <row r="8211">
          <cell r="Z8211" t="str">
            <v>ESTERILIZACIÓN</v>
          </cell>
          <cell r="AA8211" t="str">
            <v>HOSPITAL ALTO HOSPICIO</v>
          </cell>
        </row>
        <row r="8212">
          <cell r="Z8212" t="str">
            <v>ESTERILIZACIÓN</v>
          </cell>
          <cell r="AA8212" t="str">
            <v>HOSPITAL ALTO HOSPICIO</v>
          </cell>
        </row>
        <row r="8213">
          <cell r="Z8213" t="str">
            <v>ESTERILIZACIÓN</v>
          </cell>
          <cell r="AA8213" t="str">
            <v>HOSPITAL ALTO HOSPICIO</v>
          </cell>
        </row>
        <row r="8214">
          <cell r="Z8214" t="str">
            <v>ESTERILIZACIÓN</v>
          </cell>
          <cell r="AA8214" t="str">
            <v>HOSPITAL ALTO HOSPICIO</v>
          </cell>
        </row>
        <row r="8215">
          <cell r="Z8215" t="str">
            <v>ESTERILIZACIÓN</v>
          </cell>
          <cell r="AA8215" t="str">
            <v>HOSPITAL ALTO HOSPICIO</v>
          </cell>
        </row>
        <row r="8216">
          <cell r="Z8216" t="str">
            <v>ESTERILIZACIÓN</v>
          </cell>
          <cell r="AA8216" t="str">
            <v>HOSPITAL ALTO HOSPICIO</v>
          </cell>
        </row>
        <row r="8217">
          <cell r="Z8217" t="str">
            <v>ESTERILIZACIÓN</v>
          </cell>
          <cell r="AA8217" t="str">
            <v>HOSPITAL DE LAUTARO</v>
          </cell>
        </row>
        <row r="8218">
          <cell r="Z8218" t="str">
            <v>ESTERILIZACIÓN</v>
          </cell>
          <cell r="AA8218" t="str">
            <v>HOSPITAL DE LANCO</v>
          </cell>
        </row>
        <row r="8219">
          <cell r="Z8219" t="str">
            <v>ESTERILIZACIÓN</v>
          </cell>
        </row>
        <row r="8220">
          <cell r="Z8220" t="str">
            <v>ESTERILIZACIÓN</v>
          </cell>
        </row>
        <row r="8221">
          <cell r="Z8221" t="str">
            <v>ESTERILIZACIÓN</v>
          </cell>
        </row>
        <row r="8222">
          <cell r="Z8222" t="str">
            <v>ESTERILIZACIÓN</v>
          </cell>
        </row>
        <row r="8223">
          <cell r="Z8223" t="str">
            <v>ESTERILIZACIÓN</v>
          </cell>
          <cell r="AA8223" t="str">
            <v>HOSPITAL DE TOME</v>
          </cell>
        </row>
        <row r="8224">
          <cell r="Z8224" t="str">
            <v>ESTERILIZACIÓN</v>
          </cell>
          <cell r="AA8224" t="str">
            <v>HOSPITAL DE IQUIQUE</v>
          </cell>
        </row>
        <row r="8225">
          <cell r="Z8225" t="str">
            <v>ESTERILIZACIÓN</v>
          </cell>
          <cell r="AA8225" t="str">
            <v>HOSPITAL DE IQUIQUE</v>
          </cell>
        </row>
        <row r="8226">
          <cell r="Z8226" t="str">
            <v>ESTERILIZACIÓN</v>
          </cell>
          <cell r="AA8226" t="str">
            <v>DIPRECA FONDO HOSPITAL</v>
          </cell>
        </row>
        <row r="8227">
          <cell r="Z8227" t="str">
            <v>ESTERILIZACIÓN</v>
          </cell>
          <cell r="AA8227" t="str">
            <v>HOSPITAL DE IQUIQUE</v>
          </cell>
        </row>
        <row r="8228">
          <cell r="Z8228" t="str">
            <v>ESTERILIZACIÓN</v>
          </cell>
        </row>
        <row r="8229">
          <cell r="Z8229" t="str">
            <v>ESTERILIZACIÓN</v>
          </cell>
          <cell r="AA8229" t="str">
            <v>GEMCO GENERAL MACHINERY S.A.</v>
          </cell>
        </row>
        <row r="8230">
          <cell r="Z8230" t="str">
            <v>ESTERILIZACIÓN</v>
          </cell>
          <cell r="AA8230" t="str">
            <v>SOCIEDAD CONCESIONARIA METROPOLITANA DE SALUD S.A.</v>
          </cell>
        </row>
        <row r="8231">
          <cell r="Z8231" t="str">
            <v>ESTERILIZACIÓN</v>
          </cell>
          <cell r="AA8231" t="str">
            <v>SOCIEDAD CONCESIONARIA METROPOLITANA DE SALUD S.A.</v>
          </cell>
        </row>
        <row r="8232">
          <cell r="Z8232" t="str">
            <v>ESTERILIZACIÓN</v>
          </cell>
          <cell r="AA8232" t="str">
            <v>SOCIEDAD CONCESIONARIA METROPOLITANA DE SALUD S.A.</v>
          </cell>
        </row>
        <row r="8233">
          <cell r="Z8233" t="str">
            <v>ESTERILIZACIÓN</v>
          </cell>
          <cell r="AA8233" t="str">
            <v>SOCIEDAD CONCESIONARIA METROPOLITANA DE SALUD S.A.</v>
          </cell>
        </row>
        <row r="8234">
          <cell r="Z8234" t="str">
            <v>ESTERILIZACIÓN</v>
          </cell>
          <cell r="AA8234" t="str">
            <v>CLINICA ALEMANA DE SANTIAGO S A</v>
          </cell>
        </row>
        <row r="8235">
          <cell r="Z8235" t="str">
            <v>ESTERILIZACIÓN</v>
          </cell>
        </row>
        <row r="8236">
          <cell r="Z8236" t="str">
            <v>ESTERILIZACIÓN</v>
          </cell>
        </row>
        <row r="8237">
          <cell r="Z8237" t="str">
            <v>ESTERILIZACIÓN</v>
          </cell>
        </row>
        <row r="8238">
          <cell r="Z8238" t="str">
            <v>ESTERILIZACIÓN</v>
          </cell>
        </row>
        <row r="8239">
          <cell r="Z8239" t="str">
            <v>ESTERILIZACIÓN</v>
          </cell>
          <cell r="AA8239" t="str">
            <v>HOSPITAL DR. HERNAN HENRIQUEZ ARAVENA</v>
          </cell>
        </row>
        <row r="8240">
          <cell r="Z8240" t="str">
            <v>ESTERILIZACIÓN</v>
          </cell>
          <cell r="AA8240" t="str">
            <v>HOSPITAL DR. HERNAN HENRIQUEZ ARAVENA</v>
          </cell>
        </row>
        <row r="8241">
          <cell r="Z8241" t="str">
            <v>ESTERILIZACIÓN</v>
          </cell>
        </row>
        <row r="8242">
          <cell r="Z8242" t="str">
            <v>ESTERILIZACIÓN</v>
          </cell>
          <cell r="AA8242" t="str">
            <v>CORPORACION DE AYUDA AL NIÑO QUEMADO</v>
          </cell>
        </row>
        <row r="8243">
          <cell r="Z8243" t="str">
            <v>ESTERILIZACIÓN</v>
          </cell>
          <cell r="AA8243" t="str">
            <v>HOSPITAL SAN JUAN DE DIOS</v>
          </cell>
        </row>
        <row r="8244">
          <cell r="Z8244" t="str">
            <v>ESTERILIZACIÓN</v>
          </cell>
        </row>
        <row r="8245">
          <cell r="Z8245" t="str">
            <v>ESTERILIZACIÓN</v>
          </cell>
          <cell r="AA8245" t="str">
            <v>HOSPITAL DE PUERTO MONTT</v>
          </cell>
        </row>
        <row r="8246">
          <cell r="Z8246" t="str">
            <v>ESTERILIZACIÓN</v>
          </cell>
          <cell r="AA8246" t="str">
            <v>HOSPITAL DE PUERTO MONTT</v>
          </cell>
        </row>
        <row r="8247">
          <cell r="Z8247" t="str">
            <v>ESTERILIZACIÓN</v>
          </cell>
          <cell r="AA8247" t="str">
            <v>HOSPITAL VICTOR RIOS RUIZ</v>
          </cell>
        </row>
        <row r="8248">
          <cell r="Z8248" t="str">
            <v>ESTERILIZACIÓN</v>
          </cell>
          <cell r="AA8248" t="str">
            <v>HOSPITAL CLINICO SAN BORJA-ARRIARAN</v>
          </cell>
        </row>
        <row r="8249">
          <cell r="Z8249" t="str">
            <v>ESTERILIZACIÓN</v>
          </cell>
          <cell r="AA8249" t="str">
            <v>HOSPITAL CLINICO SAN BORJA-ARRIARAN</v>
          </cell>
        </row>
        <row r="8250">
          <cell r="Z8250" t="str">
            <v>ESTERILIZACIÓN</v>
          </cell>
          <cell r="AA8250" t="str">
            <v>HOSPITAL VICTORIA</v>
          </cell>
        </row>
        <row r="8251">
          <cell r="Z8251" t="str">
            <v>ESTERILIZACIÓN</v>
          </cell>
          <cell r="AA8251" t="str">
            <v>SERVICIO DE SALUD OSORNO</v>
          </cell>
        </row>
        <row r="8252">
          <cell r="Z8252" t="str">
            <v>ESTERILIZACIÓN</v>
          </cell>
          <cell r="AA8252" t="str">
            <v>HOSPITAL GUILLERMO GRANT BENAVENTE</v>
          </cell>
        </row>
        <row r="8253">
          <cell r="Z8253" t="str">
            <v>ESTERILIZACIÓN</v>
          </cell>
          <cell r="AA8253" t="str">
            <v>HOSPITAL GUILLERMO GRANT BENAVENTE</v>
          </cell>
        </row>
        <row r="8254">
          <cell r="Z8254" t="str">
            <v>ESTERILIZACIÓN</v>
          </cell>
          <cell r="AA8254" t="str">
            <v>HOSPITAL DE ANGOL</v>
          </cell>
        </row>
        <row r="8255">
          <cell r="Z8255" t="str">
            <v>ESTERILIZACIÓN</v>
          </cell>
          <cell r="AA8255" t="str">
            <v>HOSPITAL DE ANGOL</v>
          </cell>
        </row>
        <row r="8256">
          <cell r="Z8256" t="str">
            <v>ESTERILIZACIÓN</v>
          </cell>
          <cell r="AA8256" t="str">
            <v>HOSPITAL DE ANGOL</v>
          </cell>
        </row>
        <row r="8257">
          <cell r="Z8257" t="str">
            <v>ESTERILIZACIÓN</v>
          </cell>
          <cell r="AA8257" t="str">
            <v>INSUMOS Y SERVICIOS MEDICOS S.A.</v>
          </cell>
        </row>
        <row r="8258">
          <cell r="Z8258" t="str">
            <v>ESTERILIZACIÓN</v>
          </cell>
          <cell r="AA8258" t="str">
            <v>INSUMOS Y SERVICIOS MEDICOS S.A.</v>
          </cell>
        </row>
        <row r="8259">
          <cell r="Z8259" t="str">
            <v>ESTERILIZACIÓN</v>
          </cell>
          <cell r="AA8259" t="str">
            <v>INSUMOS Y SERVICIOS MEDICOS S.A.</v>
          </cell>
        </row>
        <row r="8260">
          <cell r="Z8260" t="str">
            <v>ESTERILIZACIÓN</v>
          </cell>
          <cell r="AA8260" t="str">
            <v>INSTITUTO DE DIAGNOSTICO S.A.</v>
          </cell>
        </row>
        <row r="8261">
          <cell r="Z8261" t="str">
            <v>ESTERILIZACIÓN</v>
          </cell>
          <cell r="AA8261" t="str">
            <v>JOHNSON &amp; JOHNSON DE CHILE S.A.</v>
          </cell>
        </row>
        <row r="8262">
          <cell r="Z8262" t="str">
            <v>ESTERILIZACIÓN</v>
          </cell>
          <cell r="AA8262" t="str">
            <v>JOHNSON &amp; JOHNSON DE CHILE S.A.</v>
          </cell>
        </row>
        <row r="8263">
          <cell r="Z8263" t="str">
            <v>ESTERILIZACIÓN</v>
          </cell>
          <cell r="AA8263" t="str">
            <v>HOSPITAL DE PUERTO MONTT</v>
          </cell>
        </row>
        <row r="8264">
          <cell r="Z8264" t="str">
            <v>ESTERILIZACIÓN</v>
          </cell>
          <cell r="AA8264" t="str">
            <v>HOSPITAL GUILLERMO GRANT BENAVENTE</v>
          </cell>
        </row>
        <row r="8265">
          <cell r="Z8265" t="str">
            <v>ESTERILIZACIÓN</v>
          </cell>
          <cell r="AA8265" t="str">
            <v>HOSPITAL GUILLERMO GRANT BENAVENTE</v>
          </cell>
        </row>
        <row r="8266">
          <cell r="Z8266" t="str">
            <v>ESTERILIZACIÓN</v>
          </cell>
          <cell r="AA8266" t="str">
            <v>HOSPITAL SAN JUAN DE DIOS</v>
          </cell>
        </row>
        <row r="8267">
          <cell r="Z8267" t="str">
            <v>ESTERILIZACIÓN</v>
          </cell>
          <cell r="AA8267" t="str">
            <v>HOSPITAL MILITAR DE SANTIAGO</v>
          </cell>
        </row>
        <row r="8268">
          <cell r="Z8268" t="str">
            <v>ESTERILIZACIÓN</v>
          </cell>
          <cell r="AA8268" t="str">
            <v>INSTITUTO DE DIAGNOSTICO S.A.</v>
          </cell>
        </row>
        <row r="8269">
          <cell r="Z8269" t="str">
            <v>ESTERILIZACIÓN</v>
          </cell>
          <cell r="AA8269" t="str">
            <v>INSUMOS Y SERVICIOS MEDICOS S.A.</v>
          </cell>
        </row>
        <row r="8270">
          <cell r="Z8270" t="str">
            <v>ESTERILIZACIÓN</v>
          </cell>
        </row>
        <row r="8271">
          <cell r="Z8271" t="str">
            <v>ESTERILIZACIÓN</v>
          </cell>
          <cell r="AA8271" t="str">
            <v>CESFAM RENGO</v>
          </cell>
        </row>
        <row r="8272">
          <cell r="Z8272" t="str">
            <v>ESTERILIZACIÓN</v>
          </cell>
          <cell r="AA8272" t="str">
            <v>CLINICA HOGAR BUENA SALUD S.P.A</v>
          </cell>
        </row>
        <row r="8273">
          <cell r="Z8273" t="str">
            <v>ESTERILIZACIÓN</v>
          </cell>
        </row>
        <row r="8274">
          <cell r="Z8274" t="str">
            <v>ESTERILIZACIÓN</v>
          </cell>
          <cell r="AA8274" t="str">
            <v>GEMCO GENERAL MACHINERY S.A.</v>
          </cell>
        </row>
        <row r="8275">
          <cell r="Z8275" t="str">
            <v>ESTERILIZACIÓN</v>
          </cell>
          <cell r="AA8275" t="str">
            <v>CLINICA REÑACA</v>
          </cell>
        </row>
        <row r="8276">
          <cell r="Z8276" t="str">
            <v>ESTERILIZACIÓN</v>
          </cell>
          <cell r="AA8276" t="str">
            <v>HOSPITAL VICTORIA</v>
          </cell>
        </row>
        <row r="8277">
          <cell r="Z8277" t="str">
            <v>ESTERILIZACIÓN</v>
          </cell>
          <cell r="AA8277" t="str">
            <v>CESFAM ALERCE</v>
          </cell>
        </row>
        <row r="8278">
          <cell r="Z8278" t="str">
            <v>ESTERILIZACIÓN</v>
          </cell>
          <cell r="AA8278" t="str">
            <v>GEMCO GENERAL MACHINERY S.A.</v>
          </cell>
        </row>
        <row r="8279">
          <cell r="Z8279" t="str">
            <v>ESTERILIZACIÓN</v>
          </cell>
        </row>
        <row r="8280">
          <cell r="Z8280" t="str">
            <v>ESTERILIZACIÓN</v>
          </cell>
        </row>
        <row r="8281">
          <cell r="Z8281" t="str">
            <v>ESTERILIZACIÓN</v>
          </cell>
          <cell r="AA8281" t="str">
            <v>HOSPITAL SAN VICENTE TAGUA TAGUA</v>
          </cell>
        </row>
        <row r="8282">
          <cell r="Z8282" t="str">
            <v>ESTERILIZACIÓN</v>
          </cell>
        </row>
        <row r="8283">
          <cell r="Z8283" t="str">
            <v>ESTERILIZACIÓN</v>
          </cell>
          <cell r="AA8283" t="str">
            <v>I. MUNICIPALIDAD DE QUILLOTA DPTO. SALUD</v>
          </cell>
        </row>
        <row r="8284">
          <cell r="Z8284" t="str">
            <v>ESTERILIZACIÓN</v>
          </cell>
        </row>
        <row r="8285">
          <cell r="Z8285" t="str">
            <v>ESTERILIZACIÓN</v>
          </cell>
        </row>
        <row r="8286">
          <cell r="Z8286" t="str">
            <v>ESTERILIZACIÓN</v>
          </cell>
        </row>
        <row r="8287">
          <cell r="Z8287" t="str">
            <v>ESTERILIZACIÓN</v>
          </cell>
          <cell r="AA8287" t="str">
            <v>CESFAM TUCAPEL</v>
          </cell>
        </row>
        <row r="8288">
          <cell r="Z8288" t="str">
            <v>ESTERILIZACIÓN</v>
          </cell>
        </row>
        <row r="8289">
          <cell r="Z8289" t="str">
            <v>ESTERILIZACIÓN</v>
          </cell>
        </row>
        <row r="8290">
          <cell r="Z8290" t="str">
            <v>ESTERILIZACIÓN</v>
          </cell>
        </row>
        <row r="8291">
          <cell r="Z8291" t="str">
            <v>ESTERILIZACIÓN</v>
          </cell>
          <cell r="AA8291" t="str">
            <v>HOSPITAL DE ILLAPEL</v>
          </cell>
        </row>
        <row r="8292">
          <cell r="Z8292" t="str">
            <v>ESTERILIZACIÓN</v>
          </cell>
          <cell r="AA8292" t="str">
            <v>CONSULTORIO NORTE</v>
          </cell>
        </row>
        <row r="8293">
          <cell r="Z8293" t="str">
            <v>ESTERILIZACIÓN</v>
          </cell>
          <cell r="AA8293" t="str">
            <v>CONSULTORIO NORTE</v>
          </cell>
        </row>
        <row r="8294">
          <cell r="Z8294" t="str">
            <v>ESTERILIZACIÓN</v>
          </cell>
        </row>
        <row r="8295">
          <cell r="Z8295" t="str">
            <v>ESTERILIZACIÓN</v>
          </cell>
        </row>
        <row r="8296">
          <cell r="Z8296" t="str">
            <v>ESTERILIZACIÓN</v>
          </cell>
          <cell r="AA8296" t="str">
            <v>CENTRO CLINICO MILITAR ARICA</v>
          </cell>
        </row>
        <row r="8297">
          <cell r="Z8297" t="str">
            <v>ESTERILIZACIÓN</v>
          </cell>
        </row>
        <row r="8298">
          <cell r="Z8298" t="str">
            <v>ESTERILIZACIÓN</v>
          </cell>
          <cell r="AA8298" t="str">
            <v>HOSPITAL DE LANCO</v>
          </cell>
        </row>
        <row r="8299">
          <cell r="Z8299" t="str">
            <v>ESTERILIZACIÓN</v>
          </cell>
          <cell r="AA8299" t="str">
            <v>CESFAM MIRAFLORES</v>
          </cell>
        </row>
        <row r="8300">
          <cell r="Z8300" t="str">
            <v>ESTERILIZACIÓN</v>
          </cell>
          <cell r="AA8300" t="str">
            <v>CESFAM SAN VICENTE TALCAHUANO</v>
          </cell>
        </row>
        <row r="8301">
          <cell r="Z8301" t="str">
            <v>ESTERILIZACIÓN</v>
          </cell>
          <cell r="AA8301" t="str">
            <v>I MUNICIPALIDAD DE VICUÑA</v>
          </cell>
        </row>
        <row r="8302">
          <cell r="Z8302" t="str">
            <v>ESTERILIZACIÓN</v>
          </cell>
          <cell r="AA8302" t="str">
            <v>HOSPITAL DE LAUTARO</v>
          </cell>
        </row>
        <row r="8303">
          <cell r="Z8303" t="str">
            <v>ESTERILIZACIÓN</v>
          </cell>
          <cell r="AA8303" t="str">
            <v>HOSPITAL DE TRAIGUEN</v>
          </cell>
        </row>
        <row r="8304">
          <cell r="Z8304" t="str">
            <v>ESTERILIZACIÓN</v>
          </cell>
          <cell r="AA8304" t="str">
            <v>HOSPITAL DE CARAHUE</v>
          </cell>
        </row>
        <row r="8305">
          <cell r="Z8305" t="str">
            <v>ESTERILIZACIÓN</v>
          </cell>
        </row>
        <row r="8306">
          <cell r="Z8306" t="str">
            <v>ESTERILIZACIÓN</v>
          </cell>
          <cell r="AA8306" t="str">
            <v>HOSPITAL SAN LUIS BUIN</v>
          </cell>
        </row>
        <row r="8307">
          <cell r="Z8307" t="str">
            <v>ESTERILIZACIÓN</v>
          </cell>
        </row>
        <row r="8308">
          <cell r="Z8308" t="str">
            <v>ESTERILIZACIÓN</v>
          </cell>
          <cell r="AA8308" t="str">
            <v>HOSPITAL MILITAR DE SANTIAGO</v>
          </cell>
        </row>
        <row r="8309">
          <cell r="Z8309" t="str">
            <v>ESTERILIZACIÓN</v>
          </cell>
          <cell r="AA8309" t="str">
            <v>HOSPITAL MILITAR DE SANTIAGO</v>
          </cell>
        </row>
        <row r="8310">
          <cell r="Z8310" t="str">
            <v>ESTERILIZACIÓN</v>
          </cell>
          <cell r="AA8310" t="str">
            <v>CESFAM YERBAS BUENAS</v>
          </cell>
        </row>
        <row r="8311">
          <cell r="Z8311" t="str">
            <v>ESTERILIZACIÓN</v>
          </cell>
          <cell r="AA8311" t="str">
            <v>HOSPITAL CARLOS CISTERNA DE CALAMA</v>
          </cell>
        </row>
        <row r="8312">
          <cell r="Z8312" t="str">
            <v>ESTERILIZACIÓN</v>
          </cell>
        </row>
        <row r="8313">
          <cell r="Z8313" t="str">
            <v>ESTERILIZACIÓN</v>
          </cell>
        </row>
        <row r="8314">
          <cell r="Z8314" t="str">
            <v>ESTERILIZACIÓN</v>
          </cell>
        </row>
        <row r="8315">
          <cell r="Z8315" t="str">
            <v>ESTERILIZACIÓN</v>
          </cell>
        </row>
        <row r="8316">
          <cell r="Z8316" t="str">
            <v>ESTERILIZACIÓN</v>
          </cell>
        </row>
        <row r="8317">
          <cell r="Z8317" t="str">
            <v>ESTERILIZACIÓN</v>
          </cell>
          <cell r="AA8317" t="str">
            <v>CESFAM NORPONIENTE DE CALAMA</v>
          </cell>
        </row>
        <row r="8318">
          <cell r="Z8318" t="str">
            <v>ESTERILIZACIÓN</v>
          </cell>
          <cell r="AA8318" t="str">
            <v>CESFAM ALEMANIA</v>
          </cell>
        </row>
        <row r="8319">
          <cell r="Z8319" t="str">
            <v>ESTERILIZACIÓN</v>
          </cell>
        </row>
        <row r="8320">
          <cell r="Z8320" t="str">
            <v>ESTERILIZACIÓN</v>
          </cell>
          <cell r="AA8320" t="str">
            <v>CESFAM LONGAVI</v>
          </cell>
        </row>
        <row r="8321">
          <cell r="Z8321" t="str">
            <v>ESTERILIZACIÓN</v>
          </cell>
          <cell r="AA8321" t="str">
            <v>CESFAM BETTY MUÑOZ</v>
          </cell>
        </row>
        <row r="8322">
          <cell r="Z8322" t="str">
            <v>ESTERILIZACIÓN</v>
          </cell>
        </row>
        <row r="8323">
          <cell r="Z8323" t="str">
            <v>ESTERILIZACIÓN</v>
          </cell>
        </row>
        <row r="8324">
          <cell r="Z8324" t="str">
            <v>ESTERILIZACIÓN</v>
          </cell>
          <cell r="AA8324" t="str">
            <v>CESFAM COLBUN</v>
          </cell>
        </row>
        <row r="8325">
          <cell r="Z8325" t="str">
            <v>ESTERILIZACIÓN</v>
          </cell>
        </row>
        <row r="8326">
          <cell r="Z8326" t="str">
            <v>ESTERILIZACIÓN</v>
          </cell>
        </row>
        <row r="8327">
          <cell r="Z8327" t="str">
            <v>ESTERILIZACIÓN</v>
          </cell>
        </row>
        <row r="8328">
          <cell r="Z8328" t="str">
            <v>ESTERILIZACIÓN</v>
          </cell>
          <cell r="AA8328" t="str">
            <v>CESFAM TUCAPEL</v>
          </cell>
        </row>
        <row r="8329">
          <cell r="Z8329" t="str">
            <v>ESTERILIZACIÓN</v>
          </cell>
          <cell r="AA8329" t="str">
            <v>SERVICIOS CLINICOS DEL DESARROLLO S.A</v>
          </cell>
        </row>
        <row r="8330">
          <cell r="Z8330" t="str">
            <v>ESTERILIZACIÓN</v>
          </cell>
          <cell r="AA8330" t="str">
            <v>SERVICIOS CLINICOS DEL DESARROLLO S.A</v>
          </cell>
        </row>
        <row r="8331">
          <cell r="Z8331" t="str">
            <v>ESTERILIZACIÓN</v>
          </cell>
        </row>
        <row r="8332">
          <cell r="Z8332" t="str">
            <v>ESTERILIZACIÓN</v>
          </cell>
        </row>
        <row r="8333">
          <cell r="Z8333" t="str">
            <v>ESTERILIZACIÓN</v>
          </cell>
        </row>
        <row r="8334">
          <cell r="Z8334" t="str">
            <v>ESTERILIZACIÓN</v>
          </cell>
          <cell r="AA8334" t="str">
            <v>SERVICIO SALUD O'HIGGINS</v>
          </cell>
        </row>
        <row r="8335">
          <cell r="Z8335" t="str">
            <v>ESTERILIZACIÓN</v>
          </cell>
        </row>
        <row r="8336">
          <cell r="Z8336" t="str">
            <v>ESTERILIZACIÓN</v>
          </cell>
        </row>
        <row r="8337">
          <cell r="Z8337" t="str">
            <v>ESTERILIZACIÓN</v>
          </cell>
        </row>
        <row r="8338">
          <cell r="Z8338" t="str">
            <v>ESTERILIZACIÓN</v>
          </cell>
          <cell r="AA8338" t="str">
            <v>HOSPITAL DE QUINTEROS</v>
          </cell>
        </row>
        <row r="8339">
          <cell r="Z8339" t="str">
            <v>ESTERILIZACIÓN</v>
          </cell>
        </row>
        <row r="8340">
          <cell r="Z8340" t="str">
            <v>ESTERILIZACIÓN</v>
          </cell>
        </row>
        <row r="8341">
          <cell r="Z8341" t="str">
            <v>ESTERILIZACIÓN</v>
          </cell>
        </row>
        <row r="8342">
          <cell r="Z8342" t="str">
            <v>ESTERILIZACIÓN</v>
          </cell>
        </row>
        <row r="8343">
          <cell r="Z8343" t="str">
            <v>ESTERILIZACIÓN</v>
          </cell>
          <cell r="AA8343" t="str">
            <v>HOSPITAL FUTALEUFU</v>
          </cell>
        </row>
        <row r="8344">
          <cell r="Z8344" t="str">
            <v>ESTERILIZACIÓN</v>
          </cell>
        </row>
        <row r="8345">
          <cell r="Z8345" t="str">
            <v>ESTERILIZACIÓN</v>
          </cell>
        </row>
        <row r="8346">
          <cell r="Z8346" t="str">
            <v>ESTERILIZACIÓN</v>
          </cell>
        </row>
        <row r="8347">
          <cell r="Z8347" t="str">
            <v>ESTERILIZACIÓN</v>
          </cell>
          <cell r="AA8347" t="str">
            <v>CESFAM RODELILLO</v>
          </cell>
        </row>
        <row r="8348">
          <cell r="Z8348" t="str">
            <v>ESTERILIZACIÓN</v>
          </cell>
        </row>
        <row r="8349">
          <cell r="Z8349" t="str">
            <v>ESTERILIZACIÓN</v>
          </cell>
          <cell r="AA8349" t="str">
            <v xml:space="preserve">CESFAM CONSTITUCIÓN </v>
          </cell>
        </row>
        <row r="8350">
          <cell r="Z8350" t="str">
            <v>ESTERILIZACIÓN</v>
          </cell>
          <cell r="AA8350" t="str">
            <v>CESFAM EL SAUCE COQUIMBO</v>
          </cell>
        </row>
        <row r="8351">
          <cell r="Z8351" t="str">
            <v>ESTERILIZACIÓN</v>
          </cell>
          <cell r="AA8351" t="str">
            <v>I. MUNICIPALIDAD DE PUCON</v>
          </cell>
        </row>
        <row r="8352">
          <cell r="Z8352" t="str">
            <v>ESTERILIZACIÓN</v>
          </cell>
          <cell r="AA8352" t="str">
            <v>HOSPITAL DE FRUTILLAR</v>
          </cell>
        </row>
        <row r="8353">
          <cell r="Z8353" t="str">
            <v>ESTERILIZACIÓN</v>
          </cell>
          <cell r="AA8353" t="str">
            <v>CESFAM NAVIDAD</v>
          </cell>
        </row>
        <row r="8354">
          <cell r="Z8354" t="str">
            <v>ESTERILIZACIÓN</v>
          </cell>
          <cell r="AA8354" t="str">
            <v>HOSPITAL DE CURICO</v>
          </cell>
        </row>
        <row r="8355">
          <cell r="Z8355" t="str">
            <v>ESTERILIZACIÓN</v>
          </cell>
        </row>
        <row r="8356">
          <cell r="Z8356" t="str">
            <v>ESTERILIZACIÓN</v>
          </cell>
          <cell r="AA8356" t="str">
            <v>UNIVERSIDAD DEL DESARROLLO CONCEPCION</v>
          </cell>
        </row>
        <row r="8357">
          <cell r="Z8357" t="str">
            <v>ESTERILIZACIÓN</v>
          </cell>
          <cell r="AA8357" t="str">
            <v>HOSPITAL DE SAN CARLOS</v>
          </cell>
        </row>
        <row r="8358">
          <cell r="Z8358" t="str">
            <v>ESTERILIZACIÓN</v>
          </cell>
          <cell r="AA8358" t="str">
            <v>HOSPITAL CLINICO DE MAGALLANES</v>
          </cell>
        </row>
        <row r="8359">
          <cell r="Z8359" t="str">
            <v>ESTERILIZACIÓN</v>
          </cell>
          <cell r="AA8359" t="str">
            <v>COMPLEJO ASISTENCIAL DR.SOTERO DEL RIO</v>
          </cell>
        </row>
        <row r="8360">
          <cell r="Z8360" t="str">
            <v>ESTERILIZACIÓN</v>
          </cell>
          <cell r="AA8360" t="str">
            <v>SERVICIO DE SALUD OSORNO</v>
          </cell>
        </row>
        <row r="8361">
          <cell r="Z8361" t="str">
            <v>ESTERILIZACIÓN</v>
          </cell>
          <cell r="AA8361" t="str">
            <v>SERVICIO DE SALUD OSORNO</v>
          </cell>
        </row>
        <row r="8362">
          <cell r="Z8362" t="str">
            <v>ESTERILIZACIÓN</v>
          </cell>
          <cell r="AA8362" t="str">
            <v>HOSPITAL DE CASTRO</v>
          </cell>
        </row>
        <row r="8363">
          <cell r="Z8363" t="str">
            <v>ESTERILIZACIÓN</v>
          </cell>
          <cell r="AA8363" t="str">
            <v>HOSPITAL DE CASTRO</v>
          </cell>
        </row>
        <row r="8364">
          <cell r="Z8364" t="str">
            <v>ESTERILIZACIÓN</v>
          </cell>
          <cell r="AA8364" t="str">
            <v>HOSPITAL MILITAR DE SANTIAGO</v>
          </cell>
        </row>
        <row r="8365">
          <cell r="Z8365" t="str">
            <v>ESTERILIZACIÓN</v>
          </cell>
          <cell r="AA8365" t="str">
            <v>HOSPITAL MILITAR DE SANTIAGO</v>
          </cell>
        </row>
        <row r="8366">
          <cell r="Z8366" t="str">
            <v>ESTERILIZACIÓN</v>
          </cell>
          <cell r="AA8366" t="str">
            <v>HOSPITAL MILITAR DE SANTIAGO</v>
          </cell>
        </row>
        <row r="8367">
          <cell r="Z8367" t="str">
            <v>ESTERILIZACIÓN</v>
          </cell>
        </row>
        <row r="8368">
          <cell r="Z8368" t="str">
            <v>ESTERILIZACIÓN</v>
          </cell>
        </row>
        <row r="8369">
          <cell r="Z8369" t="str">
            <v>ESTERILIZACIÓN</v>
          </cell>
          <cell r="AA8369" t="str">
            <v>COMPLEJO ASISTENCIAL DR.SOTERO DEL RIO</v>
          </cell>
        </row>
        <row r="8370">
          <cell r="Z8370" t="str">
            <v>ESTERILIZACIÓN</v>
          </cell>
          <cell r="AA8370" t="str">
            <v>INSTITUTO NACIONAL DEL CANCER</v>
          </cell>
        </row>
        <row r="8371">
          <cell r="Z8371" t="str">
            <v>ESTERILIZACIÓN</v>
          </cell>
        </row>
        <row r="8372">
          <cell r="Z8372" t="str">
            <v>ESTERILIZACIÓN</v>
          </cell>
          <cell r="AA8372" t="str">
            <v>HOSPITAL VICTOR RIOS RUIZ</v>
          </cell>
        </row>
        <row r="8373">
          <cell r="Z8373" t="str">
            <v>ESTERILIZACIÓN</v>
          </cell>
          <cell r="AA8373" t="str">
            <v>INSUMOS Y SERVICIOS MEDICOS S.A.</v>
          </cell>
        </row>
        <row r="8374">
          <cell r="Z8374" t="str">
            <v>ESTERILIZACIÓN</v>
          </cell>
          <cell r="AA8374" t="str">
            <v>COMPLEJO ASISTENCIAL DR.SOTERO DEL RIO</v>
          </cell>
        </row>
        <row r="8375">
          <cell r="Z8375" t="str">
            <v>ESTERILIZACIÓN</v>
          </cell>
        </row>
        <row r="8376">
          <cell r="Z8376" t="str">
            <v>ESTERILIZACIÓN</v>
          </cell>
          <cell r="AA8376" t="str">
            <v>COMPLEJO ASISTENCIAL DR.SOTERO DEL RIO</v>
          </cell>
        </row>
        <row r="8377">
          <cell r="Z8377" t="str">
            <v>ESTERILIZACIÓN</v>
          </cell>
          <cell r="AA8377" t="str">
            <v>CLINICA UNIVERSITARIA CONCEPCION</v>
          </cell>
        </row>
        <row r="8378">
          <cell r="Z8378" t="str">
            <v>ESTERILIZACIÓN</v>
          </cell>
          <cell r="AA8378" t="str">
            <v>HOSPITAL LA LIGUA</v>
          </cell>
        </row>
        <row r="8379">
          <cell r="Z8379" t="str">
            <v>ESTERILIZACIÓN</v>
          </cell>
          <cell r="AA8379" t="str">
            <v>HOSPITAL COLLIPULLI</v>
          </cell>
        </row>
        <row r="8380">
          <cell r="Z8380" t="str">
            <v>ESTERILIZACIÓN</v>
          </cell>
          <cell r="AA8380" t="str">
            <v>HOSPITAL DE QUELLON</v>
          </cell>
        </row>
        <row r="8381">
          <cell r="Z8381" t="str">
            <v>ESTERILIZACIÓN</v>
          </cell>
          <cell r="AA8381" t="str">
            <v>COMPLEJO ASISTENCIAL DR.SOTERO DEL RIO</v>
          </cell>
        </row>
        <row r="8382">
          <cell r="Z8382" t="str">
            <v>ESTERILIZACIÓN</v>
          </cell>
          <cell r="AA8382" t="str">
            <v>SOCIEDAD CMA-COSTANERA S.A.</v>
          </cell>
        </row>
        <row r="8383">
          <cell r="Z8383" t="str">
            <v>ESTERILIZACIÓN</v>
          </cell>
          <cell r="AA8383" t="str">
            <v>CENTRAL ODONTOLOGICA PRIMERA ZONA NAVAL VIÑA</v>
          </cell>
        </row>
        <row r="8384">
          <cell r="Z8384" t="str">
            <v>ESTERILIZACIÓN</v>
          </cell>
        </row>
        <row r="8385">
          <cell r="Z8385" t="str">
            <v>ESTERILIZACIÓN</v>
          </cell>
          <cell r="AA8385" t="str">
            <v>CLINICA ANDES SALUD CONCEPCIÓN S.A.</v>
          </cell>
        </row>
        <row r="8386">
          <cell r="Z8386" t="str">
            <v>ESTERILIZACIÓN</v>
          </cell>
        </row>
        <row r="8387">
          <cell r="Z8387" t="str">
            <v>ESTERILIZACIÓN</v>
          </cell>
          <cell r="AA8387" t="str">
            <v>INTEGRAMEDICA LA SERENA</v>
          </cell>
        </row>
        <row r="8388">
          <cell r="Z8388" t="str">
            <v>ESTERILIZACIÓN</v>
          </cell>
        </row>
        <row r="8389">
          <cell r="Z8389" t="str">
            <v>ESTERILIZACIÓN</v>
          </cell>
          <cell r="AA8389" t="str">
            <v>HOSPITAL DEL PROFESOR</v>
          </cell>
        </row>
        <row r="8390">
          <cell r="Z8390" t="str">
            <v>ESTERILIZACIÓN</v>
          </cell>
          <cell r="AA8390" t="str">
            <v>COMPLEJO ASISTENCIAL DR.SOTERO DEL RIO</v>
          </cell>
        </row>
        <row r="8391">
          <cell r="Z8391" t="str">
            <v>ESTERILIZACIÓN</v>
          </cell>
          <cell r="AA8391" t="str">
            <v>HOSPITAL DE IQUIQUE</v>
          </cell>
        </row>
        <row r="8392">
          <cell r="Z8392" t="str">
            <v>ESTERILIZACIÓN</v>
          </cell>
          <cell r="AA8392" t="str">
            <v>HOSPITAL MILITAR DE SANTIAGO</v>
          </cell>
        </row>
        <row r="8393">
          <cell r="Z8393" t="str">
            <v>ESTERILIZACIÓN</v>
          </cell>
          <cell r="AA8393" t="str">
            <v>CLINICA ANDES SALUD CONCEPCIÓN S.A.</v>
          </cell>
        </row>
        <row r="8394">
          <cell r="Z8394" t="str">
            <v>ESTERILIZACIÓN</v>
          </cell>
        </row>
        <row r="8395">
          <cell r="Z8395" t="str">
            <v>ESTERILIZACIÓN</v>
          </cell>
          <cell r="AA8395" t="str">
            <v>HOSPITAL DE COPIAPO</v>
          </cell>
        </row>
        <row r="8396">
          <cell r="Z8396" t="str">
            <v>ESTERILIZACIÓN</v>
          </cell>
          <cell r="AA8396" t="str">
            <v>GEMCO GENERAL MACHINERY S.A.</v>
          </cell>
        </row>
        <row r="8397">
          <cell r="Z8397" t="str">
            <v>ESTERILIZACIÓN</v>
          </cell>
          <cell r="AA8397" t="str">
            <v>HOSPITAL DR. HERNAN HENRIQUEZ ARAVENA</v>
          </cell>
        </row>
        <row r="8398">
          <cell r="Z8398" t="str">
            <v>ESTERILIZACIÓN</v>
          </cell>
        </row>
        <row r="8399">
          <cell r="Z8399" t="str">
            <v>ESTERILIZACIÓN</v>
          </cell>
        </row>
        <row r="8400">
          <cell r="Z8400" t="str">
            <v>ESTERILIZACIÓN</v>
          </cell>
          <cell r="AA8400" t="str">
            <v>HOSPITAL NAVAL ALMIRANTE ADRIAZOLA</v>
          </cell>
        </row>
        <row r="8401">
          <cell r="Z8401" t="str">
            <v>ESTERILIZACIÓN</v>
          </cell>
          <cell r="AA8401" t="str">
            <v>SOCIEDAD CONCESIONARIA METROPOLITANA DE SALUD S.A.</v>
          </cell>
        </row>
        <row r="8402">
          <cell r="Z8402" t="str">
            <v>ESTERILIZACIÓN</v>
          </cell>
          <cell r="AA8402" t="str">
            <v>SERVICIO DE SALUD OSORNO</v>
          </cell>
        </row>
        <row r="8403">
          <cell r="Z8403" t="str">
            <v>ESTERILIZACIÓN</v>
          </cell>
          <cell r="AA8403" t="str">
            <v>SERVICIO DE SALUD OSORNO</v>
          </cell>
        </row>
        <row r="8404">
          <cell r="Z8404" t="str">
            <v>ESTERILIZACIÓN</v>
          </cell>
          <cell r="AA8404" t="str">
            <v>HOSPITAL CARLOS VAN BUREN</v>
          </cell>
        </row>
        <row r="8405">
          <cell r="Z8405" t="str">
            <v>ESTERILIZACIÓN</v>
          </cell>
          <cell r="AA8405" t="str">
            <v>HOSPITAL CARLOS VAN BUREN</v>
          </cell>
        </row>
        <row r="8406">
          <cell r="Z8406" t="str">
            <v>ESTERILIZACIÓN</v>
          </cell>
          <cell r="AA8406" t="str">
            <v>HOSPITAL DE IQUIQUE</v>
          </cell>
        </row>
        <row r="8407">
          <cell r="Z8407" t="str">
            <v>ESTERILIZACIÓN</v>
          </cell>
          <cell r="AA8407" t="str">
            <v>HOSPITAL DE IQUIQUE</v>
          </cell>
        </row>
        <row r="8408">
          <cell r="Z8408" t="str">
            <v>ESTERILIZACIÓN</v>
          </cell>
          <cell r="AA8408" t="str">
            <v>INSUMOS Y SERVICIOS MEDICOS S.A.</v>
          </cell>
        </row>
        <row r="8409">
          <cell r="Z8409" t="str">
            <v>ESTERILIZACIÓN</v>
          </cell>
          <cell r="AA8409" t="str">
            <v>HOSPITAL EDUARDO PEREIRA</v>
          </cell>
        </row>
        <row r="8410">
          <cell r="Z8410" t="str">
            <v>ESTERILIZACIÓN</v>
          </cell>
          <cell r="AA8410" t="str">
            <v>HOSPITAL EDUARDO PEREIRA</v>
          </cell>
        </row>
        <row r="8411">
          <cell r="Z8411" t="str">
            <v>ESTERILIZACIÓN</v>
          </cell>
          <cell r="AA8411" t="str">
            <v>HOSPITAL CLINICO DE LA FUERZA AEREA FACH GRAL DR RAUL YAZIGI JAUREGUI</v>
          </cell>
        </row>
        <row r="8412">
          <cell r="Z8412" t="str">
            <v>ESTERILIZACIÓN</v>
          </cell>
        </row>
        <row r="8413">
          <cell r="Z8413" t="str">
            <v>ESTERILIZACIÓN</v>
          </cell>
          <cell r="AA8413" t="str">
            <v>HOSPITAL DE PUERTO MONTT</v>
          </cell>
        </row>
        <row r="8414">
          <cell r="Z8414" t="str">
            <v>ESTERILIZACIÓN</v>
          </cell>
          <cell r="AA8414" t="str">
            <v>HOSPITAL LA SERENA</v>
          </cell>
        </row>
        <row r="8415">
          <cell r="Z8415" t="str">
            <v>ESTERILIZACIÓN</v>
          </cell>
          <cell r="AA8415" t="str">
            <v>INSUMOS Y SERVICIOS MEDICOS S.A.</v>
          </cell>
        </row>
        <row r="8416">
          <cell r="Z8416" t="str">
            <v>ESTERILIZACIÓN</v>
          </cell>
        </row>
        <row r="8417">
          <cell r="Z8417" t="str">
            <v>ESTERILIZACIÓN</v>
          </cell>
          <cell r="AA8417" t="str">
            <v>HOSPITAL VICTOR RIOS RUIZ</v>
          </cell>
        </row>
        <row r="8418">
          <cell r="Z8418" t="str">
            <v>ESTERILIZACIÓN</v>
          </cell>
          <cell r="AA8418" t="str">
            <v>HOSPITAL LA SERENA</v>
          </cell>
        </row>
        <row r="8419">
          <cell r="Z8419" t="str">
            <v>ESTERILIZACIÓN</v>
          </cell>
          <cell r="AA8419" t="str">
            <v>CLINICA SANATORIO ALEMAN</v>
          </cell>
        </row>
        <row r="8420">
          <cell r="Z8420" t="str">
            <v>ESTERILIZACIÓN</v>
          </cell>
          <cell r="AA8420" t="str">
            <v>INSUMOS Y SERVICIOS MEDICOS S.A.</v>
          </cell>
        </row>
        <row r="8421">
          <cell r="Z8421" t="str">
            <v>ESTERILIZACIÓN</v>
          </cell>
          <cell r="AA8421" t="str">
            <v>HOSPITAL NAVAL ALMIRANTE ADRIAZOLA</v>
          </cell>
        </row>
        <row r="8422">
          <cell r="Z8422" t="str">
            <v>ESTERILIZACIÓN</v>
          </cell>
          <cell r="AA8422" t="str">
            <v>HOSPITAL NAVAL ALMIRANTE ADRIAZOLA</v>
          </cell>
        </row>
        <row r="8423">
          <cell r="Z8423" t="str">
            <v>ESTERILIZACIÓN</v>
          </cell>
          <cell r="AA8423" t="str">
            <v>HOSPITAL DE CURANILAHUE DR. RAFAEL AVARIA</v>
          </cell>
        </row>
        <row r="8424">
          <cell r="Z8424" t="str">
            <v>ESTERILIZACIÓN</v>
          </cell>
          <cell r="AA8424" t="str">
            <v>HOSPITAL PENCO -LIRQUEN</v>
          </cell>
        </row>
        <row r="8425">
          <cell r="Z8425" t="str">
            <v>ESTERILIZACIÓN</v>
          </cell>
          <cell r="AA8425" t="str">
            <v>HOSPITAL DE PUERTO MONTT</v>
          </cell>
        </row>
        <row r="8426">
          <cell r="Z8426" t="str">
            <v>ESTERILIZACIÓN</v>
          </cell>
          <cell r="AA8426" t="str">
            <v>HOSPITAL DE URGENCIA ASISTENCIA PUBLICA DR. ALEJ</v>
          </cell>
        </row>
        <row r="8427">
          <cell r="Z8427" t="str">
            <v>ESTERILIZACIÓN</v>
          </cell>
          <cell r="AA8427" t="str">
            <v>CLINICA SANATORIO ALEMAN</v>
          </cell>
        </row>
        <row r="8428">
          <cell r="Z8428" t="str">
            <v>ESTERILIZACIÓN</v>
          </cell>
          <cell r="AA8428" t="str">
            <v>HOSPITAL DE PUERTO AYSEN</v>
          </cell>
        </row>
        <row r="8429">
          <cell r="Z8429" t="str">
            <v>ESTERILIZACIÓN</v>
          </cell>
          <cell r="AA8429" t="str">
            <v>HOSPITAL DE URGENCIA ASISTENCIA PUBLICA DR. ALEJ</v>
          </cell>
        </row>
        <row r="8430">
          <cell r="Z8430" t="str">
            <v>ESTERILIZACIÓN</v>
          </cell>
          <cell r="AA8430" t="str">
            <v>INSUMOS Y SERVICIOS MEDICOS S.A.</v>
          </cell>
        </row>
        <row r="8431">
          <cell r="Z8431" t="str">
            <v>ESTERILIZACIÓN</v>
          </cell>
          <cell r="AA8431" t="str">
            <v>HOSPITAL EXEQUIEL GONZALEZ CORTES</v>
          </cell>
        </row>
        <row r="8432">
          <cell r="Z8432" t="str">
            <v>ESTERILIZACIÓN</v>
          </cell>
          <cell r="AA8432" t="str">
            <v>HOSPITAL EXEQUIEL GONZALEZ CORTES</v>
          </cell>
        </row>
        <row r="8433">
          <cell r="Z8433" t="str">
            <v>ESTERILIZACIÓN</v>
          </cell>
          <cell r="AA8433" t="str">
            <v>INSUMOS Y SERVICIOS MEDICOS S.A.</v>
          </cell>
        </row>
        <row r="8434">
          <cell r="Z8434" t="str">
            <v>ESTERILIZACIÓN</v>
          </cell>
          <cell r="AA8434" t="str">
            <v>HOSPITAL NAVAL ALMIRANTE ADRIAZOLA</v>
          </cell>
        </row>
        <row r="8435">
          <cell r="Z8435" t="str">
            <v>ESTERILIZACIÓN</v>
          </cell>
          <cell r="AA8435" t="str">
            <v>HOSPITAL EXEQUIEL GONZALEZ CORTES</v>
          </cell>
        </row>
        <row r="8436">
          <cell r="Z8436" t="str">
            <v>ESTERILIZACIÓN</v>
          </cell>
          <cell r="AA8436" t="str">
            <v>SOCIEDAD CONCESIONARIA METROPOLITANA DE SALUD S.A.</v>
          </cell>
        </row>
        <row r="8437">
          <cell r="Z8437" t="str">
            <v>ESTERILIZACIÓN</v>
          </cell>
          <cell r="AA8437" t="str">
            <v>SOCIEDAD CONCESIONARIA METROPOLITANA DE SALUD S.A.</v>
          </cell>
        </row>
        <row r="8438">
          <cell r="Z8438" t="str">
            <v>ESTERILIZACIÓN</v>
          </cell>
          <cell r="AA8438" t="str">
            <v>SOCIEDAD CONCESIONARIA METROPOLITANA DE SALUD S.A.</v>
          </cell>
        </row>
        <row r="8439">
          <cell r="Z8439" t="str">
            <v>ESTERILIZACIÓN</v>
          </cell>
          <cell r="AA8439" t="str">
            <v>SOCIEDAD CONCESIONARIA METROPOLITANA DE SALUD S.A.</v>
          </cell>
        </row>
        <row r="8440">
          <cell r="Z8440" t="str">
            <v>ESTERILIZACIÓN</v>
          </cell>
          <cell r="AA8440" t="str">
            <v>SOCIEDAD CONCESIONARIA METROPOLITANA DE SALUD S.A.</v>
          </cell>
        </row>
        <row r="8441">
          <cell r="Z8441" t="str">
            <v>ESTERILIZACIÓN</v>
          </cell>
          <cell r="AA8441" t="str">
            <v>HOSPITAL DR. GUSTAVO FRICKE</v>
          </cell>
        </row>
        <row r="8442">
          <cell r="Z8442" t="str">
            <v>ESTERILIZACIÓN</v>
          </cell>
          <cell r="AA8442" t="str">
            <v>HOSPITAL DR. GUSTAVO FRICKE</v>
          </cell>
        </row>
        <row r="8443">
          <cell r="Z8443" t="str">
            <v>ESTERILIZACIÓN</v>
          </cell>
          <cell r="AA8443" t="str">
            <v>CLINICA SANATORIO ALEMAN</v>
          </cell>
        </row>
        <row r="8444">
          <cell r="Z8444" t="str">
            <v>ESTERILIZACIÓN</v>
          </cell>
          <cell r="AA8444" t="str">
            <v>CLINICA SANATORIO ALEMAN</v>
          </cell>
        </row>
        <row r="8445">
          <cell r="Z8445" t="str">
            <v>ESTERILIZACIÓN</v>
          </cell>
          <cell r="AA8445" t="str">
            <v>HOSPITAL CARLOS VAN BUREN</v>
          </cell>
        </row>
        <row r="8446">
          <cell r="Z8446" t="str">
            <v>ESTERILIZACIÓN</v>
          </cell>
          <cell r="AA8446" t="str">
            <v>HOSPITAL CARLOS VAN BUREN</v>
          </cell>
        </row>
        <row r="8447">
          <cell r="Z8447" t="str">
            <v>ESTERILIZACIÓN</v>
          </cell>
          <cell r="AA8447" t="str">
            <v>HOSPITAL CARLOS VAN BUREN</v>
          </cell>
        </row>
        <row r="8448">
          <cell r="Z8448" t="str">
            <v>ESTERILIZACIÓN</v>
          </cell>
          <cell r="AA8448" t="str">
            <v>SERVICIO NACIONAL DE SALUD HOSPITAL DE LOTA</v>
          </cell>
        </row>
        <row r="8449">
          <cell r="Z8449" t="str">
            <v>ESTERILIZACIÓN</v>
          </cell>
          <cell r="AA8449" t="str">
            <v>UNIVERSIDAD DE VALPARAISO</v>
          </cell>
        </row>
        <row r="8450">
          <cell r="Z8450" t="str">
            <v>ESTERILIZACIÓN</v>
          </cell>
          <cell r="AA8450" t="str">
            <v>ILUSTRE MUNICIPALIDAD DE LOS ALAMOS - DEPTO. SALUD</v>
          </cell>
        </row>
        <row r="8451">
          <cell r="Z8451" t="str">
            <v>ESTERILIZACIÓN</v>
          </cell>
          <cell r="AA8451" t="str">
            <v>HOSPITAL DE PURRANQUE</v>
          </cell>
        </row>
        <row r="8452">
          <cell r="Z8452" t="str">
            <v>ESTERILIZACIÓN</v>
          </cell>
          <cell r="AA8452" t="str">
            <v>HOSPITAL LUIS CALVO MACKENNA</v>
          </cell>
        </row>
        <row r="8453">
          <cell r="Z8453" t="str">
            <v>ESTERILIZACIÓN</v>
          </cell>
          <cell r="AA8453" t="str">
            <v>HOSPITAL DE OVALLE</v>
          </cell>
        </row>
        <row r="8454">
          <cell r="Z8454" t="str">
            <v>ESTERILIZACIÓN</v>
          </cell>
        </row>
        <row r="8455">
          <cell r="Z8455" t="str">
            <v>ESTERILIZACIÓN</v>
          </cell>
          <cell r="AA8455" t="str">
            <v>CESFAM THOMAS FENTON</v>
          </cell>
        </row>
        <row r="8456">
          <cell r="Z8456" t="str">
            <v>ESTERILIZACIÓN</v>
          </cell>
          <cell r="AA8456" t="str">
            <v>CLINICA UNIVERSITARIA CONCEPCION</v>
          </cell>
        </row>
        <row r="8457">
          <cell r="Z8457" t="str">
            <v>ESTERILIZACIÓN</v>
          </cell>
        </row>
        <row r="8458">
          <cell r="Z8458" t="str">
            <v>ESTERILIZACIÓN</v>
          </cell>
          <cell r="AA8458" t="str">
            <v>LABORATORIO CLINICO CENTRAL KOJCHEN Y COMPANIA LIMITADA</v>
          </cell>
        </row>
        <row r="8459">
          <cell r="Z8459" t="str">
            <v>ESTERILIZACIÓN</v>
          </cell>
        </row>
        <row r="8460">
          <cell r="Z8460" t="str">
            <v>ESTERILIZACIÓN</v>
          </cell>
          <cell r="AA8460" t="str">
            <v>INSUMOS Y SERVICIOS MEDICOS S.A.</v>
          </cell>
        </row>
        <row r="8461">
          <cell r="Z8461" t="str">
            <v>ESTERILIZACIÓN</v>
          </cell>
          <cell r="AA8461" t="str">
            <v>CLINICA LAS CONDES S.A.</v>
          </cell>
        </row>
        <row r="8462">
          <cell r="Z8462" t="str">
            <v>ESTERILIZACIÓN</v>
          </cell>
          <cell r="AA8462" t="str">
            <v>CLINICA LAS CONDES S.A.</v>
          </cell>
        </row>
        <row r="8463">
          <cell r="Z8463" t="str">
            <v>ESTERILIZACIÓN</v>
          </cell>
          <cell r="AA8463" t="str">
            <v>CLINICA BIO-BIO S.A.</v>
          </cell>
        </row>
        <row r="8464">
          <cell r="Z8464" t="str">
            <v>ESTERILIZACIÓN</v>
          </cell>
          <cell r="AA8464" t="str">
            <v>HOSPITAL SAN PABLO DE COQUIMBO</v>
          </cell>
        </row>
        <row r="8465">
          <cell r="Z8465" t="str">
            <v>ESTERILIZACIÓN</v>
          </cell>
          <cell r="AA8465" t="str">
            <v>HOSPITAL COMPLEJO ASISTENCIAL PADRE LAS CASAS</v>
          </cell>
        </row>
        <row r="8466">
          <cell r="Z8466" t="str">
            <v>ESTERILIZACIÓN</v>
          </cell>
          <cell r="AA8466" t="str">
            <v>CESFAM LOS CERROS</v>
          </cell>
        </row>
        <row r="8467">
          <cell r="Z8467" t="str">
            <v>ESTERILIZACIÓN</v>
          </cell>
        </row>
        <row r="8468">
          <cell r="Z8468" t="str">
            <v>ESTERILIZACIÓN</v>
          </cell>
          <cell r="AA8468" t="str">
            <v>HOSPITAL DE CASTRO</v>
          </cell>
        </row>
        <row r="8469">
          <cell r="Z8469" t="str">
            <v>ESTERILIZACIÓN</v>
          </cell>
          <cell r="AA8469" t="str">
            <v>INSUMOS Y SERVICIOS MEDICOS S.A.</v>
          </cell>
        </row>
        <row r="8470">
          <cell r="Z8470" t="str">
            <v>ESTERILIZACIÓN</v>
          </cell>
          <cell r="AA8470" t="str">
            <v>INSUMOS Y SERVICIOS MEDICOS S.A.</v>
          </cell>
        </row>
        <row r="8471">
          <cell r="Z8471" t="str">
            <v>ESTERILIZACIÓN</v>
          </cell>
          <cell r="AA8471" t="str">
            <v>INSUMOS Y SERVICIOS MEDICOS S.A.</v>
          </cell>
        </row>
        <row r="8472">
          <cell r="Z8472" t="str">
            <v>ESTERILIZACIÓN</v>
          </cell>
          <cell r="AA8472" t="str">
            <v>GEMCO GENERAL MACHINERY S.A.</v>
          </cell>
        </row>
        <row r="8473">
          <cell r="Z8473" t="str">
            <v>ESTERILIZACIÓN</v>
          </cell>
          <cell r="AA8473" t="str">
            <v>SERVICIO DE SALUD RELONCAVI</v>
          </cell>
        </row>
        <row r="8474">
          <cell r="Z8474" t="str">
            <v>ESTERILIZACIÓN</v>
          </cell>
        </row>
        <row r="8475">
          <cell r="Z8475" t="str">
            <v>ESTERILIZACIÓN</v>
          </cell>
        </row>
        <row r="8476">
          <cell r="Z8476" t="str">
            <v>ESTERILIZACIÓN</v>
          </cell>
          <cell r="AA8476" t="str">
            <v>CE LOS TILOS</v>
          </cell>
        </row>
        <row r="8477">
          <cell r="Z8477" t="str">
            <v>ESTERILIZACIÓN</v>
          </cell>
          <cell r="AA8477" t="str">
            <v>JOHNSON &amp; JOHNSON DE CHILE S.A.</v>
          </cell>
        </row>
        <row r="8478">
          <cell r="Z8478" t="str">
            <v>ESTERILIZACIÓN</v>
          </cell>
          <cell r="AA8478" t="str">
            <v>CE LOS TILOS</v>
          </cell>
        </row>
        <row r="8479">
          <cell r="Z8479" t="str">
            <v>ESTERILIZACIÓN</v>
          </cell>
          <cell r="AA8479" t="str">
            <v>HOSPITAL DR. LUIS TISNE B.</v>
          </cell>
        </row>
        <row r="8480">
          <cell r="Z8480" t="str">
            <v>ESTERILIZACIÓN</v>
          </cell>
        </row>
        <row r="8481">
          <cell r="Z8481" t="str">
            <v>ESTERILIZACIÓN</v>
          </cell>
          <cell r="AA8481" t="str">
            <v>UNIVERSIDAD DE CONCEPCION</v>
          </cell>
        </row>
        <row r="8482">
          <cell r="Z8482" t="str">
            <v>ESTERILIZACIÓN</v>
          </cell>
          <cell r="AA8482" t="str">
            <v>HOSPITAL DR. LUIS TISNE B.</v>
          </cell>
        </row>
        <row r="8483">
          <cell r="Z8483" t="str">
            <v>ESTERILIZACIÓN</v>
          </cell>
          <cell r="AA8483" t="str">
            <v>JOHNSON &amp; JOHNSON DE CHILE S.A.</v>
          </cell>
        </row>
        <row r="8484">
          <cell r="Z8484" t="str">
            <v>ESTERILIZACIÓN</v>
          </cell>
          <cell r="AA8484" t="str">
            <v>JOHNSON &amp; JOHNSON DE CHILE S.A.</v>
          </cell>
        </row>
        <row r="8485">
          <cell r="Z8485" t="str">
            <v>ESTERILIZACIÓN</v>
          </cell>
          <cell r="AA8485" t="str">
            <v>HOSPITAL COMPLEJO ASISTENCIAL PADRE LAS CASAS</v>
          </cell>
        </row>
        <row r="8486">
          <cell r="Z8486" t="str">
            <v>ESTERILIZACIÓN</v>
          </cell>
          <cell r="AA8486" t="str">
            <v>HOSPITAL COMPLEJO ASISTENCIAL PADRE LAS CASAS</v>
          </cell>
        </row>
        <row r="8487">
          <cell r="Z8487" t="str">
            <v>ESTERILIZACIÓN</v>
          </cell>
          <cell r="AA8487" t="str">
            <v>HOSPITAL ALTO HOSPICIO</v>
          </cell>
        </row>
        <row r="8488">
          <cell r="Z8488" t="str">
            <v>ESTERILIZACIÓN</v>
          </cell>
          <cell r="AA8488" t="str">
            <v>REDLASER CONCEPCION SPA</v>
          </cell>
        </row>
        <row r="8489">
          <cell r="Z8489" t="str">
            <v>ESTERILIZACIÓN</v>
          </cell>
        </row>
        <row r="8490">
          <cell r="Z8490" t="str">
            <v>ESTERILIZACIÓN</v>
          </cell>
          <cell r="AA8490" t="str">
            <v>HOSPITAL  SAN JOSE DE MAIPO</v>
          </cell>
        </row>
        <row r="8491">
          <cell r="Z8491" t="str">
            <v>ESTERILIZACIÓN</v>
          </cell>
          <cell r="AA8491" t="str">
            <v>CESFAM ARRAU MENDEZ PARRAL</v>
          </cell>
        </row>
        <row r="8492">
          <cell r="Z8492" t="str">
            <v>ESTERILIZACIÓN</v>
          </cell>
          <cell r="AA8492" t="str">
            <v>CLINICA REÑACA</v>
          </cell>
        </row>
        <row r="8493">
          <cell r="Z8493" t="str">
            <v>ESTERILIZACIÓN</v>
          </cell>
        </row>
        <row r="8494">
          <cell r="Z8494" t="str">
            <v>ESTERILIZACIÓN</v>
          </cell>
          <cell r="AA8494" t="str">
            <v>HOSPITAL LAS HIGUERAS</v>
          </cell>
        </row>
        <row r="8495">
          <cell r="Z8495" t="str">
            <v>ESTERILIZACIÓN</v>
          </cell>
        </row>
        <row r="8496">
          <cell r="Z8496" t="str">
            <v>ESTERILIZACIÓN</v>
          </cell>
        </row>
        <row r="8497">
          <cell r="Z8497" t="str">
            <v>ESTERILIZACIÓN</v>
          </cell>
          <cell r="AA8497" t="str">
            <v>HOSPITAL DE IQUIQUE</v>
          </cell>
        </row>
        <row r="8498">
          <cell r="Z8498" t="str">
            <v>ESTERILIZACIÓN</v>
          </cell>
          <cell r="AA8498" t="str">
            <v>HOSPITAL DE IQUIQUE</v>
          </cell>
        </row>
        <row r="8499">
          <cell r="Z8499" t="str">
            <v>ESTERILIZACIÓN</v>
          </cell>
          <cell r="AA8499" t="str">
            <v>I. MUNICIPALIDAD DE PUCON</v>
          </cell>
        </row>
        <row r="8500">
          <cell r="Z8500" t="str">
            <v>ESTERILIZACIÓN</v>
          </cell>
        </row>
        <row r="8501">
          <cell r="Z8501" t="str">
            <v>ESTERILIZACIÓN</v>
          </cell>
        </row>
        <row r="8502">
          <cell r="Z8502" t="str">
            <v>ESTERILIZACIÓN</v>
          </cell>
          <cell r="AA8502" t="str">
            <v>UNIVERSIDAD DE VALPARAISO</v>
          </cell>
        </row>
        <row r="8503">
          <cell r="Z8503" t="str">
            <v>ESTERILIZACIÓN</v>
          </cell>
          <cell r="AA8503" t="str">
            <v>UNIVERSIDAD DEL DESARROLLO CONCEPCION</v>
          </cell>
        </row>
        <row r="8504">
          <cell r="Z8504" t="str">
            <v>ESTERILIZACIÓN</v>
          </cell>
          <cell r="AA8504" t="str">
            <v>UNIVERSIDAD DE LA FRONTERA</v>
          </cell>
        </row>
        <row r="8505">
          <cell r="Z8505" t="str">
            <v>ESTERILIZACIÓN</v>
          </cell>
          <cell r="AA8505" t="str">
            <v>UNIVERSIDAD DE LA FRONTERA</v>
          </cell>
        </row>
        <row r="8506">
          <cell r="Z8506" t="str">
            <v>ESTERILIZACIÓN</v>
          </cell>
          <cell r="AA8506" t="str">
            <v>UNIVERSIDAD DE LA FRONTERA</v>
          </cell>
        </row>
        <row r="8507">
          <cell r="Z8507" t="str">
            <v>ESTERILIZACIÓN</v>
          </cell>
          <cell r="AA8507" t="str">
            <v>HOSPITAL DE CASTRO</v>
          </cell>
        </row>
        <row r="8508">
          <cell r="Z8508" t="str">
            <v>ESTERILIZACIÓN</v>
          </cell>
          <cell r="AA8508" t="str">
            <v>HOSPITAL DE CASTRO</v>
          </cell>
        </row>
        <row r="8509">
          <cell r="Z8509" t="str">
            <v>ESTERILIZACIÓN</v>
          </cell>
          <cell r="AA8509" t="str">
            <v>HOSPITAL DE CASTRO</v>
          </cell>
        </row>
        <row r="8510">
          <cell r="Z8510" t="str">
            <v>ESTERILIZACIÓN</v>
          </cell>
          <cell r="AA8510" t="str">
            <v>HOSPITAL DE CASTRO</v>
          </cell>
        </row>
        <row r="8511">
          <cell r="Z8511" t="str">
            <v>ESTERILIZACIÓN</v>
          </cell>
          <cell r="AA8511" t="str">
            <v>CESFAM ALERCE</v>
          </cell>
        </row>
        <row r="8512">
          <cell r="Z8512" t="str">
            <v>ESTERILIZACIÓN</v>
          </cell>
        </row>
        <row r="8513">
          <cell r="Z8513" t="str">
            <v>ESTERILIZACIÓN</v>
          </cell>
          <cell r="AA8513" t="str">
            <v>GENDARMERIA DE CHILE</v>
          </cell>
        </row>
        <row r="8514">
          <cell r="Z8514" t="str">
            <v>ESTERILIZACIÓN</v>
          </cell>
          <cell r="AA8514" t="str">
            <v>GENDARMERIA DE CHILE</v>
          </cell>
        </row>
        <row r="8515">
          <cell r="Z8515" t="str">
            <v>ESTERILIZACIÓN</v>
          </cell>
          <cell r="AA8515" t="str">
            <v>HOSPITAL VICTOR RIOS RUIZ</v>
          </cell>
        </row>
        <row r="8516">
          <cell r="Z8516" t="str">
            <v>ESTERILIZACIÓN</v>
          </cell>
          <cell r="AA8516" t="str">
            <v>HOSPITAL VICTOR RIOS RUIZ</v>
          </cell>
        </row>
        <row r="8517">
          <cell r="Z8517" t="str">
            <v>ESTERILIZACIÓN</v>
          </cell>
        </row>
        <row r="8518">
          <cell r="Z8518" t="str">
            <v>ESTERILIZACIÓN</v>
          </cell>
        </row>
        <row r="8519">
          <cell r="Z8519" t="str">
            <v>ESTERILIZACIÓN</v>
          </cell>
        </row>
        <row r="8520">
          <cell r="Z8520" t="str">
            <v>ESTERILIZACIÓN</v>
          </cell>
          <cell r="AA8520" t="str">
            <v>UNIVERSIDAD DE CHILE</v>
          </cell>
        </row>
        <row r="8521">
          <cell r="Z8521" t="str">
            <v>ESTERILIZACIÓN</v>
          </cell>
        </row>
        <row r="8522">
          <cell r="Z8522" t="str">
            <v>ESTERILIZACIÓN</v>
          </cell>
          <cell r="AA8522" t="str">
            <v>UNIVERSIDAD DE CHILE</v>
          </cell>
        </row>
        <row r="8523">
          <cell r="Z8523" t="str">
            <v>ESTERILIZACIÓN</v>
          </cell>
          <cell r="AA8523" t="str">
            <v>CESFAM ALEMANIA</v>
          </cell>
        </row>
        <row r="8524">
          <cell r="Z8524" t="str">
            <v>ESTERILIZACIÓN</v>
          </cell>
          <cell r="AA8524" t="str">
            <v>CESFAM ALEMANIA</v>
          </cell>
        </row>
        <row r="8525">
          <cell r="Z8525" t="str">
            <v>ESTERILIZACIÓN</v>
          </cell>
          <cell r="AA8525" t="str">
            <v>NORDEN</v>
          </cell>
        </row>
        <row r="8526">
          <cell r="Z8526" t="str">
            <v>ESTERILIZACIÓN</v>
          </cell>
          <cell r="AA8526" t="str">
            <v>UNIVERSIDAD DE CHILE</v>
          </cell>
        </row>
        <row r="8527">
          <cell r="Z8527" t="str">
            <v>ESTERILIZACIÓN</v>
          </cell>
        </row>
        <row r="8528">
          <cell r="Z8528" t="str">
            <v>ESTERILIZACIÓN</v>
          </cell>
          <cell r="AA8528" t="str">
            <v>NORDEN NEW YORK</v>
          </cell>
        </row>
        <row r="8529">
          <cell r="Z8529" t="str">
            <v>ESTERILIZACIÓN</v>
          </cell>
        </row>
        <row r="8530">
          <cell r="Z8530" t="str">
            <v>ESTERILIZACIÓN</v>
          </cell>
          <cell r="AA8530" t="str">
            <v>HOSPITAL CLINICO SAN BORJA-ARRIARAN</v>
          </cell>
        </row>
        <row r="8531">
          <cell r="Z8531" t="str">
            <v>ESTERILIZACIÓN</v>
          </cell>
          <cell r="AA8531" t="str">
            <v>CONSULTORIO NORTE</v>
          </cell>
        </row>
        <row r="8532">
          <cell r="Z8532" t="str">
            <v>ESTERILIZACIÓN</v>
          </cell>
          <cell r="AA8532" t="str">
            <v>HOSPITAL PENCO -LIRQUEN</v>
          </cell>
        </row>
        <row r="8533">
          <cell r="Z8533" t="str">
            <v>ESTERILIZACIÓN</v>
          </cell>
          <cell r="AA8533" t="str">
            <v>HOSPITAL PENCO -LIRQUEN</v>
          </cell>
        </row>
        <row r="8534">
          <cell r="Z8534" t="str">
            <v>ESTERILIZACIÓN</v>
          </cell>
          <cell r="AA8534" t="str">
            <v>HOSPITAL PENCO -LIRQUEN</v>
          </cell>
        </row>
        <row r="8535">
          <cell r="Z8535" t="str">
            <v>ESTERILIZACIÓN</v>
          </cell>
          <cell r="AA8535" t="str">
            <v>CARABINEROS CHILLAN</v>
          </cell>
        </row>
        <row r="8536">
          <cell r="Z8536" t="str">
            <v>ESTERILIZACIÓN</v>
          </cell>
          <cell r="AA8536" t="str">
            <v>GEMCO GENERAL MACHINERY S.A.</v>
          </cell>
        </row>
        <row r="8537">
          <cell r="Z8537" t="str">
            <v>ESTERILIZACIÓN</v>
          </cell>
          <cell r="AA8537" t="str">
            <v>GEMCO GENERAL MACHINERY S.A.</v>
          </cell>
        </row>
        <row r="8538">
          <cell r="Z8538" t="str">
            <v>ESTERILIZACIÓN</v>
          </cell>
          <cell r="AA8538" t="str">
            <v>GEMCO GENERAL MACHINERY S.A.</v>
          </cell>
        </row>
        <row r="8539">
          <cell r="Z8539" t="str">
            <v>ESTERILIZACIÓN</v>
          </cell>
          <cell r="AA8539" t="str">
            <v>GEMCO GENERAL MACHINERY S.A.</v>
          </cell>
        </row>
        <row r="8540">
          <cell r="Z8540" t="str">
            <v>ESTERILIZACIÓN</v>
          </cell>
          <cell r="AA8540" t="str">
            <v>GEMCO GENERAL MACHINERY S.A.</v>
          </cell>
        </row>
        <row r="8541">
          <cell r="Z8541" t="str">
            <v>ESTERILIZACIÓN</v>
          </cell>
          <cell r="AA8541" t="str">
            <v>GEMCO GENERAL MACHINERY S.A.</v>
          </cell>
        </row>
        <row r="8542">
          <cell r="Z8542" t="str">
            <v>ESTERILIZACIÓN</v>
          </cell>
          <cell r="AA8542" t="str">
            <v>GEMCO GENERAL MACHINERY S.A.</v>
          </cell>
        </row>
        <row r="8543">
          <cell r="Z8543" t="str">
            <v>ESTERILIZACIÓN</v>
          </cell>
          <cell r="AA8543" t="str">
            <v>GEMCO GENERAL MACHINERY S.A.</v>
          </cell>
        </row>
        <row r="8544">
          <cell r="Z8544" t="str">
            <v>ESTERILIZACIÓN</v>
          </cell>
          <cell r="AA8544" t="str">
            <v>GEMCO GENERAL MACHINERY S.A.</v>
          </cell>
        </row>
        <row r="8545">
          <cell r="Z8545" t="str">
            <v>ESTERILIZACIÓN</v>
          </cell>
          <cell r="AA8545" t="str">
            <v>HOSPITAL PENCO -LIRQUEN</v>
          </cell>
        </row>
        <row r="8546">
          <cell r="Z8546" t="str">
            <v>ESTERILIZACIÓN</v>
          </cell>
          <cell r="AA8546" t="str">
            <v>GEMCO GENERAL MACHINERY S.A.</v>
          </cell>
        </row>
        <row r="8547">
          <cell r="Z8547" t="str">
            <v>ESTERILIZACIÓN</v>
          </cell>
        </row>
        <row r="8548">
          <cell r="Z8548" t="str">
            <v>ESTERILIZACIÓN</v>
          </cell>
          <cell r="AA8548" t="str">
            <v>INTEGRAMEDICA LA SERENA</v>
          </cell>
        </row>
        <row r="8549">
          <cell r="Z8549" t="str">
            <v>ESTERILIZACIÓN</v>
          </cell>
          <cell r="AA8549" t="str">
            <v>GEMCO GENERAL MACHINERY S.A.</v>
          </cell>
        </row>
        <row r="8550">
          <cell r="Z8550" t="str">
            <v>ESTERILIZACIÓN</v>
          </cell>
          <cell r="AA8550" t="str">
            <v>INSUMOS Y SERVICIOS MEDICOS S.A.</v>
          </cell>
        </row>
        <row r="8551">
          <cell r="Z8551" t="str">
            <v>ESTERILIZACIÓN</v>
          </cell>
          <cell r="AA8551" t="str">
            <v>HOSPITAL NAVAL ALMIRANTE ADRIAZOLA</v>
          </cell>
        </row>
        <row r="8552">
          <cell r="Z8552" t="str">
            <v>ESTERILIZACIÓN</v>
          </cell>
        </row>
        <row r="8553">
          <cell r="Z8553" t="str">
            <v>ESTERILIZACIÓN</v>
          </cell>
          <cell r="AA8553" t="str">
            <v>DIPRECA FONDO HOSPITAL</v>
          </cell>
        </row>
        <row r="8554">
          <cell r="Z8554" t="str">
            <v>ESTERILIZACIÓN</v>
          </cell>
          <cell r="AA8554" t="str">
            <v>HOSPITAL SAN JOSÉ</v>
          </cell>
        </row>
        <row r="8555">
          <cell r="Z8555" t="str">
            <v>ESTERILIZACIÓN</v>
          </cell>
        </row>
        <row r="8556">
          <cell r="Z8556" t="str">
            <v>ESTERILIZACIÓN</v>
          </cell>
          <cell r="AA8556" t="str">
            <v>HOSPITAL DE LAUTARO</v>
          </cell>
        </row>
        <row r="8557">
          <cell r="Z8557" t="str">
            <v>ESTERILIZACIÓN</v>
          </cell>
          <cell r="AA8557" t="str">
            <v>INTEGRAMEDICA LA SERENA</v>
          </cell>
        </row>
        <row r="8558">
          <cell r="Z8558" t="str">
            <v>ESTERILIZACIÓN</v>
          </cell>
        </row>
        <row r="8559">
          <cell r="Z8559" t="str">
            <v>ESTERILIZACIÓN</v>
          </cell>
          <cell r="AA8559" t="str">
            <v>I.MUNICIPALIDAD DE LA UNION</v>
          </cell>
        </row>
        <row r="8560">
          <cell r="Z8560" t="str">
            <v>ESTERILIZACIÓN</v>
          </cell>
        </row>
        <row r="8561">
          <cell r="Z8561" t="str">
            <v>ESTERILIZACIÓN</v>
          </cell>
        </row>
        <row r="8562">
          <cell r="Z8562" t="str">
            <v>ESTERILIZACIÓN</v>
          </cell>
        </row>
        <row r="8563">
          <cell r="Z8563" t="str">
            <v>ESTERILIZACIÓN</v>
          </cell>
        </row>
        <row r="8564">
          <cell r="Z8564" t="str">
            <v>ESTERILIZACIÓN</v>
          </cell>
        </row>
        <row r="8565">
          <cell r="Z8565" t="str">
            <v>ESTERILIZACIÓN</v>
          </cell>
          <cell r="AA8565" t="str">
            <v>INSUMOS Y SERVICIOS MEDICOS S.A.</v>
          </cell>
        </row>
        <row r="8566">
          <cell r="Z8566" t="str">
            <v>ESTERILIZACIÓN</v>
          </cell>
        </row>
        <row r="8567">
          <cell r="Z8567" t="str">
            <v>ESTERILIZACIÓN</v>
          </cell>
        </row>
        <row r="8568">
          <cell r="Z8568" t="str">
            <v>ESTERILIZACIÓN</v>
          </cell>
        </row>
        <row r="8569">
          <cell r="Z8569" t="str">
            <v>ESTERILIZACIÓN</v>
          </cell>
          <cell r="AA8569" t="str">
            <v>MEGASALUD S.A.</v>
          </cell>
        </row>
        <row r="8570">
          <cell r="Z8570" t="str">
            <v>ESTERILIZACIÓN</v>
          </cell>
        </row>
        <row r="8571">
          <cell r="Z8571" t="str">
            <v>ESTERILIZACIÓN</v>
          </cell>
        </row>
        <row r="8572">
          <cell r="Z8572" t="str">
            <v>ESTERILIZACIÓN</v>
          </cell>
        </row>
        <row r="8573">
          <cell r="Z8573" t="str">
            <v>ESTERILIZACIÓN</v>
          </cell>
        </row>
        <row r="8574">
          <cell r="Z8574" t="str">
            <v>ESTERILIZACIÓN</v>
          </cell>
          <cell r="AA8574" t="str">
            <v>HOSPITAL  PITRUFQUEN</v>
          </cell>
        </row>
        <row r="8575">
          <cell r="Z8575" t="str">
            <v>ESTERILIZACIÓN</v>
          </cell>
        </row>
        <row r="8576">
          <cell r="Z8576" t="str">
            <v>ESTERILIZACIÓN</v>
          </cell>
        </row>
        <row r="8577">
          <cell r="Z8577" t="str">
            <v>ESTERILIZACIÓN</v>
          </cell>
        </row>
        <row r="8578">
          <cell r="Z8578" t="str">
            <v>ESTERILIZACIÓN</v>
          </cell>
        </row>
        <row r="8579">
          <cell r="Z8579" t="str">
            <v>ESTERILIZACIÓN</v>
          </cell>
        </row>
        <row r="8580">
          <cell r="Z8580" t="str">
            <v>ESTERILIZACIÓN</v>
          </cell>
          <cell r="AA8580" t="str">
            <v>INSUMOS Y SERVICIOS MEDICOS S.A.</v>
          </cell>
        </row>
        <row r="8581">
          <cell r="Z8581" t="str">
            <v>ESTERILIZACIÓN</v>
          </cell>
        </row>
        <row r="8582">
          <cell r="Z8582" t="str">
            <v>ESTERILIZACIÓN</v>
          </cell>
        </row>
        <row r="8583">
          <cell r="Z8583" t="str">
            <v>ESTERILIZACIÓN</v>
          </cell>
        </row>
        <row r="8584">
          <cell r="Z8584" t="str">
            <v>ESTERILIZACIÓN</v>
          </cell>
          <cell r="AA8584" t="str">
            <v>HOSPITAL DE CABILDO</v>
          </cell>
        </row>
        <row r="8585">
          <cell r="Z8585" t="str">
            <v>ESTERILIZACIÓN</v>
          </cell>
        </row>
        <row r="8586">
          <cell r="Z8586" t="str">
            <v>ESTERILIZACIÓN</v>
          </cell>
          <cell r="AA8586" t="str">
            <v>CLINICA BIO-BIO S.A.</v>
          </cell>
        </row>
        <row r="8587">
          <cell r="Z8587" t="str">
            <v>ESTERILIZACIÓN</v>
          </cell>
          <cell r="AA8587" t="str">
            <v>HOSPITAL CLINICO SAN BORJA-ARRIARAN</v>
          </cell>
        </row>
        <row r="8588">
          <cell r="Z8588" t="str">
            <v>ESTERILIZACIÓN</v>
          </cell>
          <cell r="AA8588" t="str">
            <v>HOSPITAL CLINICO SAN BORJA-ARRIARAN</v>
          </cell>
        </row>
        <row r="8589">
          <cell r="Z8589" t="str">
            <v>ESTERILIZACIÓN</v>
          </cell>
        </row>
        <row r="8590">
          <cell r="Z8590" t="str">
            <v>ESTERILIZACIÓN</v>
          </cell>
          <cell r="AA8590" t="str">
            <v>HOSPITAL CLINICO SAN BORJA-ARRIARAN</v>
          </cell>
        </row>
        <row r="8591">
          <cell r="Z8591" t="str">
            <v>ESTERILIZACIÓN</v>
          </cell>
          <cell r="AA8591" t="str">
            <v>HOSPITAL CLINICO SAN BORJA-ARRIARAN</v>
          </cell>
        </row>
        <row r="8592">
          <cell r="Z8592" t="str">
            <v>ESTERILIZACIÓN</v>
          </cell>
        </row>
        <row r="8593">
          <cell r="Z8593" t="str">
            <v>ESTERILIZACIÓN</v>
          </cell>
        </row>
        <row r="8594">
          <cell r="Z8594" t="str">
            <v>ESTERILIZACIÓN</v>
          </cell>
        </row>
        <row r="8595">
          <cell r="Z8595" t="str">
            <v>ESTERILIZACIÓN</v>
          </cell>
        </row>
        <row r="8596">
          <cell r="Z8596" t="str">
            <v>ESTERILIZACIÓN</v>
          </cell>
          <cell r="AA8596" t="str">
            <v>HOSPITAL DE PUERTO OCTAY</v>
          </cell>
        </row>
        <row r="8597">
          <cell r="Z8597" t="str">
            <v>ESTERILIZACIÓN</v>
          </cell>
        </row>
        <row r="8598">
          <cell r="Z8598" t="str">
            <v>ESTERILIZACIÓN</v>
          </cell>
          <cell r="AA8598" t="str">
            <v>INSUMOS Y SERVICIOS MEDICOS S.A.</v>
          </cell>
        </row>
        <row r="8599">
          <cell r="Z8599" t="str">
            <v>ESTERILIZACIÓN</v>
          </cell>
          <cell r="AA8599" t="str">
            <v>INSUMOS Y SERVICIOS MEDICOS S.A.</v>
          </cell>
        </row>
        <row r="8600">
          <cell r="Z8600" t="str">
            <v>ESTERILIZACIÓN</v>
          </cell>
        </row>
        <row r="8601">
          <cell r="Z8601" t="str">
            <v>ESTERILIZACIÓN</v>
          </cell>
          <cell r="AA8601" t="str">
            <v>CENTRO DE OFTALMOLOGIA DR.DAVID BITRAN S.A.</v>
          </cell>
        </row>
        <row r="8602">
          <cell r="Z8602" t="str">
            <v>ESTERILIZACIÓN</v>
          </cell>
        </row>
        <row r="8603">
          <cell r="Z8603" t="str">
            <v>ESTERILIZACIÓN</v>
          </cell>
        </row>
        <row r="8604">
          <cell r="Z8604" t="str">
            <v>ESTERILIZACIÓN</v>
          </cell>
        </row>
        <row r="8605">
          <cell r="Z8605" t="str">
            <v>ESTERILIZACIÓN</v>
          </cell>
          <cell r="AA8605" t="str">
            <v>CESFAM  DICHATO</v>
          </cell>
        </row>
        <row r="8606">
          <cell r="Z8606" t="str">
            <v>ESTERILIZACIÓN</v>
          </cell>
          <cell r="AA8606" t="str">
            <v>CENTRO DE OFTALMOLOGIA DR.DAVID BITRAN S.A.</v>
          </cell>
        </row>
        <row r="8607">
          <cell r="Z8607" t="str">
            <v>ESTERILIZACIÓN</v>
          </cell>
        </row>
        <row r="8608">
          <cell r="Z8608" t="str">
            <v>ESTERILIZACIÓN</v>
          </cell>
          <cell r="AA8608" t="str">
            <v>INSUMOS Y SERVICIOS MEDICOS S.A.</v>
          </cell>
        </row>
        <row r="8609">
          <cell r="Z8609" t="str">
            <v>ESTERILIZACIÓN</v>
          </cell>
        </row>
        <row r="8610">
          <cell r="Z8610" t="str">
            <v>ESTERILIZACIÓN</v>
          </cell>
          <cell r="AA8610" t="str">
            <v>MEGASALUD S.A.</v>
          </cell>
        </row>
        <row r="8611">
          <cell r="Z8611" t="str">
            <v>ESTERILIZACIÓN</v>
          </cell>
        </row>
        <row r="8612">
          <cell r="Z8612" t="str">
            <v>ESTERILIZACIÓN</v>
          </cell>
        </row>
        <row r="8613">
          <cell r="Z8613" t="str">
            <v>ESTERILIZACIÓN</v>
          </cell>
          <cell r="AA8613" t="str">
            <v>DIPRECA FONDO HOSPITAL</v>
          </cell>
        </row>
        <row r="8614">
          <cell r="Z8614" t="str">
            <v>ESTERILIZACIÓN</v>
          </cell>
          <cell r="AA8614" t="str">
            <v>CLINICA REÑACA</v>
          </cell>
        </row>
        <row r="8615">
          <cell r="Z8615" t="str">
            <v>ESTERILIZACIÓN</v>
          </cell>
        </row>
        <row r="8616">
          <cell r="Z8616" t="str">
            <v>ESTERILIZACIÓN</v>
          </cell>
        </row>
        <row r="8617">
          <cell r="Z8617" t="str">
            <v>ESTERILIZACIÓN</v>
          </cell>
          <cell r="AA8617" t="str">
            <v>UNIVERSIDAD AUTONOMA DE CHILE</v>
          </cell>
        </row>
        <row r="8618">
          <cell r="Z8618" t="str">
            <v>ESTERILIZACIÓN</v>
          </cell>
        </row>
        <row r="8619">
          <cell r="Z8619" t="str">
            <v>ESTERILIZACIÓN</v>
          </cell>
          <cell r="AA8619" t="str">
            <v>INSUMOS Y SERVICIOS MEDICOS S.A.</v>
          </cell>
        </row>
        <row r="8620">
          <cell r="Z8620" t="str">
            <v>ESTERILIZACIÓN</v>
          </cell>
        </row>
        <row r="8621">
          <cell r="Z8621" t="str">
            <v>ESTERILIZACIÓN</v>
          </cell>
          <cell r="AA8621" t="str">
            <v>UNIVERSIDAD DE LA FRONTERA</v>
          </cell>
        </row>
        <row r="8622">
          <cell r="Z8622" t="str">
            <v>ESTERILIZACIÓN</v>
          </cell>
          <cell r="AA8622" t="str">
            <v>UNIVERSIDAD DE LA FRONTERA</v>
          </cell>
        </row>
        <row r="8623">
          <cell r="Z8623" t="str">
            <v>ESTERILIZACIÓN</v>
          </cell>
        </row>
        <row r="8624">
          <cell r="Z8624" t="str">
            <v>ESTERILIZACIÓN</v>
          </cell>
        </row>
        <row r="8625">
          <cell r="Z8625" t="str">
            <v>ESTERILIZACIÓN</v>
          </cell>
          <cell r="AA8625" t="str">
            <v>INSUMOS Y SERVICIOS MEDICOS S.A.</v>
          </cell>
        </row>
        <row r="8626">
          <cell r="Z8626" t="str">
            <v>ESTERILIZACIÓN</v>
          </cell>
          <cell r="AA8626" t="str">
            <v>EJERCITO DE CHILE CENTRAL ODONTOLOGICA D</v>
          </cell>
        </row>
        <row r="8627">
          <cell r="Z8627" t="str">
            <v>ESTERILIZACIÓN</v>
          </cell>
          <cell r="AA8627" t="str">
            <v>EJERCITO DE CHILE CENTRAL ODONTOLOGICA D</v>
          </cell>
        </row>
        <row r="8628">
          <cell r="Z8628" t="str">
            <v>ESTERILIZACIÓN</v>
          </cell>
          <cell r="AA8628" t="str">
            <v>EJERCITO DE CHILE CENTRAL ODONTOLOGICA D</v>
          </cell>
        </row>
        <row r="8629">
          <cell r="Z8629" t="str">
            <v>ESTERILIZACIÓN</v>
          </cell>
          <cell r="AA8629" t="str">
            <v>HOSPITAL PENCO -LIRQUEN</v>
          </cell>
        </row>
        <row r="8630">
          <cell r="Z8630" t="str">
            <v>ESTERILIZACIÓN</v>
          </cell>
          <cell r="AA8630" t="str">
            <v>CESFAM TALCA</v>
          </cell>
        </row>
        <row r="8631">
          <cell r="Z8631" t="str">
            <v>ESTERILIZACIÓN</v>
          </cell>
        </row>
        <row r="8632">
          <cell r="Z8632" t="str">
            <v>ESTERILIZACIÓN</v>
          </cell>
        </row>
        <row r="8633">
          <cell r="Z8633" t="str">
            <v>ESTERILIZACIÓN</v>
          </cell>
        </row>
        <row r="8634">
          <cell r="Z8634" t="str">
            <v>ESTERILIZACIÓN</v>
          </cell>
          <cell r="AA8634" t="str">
            <v>DIPRECA FONDO HOSPITAL</v>
          </cell>
        </row>
        <row r="8635">
          <cell r="Z8635" t="str">
            <v>ESTERILIZACIÓN</v>
          </cell>
        </row>
        <row r="8636">
          <cell r="Z8636" t="str">
            <v>ESTERILIZACIÓN</v>
          </cell>
        </row>
        <row r="8637">
          <cell r="Z8637" t="str">
            <v>ESTERILIZACIÓN</v>
          </cell>
          <cell r="AA8637" t="str">
            <v>UNIVERSIDAD DE VALPARAISO</v>
          </cell>
        </row>
        <row r="8638">
          <cell r="Z8638" t="str">
            <v>ESTERILIZACIÓN</v>
          </cell>
          <cell r="AA8638" t="str">
            <v>UNIVERSIDAD DE VALPARAISO</v>
          </cell>
        </row>
        <row r="8639">
          <cell r="Z8639" t="str">
            <v>ESTERILIZACIÓN</v>
          </cell>
          <cell r="AA8639" t="str">
            <v>INSUMOS Y SERVICIOS MEDICOS S.A.</v>
          </cell>
        </row>
        <row r="8640">
          <cell r="Z8640" t="str">
            <v>ESTERILIZACIÓN</v>
          </cell>
          <cell r="AA8640" t="str">
            <v>COMPLEJO ASISTENCIAL DR.SOTERO DEL RIO</v>
          </cell>
        </row>
        <row r="8641">
          <cell r="Z8641" t="str">
            <v>ESTERILIZACIÓN</v>
          </cell>
          <cell r="AA8641" t="str">
            <v>CLINICA ALEMANA DE SANTIAGO S A</v>
          </cell>
        </row>
        <row r="8642">
          <cell r="Z8642" t="str">
            <v>ESTERILIZACIÓN</v>
          </cell>
          <cell r="AA8642" t="str">
            <v>CLINICA SANATORIO ALEMAN</v>
          </cell>
        </row>
        <row r="8643">
          <cell r="Z8643" t="str">
            <v>ESTERILIZACIÓN</v>
          </cell>
          <cell r="AA8643" t="str">
            <v>SOCIEDAD CONCESIONARIA METROPOLITANA DE SALUD S.A.</v>
          </cell>
        </row>
        <row r="8644">
          <cell r="Z8644" t="str">
            <v>ESTERILIZACIÓN</v>
          </cell>
          <cell r="AA8644" t="str">
            <v>HOSPITAL DE COYHAIQUE</v>
          </cell>
        </row>
        <row r="8645">
          <cell r="Z8645" t="str">
            <v>ESTERILIZACIÓN</v>
          </cell>
          <cell r="AA8645" t="str">
            <v>HOSPITAL LUIS CALVO MACKENNA</v>
          </cell>
        </row>
        <row r="8646">
          <cell r="Z8646" t="str">
            <v>ESTERILIZACIÓN</v>
          </cell>
          <cell r="AA8646" t="str">
            <v>INSUMOS Y SERVICIOS MEDICOS S.A.</v>
          </cell>
        </row>
        <row r="8647">
          <cell r="Z8647" t="str">
            <v>ESTERILIZACIÓN</v>
          </cell>
          <cell r="AA8647" t="str">
            <v>HOSPITAL DEL SALVADOR</v>
          </cell>
        </row>
        <row r="8648">
          <cell r="Z8648" t="str">
            <v>ESTERILIZACIÓN</v>
          </cell>
        </row>
        <row r="8649">
          <cell r="Z8649" t="str">
            <v>ESTERILIZACIÓN</v>
          </cell>
          <cell r="AA8649" t="str">
            <v>COMPLEJO ASISTENCIAL DR.SOTERO DEL RIO</v>
          </cell>
        </row>
        <row r="8650">
          <cell r="Z8650" t="str">
            <v>ESTERILIZACIÓN</v>
          </cell>
          <cell r="AA8650" t="str">
            <v>HOSPITAL LA SERENA</v>
          </cell>
        </row>
        <row r="8651">
          <cell r="Z8651" t="str">
            <v>ESTERILIZACIÓN</v>
          </cell>
          <cell r="AA8651" t="str">
            <v>HOSPITAL BARROS LUCO TRUDEAU</v>
          </cell>
        </row>
        <row r="8652">
          <cell r="Z8652" t="str">
            <v>ESTERILIZACIÓN</v>
          </cell>
          <cell r="AA8652" t="str">
            <v>HOSPITAL CLINICO HERMINDA MARTIN CHILLAN</v>
          </cell>
        </row>
        <row r="8653">
          <cell r="Z8653" t="str">
            <v>ESTERILIZACIÓN</v>
          </cell>
          <cell r="AA8653" t="str">
            <v>HOSPITAL VICTORIA</v>
          </cell>
        </row>
        <row r="8654">
          <cell r="Z8654" t="str">
            <v>ESTERILIZACIÓN</v>
          </cell>
          <cell r="AA8654" t="str">
            <v>HOSPITAL DE URGENCIA ASISTENCIA PUBLICA DR. ALEJ</v>
          </cell>
        </row>
        <row r="8655">
          <cell r="Z8655" t="str">
            <v>ESTERILIZACIÓN</v>
          </cell>
          <cell r="AA8655" t="str">
            <v>INSUMOS Y SERVICIOS MEDICOS S.A.</v>
          </cell>
        </row>
        <row r="8656">
          <cell r="Z8656" t="str">
            <v>ESTERILIZACIÓN</v>
          </cell>
          <cell r="AA8656" t="str">
            <v>HOSPITAL DEL PROFESOR</v>
          </cell>
        </row>
        <row r="8657">
          <cell r="Z8657" t="str">
            <v>ESTERILIZACIÓN</v>
          </cell>
          <cell r="AA8657" t="str">
            <v>HOSPITAL  PITRUFQUEN</v>
          </cell>
        </row>
        <row r="8658">
          <cell r="Z8658" t="str">
            <v>ESTERILIZACIÓN</v>
          </cell>
          <cell r="AA8658" t="str">
            <v>HOSPITAL REGIONAL DE ARICA DR. JUAN NOÉ CREVANI</v>
          </cell>
        </row>
        <row r="8659">
          <cell r="Z8659" t="str">
            <v>ESTERILIZACIÓN</v>
          </cell>
          <cell r="AA8659" t="str">
            <v>INSUMOS Y SERVICIOS MEDICOS S.A.</v>
          </cell>
        </row>
        <row r="8660">
          <cell r="Z8660" t="str">
            <v>ESTERILIZACIÓN</v>
          </cell>
          <cell r="AA8660" t="str">
            <v>HOSPITAL CARLOS VAN BUREN</v>
          </cell>
        </row>
        <row r="8661">
          <cell r="Z8661" t="str">
            <v>ESTERILIZACIÓN</v>
          </cell>
          <cell r="AA8661" t="str">
            <v>HOSPITAL SAN JOSÉ</v>
          </cell>
        </row>
        <row r="8662">
          <cell r="Z8662" t="str">
            <v>ESTERILIZACIÓN</v>
          </cell>
          <cell r="AA8662" t="str">
            <v>HOSPITAL BARROS LUCO TRUDEAU</v>
          </cell>
        </row>
        <row r="8663">
          <cell r="Z8663" t="str">
            <v>ESTERILIZACIÓN</v>
          </cell>
          <cell r="AA8663" t="str">
            <v>COMPLEJO ASISTENCIAL DR.SOTERO DEL RIO</v>
          </cell>
        </row>
        <row r="8664">
          <cell r="Z8664" t="str">
            <v>ESTERILIZACIÓN</v>
          </cell>
          <cell r="AA8664" t="str">
            <v>COMPLEJO ASISTENCIAL DR.SOTERO DEL RIO</v>
          </cell>
        </row>
        <row r="8665">
          <cell r="Z8665" t="str">
            <v>ESTERILIZACIÓN</v>
          </cell>
          <cell r="AA8665" t="str">
            <v>CLINICA BIO-BIO S.A.</v>
          </cell>
        </row>
        <row r="8666">
          <cell r="Z8666" t="str">
            <v>ESTERILIZACIÓN</v>
          </cell>
          <cell r="AA8666" t="str">
            <v>HOSPITAL DE ANGOL</v>
          </cell>
        </row>
        <row r="8667">
          <cell r="Z8667" t="str">
            <v>ESTERILIZACIÓN</v>
          </cell>
          <cell r="AA8667" t="str">
            <v>HOSPITAL DE IQUIQUE</v>
          </cell>
        </row>
        <row r="8668">
          <cell r="Z8668" t="str">
            <v>ESTERILIZACIÓN</v>
          </cell>
          <cell r="AA8668" t="str">
            <v>HOSPITAL DE IQUIQUE</v>
          </cell>
        </row>
        <row r="8669">
          <cell r="Z8669" t="str">
            <v>ESTERILIZACIÓN</v>
          </cell>
          <cell r="AA8669" t="str">
            <v>HOSPITAL BARROS LUCO TRUDEAU</v>
          </cell>
        </row>
        <row r="8670">
          <cell r="Z8670" t="str">
            <v>ESTERILIZACIÓN</v>
          </cell>
          <cell r="AA8670" t="str">
            <v>HOSPITAL DE QUILPUE</v>
          </cell>
        </row>
        <row r="8671">
          <cell r="Z8671" t="str">
            <v>ESTERILIZACIÓN</v>
          </cell>
          <cell r="AA8671" t="str">
            <v>HOSPITAL DE CURICO</v>
          </cell>
        </row>
        <row r="8672">
          <cell r="Z8672" t="str">
            <v>ESTERILIZACIÓN</v>
          </cell>
        </row>
        <row r="8673">
          <cell r="Z8673" t="str">
            <v>ESTERILIZACIÓN</v>
          </cell>
          <cell r="AA8673" t="str">
            <v>HOSPITAL BARROS LUCO TRUDEAU</v>
          </cell>
        </row>
        <row r="8674">
          <cell r="Z8674" t="str">
            <v>ESTERILIZACIÓN</v>
          </cell>
          <cell r="AA8674" t="str">
            <v xml:space="preserve">HOSPITAL SAN CAMILO  </v>
          </cell>
        </row>
        <row r="8675">
          <cell r="Z8675" t="str">
            <v>ESTERILIZACIÓN</v>
          </cell>
        </row>
        <row r="8676">
          <cell r="Z8676" t="str">
            <v>ESTERILIZACIÓN</v>
          </cell>
          <cell r="AA8676" t="str">
            <v>SOCIEDAD CMA-COSTANERA S.A.</v>
          </cell>
        </row>
        <row r="8677">
          <cell r="Z8677" t="str">
            <v>ESTERILIZACIÓN</v>
          </cell>
          <cell r="AA8677" t="str">
            <v xml:space="preserve">HOSPITAL SAN CAMILO  </v>
          </cell>
        </row>
        <row r="8678">
          <cell r="Z8678" t="str">
            <v>ESTERILIZACIÓN</v>
          </cell>
        </row>
        <row r="8679">
          <cell r="Z8679" t="str">
            <v>ESTERILIZACIÓN</v>
          </cell>
        </row>
        <row r="8680">
          <cell r="Z8680" t="str">
            <v>ESTERILIZACIÓN</v>
          </cell>
        </row>
        <row r="8681">
          <cell r="Z8681" t="str">
            <v>ESTERILIZACIÓN</v>
          </cell>
        </row>
        <row r="8682">
          <cell r="Z8682" t="str">
            <v>ESTERILIZACIÓN</v>
          </cell>
        </row>
        <row r="8683">
          <cell r="Z8683" t="str">
            <v>ESTERILIZACIÓN</v>
          </cell>
          <cell r="AA8683" t="str">
            <v>GEMCO GENERAL MACHINERY S.A.</v>
          </cell>
        </row>
        <row r="8684">
          <cell r="Z8684" t="str">
            <v>ESTERILIZACIÓN</v>
          </cell>
        </row>
        <row r="8685">
          <cell r="Z8685" t="str">
            <v>ESTERILIZACIÓN</v>
          </cell>
          <cell r="AA8685" t="str">
            <v>HOSPITAL SAN JOSÉ</v>
          </cell>
        </row>
        <row r="8686">
          <cell r="Z8686" t="str">
            <v>ESTERILIZACIÓN</v>
          </cell>
          <cell r="AA8686" t="str">
            <v>GEMCO GENERAL MACHINERY S.A.</v>
          </cell>
        </row>
        <row r="8687">
          <cell r="Z8687" t="str">
            <v>ESTERILIZACIÓN</v>
          </cell>
          <cell r="AA8687" t="str">
            <v>COMPLEJO ASISTENCIAL DR.SOTERO DEL RIO</v>
          </cell>
        </row>
        <row r="8688">
          <cell r="Z8688" t="str">
            <v>ESTERILIZACIÓN</v>
          </cell>
          <cell r="AA8688" t="str">
            <v>HOSPITAL DE COPIAPO</v>
          </cell>
        </row>
        <row r="8689">
          <cell r="Z8689" t="str">
            <v>ESTERILIZACIÓN</v>
          </cell>
          <cell r="AA8689" t="str">
            <v>HOSPITAL DE COPIAPO</v>
          </cell>
        </row>
        <row r="8690">
          <cell r="Z8690" t="str">
            <v>ESTERILIZACIÓN</v>
          </cell>
        </row>
        <row r="8691">
          <cell r="Z8691" t="str">
            <v>ESTERILIZACIÓN</v>
          </cell>
        </row>
        <row r="8692">
          <cell r="Z8692" t="str">
            <v>ESTERILIZACIÓN</v>
          </cell>
          <cell r="AA8692" t="str">
            <v>HOSPITAL VICTOR RIOS RUIZ</v>
          </cell>
        </row>
        <row r="8693">
          <cell r="Z8693" t="str">
            <v>ESTERILIZACIÓN</v>
          </cell>
          <cell r="AA8693" t="str">
            <v>HOSPITAL CLINICO DE MAGALLANES</v>
          </cell>
        </row>
        <row r="8694">
          <cell r="Z8694" t="str">
            <v>ESTERILIZACIÓN</v>
          </cell>
          <cell r="AA8694" t="str">
            <v>HOSPITAL GUILLERMO GRANT BENAVENTE</v>
          </cell>
        </row>
        <row r="8695">
          <cell r="Z8695" t="str">
            <v>ESTERILIZACIÓN</v>
          </cell>
          <cell r="AA8695" t="str">
            <v>HOSPITAL GUILLERMO GRANT BENAVENTE</v>
          </cell>
        </row>
        <row r="8696">
          <cell r="Z8696" t="str">
            <v>ESTERILIZACIÓN</v>
          </cell>
          <cell r="AA8696" t="str">
            <v>INSTITUTO DE DIAGNOSTICO S.A.</v>
          </cell>
        </row>
        <row r="8697">
          <cell r="Z8697" t="str">
            <v>ESTERILIZACIÓN</v>
          </cell>
          <cell r="AA8697" t="str">
            <v>HOSPITAL DE SAN CARLOS</v>
          </cell>
        </row>
        <row r="8698">
          <cell r="Z8698" t="str">
            <v>ESTERILIZACIÓN</v>
          </cell>
          <cell r="AA8698" t="str">
            <v>CE LOS TILOS</v>
          </cell>
        </row>
        <row r="8699">
          <cell r="Z8699" t="str">
            <v>ESTERILIZACIÓN</v>
          </cell>
          <cell r="AA8699" t="str">
            <v>CLINICA UNIVERSITARIA CONCEPCION</v>
          </cell>
        </row>
        <row r="8700">
          <cell r="Z8700" t="str">
            <v>ESTERILIZACIÓN</v>
          </cell>
          <cell r="AA8700" t="str">
            <v>HOSPITAL DR. LUIS TISNE B.</v>
          </cell>
        </row>
        <row r="8701">
          <cell r="Z8701" t="str">
            <v>ESTERILIZACIÓN</v>
          </cell>
          <cell r="AA8701" t="str">
            <v>HOSPITAL REGIONAL DE RANCAGUA</v>
          </cell>
        </row>
        <row r="8702">
          <cell r="Z8702" t="str">
            <v>ESTERILIZACIÓN</v>
          </cell>
          <cell r="AA8702" t="str">
            <v>HOSPITAL DE URGENCIA ASISTENCIA PUBLICA DR. ALEJ</v>
          </cell>
        </row>
        <row r="8703">
          <cell r="Z8703" t="str">
            <v>ESTERILIZACIÓN</v>
          </cell>
          <cell r="AA8703" t="str">
            <v>HOSPITAL CARLOS VAN BUREN</v>
          </cell>
        </row>
        <row r="8704">
          <cell r="Z8704" t="str">
            <v>ESTERILIZACIÓN</v>
          </cell>
          <cell r="AA8704" t="str">
            <v>HOSPITAL VICTOR RIOS RUIZ</v>
          </cell>
        </row>
        <row r="8705">
          <cell r="Z8705" t="str">
            <v>ESTERILIZACIÓN</v>
          </cell>
        </row>
        <row r="8706">
          <cell r="Z8706" t="str">
            <v>ESTERILIZACIÓN</v>
          </cell>
          <cell r="AA8706" t="str">
            <v>HOSPITAL DE COPIAPO</v>
          </cell>
        </row>
        <row r="8707">
          <cell r="Z8707" t="str">
            <v>ESTERILIZACIÓN</v>
          </cell>
        </row>
        <row r="8708">
          <cell r="Z8708" t="str">
            <v>ESTERILIZACIÓN</v>
          </cell>
        </row>
        <row r="8709">
          <cell r="Z8709" t="str">
            <v>ESTERILIZACIÓN</v>
          </cell>
          <cell r="AA8709" t="str">
            <v>COMPLEJO ASISTENCIAL DR.SOTERO DEL RIO</v>
          </cell>
        </row>
        <row r="8710">
          <cell r="Z8710" t="str">
            <v>ESTERILIZACIÓN</v>
          </cell>
          <cell r="AA8710" t="str">
            <v>HOSPITAL DE PUERTO AYSEN</v>
          </cell>
        </row>
        <row r="8711">
          <cell r="Z8711" t="str">
            <v>ESTERILIZACIÓN</v>
          </cell>
          <cell r="AA8711" t="str">
            <v>CLINICA SANATORIO ALEMAN</v>
          </cell>
        </row>
        <row r="8712">
          <cell r="Z8712" t="str">
            <v>ESTERILIZACIÓN</v>
          </cell>
        </row>
        <row r="8713">
          <cell r="Z8713" t="str">
            <v>ESTERILIZACIÓN</v>
          </cell>
          <cell r="AA8713" t="str">
            <v>HOSPITAL EXEQUIEL GONZALEZ CORTES</v>
          </cell>
        </row>
        <row r="8714">
          <cell r="Z8714" t="str">
            <v>ESTERILIZACIÓN</v>
          </cell>
          <cell r="AA8714" t="str">
            <v>HOSPITAL EXEQUIEL GONZALEZ CORTES</v>
          </cell>
        </row>
        <row r="8715">
          <cell r="Z8715" t="str">
            <v>ESTERILIZACIÓN</v>
          </cell>
          <cell r="AA8715" t="str">
            <v>CENTRO CLINICO MILITAR ARICA</v>
          </cell>
        </row>
        <row r="8716">
          <cell r="Z8716" t="str">
            <v>ESTERILIZACIÓN</v>
          </cell>
          <cell r="AA8716" t="str">
            <v>HOSPITAL DR. GUSTAVO FRICKE</v>
          </cell>
        </row>
        <row r="8717">
          <cell r="Z8717" t="str">
            <v>ESTERILIZACIÓN</v>
          </cell>
          <cell r="AA8717" t="str">
            <v>HOSPITAL SAN JOSÉ</v>
          </cell>
        </row>
        <row r="8718">
          <cell r="Z8718" t="str">
            <v>ESTERILIZACIÓN</v>
          </cell>
          <cell r="AA8718" t="str">
            <v>HOSPITAL CARLOS CISTERNA DE CALAMA</v>
          </cell>
        </row>
        <row r="8719">
          <cell r="Z8719" t="str">
            <v>ESTERILIZACIÓN</v>
          </cell>
          <cell r="AA8719" t="str">
            <v>DIPRECA FONDO HOSPITAL</v>
          </cell>
        </row>
        <row r="8720">
          <cell r="Z8720" t="str">
            <v>ESTERILIZACIÓN</v>
          </cell>
          <cell r="AA8720" t="str">
            <v>SOCIEDAD CONCESIONARIA METROPOLITANA DE SALUD S.A.</v>
          </cell>
        </row>
        <row r="8721">
          <cell r="Z8721" t="str">
            <v>ESTERILIZACIÓN</v>
          </cell>
          <cell r="AA8721" t="str">
            <v>COMPLEJO ASISTENCIAL DR.SOTERO DEL RIO</v>
          </cell>
        </row>
        <row r="8722">
          <cell r="Z8722" t="str">
            <v>ESTERILIZACIÓN</v>
          </cell>
          <cell r="AA8722" t="str">
            <v>SOCIEDAD CONCESIONARIA METROPOLITANA DE SALUD S.A.</v>
          </cell>
        </row>
        <row r="8723">
          <cell r="Z8723" t="str">
            <v>ESTERILIZACIÓN</v>
          </cell>
        </row>
        <row r="8724">
          <cell r="Z8724" t="str">
            <v>ESTERILIZACIÓN</v>
          </cell>
          <cell r="AA8724" t="str">
            <v>GEMCO GENERAL MACHINERY S.A.</v>
          </cell>
        </row>
        <row r="8725">
          <cell r="Z8725" t="str">
            <v>ESTERILIZACIÓN</v>
          </cell>
        </row>
        <row r="8726">
          <cell r="Z8726" t="str">
            <v>ESTERILIZACIÓN</v>
          </cell>
          <cell r="AA8726" t="str">
            <v>INSUMOS Y SERVICIOS MEDICOS S.A.</v>
          </cell>
        </row>
        <row r="8727">
          <cell r="Z8727" t="str">
            <v>ESTERILIZACIÓN</v>
          </cell>
          <cell r="AA8727" t="str">
            <v>HOSPITAL LUIS CALVO MACKENNA</v>
          </cell>
        </row>
        <row r="8728">
          <cell r="Z8728" t="str">
            <v>ESTERILIZACIÓN</v>
          </cell>
          <cell r="AA8728" t="str">
            <v>HOSPITAL SAN JOSÉ</v>
          </cell>
        </row>
        <row r="8729">
          <cell r="Z8729" t="str">
            <v>ESTERILIZACIÓN</v>
          </cell>
          <cell r="AA8729" t="str">
            <v>HOSPITAL SAN JOSÉ</v>
          </cell>
        </row>
        <row r="8730">
          <cell r="Z8730" t="str">
            <v>ESTERILIZACIÓN</v>
          </cell>
          <cell r="AA8730" t="str">
            <v>HOSPITAL CLAUDIO VICUÑA</v>
          </cell>
        </row>
        <row r="8731">
          <cell r="Z8731" t="str">
            <v>ESTERILIZACIÓN</v>
          </cell>
          <cell r="AA8731" t="str">
            <v>GEMCO GENERAL MACHINERY S.A.</v>
          </cell>
        </row>
        <row r="8732">
          <cell r="Z8732" t="str">
            <v>ENDOSCOPÍA</v>
          </cell>
        </row>
        <row r="8733">
          <cell r="Z8733" t="str">
            <v>DENTAL</v>
          </cell>
          <cell r="AA8733" t="str">
            <v>SOCIEDAD CONCESIONARIA METROPOLITANA DE SALUD S.A.</v>
          </cell>
        </row>
        <row r="8734">
          <cell r="Z8734" t="str">
            <v>DENTAL</v>
          </cell>
          <cell r="AA8734" t="str">
            <v>SOCIEDAD CONCESIONARIA METROPOLITANA DE SALUD S.A.</v>
          </cell>
        </row>
        <row r="8735">
          <cell r="Z8735" t="str">
            <v>DENTAL</v>
          </cell>
        </row>
        <row r="8736">
          <cell r="Z8736" t="str">
            <v>DENTAL</v>
          </cell>
        </row>
        <row r="8737">
          <cell r="Z8737" t="str">
            <v>DENTAL</v>
          </cell>
        </row>
        <row r="8738">
          <cell r="Z8738" t="str">
            <v>DENTAL</v>
          </cell>
        </row>
        <row r="8739">
          <cell r="Z8739" t="str">
            <v>DENTAL</v>
          </cell>
        </row>
        <row r="8740">
          <cell r="Z8740" t="str">
            <v>DENTAL</v>
          </cell>
        </row>
        <row r="8741">
          <cell r="Z8741" t="str">
            <v>DENTAL</v>
          </cell>
          <cell r="AA8741" t="str">
            <v>INTEGRAMEDICA VESPUCIO</v>
          </cell>
        </row>
        <row r="8742">
          <cell r="Z8742" t="str">
            <v>DENTAL</v>
          </cell>
          <cell r="AA8742" t="str">
            <v>INTEGRAMEDICA MANQUEHUE</v>
          </cell>
        </row>
        <row r="8743">
          <cell r="Z8743" t="str">
            <v>DENTAL</v>
          </cell>
          <cell r="AA8743" t="str">
            <v>INTEGRAMEDICA BANDERA</v>
          </cell>
        </row>
        <row r="8744">
          <cell r="Z8744" t="str">
            <v>DENTAL</v>
          </cell>
          <cell r="AA8744" t="str">
            <v>INTEGRAMEDICA S.A (Las Condes)</v>
          </cell>
        </row>
        <row r="8745">
          <cell r="Z8745" t="str">
            <v>DENTAL</v>
          </cell>
          <cell r="AA8745" t="str">
            <v>INTEGRAMEDICA BARCELONA</v>
          </cell>
        </row>
        <row r="8746">
          <cell r="Z8746" t="str">
            <v>DENTAL</v>
          </cell>
          <cell r="AA8746" t="str">
            <v>DIAGNORAD ANTOFAGASTA</v>
          </cell>
        </row>
        <row r="8747">
          <cell r="Z8747" t="str">
            <v>DENTAL</v>
          </cell>
          <cell r="AA8747" t="str">
            <v>CLINICA ALEMANA DE SANTIAGO S A</v>
          </cell>
        </row>
        <row r="8748">
          <cell r="Z8748" t="str">
            <v>DENTAL</v>
          </cell>
          <cell r="AA8748" t="str">
            <v>CESFAM SAGRADA FAMILIA CURICO</v>
          </cell>
        </row>
        <row r="8749">
          <cell r="Z8749" t="str">
            <v>ESTERILIZACIÓN</v>
          </cell>
          <cell r="AA8749" t="str">
            <v>SOCIEDAD CONCESIONARIA METROPOLITANA DE SALUD S.A.</v>
          </cell>
        </row>
        <row r="8750">
          <cell r="Z8750" t="str">
            <v>ESTERILIZACIÓN</v>
          </cell>
          <cell r="AA8750" t="str">
            <v>SOCIEDAD CONCESIONARIA METROPOLITANA DE SALUD S.A.</v>
          </cell>
        </row>
        <row r="8751">
          <cell r="Z8751" t="str">
            <v>ESTERILIZACIÓN</v>
          </cell>
          <cell r="AA8751" t="str">
            <v>SOCIEDAD CONCESIONARIA METROPOLITANA DE SALUD S.A.</v>
          </cell>
        </row>
        <row r="8752">
          <cell r="Z8752" t="str">
            <v>ESTERILIZACIÓN</v>
          </cell>
          <cell r="AA8752" t="str">
            <v>SOCIEDAD CONCESIONARIA METROPOLITANA DE SALUD S.A.</v>
          </cell>
        </row>
        <row r="8753">
          <cell r="Z8753" t="str">
            <v>ESTERILIZACIÓN</v>
          </cell>
          <cell r="AA8753" t="str">
            <v>SOCIEDAD CONCESIONARIA METROPOLITANA DE SALUD S.A.</v>
          </cell>
        </row>
        <row r="8754">
          <cell r="Z8754" t="str">
            <v>ESTERILIZACIÓN</v>
          </cell>
          <cell r="AA8754" t="str">
            <v>SOCIEDAD CONCESIONARIA METROPOLITANA DE SALUD S.A.</v>
          </cell>
        </row>
        <row r="8755">
          <cell r="Z8755" t="str">
            <v>ESTERILIZACIÓN</v>
          </cell>
          <cell r="AA8755" t="str">
            <v>SOCIEDAD CONCESIONARIA METROPOLITANA DE SALUD S.A.</v>
          </cell>
        </row>
        <row r="8756">
          <cell r="Z8756" t="str">
            <v>ESTERILIZACIÓN</v>
          </cell>
          <cell r="AA8756" t="str">
            <v>SOCIEDAD CONCESIONARIA METROPOLITANA DE SALUD S.A.</v>
          </cell>
        </row>
        <row r="8757">
          <cell r="Z8757" t="str">
            <v>ESTERILIZACIÓN</v>
          </cell>
          <cell r="AA8757" t="str">
            <v>SOCIEDAD CONCESIONARIA METROPOLITANA DE SALUD S.A.</v>
          </cell>
        </row>
        <row r="8758">
          <cell r="Z8758" t="str">
            <v>ESTERILIZACIÓN</v>
          </cell>
          <cell r="AA8758" t="str">
            <v>SOCIEDAD CONCESIONARIA METROPOLITANA DE SALUD S.A.</v>
          </cell>
        </row>
        <row r="8759">
          <cell r="Z8759" t="str">
            <v>ESTERILIZACIÓN</v>
          </cell>
          <cell r="AA8759" t="str">
            <v>SOCIEDAD CONCESIONARIA METROPOLITANA DE SALUD S.A.</v>
          </cell>
        </row>
        <row r="8760">
          <cell r="Z8760" t="str">
            <v>ESTERILIZACIÓN</v>
          </cell>
          <cell r="AA8760" t="str">
            <v>SOCIEDAD CONCESIONARIA METROPOLITANA DE SALUD S.A.</v>
          </cell>
        </row>
        <row r="8761">
          <cell r="Z8761" t="str">
            <v>ESTERILIZACIÓN</v>
          </cell>
          <cell r="AA8761" t="str">
            <v>SOCIEDAD CONCESIONARIA METROPOLITANA DE SALUD S.A.</v>
          </cell>
        </row>
        <row r="8762">
          <cell r="Z8762" t="str">
            <v>ESTERILIZACIÓN</v>
          </cell>
          <cell r="AA8762" t="str">
            <v>SOCIEDAD CONCESIONARIA METROPOLITANA DE SALUD S.A.</v>
          </cell>
        </row>
        <row r="8763">
          <cell r="Z8763" t="str">
            <v>ESTERILIZACIÓN</v>
          </cell>
          <cell r="AA8763" t="str">
            <v>SOCIEDAD CONCESIONARIA METROPOLITANA DE SALUD S.A.</v>
          </cell>
        </row>
        <row r="8764">
          <cell r="Z8764" t="str">
            <v>ESTERILIZACIÓN</v>
          </cell>
          <cell r="AA8764" t="str">
            <v>SOCIEDAD CONCESIONARIA METROPOLITANA DE SALUD S.A.</v>
          </cell>
        </row>
        <row r="8765">
          <cell r="Z8765" t="str">
            <v>ESTERILIZACIÓN</v>
          </cell>
          <cell r="AA8765" t="str">
            <v>SOCIEDAD CONCESIONARIA METROPOLITANA DE SALUD S.A.</v>
          </cell>
        </row>
        <row r="8766">
          <cell r="Z8766" t="str">
            <v>ESTERILIZACIÓN</v>
          </cell>
          <cell r="AA8766" t="str">
            <v>SOCIEDAD CONCESIONARIA METROPOLITANA DE SALUD S.A.</v>
          </cell>
        </row>
        <row r="8767">
          <cell r="Z8767" t="str">
            <v>ESTERILIZACIÓN</v>
          </cell>
          <cell r="AA8767" t="str">
            <v>SOCIEDAD CONCESIONARIA METROPOLITANA DE SALUD S.A.</v>
          </cell>
        </row>
        <row r="8768">
          <cell r="Z8768" t="str">
            <v>ESTERILIZACIÓN</v>
          </cell>
          <cell r="AA8768" t="str">
            <v>SOCIEDAD CONCESIONARIA METROPOLITANA DE SALUD S.A.</v>
          </cell>
        </row>
        <row r="8769">
          <cell r="Z8769" t="str">
            <v>ESTERILIZACIÓN</v>
          </cell>
          <cell r="AA8769" t="str">
            <v>SOCIEDAD CONCESIONARIA METROPOLITANA DE SALUD S.A.</v>
          </cell>
        </row>
        <row r="8770">
          <cell r="Z8770" t="str">
            <v>ESTERILIZACIÓN</v>
          </cell>
          <cell r="AA8770" t="str">
            <v>SOCIEDAD CONCESIONARIA METROPOLITANA DE SALUD S.A.</v>
          </cell>
        </row>
        <row r="8771">
          <cell r="Z8771" t="str">
            <v>ESTERILIZACIÓN</v>
          </cell>
          <cell r="AA8771" t="str">
            <v>SOCIEDAD CONCESIONARIA METROPOLITANA DE SALUD S.A.</v>
          </cell>
        </row>
        <row r="8772">
          <cell r="Z8772" t="str">
            <v>ESTERILIZACIÓN</v>
          </cell>
          <cell r="AA8772" t="str">
            <v>SOCIEDAD CONCESIONARIA METROPOLITANA DE SALUD S.A.</v>
          </cell>
        </row>
        <row r="8773">
          <cell r="Z8773" t="str">
            <v>ESTERILIZACIÓN</v>
          </cell>
          <cell r="AA8773" t="str">
            <v>SOCIEDAD CONCESIONARIA METROPOLITANA DE SALUD S.A.</v>
          </cell>
        </row>
        <row r="8774">
          <cell r="Z8774" t="str">
            <v>ESTERILIZACIÓN</v>
          </cell>
          <cell r="AA8774" t="str">
            <v>SOCIEDAD CONCESIONARIA METROPOLITANA DE SALUD S.A.</v>
          </cell>
        </row>
        <row r="8775">
          <cell r="Z8775" t="str">
            <v>ESTERILIZACIÓN</v>
          </cell>
          <cell r="AA8775" t="str">
            <v>SOCIEDAD CONCESIONARIA METROPOLITANA DE SALUD S.A.</v>
          </cell>
        </row>
        <row r="8776">
          <cell r="Z8776" t="str">
            <v>ESTERILIZACIÓN</v>
          </cell>
          <cell r="AA8776" t="str">
            <v>SOCIEDAD CONCESIONARIA METROPOLITANA DE SALUD S.A.</v>
          </cell>
        </row>
        <row r="8777">
          <cell r="Z8777" t="str">
            <v>ESTERILIZACIÓN</v>
          </cell>
          <cell r="AA8777" t="str">
            <v>SOCIEDAD CONCESIONARIA METROPOLITANA DE SALUD S.A.</v>
          </cell>
        </row>
        <row r="8778">
          <cell r="Z8778" t="str">
            <v>ESTERILIZACIÓN</v>
          </cell>
          <cell r="AA8778" t="str">
            <v>SOCIEDAD CONCESIONARIA METROPOLITANA DE SALUD S.A.</v>
          </cell>
        </row>
        <row r="8779">
          <cell r="Z8779" t="str">
            <v>ESTERILIZACIÓN</v>
          </cell>
          <cell r="AA8779" t="str">
            <v>SOCIEDAD CONCESIONARIA METROPOLITANA DE SALUD S.A.</v>
          </cell>
        </row>
        <row r="8780">
          <cell r="Z8780" t="str">
            <v>ESTERILIZACIÓN</v>
          </cell>
          <cell r="AA8780" t="str">
            <v>SOCIEDAD CONCESIONARIA METROPOLITANA DE SALUD S.A.</v>
          </cell>
        </row>
        <row r="8781">
          <cell r="Z8781" t="str">
            <v>ESTERILIZACIÓN</v>
          </cell>
          <cell r="AA8781" t="str">
            <v>SOCIEDAD CONCESIONARIA METROPOLITANA DE SALUD S.A.</v>
          </cell>
        </row>
        <row r="8782">
          <cell r="Z8782" t="str">
            <v>ESTERILIZACIÓN</v>
          </cell>
          <cell r="AA8782" t="str">
            <v>SOCIEDAD CONCESIONARIA METROPOLITANA DE SALUD S.A.</v>
          </cell>
        </row>
        <row r="8783">
          <cell r="Z8783" t="str">
            <v>ESTERILIZACIÓN</v>
          </cell>
          <cell r="AA8783" t="str">
            <v>CLINICA REÑACA</v>
          </cell>
        </row>
        <row r="8784">
          <cell r="Z8784" t="str">
            <v>ESTERILIZACIÓN</v>
          </cell>
          <cell r="AA8784" t="str">
            <v>GEMCO GENERAL MACHINERY S.A.</v>
          </cell>
        </row>
        <row r="8785">
          <cell r="Z8785" t="str">
            <v>ESTERILIZACIÓN</v>
          </cell>
          <cell r="AA8785" t="str">
            <v>HOSPITAL COMPLEJO ASISTENCIAL PADRE LAS CASAS</v>
          </cell>
        </row>
        <row r="8786">
          <cell r="Z8786" t="str">
            <v>ESTERILIZACIÓN</v>
          </cell>
          <cell r="AA8786" t="str">
            <v>HOSPITAL COMPLEJO ASISTENCIAL PADRE LAS CASAS</v>
          </cell>
        </row>
        <row r="8787">
          <cell r="Z8787" t="str">
            <v>ESTERILIZACIÓN</v>
          </cell>
          <cell r="AA8787" t="str">
            <v>HOSPITAL COMPLEJO ASISTENCIAL PADRE LAS CASAS</v>
          </cell>
        </row>
        <row r="8788">
          <cell r="Z8788" t="str">
            <v>ESTERILIZACIÓN</v>
          </cell>
          <cell r="AA8788" t="str">
            <v>HOSPITAL COMPLEJO ASISTENCIAL PADRE LAS CASAS</v>
          </cell>
        </row>
        <row r="8789">
          <cell r="Z8789" t="str">
            <v>ESTERILIZACIÓN</v>
          </cell>
          <cell r="AA8789" t="str">
            <v>HOSPITAL COMPLEJO ASISTENCIAL PADRE LAS CASAS</v>
          </cell>
        </row>
        <row r="8790">
          <cell r="Z8790" t="str">
            <v>ESTERILIZACIÓN</v>
          </cell>
        </row>
        <row r="8791">
          <cell r="Z8791" t="str">
            <v>ESTERILIZACIÓN</v>
          </cell>
          <cell r="AA8791" t="str">
            <v>HOSPITAL COMPLEJO ASISTENCIAL PADRE LAS CASAS</v>
          </cell>
        </row>
        <row r="8792">
          <cell r="Z8792" t="str">
            <v>ESTERILIZACIÓN</v>
          </cell>
          <cell r="AA8792" t="str">
            <v>HOSPITAL COMPLEJO ASISTENCIAL PADRE LAS CASAS</v>
          </cell>
        </row>
        <row r="8793">
          <cell r="Z8793" t="str">
            <v>ESTERILIZACIÓN</v>
          </cell>
          <cell r="AA8793" t="str">
            <v>HOSPITAL COMPLEJO ASISTENCIAL PADRE LAS CASAS</v>
          </cell>
        </row>
        <row r="8794">
          <cell r="Z8794" t="str">
            <v>ESTERILIZACIÓN</v>
          </cell>
          <cell r="AA8794" t="str">
            <v>HOSPITAL COMPLEJO ASISTENCIAL PADRE LAS CASAS</v>
          </cell>
        </row>
        <row r="8795">
          <cell r="Z8795" t="str">
            <v>ESTERILIZACIÓN</v>
          </cell>
          <cell r="AA8795" t="str">
            <v>HOSPITAL COMPLEJO ASISTENCIAL PADRE LAS CASAS</v>
          </cell>
        </row>
        <row r="8796">
          <cell r="Z8796" t="str">
            <v>ESTERILIZACIÓN</v>
          </cell>
          <cell r="AA8796" t="str">
            <v>HOSPITAL COMPLEJO ASISTENCIAL PADRE LAS CASAS</v>
          </cell>
        </row>
        <row r="8797">
          <cell r="Z8797" t="str">
            <v>ESTERILIZACIÓN</v>
          </cell>
          <cell r="AA8797" t="str">
            <v>GEMCO GENERAL MACHINERY S.A.</v>
          </cell>
        </row>
        <row r="8798">
          <cell r="Z8798" t="str">
            <v>ESTERILIZACIÓN</v>
          </cell>
        </row>
        <row r="8799">
          <cell r="Z8799" t="str">
            <v>ESTERILIZACIÓN</v>
          </cell>
          <cell r="AA8799" t="str">
            <v>HOSPITAL DR. LUIS TISNE B.</v>
          </cell>
        </row>
        <row r="8800">
          <cell r="Z8800" t="str">
            <v>ESTERILIZACIÓN</v>
          </cell>
          <cell r="AA8800" t="str">
            <v>UNIVERSIDAD DE CHILE</v>
          </cell>
        </row>
        <row r="8801">
          <cell r="Z8801" t="str">
            <v>ESTERILIZACIÓN</v>
          </cell>
          <cell r="AA8801" t="str">
            <v>MUTUAL DE SEGURIDAD SANTIAGO</v>
          </cell>
        </row>
        <row r="8802">
          <cell r="Z8802" t="str">
            <v>ESTERILIZACIÓN</v>
          </cell>
          <cell r="AA8802" t="str">
            <v>MUTUAL DE SEGURIDAD SANTIAGO</v>
          </cell>
        </row>
        <row r="8803">
          <cell r="Z8803" t="str">
            <v>ESTERILIZACIÓN</v>
          </cell>
          <cell r="AA8803" t="str">
            <v>MUTUAL DE SEGURIDAD SANTIAGO</v>
          </cell>
        </row>
        <row r="8804">
          <cell r="Z8804" t="str">
            <v>ESTERILIZACIÓN</v>
          </cell>
          <cell r="AA8804" t="str">
            <v>MUTUAL DE SEGURIDAD SANTIAGO</v>
          </cell>
        </row>
        <row r="8805">
          <cell r="Z8805" t="str">
            <v>ESTERILIZACIÓN</v>
          </cell>
          <cell r="AA8805" t="str">
            <v>MUTUAL DE SEGURIDAD SANTIAGO</v>
          </cell>
        </row>
        <row r="8806">
          <cell r="Z8806" t="str">
            <v>ESTERILIZACIÓN</v>
          </cell>
        </row>
        <row r="8807">
          <cell r="Z8807" t="str">
            <v>ESTERILIZACIÓN</v>
          </cell>
          <cell r="AA8807" t="str">
            <v>CLINICA REÑACA</v>
          </cell>
        </row>
        <row r="8808">
          <cell r="Z8808" t="str">
            <v>ESTERILIZACIÓN</v>
          </cell>
          <cell r="AA8808" t="str">
            <v>GEMCO GENERAL MACHINERY S.A.</v>
          </cell>
        </row>
        <row r="8809">
          <cell r="Z8809" t="str">
            <v>ESTERILIZACIÓN</v>
          </cell>
          <cell r="AA8809" t="str">
            <v>HOSPITAL DR. LUIS TISNE B.</v>
          </cell>
        </row>
        <row r="8810">
          <cell r="Z8810" t="str">
            <v>ESTERILIZACIÓN</v>
          </cell>
          <cell r="AA8810" t="str">
            <v>HOSPITAL BASE DE VALDIVIA</v>
          </cell>
        </row>
        <row r="8811">
          <cell r="Z8811" t="str">
            <v>ESTERILIZACIÓN</v>
          </cell>
        </row>
        <row r="8812">
          <cell r="Z8812" t="str">
            <v>ESTERILIZACIÓN</v>
          </cell>
        </row>
        <row r="8813">
          <cell r="Z8813" t="str">
            <v>ESTERILIZACIÓN</v>
          </cell>
          <cell r="AA8813" t="str">
            <v>GEMCO GENERAL MACHINERY S.A.</v>
          </cell>
        </row>
        <row r="8814">
          <cell r="Z8814" t="str">
            <v>ESTERILIZACIÓN</v>
          </cell>
          <cell r="AA8814" t="str">
            <v>CLINICA REÑACA</v>
          </cell>
        </row>
        <row r="8815">
          <cell r="Z8815" t="str">
            <v>ESTERILIZACIÓN</v>
          </cell>
          <cell r="AA8815" t="str">
            <v>HOSPITAL BASE DE VALDIVIA</v>
          </cell>
        </row>
        <row r="8816">
          <cell r="Z8816" t="str">
            <v>ESTERILIZACIÓN</v>
          </cell>
          <cell r="AA8816" t="str">
            <v>CLINICA REÑACA</v>
          </cell>
        </row>
        <row r="8817">
          <cell r="Z8817" t="str">
            <v>ESTERILIZACIÓN</v>
          </cell>
          <cell r="AA8817" t="str">
            <v>GEMCO GENERAL MACHINERY S.A.</v>
          </cell>
        </row>
        <row r="8818">
          <cell r="Z8818" t="str">
            <v>ESTERILIZACIÓN</v>
          </cell>
          <cell r="AA8818" t="str">
            <v>HOSPITAL DE URGENCIA ASISTENCIA PUBLICA DR. ALEJ</v>
          </cell>
        </row>
        <row r="8819">
          <cell r="Z8819" t="str">
            <v>ESTERILIZACIÓN</v>
          </cell>
          <cell r="AA8819" t="str">
            <v>HOSPITAL DE URGENCIA ASISTENCIA PUBLICA DR. ALEJ</v>
          </cell>
        </row>
        <row r="8820">
          <cell r="Z8820" t="str">
            <v>ESTERILIZACIÓN</v>
          </cell>
          <cell r="AA8820" t="str">
            <v>HOSPITAL DE URGENCIA ASISTENCIA PUBLICA DR. ALEJ</v>
          </cell>
        </row>
        <row r="8821">
          <cell r="Z8821" t="str">
            <v>ESTERILIZACIÓN</v>
          </cell>
          <cell r="AA8821" t="str">
            <v>HOSPITAL DE URGENCIA ASISTENCIA PUBLICA DR. ALEJ</v>
          </cell>
        </row>
        <row r="8822">
          <cell r="Z8822" t="str">
            <v>ESTERILIZACIÓN</v>
          </cell>
          <cell r="AA8822" t="str">
            <v>HOSPITAL DE URGENCIA ASISTENCIA PUBLICA DR. ALEJ</v>
          </cell>
        </row>
        <row r="8823">
          <cell r="Z8823" t="str">
            <v>ESTERILIZACIÓN</v>
          </cell>
          <cell r="AA8823" t="str">
            <v>HOSPITAL DE URGENCIA ASISTENCIA PUBLICA DR. ALEJ</v>
          </cell>
        </row>
        <row r="8824">
          <cell r="Z8824" t="str">
            <v>ESTERILIZACIÓN</v>
          </cell>
          <cell r="AA8824" t="str">
            <v>HOSPITAL DE URGENCIA ASISTENCIA PUBLICA DR. ALEJ</v>
          </cell>
        </row>
        <row r="8825">
          <cell r="Z8825" t="str">
            <v>ESTERILIZACIÓN</v>
          </cell>
          <cell r="AA8825" t="str">
            <v>HOSPITAL DE URGENCIA ASISTENCIA PUBLICA DR. ALEJ</v>
          </cell>
        </row>
        <row r="8826">
          <cell r="Z8826" t="str">
            <v>ESTERILIZACIÓN</v>
          </cell>
          <cell r="AA8826" t="str">
            <v>HOSPITAL DE URGENCIA ASISTENCIA PUBLICA DR. ALEJ</v>
          </cell>
        </row>
        <row r="8827">
          <cell r="Z8827" t="str">
            <v>ESTERILIZACIÓN</v>
          </cell>
          <cell r="AA8827" t="str">
            <v>SOCIEDAD CONCESIONARIA METROPOLITANA DE SALUD S.A.</v>
          </cell>
        </row>
        <row r="8828">
          <cell r="Z8828" t="str">
            <v>ESTERILIZACIÓN</v>
          </cell>
          <cell r="AA8828" t="str">
            <v>CLINICA REÑACA</v>
          </cell>
        </row>
        <row r="8829">
          <cell r="Z8829" t="str">
            <v>ESTERILIZACIÓN</v>
          </cell>
          <cell r="AA8829" t="str">
            <v>CLINICA REÑACA</v>
          </cell>
        </row>
        <row r="8830">
          <cell r="Z8830" t="str">
            <v>ESTERILIZACIÓN</v>
          </cell>
          <cell r="AA8830" t="str">
            <v>CLINICA REÑACA</v>
          </cell>
        </row>
        <row r="8831">
          <cell r="Z8831" t="str">
            <v>ESTERILIZACIÓN</v>
          </cell>
          <cell r="AA8831" t="str">
            <v>CLINICA UNIVERSITARIA CONCEPCION</v>
          </cell>
        </row>
        <row r="8832">
          <cell r="Z8832" t="str">
            <v>ESTERILIZACIÓN</v>
          </cell>
          <cell r="AA8832" t="str">
            <v>HOSPITAL DE URGENCIA ASISTENCIA PUBLICA DR. ALEJ</v>
          </cell>
        </row>
        <row r="8833">
          <cell r="Z8833" t="str">
            <v>ESTERILIZACIÓN</v>
          </cell>
        </row>
        <row r="8834">
          <cell r="Z8834" t="str">
            <v>ESTERILIZACIÓN</v>
          </cell>
          <cell r="AA8834" t="str">
            <v>GEMCO GENERAL MACHINERY S.A.</v>
          </cell>
        </row>
        <row r="8835">
          <cell r="Z8835" t="str">
            <v>ESTERILIZACIÓN</v>
          </cell>
        </row>
        <row r="8836">
          <cell r="Z8836" t="str">
            <v>OTRO</v>
          </cell>
        </row>
        <row r="8837">
          <cell r="Z8837" t="str">
            <v>ESTERILIZACIÓN</v>
          </cell>
        </row>
        <row r="8838">
          <cell r="Z8838" t="str">
            <v>ESTERILIZACIÓN</v>
          </cell>
        </row>
        <row r="8839">
          <cell r="Z8839" t="str">
            <v>ESTERILIZACIÓN</v>
          </cell>
        </row>
        <row r="8840">
          <cell r="Z8840" t="str">
            <v>ESTERILIZACIÓN</v>
          </cell>
        </row>
        <row r="8841">
          <cell r="Z8841" t="str">
            <v>ESTERILIZACIÓN</v>
          </cell>
          <cell r="AA8841" t="str">
            <v>HOSPITAL METROPOLITANO DE SANTIAGO</v>
          </cell>
        </row>
        <row r="8842">
          <cell r="Z8842" t="str">
            <v>ESTERILIZACIÓN</v>
          </cell>
          <cell r="AA8842" t="str">
            <v>HOSPITAL VICTORIA</v>
          </cell>
        </row>
        <row r="8843">
          <cell r="Z8843" t="str">
            <v>ESTERILIZACIÓN</v>
          </cell>
        </row>
        <row r="8844">
          <cell r="Z8844" t="str">
            <v>ESTERILIZACIÓN</v>
          </cell>
        </row>
        <row r="8845">
          <cell r="Z8845" t="str">
            <v>ESTERILIZACIÓN</v>
          </cell>
          <cell r="AA8845" t="str">
            <v>HOSPITAL DE CURICO</v>
          </cell>
        </row>
        <row r="8846">
          <cell r="Z8846" t="str">
            <v>ESTERILIZACIÓN</v>
          </cell>
        </row>
        <row r="8847">
          <cell r="Z8847" t="str">
            <v>ESTERILIZACIÓN</v>
          </cell>
        </row>
        <row r="8848">
          <cell r="Z8848" t="str">
            <v>DENTAL</v>
          </cell>
          <cell r="AA8848" t="str">
            <v>INTEGRAMEDICA PLAZA SUR</v>
          </cell>
        </row>
        <row r="8849">
          <cell r="Z8849" t="str">
            <v>MOBILIARIO CLINICO</v>
          </cell>
        </row>
        <row r="8850">
          <cell r="Z8850" t="str">
            <v>MOBILIARIO CLINICO</v>
          </cell>
        </row>
        <row r="8851">
          <cell r="Z8851" t="str">
            <v>MOBILIARIO CLINICO</v>
          </cell>
        </row>
        <row r="8852">
          <cell r="Z8852" t="str">
            <v>MOBILIARIO CLINICO</v>
          </cell>
        </row>
        <row r="8853">
          <cell r="Z8853" t="str">
            <v>MOBILIARIO CLINICO</v>
          </cell>
        </row>
        <row r="8854">
          <cell r="Z8854" t="str">
            <v>MOBILIARIO CLINICO</v>
          </cell>
        </row>
        <row r="8855">
          <cell r="Z8855" t="str">
            <v>MOBILIARIO CLINICO</v>
          </cell>
        </row>
        <row r="8856">
          <cell r="Z8856" t="str">
            <v>MOBILIARIO CLINICO</v>
          </cell>
        </row>
        <row r="8857">
          <cell r="Z8857" t="str">
            <v>MOBILIARIO CLINICO</v>
          </cell>
        </row>
        <row r="8858">
          <cell r="Z8858" t="str">
            <v>MOBILIARIO CLINICO</v>
          </cell>
        </row>
        <row r="8859">
          <cell r="Z8859" t="str">
            <v>MOBILIARIO CLINICO</v>
          </cell>
        </row>
        <row r="8860">
          <cell r="Z8860" t="str">
            <v>MOBILIARIO CLINICO</v>
          </cell>
        </row>
        <row r="8861">
          <cell r="Z8861" t="str">
            <v>MOBILIARIO CLINICO</v>
          </cell>
        </row>
        <row r="8862">
          <cell r="Z8862" t="str">
            <v>MOBILIARIO CLINICO</v>
          </cell>
        </row>
        <row r="8863">
          <cell r="Z8863" t="str">
            <v>MOBILIARIO CLINICO</v>
          </cell>
        </row>
        <row r="8864">
          <cell r="Z8864" t="str">
            <v>MOBILIARIO CLINICO</v>
          </cell>
        </row>
        <row r="8865">
          <cell r="Z8865" t="str">
            <v>MOBILIARIO CLINICO</v>
          </cell>
        </row>
        <row r="8866">
          <cell r="Z8866" t="str">
            <v>MOBILIARIO CLINICO</v>
          </cell>
        </row>
        <row r="8867">
          <cell r="Z8867" t="str">
            <v>MOBILIARIO CLINICO</v>
          </cell>
        </row>
        <row r="8868">
          <cell r="Z8868" t="str">
            <v>MOBILIARIO CLINICO</v>
          </cell>
        </row>
        <row r="8869">
          <cell r="Z8869" t="str">
            <v>MOBILIARIO CLINICO</v>
          </cell>
        </row>
        <row r="8870">
          <cell r="Z8870" t="str">
            <v>MOBILIARIO CLINICO</v>
          </cell>
        </row>
        <row r="8871">
          <cell r="Z8871" t="str">
            <v>MOBILIARIO CLINICO</v>
          </cell>
          <cell r="AA8871" t="str">
            <v>IMPORTADORA, COMERCIALIZADORA Y DA</v>
          </cell>
        </row>
        <row r="8872">
          <cell r="Z8872" t="str">
            <v>MOBILIARIO CLINICO</v>
          </cell>
          <cell r="AA8872" t="str">
            <v>IMPORTADORA, COMERCIALIZADORA Y DA</v>
          </cell>
        </row>
        <row r="8873">
          <cell r="Z8873" t="str">
            <v>MOBILIARIO CLINICO</v>
          </cell>
          <cell r="AA8873" t="str">
            <v>IMPORTADORA, COMERCIALIZADORA Y DA</v>
          </cell>
        </row>
        <row r="8874">
          <cell r="Z8874" t="str">
            <v>MOBILIARIO CLINICO</v>
          </cell>
          <cell r="AA8874" t="str">
            <v>IMPORTADORA, COMERCIALIZADORA Y DA</v>
          </cell>
        </row>
        <row r="8875">
          <cell r="Z8875" t="str">
            <v>MOBILIARIO CLINICO</v>
          </cell>
          <cell r="AA8875" t="str">
            <v>GEMCO GENERAL MACHINERY S.A.</v>
          </cell>
        </row>
        <row r="8876">
          <cell r="Z8876" t="str">
            <v>MOBILIARIO CLINICO</v>
          </cell>
          <cell r="AA8876" t="str">
            <v>GEMCO GENERAL MACHINERY S.A.</v>
          </cell>
        </row>
        <row r="8877">
          <cell r="Z8877" t="str">
            <v>MOBILIARIO CLINICO</v>
          </cell>
          <cell r="AA8877" t="str">
            <v>PONTIFICIA UNIVERSIDAD CATOLICA DE CHILE</v>
          </cell>
        </row>
        <row r="8878">
          <cell r="Z8878" t="str">
            <v>MOBILIARIO CLINICO</v>
          </cell>
          <cell r="AA8878" t="str">
            <v>PONTIFICIA UNIVERSIDAD CATOLICA DE CHILE</v>
          </cell>
        </row>
        <row r="8879">
          <cell r="Z8879" t="str">
            <v>MOBILIARIO CLINICO</v>
          </cell>
          <cell r="AA8879" t="str">
            <v>PONTIFICIA UNIVERSIDAD CATOLICA DE CHILE</v>
          </cell>
        </row>
        <row r="8880">
          <cell r="Z8880" t="str">
            <v>MOBILIARIO CLINICO</v>
          </cell>
          <cell r="AA8880" t="str">
            <v>PONTIFICIA UNIVERSIDAD CATOLICA DE CHILE</v>
          </cell>
        </row>
        <row r="8881">
          <cell r="Z8881" t="str">
            <v>MOBILIARIO CLINICO</v>
          </cell>
          <cell r="AA8881" t="str">
            <v>PONTIFICIA UNIVERSIDAD CATOLICA DE CHILE</v>
          </cell>
        </row>
        <row r="8882">
          <cell r="Z8882" t="str">
            <v>MOBILIARIO CLINICO</v>
          </cell>
          <cell r="AA8882" t="str">
            <v>PONTIFICIA UNIVERSIDAD CATOLICA DE CHILE</v>
          </cell>
        </row>
        <row r="8883">
          <cell r="Z8883" t="str">
            <v>MOBILIARIO CLINICO</v>
          </cell>
          <cell r="AA8883" t="str">
            <v>PONTIFICIA UNIVERSIDAD CATOLICA DE CHILE</v>
          </cell>
        </row>
        <row r="8884">
          <cell r="Z8884" t="str">
            <v>MOBILIARIO CLINICO</v>
          </cell>
          <cell r="AA8884" t="str">
            <v>PONTIFICIA UNIVERSIDAD CATOLICA DE CHILE</v>
          </cell>
        </row>
        <row r="8885">
          <cell r="Z8885" t="str">
            <v>MOBILIARIO CLINICO</v>
          </cell>
          <cell r="AA8885" t="str">
            <v>PONTIFICIA UNIVERSIDAD CATOLICA DE CHILE</v>
          </cell>
        </row>
        <row r="8886">
          <cell r="Z8886" t="str">
            <v>MOBILIARIO CLINICO</v>
          </cell>
          <cell r="AA8886" t="str">
            <v>PONTIFICIA UNIVERSIDAD CATOLICA DE CHILE</v>
          </cell>
        </row>
        <row r="8887">
          <cell r="Z8887" t="str">
            <v>MOBILIARIO CLINICO</v>
          </cell>
          <cell r="AA8887" t="str">
            <v>PONTIFICIA UNIVERSIDAD CATOLICA DE CHILE</v>
          </cell>
        </row>
        <row r="8888">
          <cell r="Z8888" t="str">
            <v>MOBILIARIO CLINICO</v>
          </cell>
          <cell r="AA8888" t="str">
            <v>PONTIFICIA UNIVERSIDAD CATOLICA DE CHILE</v>
          </cell>
        </row>
        <row r="8889">
          <cell r="Z8889" t="str">
            <v>MOBILIARIO CLINICO</v>
          </cell>
          <cell r="AA8889" t="str">
            <v>PONTIFICIA UNIVERSIDAD CATOLICA DE CHILE</v>
          </cell>
        </row>
        <row r="8890">
          <cell r="Z8890" t="str">
            <v>MOBILIARIO CLINICO</v>
          </cell>
          <cell r="AA8890" t="str">
            <v>PONTIFICIA UNIVERSIDAD CATOLICA DE CHILE</v>
          </cell>
        </row>
        <row r="8891">
          <cell r="Z8891" t="str">
            <v>MOBILIARIO CLINICO</v>
          </cell>
          <cell r="AA8891" t="str">
            <v>PONTIFICIA UNIVERSIDAD CATOLICA DE CHILE</v>
          </cell>
        </row>
        <row r="8892">
          <cell r="Z8892" t="str">
            <v>MOBILIARIO CLINICO</v>
          </cell>
          <cell r="AA8892" t="str">
            <v>PONTIFICIA UNIVERSIDAD CATOLICA DE CHILE</v>
          </cell>
        </row>
        <row r="8893">
          <cell r="Z8893" t="str">
            <v>MOBILIARIO CLINICO</v>
          </cell>
          <cell r="AA8893" t="str">
            <v>PONTIFICIA UNIVERSIDAD CATOLICA DE CHILE</v>
          </cell>
        </row>
        <row r="8894">
          <cell r="Z8894" t="str">
            <v>MOBILIARIO CLINICO</v>
          </cell>
          <cell r="AA8894" t="str">
            <v>PONTIFICIA UNIVERSIDAD CATOLICA DE CHILE</v>
          </cell>
        </row>
        <row r="8895">
          <cell r="Z8895" t="str">
            <v>MOBILIARIO CLINICO</v>
          </cell>
          <cell r="AA8895" t="str">
            <v>PONTIFICIA UNIVERSIDAD CATOLICA DE CHILE</v>
          </cell>
        </row>
        <row r="8896">
          <cell r="Z8896" t="str">
            <v>MOBILIARIO CLINICO</v>
          </cell>
          <cell r="AA8896" t="str">
            <v>PONTIFICIA UNIVERSIDAD CATOLICA DE CHILE</v>
          </cell>
        </row>
        <row r="8897">
          <cell r="Z8897" t="str">
            <v>MOBILIARIO CLINICO</v>
          </cell>
          <cell r="AA8897" t="str">
            <v>PONTIFICIA UNIVERSIDAD CATOLICA DE CHILE</v>
          </cell>
        </row>
        <row r="8898">
          <cell r="Z8898" t="str">
            <v>MOBILIARIO CLINICO</v>
          </cell>
          <cell r="AA8898" t="str">
            <v>PONTIFICIA UNIVERSIDAD CATOLICA DE CHILE</v>
          </cell>
        </row>
        <row r="8899">
          <cell r="Z8899" t="str">
            <v>MOBILIARIO CLINICO</v>
          </cell>
          <cell r="AA8899" t="str">
            <v>PONTIFICIA UNIVERSIDAD CATOLICA DE CHILE</v>
          </cell>
        </row>
        <row r="8900">
          <cell r="Z8900" t="str">
            <v>MOBILIARIO CLINICO</v>
          </cell>
          <cell r="AA8900" t="str">
            <v>PONTIFICIA UNIVERSIDAD CATOLICA DE CHILE</v>
          </cell>
        </row>
        <row r="8901">
          <cell r="Z8901" t="str">
            <v>MOBILIARIO CLINICO</v>
          </cell>
          <cell r="AA8901" t="str">
            <v>PONTIFICIA UNIVERSIDAD CATOLICA DE CHILE</v>
          </cell>
        </row>
        <row r="8902">
          <cell r="Z8902" t="str">
            <v>MOBILIARIO CLINICO</v>
          </cell>
          <cell r="AA8902" t="str">
            <v>PONTIFICIA UNIVERSIDAD CATOLICA DE CHILE</v>
          </cell>
        </row>
        <row r="8903">
          <cell r="Z8903" t="str">
            <v>MOBILIARIO CLINICO</v>
          </cell>
          <cell r="AA8903" t="str">
            <v>PONTIFICIA UNIVERSIDAD CATOLICA DE CHILE</v>
          </cell>
        </row>
        <row r="8904">
          <cell r="Z8904" t="str">
            <v>MOBILIARIO CLINICO</v>
          </cell>
          <cell r="AA8904" t="str">
            <v>PONTIFICIA UNIVERSIDAD CATOLICA DE CHILE</v>
          </cell>
        </row>
        <row r="8905">
          <cell r="Z8905" t="str">
            <v>MOBILIARIO CLINICO</v>
          </cell>
          <cell r="AA8905" t="str">
            <v>PONTIFICIA UNIVERSIDAD CATOLICA DE CHILE</v>
          </cell>
        </row>
        <row r="8906">
          <cell r="Z8906" t="str">
            <v>MOBILIARIO CLINICO</v>
          </cell>
          <cell r="AA8906" t="str">
            <v>PONTIFICIA UNIVERSIDAD CATOLICA DE CHILE</v>
          </cell>
        </row>
        <row r="8907">
          <cell r="Z8907" t="str">
            <v>MOBILIARIO CLINICO</v>
          </cell>
          <cell r="AA8907" t="str">
            <v>PONTIFICIA UNIVERSIDAD CATOLICA DE CHILE</v>
          </cell>
        </row>
        <row r="8908">
          <cell r="Z8908" t="str">
            <v>MOBILIARIO CLINICO</v>
          </cell>
          <cell r="AA8908" t="str">
            <v>PONTIFICIA UNIVERSIDAD CATOLICA DE CHILE</v>
          </cell>
        </row>
        <row r="8909">
          <cell r="Z8909" t="str">
            <v>MOBILIARIO CLINICO</v>
          </cell>
          <cell r="AA8909" t="str">
            <v>PONTIFICIA UNIVERSIDAD CATOLICA DE CHILE</v>
          </cell>
        </row>
        <row r="8910">
          <cell r="Z8910" t="str">
            <v>MOBILIARIO CLINICO</v>
          </cell>
          <cell r="AA8910" t="str">
            <v>PONTIFICIA UNIVERSIDAD CATOLICA DE CHILE</v>
          </cell>
        </row>
        <row r="8911">
          <cell r="Z8911" t="str">
            <v>MOBILIARIO CLINICO</v>
          </cell>
          <cell r="AA8911" t="str">
            <v>PONTIFICIA UNIVERSIDAD CATOLICA DE CHILE</v>
          </cell>
        </row>
        <row r="8912">
          <cell r="Z8912" t="str">
            <v>MOBILIARIO CLINICO</v>
          </cell>
          <cell r="AA8912" t="str">
            <v>PONTIFICIA UNIVERSIDAD CATOLICA DE CHILE</v>
          </cell>
        </row>
        <row r="8913">
          <cell r="Z8913" t="str">
            <v>MOBILIARIO CLINICO</v>
          </cell>
          <cell r="AA8913" t="str">
            <v>PONTIFICIA UNIVERSIDAD CATOLICA DE CHILE</v>
          </cell>
        </row>
        <row r="8914">
          <cell r="Z8914" t="str">
            <v>MOBILIARIO CLINICO</v>
          </cell>
          <cell r="AA8914" t="str">
            <v>PONTIFICIA UNIVERSIDAD CATOLICA DE CHILE</v>
          </cell>
        </row>
        <row r="8915">
          <cell r="Z8915" t="str">
            <v>MOBILIARIO CLINICO</v>
          </cell>
          <cell r="AA8915" t="str">
            <v>PONTIFICIA UNIVERSIDAD CATOLICA DE CHILE</v>
          </cell>
        </row>
        <row r="8916">
          <cell r="Z8916" t="str">
            <v>MOBILIARIO CLINICO</v>
          </cell>
          <cell r="AA8916" t="str">
            <v>PONTIFICIA UNIVERSIDAD CATOLICA DE CHILE</v>
          </cell>
        </row>
        <row r="8917">
          <cell r="Z8917" t="str">
            <v>MOBILIARIO CLINICO</v>
          </cell>
          <cell r="AA8917" t="str">
            <v>PONTIFICIA UNIVERSIDAD CATOLICA DE CHILE</v>
          </cell>
        </row>
        <row r="8918">
          <cell r="Z8918" t="str">
            <v>MOBILIARIO CLINICO</v>
          </cell>
          <cell r="AA8918" t="str">
            <v>PONTIFICIA UNIVERSIDAD CATOLICA DE CHILE</v>
          </cell>
        </row>
        <row r="8919">
          <cell r="Z8919" t="str">
            <v>MOBILIARIO CLINICO</v>
          </cell>
          <cell r="AA8919" t="str">
            <v>PONTIFICIA UNIVERSIDAD CATOLICA DE CHILE</v>
          </cell>
        </row>
        <row r="8920">
          <cell r="Z8920" t="str">
            <v>MOBILIARIO CLINICO</v>
          </cell>
          <cell r="AA8920" t="str">
            <v>PONTIFICIA UNIVERSIDAD CATOLICA DE CHILE</v>
          </cell>
        </row>
        <row r="8921">
          <cell r="Z8921" t="str">
            <v>MOBILIARIO CLINICO</v>
          </cell>
          <cell r="AA8921" t="str">
            <v>PONTIFICIA UNIVERSIDAD CATOLICA DE CHILE</v>
          </cell>
        </row>
        <row r="8922">
          <cell r="Z8922" t="str">
            <v>MOBILIARIO CLINICO</v>
          </cell>
          <cell r="AA8922" t="str">
            <v>PONTIFICIA UNIVERSIDAD CATOLICA DE CHILE</v>
          </cell>
        </row>
        <row r="8923">
          <cell r="Z8923" t="str">
            <v>MOBILIARIO CLINICO</v>
          </cell>
          <cell r="AA8923" t="str">
            <v>PONTIFICIA UNIVERSIDAD CATOLICA DE CHILE</v>
          </cell>
        </row>
        <row r="8924">
          <cell r="Z8924" t="str">
            <v>MOBILIARIO CLINICO</v>
          </cell>
          <cell r="AA8924" t="str">
            <v>PONTIFICIA UNIVERSIDAD CATOLICA DE CHILE</v>
          </cell>
        </row>
        <row r="8925">
          <cell r="Z8925" t="str">
            <v>MOBILIARIO CLINICO</v>
          </cell>
          <cell r="AA8925" t="str">
            <v>PONTIFICIA UNIVERSIDAD CATOLICA DE CHILE</v>
          </cell>
        </row>
        <row r="8926">
          <cell r="Z8926" t="str">
            <v>MOBILIARIO CLINICO</v>
          </cell>
          <cell r="AA8926" t="str">
            <v>PONTIFICIA UNIVERSIDAD CATOLICA DE CHILE</v>
          </cell>
        </row>
        <row r="8927">
          <cell r="Z8927" t="str">
            <v>MOBILIARIO CLINICO</v>
          </cell>
          <cell r="AA8927" t="str">
            <v>PONTIFICIA UNIVERSIDAD CATOLICA DE CHILE</v>
          </cell>
        </row>
        <row r="8928">
          <cell r="Z8928" t="str">
            <v>MOBILIARIO CLINICO</v>
          </cell>
          <cell r="AA8928" t="str">
            <v>PONTIFICIA UNIVERSIDAD CATOLICA DE CHILE</v>
          </cell>
        </row>
        <row r="8929">
          <cell r="Z8929" t="str">
            <v>MOBILIARIO CLINICO</v>
          </cell>
          <cell r="AA8929" t="str">
            <v>PONTIFICIA UNIVERSIDAD CATOLICA DE CHILE</v>
          </cell>
        </row>
        <row r="8930">
          <cell r="Z8930" t="str">
            <v>MOBILIARIO CLINICO</v>
          </cell>
          <cell r="AA8930" t="str">
            <v>PONTIFICIA UNIVERSIDAD CATOLICA DE CHILE</v>
          </cell>
        </row>
        <row r="8931">
          <cell r="Z8931" t="str">
            <v>MOBILIARIO CLINICO</v>
          </cell>
          <cell r="AA8931" t="str">
            <v>PONTIFICIA UNIVERSIDAD CATOLICA DE CHILE</v>
          </cell>
        </row>
        <row r="8932">
          <cell r="Z8932" t="str">
            <v>MOBILIARIO CLINICO</v>
          </cell>
          <cell r="AA8932" t="str">
            <v>PONTIFICIA UNIVERSIDAD CATOLICA DE CHILE</v>
          </cell>
        </row>
        <row r="8933">
          <cell r="Z8933" t="str">
            <v>MOBILIARIO CLINICO</v>
          </cell>
          <cell r="AA8933" t="str">
            <v>PONTIFICIA UNIVERSIDAD CATOLICA DE CHILE</v>
          </cell>
        </row>
        <row r="8934">
          <cell r="Z8934" t="str">
            <v>MOBILIARIO CLINICO</v>
          </cell>
          <cell r="AA8934" t="str">
            <v>PONTIFICIA UNIVERSIDAD CATOLICA DE CHILE</v>
          </cell>
        </row>
        <row r="8935">
          <cell r="Z8935" t="str">
            <v>MOBILIARIO CLINICO</v>
          </cell>
          <cell r="AA8935" t="str">
            <v>PONTIFICIA UNIVERSIDAD CATOLICA DE CHILE</v>
          </cell>
        </row>
        <row r="8936">
          <cell r="Z8936" t="str">
            <v>MOBILIARIO CLINICO</v>
          </cell>
          <cell r="AA8936" t="str">
            <v>PONTIFICIA UNIVERSIDAD CATOLICA DE CHILE</v>
          </cell>
        </row>
        <row r="8937">
          <cell r="Z8937" t="str">
            <v>MOBILIARIO CLINICO</v>
          </cell>
          <cell r="AA8937" t="str">
            <v>PONTIFICIA UNIVERSIDAD CATOLICA DE CHILE</v>
          </cell>
        </row>
        <row r="8938">
          <cell r="Z8938" t="str">
            <v>MOBILIARIO CLINICO</v>
          </cell>
          <cell r="AA8938" t="str">
            <v>PONTIFICIA UNIVERSIDAD CATOLICA DE CHILE</v>
          </cell>
        </row>
        <row r="8939">
          <cell r="Z8939" t="str">
            <v>MOBILIARIO CLINICO</v>
          </cell>
          <cell r="AA8939" t="str">
            <v>PONTIFICIA UNIVERSIDAD CATOLICA DE CHILE</v>
          </cell>
        </row>
        <row r="8940">
          <cell r="Z8940" t="str">
            <v>MOBILIARIO CLINICO</v>
          </cell>
          <cell r="AA8940" t="str">
            <v>PONTIFICIA UNIVERSIDAD CATOLICA DE CHILE</v>
          </cell>
        </row>
        <row r="8941">
          <cell r="Z8941" t="str">
            <v>MOBILIARIO CLINICO</v>
          </cell>
          <cell r="AA8941" t="str">
            <v>PONTIFICIA UNIVERSIDAD CATOLICA DE CHILE</v>
          </cell>
        </row>
        <row r="8942">
          <cell r="Z8942" t="str">
            <v>MOBILIARIO CLINICO</v>
          </cell>
          <cell r="AA8942" t="str">
            <v>PONTIFICIA UNIVERSIDAD CATOLICA DE CHILE</v>
          </cell>
        </row>
        <row r="8943">
          <cell r="Z8943" t="str">
            <v>MOBILIARIO CLINICO</v>
          </cell>
          <cell r="AA8943" t="str">
            <v>PONTIFICIA UNIVERSIDAD CATOLICA DE CHILE</v>
          </cell>
        </row>
        <row r="8944">
          <cell r="Z8944" t="str">
            <v>MOBILIARIO CLINICO</v>
          </cell>
          <cell r="AA8944" t="str">
            <v>PONTIFICIA UNIVERSIDAD CATOLICA DE CHILE</v>
          </cell>
        </row>
        <row r="8945">
          <cell r="Z8945" t="str">
            <v>MOBILIARIO CLINICO</v>
          </cell>
          <cell r="AA8945" t="str">
            <v>PONTIFICIA UNIVERSIDAD CATOLICA DE CHILE</v>
          </cell>
        </row>
        <row r="8946">
          <cell r="Z8946" t="str">
            <v>MOBILIARIO CLINICO</v>
          </cell>
          <cell r="AA8946" t="str">
            <v>PONTIFICIA UNIVERSIDAD CATOLICA DE CHILE</v>
          </cell>
        </row>
        <row r="8947">
          <cell r="Z8947" t="str">
            <v>MOBILIARIO CLINICO</v>
          </cell>
          <cell r="AA8947" t="str">
            <v>PONTIFICIA UNIVERSIDAD CATOLICA DE CHILE</v>
          </cell>
        </row>
        <row r="8948">
          <cell r="Z8948" t="str">
            <v>MOBILIARIO CLINICO</v>
          </cell>
          <cell r="AA8948" t="str">
            <v>PONTIFICIA UNIVERSIDAD CATOLICA DE CHILE</v>
          </cell>
        </row>
        <row r="8949">
          <cell r="Z8949" t="str">
            <v>MOBILIARIO CLINICO</v>
          </cell>
          <cell r="AA8949" t="str">
            <v>PONTIFICIA UNIVERSIDAD CATOLICA DE CHILE</v>
          </cell>
        </row>
        <row r="8950">
          <cell r="Z8950" t="str">
            <v>MOBILIARIO CLINICO</v>
          </cell>
          <cell r="AA8950" t="str">
            <v>PONTIFICIA UNIVERSIDAD CATOLICA DE CHILE</v>
          </cell>
        </row>
        <row r="8951">
          <cell r="Z8951" t="str">
            <v>MOBILIARIO CLINICO</v>
          </cell>
          <cell r="AA8951" t="str">
            <v>PONTIFICIA UNIVERSIDAD CATOLICA DE CHILE</v>
          </cell>
        </row>
        <row r="8952">
          <cell r="Z8952" t="str">
            <v>MOBILIARIO CLINICO</v>
          </cell>
          <cell r="AA8952" t="str">
            <v>PONTIFICIA UNIVERSIDAD CATOLICA DE CHILE</v>
          </cell>
        </row>
        <row r="8953">
          <cell r="Z8953" t="str">
            <v>MOBILIARIO CLINICO</v>
          </cell>
          <cell r="AA8953" t="str">
            <v>PONTIFICIA UNIVERSIDAD CATOLICA DE CHILE</v>
          </cell>
        </row>
        <row r="8954">
          <cell r="Z8954" t="str">
            <v>MOBILIARIO CLINICO</v>
          </cell>
          <cell r="AA8954" t="str">
            <v>PONTIFICIA UNIVERSIDAD CATOLICA DE CHILE</v>
          </cell>
        </row>
        <row r="8955">
          <cell r="Z8955" t="str">
            <v>MOBILIARIO CLINICO</v>
          </cell>
          <cell r="AA8955" t="str">
            <v>PONTIFICIA UNIVERSIDAD CATOLICA DE CHILE</v>
          </cell>
        </row>
        <row r="8956">
          <cell r="Z8956" t="str">
            <v>MOBILIARIO CLINICO</v>
          </cell>
          <cell r="AA8956" t="str">
            <v>PONTIFICIA UNIVERSIDAD CATOLICA DE CHILE</v>
          </cell>
        </row>
        <row r="8957">
          <cell r="Z8957" t="str">
            <v>MOBILIARIO CLINICO</v>
          </cell>
          <cell r="AA8957" t="str">
            <v>PONTIFICIA UNIVERSIDAD CATOLICA DE CHILE</v>
          </cell>
        </row>
        <row r="8958">
          <cell r="Z8958" t="str">
            <v>MOBILIARIO CLINICO</v>
          </cell>
          <cell r="AA8958" t="str">
            <v>PONTIFICIA UNIVERSIDAD CATOLICA DE CHILE</v>
          </cell>
        </row>
        <row r="8959">
          <cell r="Z8959" t="str">
            <v>MOBILIARIO CLINICO</v>
          </cell>
          <cell r="AA8959" t="str">
            <v>PONTIFICIA UNIVERSIDAD CATOLICA DE CHILE</v>
          </cell>
        </row>
        <row r="8960">
          <cell r="Z8960" t="str">
            <v>MOBILIARIO CLINICO</v>
          </cell>
          <cell r="AA8960" t="str">
            <v>PONTIFICIA UNIVERSIDAD CATOLICA DE CHILE</v>
          </cell>
        </row>
        <row r="8961">
          <cell r="Z8961" t="str">
            <v>MOBILIARIO CLINICO</v>
          </cell>
          <cell r="AA8961" t="str">
            <v>PONTIFICIA UNIVERSIDAD CATOLICA DE CHILE</v>
          </cell>
        </row>
        <row r="8962">
          <cell r="Z8962" t="str">
            <v>MOBILIARIO CLINICO</v>
          </cell>
          <cell r="AA8962" t="str">
            <v>PONTIFICIA UNIVERSIDAD CATOLICA DE CHILE</v>
          </cell>
        </row>
        <row r="8963">
          <cell r="Z8963" t="str">
            <v>MOBILIARIO CLINICO</v>
          </cell>
          <cell r="AA8963" t="str">
            <v>PONTIFICIA UNIVERSIDAD CATOLICA DE CHILE</v>
          </cell>
        </row>
        <row r="8964">
          <cell r="Z8964" t="str">
            <v>MOBILIARIO CLINICO</v>
          </cell>
          <cell r="AA8964" t="str">
            <v>PONTIFICIA UNIVERSIDAD CATOLICA DE CHILE</v>
          </cell>
        </row>
        <row r="8965">
          <cell r="Z8965" t="str">
            <v>MOBILIARIO CLINICO</v>
          </cell>
          <cell r="AA8965" t="str">
            <v>PONTIFICIA UNIVERSIDAD CATOLICA DE CHILE</v>
          </cell>
        </row>
        <row r="8966">
          <cell r="Z8966" t="str">
            <v>MOBILIARIO CLINICO</v>
          </cell>
          <cell r="AA8966" t="str">
            <v>PONTIFICIA UNIVERSIDAD CATOLICA DE CHILE</v>
          </cell>
        </row>
        <row r="8967">
          <cell r="Z8967" t="str">
            <v>MOBILIARIO CLINICO</v>
          </cell>
          <cell r="AA8967" t="str">
            <v>PONTIFICIA UNIVERSIDAD CATOLICA DE CHILE</v>
          </cell>
        </row>
        <row r="8968">
          <cell r="Z8968" t="str">
            <v>MOBILIARIO CLINICO</v>
          </cell>
          <cell r="AA8968" t="str">
            <v>PONTIFICIA UNIVERSIDAD CATOLICA DE CHILE</v>
          </cell>
        </row>
        <row r="8969">
          <cell r="Z8969" t="str">
            <v>MOBILIARIO CLINICO</v>
          </cell>
          <cell r="AA8969" t="str">
            <v>PONTIFICIA UNIVERSIDAD CATOLICA DE CHILE</v>
          </cell>
        </row>
        <row r="8970">
          <cell r="Z8970" t="str">
            <v>MOBILIARIO CLINICO</v>
          </cell>
          <cell r="AA8970" t="str">
            <v>PONTIFICIA UNIVERSIDAD CATOLICA DE CHILE</v>
          </cell>
        </row>
        <row r="8971">
          <cell r="Z8971" t="str">
            <v>MOBILIARIO CLINICO</v>
          </cell>
          <cell r="AA8971" t="str">
            <v>PONTIFICIA UNIVERSIDAD CATOLICA DE CHILE</v>
          </cell>
        </row>
        <row r="8972">
          <cell r="Z8972" t="str">
            <v>MOBILIARIO CLINICO</v>
          </cell>
          <cell r="AA8972" t="str">
            <v>PONTIFICIA UNIVERSIDAD CATOLICA DE CHILE</v>
          </cell>
        </row>
        <row r="8973">
          <cell r="Z8973" t="str">
            <v>MOBILIARIO CLINICO</v>
          </cell>
          <cell r="AA8973" t="str">
            <v>PONTIFICIA UNIVERSIDAD CATOLICA DE CHILE</v>
          </cell>
        </row>
        <row r="8974">
          <cell r="Z8974" t="str">
            <v>MOBILIARIO CLINICO</v>
          </cell>
          <cell r="AA8974" t="str">
            <v>HOSPITAL DR. LUIS TISNE B.</v>
          </cell>
        </row>
        <row r="8975">
          <cell r="Z8975" t="str">
            <v>MOBILIARIO CLINICO</v>
          </cell>
          <cell r="AA8975" t="str">
            <v>HOSPITAL DR. LUIS TISNE B.</v>
          </cell>
        </row>
        <row r="8976">
          <cell r="Z8976" t="str">
            <v>MOBILIARIO CLINICO</v>
          </cell>
          <cell r="AA8976" t="str">
            <v>HOSPITAL DR. LUIS TISNE B.</v>
          </cell>
        </row>
        <row r="8977">
          <cell r="Z8977" t="str">
            <v>MOBILIARIO CLINICO</v>
          </cell>
          <cell r="AA8977" t="str">
            <v>HOSPITAL DR. LUIS TISNE B.</v>
          </cell>
        </row>
        <row r="8978">
          <cell r="Z8978" t="str">
            <v>MOBILIARIO CLINICO</v>
          </cell>
          <cell r="AA8978" t="str">
            <v>HOSPITAL DR. LUIS TISNE B.</v>
          </cell>
        </row>
        <row r="8979">
          <cell r="Z8979" t="str">
            <v>MOBILIARIO CLINICO</v>
          </cell>
          <cell r="AA8979" t="str">
            <v>HOSPITAL DR. LUIS TISNE B.</v>
          </cell>
        </row>
        <row r="8980">
          <cell r="Z8980" t="str">
            <v>MOBILIARIO CLINICO</v>
          </cell>
          <cell r="AA8980" t="str">
            <v>HOSPITAL DR. LUIS TISNE B.</v>
          </cell>
        </row>
        <row r="8981">
          <cell r="Z8981" t="str">
            <v>MOBILIARIO CLINICO</v>
          </cell>
          <cell r="AA8981" t="str">
            <v>HOSPITAL DR. LUIS TISNE B.</v>
          </cell>
        </row>
        <row r="8982">
          <cell r="Z8982" t="str">
            <v>MOBILIARIO CLINICO</v>
          </cell>
          <cell r="AA8982" t="str">
            <v>HOSPITAL DR. LUIS TISNE B.</v>
          </cell>
        </row>
        <row r="8983">
          <cell r="Z8983" t="str">
            <v>MOBILIARIO CLINICO</v>
          </cell>
          <cell r="AA8983" t="str">
            <v>HOSPITAL DR. LUIS TISNE B.</v>
          </cell>
        </row>
        <row r="8984">
          <cell r="Z8984" t="str">
            <v>MOBILIARIO CLINICO</v>
          </cell>
          <cell r="AA8984" t="str">
            <v>HOSPITAL DR. LUIS TISNE B.</v>
          </cell>
        </row>
        <row r="8985">
          <cell r="Z8985" t="str">
            <v>MOBILIARIO CLINICO</v>
          </cell>
          <cell r="AA8985" t="str">
            <v>HOSPITAL DR. LUIS TISNE B.</v>
          </cell>
        </row>
        <row r="8986">
          <cell r="Z8986" t="str">
            <v>MOBILIARIO CLINICO</v>
          </cell>
          <cell r="AA8986" t="str">
            <v>HOSPITAL DR. LUIS TISNE B.</v>
          </cell>
        </row>
        <row r="8987">
          <cell r="Z8987" t="str">
            <v>MOBILIARIO CLINICO</v>
          </cell>
          <cell r="AA8987" t="str">
            <v>HOSPITAL DR. LUIS TISNE B.</v>
          </cell>
        </row>
        <row r="8988">
          <cell r="Z8988" t="str">
            <v>MOBILIARIO CLINICO</v>
          </cell>
          <cell r="AA8988" t="str">
            <v>HOSPITAL DR. LUIS TISNE B.</v>
          </cell>
        </row>
        <row r="8989">
          <cell r="Z8989" t="str">
            <v>MOBILIARIO CLINICO</v>
          </cell>
          <cell r="AA8989" t="str">
            <v>HOSPITAL DR. LUIS TISNE B.</v>
          </cell>
        </row>
        <row r="8990">
          <cell r="Z8990" t="str">
            <v>MOBILIARIO CLINICO</v>
          </cell>
          <cell r="AA8990" t="str">
            <v>HOSPITAL DR. LUIS TISNE B.</v>
          </cell>
        </row>
        <row r="8991">
          <cell r="Z8991" t="str">
            <v>MOBILIARIO CLINICO</v>
          </cell>
          <cell r="AA8991" t="str">
            <v>HOSPITAL DR. LUIS TISNE B.</v>
          </cell>
        </row>
        <row r="8992">
          <cell r="Z8992" t="str">
            <v>MOBILIARIO CLINICO</v>
          </cell>
          <cell r="AA8992" t="str">
            <v>HOSPITAL DR. LUIS TISNE B.</v>
          </cell>
        </row>
        <row r="8993">
          <cell r="Z8993" t="str">
            <v>MOBILIARIO CLINICO</v>
          </cell>
          <cell r="AA8993" t="str">
            <v>HOSPITAL DR. LUIS TISNE B.</v>
          </cell>
        </row>
        <row r="8994">
          <cell r="Z8994" t="str">
            <v>MOBILIARIO CLINICO</v>
          </cell>
          <cell r="AA8994" t="str">
            <v>HOSPITAL DR. LUIS TISNE B.</v>
          </cell>
        </row>
        <row r="8995">
          <cell r="Z8995" t="str">
            <v>MOBILIARIO CLINICO</v>
          </cell>
          <cell r="AA8995" t="str">
            <v>HOSPITAL DR. LUIS TISNE B.</v>
          </cell>
        </row>
        <row r="8996">
          <cell r="Z8996" t="str">
            <v>MOBILIARIO CLINICO</v>
          </cell>
          <cell r="AA8996" t="str">
            <v>HOSPITAL DR. LUIS TISNE B.</v>
          </cell>
        </row>
        <row r="8997">
          <cell r="Z8997" t="str">
            <v>MOBILIARIO CLINICO</v>
          </cell>
          <cell r="AA8997" t="str">
            <v>HOSPITAL DR. LUIS TISNE B.</v>
          </cell>
        </row>
        <row r="8998">
          <cell r="Z8998" t="str">
            <v>MOBILIARIO CLINICO</v>
          </cell>
          <cell r="AA8998" t="str">
            <v>HOSPITAL DR. LUIS TISNE B.</v>
          </cell>
        </row>
        <row r="8999">
          <cell r="Z8999" t="str">
            <v>MOBILIARIO CLINICO</v>
          </cell>
          <cell r="AA8999" t="str">
            <v>HOSPITAL DR. LUIS TISNE B.</v>
          </cell>
        </row>
        <row r="9000">
          <cell r="Z9000" t="str">
            <v>MOBILIARIO CLINICO</v>
          </cell>
          <cell r="AA9000" t="str">
            <v>HOSPITAL DR. LUIS TISNE B.</v>
          </cell>
        </row>
        <row r="9001">
          <cell r="Z9001" t="str">
            <v>MOBILIARIO CLINICO</v>
          </cell>
          <cell r="AA9001" t="str">
            <v>HOSPITAL DR. LUIS TISNE B.</v>
          </cell>
        </row>
        <row r="9002">
          <cell r="Z9002" t="str">
            <v>MOBILIARIO CLINICO</v>
          </cell>
          <cell r="AA9002" t="str">
            <v>HOSPITAL DR. LUIS TISNE B.</v>
          </cell>
        </row>
        <row r="9003">
          <cell r="Z9003" t="str">
            <v>MOBILIARIO CLINICO</v>
          </cell>
          <cell r="AA9003" t="str">
            <v>HOSPITAL DR. LUIS TISNE B.</v>
          </cell>
        </row>
        <row r="9004">
          <cell r="Z9004" t="str">
            <v>MOBILIARIO CLINICO</v>
          </cell>
          <cell r="AA9004" t="str">
            <v>HOSPITAL DR. LUIS TISNE B.</v>
          </cell>
        </row>
        <row r="9005">
          <cell r="Z9005" t="str">
            <v>MOBILIARIO CLINICO</v>
          </cell>
          <cell r="AA9005" t="str">
            <v>HOSPITAL DR. LUIS TISNE B.</v>
          </cell>
        </row>
        <row r="9006">
          <cell r="Z9006" t="str">
            <v>MOBILIARIO CLINICO</v>
          </cell>
          <cell r="AA9006" t="str">
            <v>HOSPITAL DR. LUIS TISNE B.</v>
          </cell>
        </row>
        <row r="9007">
          <cell r="Z9007" t="str">
            <v>MOBILIARIO CLINICO</v>
          </cell>
          <cell r="AA9007" t="str">
            <v>HOSPITAL DR. LUIS TISNE B.</v>
          </cell>
        </row>
        <row r="9008">
          <cell r="Z9008" t="str">
            <v>MOBILIARIO CLINICO</v>
          </cell>
          <cell r="AA9008" t="str">
            <v>HOSPITAL DR. LUIS TISNE B.</v>
          </cell>
        </row>
        <row r="9009">
          <cell r="Z9009" t="str">
            <v>MOBILIARIO CLINICO</v>
          </cell>
          <cell r="AA9009" t="str">
            <v>HOSPITAL DR. LUIS TISNE B.</v>
          </cell>
        </row>
        <row r="9010">
          <cell r="Z9010" t="str">
            <v>MOBILIARIO CLINICO</v>
          </cell>
          <cell r="AA9010" t="str">
            <v>HOSPITAL DR. LUIS TISNE B.</v>
          </cell>
        </row>
        <row r="9011">
          <cell r="Z9011" t="str">
            <v>MOBILIARIO CLINICO</v>
          </cell>
          <cell r="AA9011" t="str">
            <v>HOSPITAL DR. LUIS TISNE B.</v>
          </cell>
        </row>
        <row r="9012">
          <cell r="Z9012" t="str">
            <v>MOBILIARIO CLINICO</v>
          </cell>
          <cell r="AA9012" t="str">
            <v>HOSPITAL DR. LUIS TISNE B.</v>
          </cell>
        </row>
        <row r="9013">
          <cell r="Z9013" t="str">
            <v>MOBILIARIO CLINICO</v>
          </cell>
          <cell r="AA9013" t="str">
            <v>HOSPITAL DR. LUIS TISNE B.</v>
          </cell>
        </row>
        <row r="9014">
          <cell r="Z9014" t="str">
            <v>MOBILIARIO CLINICO</v>
          </cell>
          <cell r="AA9014" t="str">
            <v>HOSPITAL DR. LUIS TISNE B.</v>
          </cell>
        </row>
        <row r="9015">
          <cell r="Z9015" t="str">
            <v>MOBILIARIO CLINICO</v>
          </cell>
          <cell r="AA9015" t="str">
            <v>GEMCO GENERAL MACHINERY S.A.</v>
          </cell>
        </row>
        <row r="9016">
          <cell r="Z9016" t="str">
            <v>MOBILIARIO CLINICO</v>
          </cell>
          <cell r="AA9016" t="str">
            <v>IMPORTADORA, COMERCIALIZADORA Y DA</v>
          </cell>
        </row>
        <row r="9017">
          <cell r="Z9017" t="str">
            <v>MOBILIARIO CLINICO</v>
          </cell>
          <cell r="AA9017" t="str">
            <v>IMPORTADORA, COMERCIALIZADORA Y DA</v>
          </cell>
        </row>
        <row r="9018">
          <cell r="Z9018" t="str">
            <v>MOBILIARIO CLINICO</v>
          </cell>
          <cell r="AA9018" t="str">
            <v>IMPORTADORA, COMERCIALIZADORA Y DA</v>
          </cell>
        </row>
        <row r="9019">
          <cell r="Z9019" t="str">
            <v>MOBILIARIO CLINICO</v>
          </cell>
          <cell r="AA9019" t="str">
            <v>IMPORTADORA, COMERCIALIZADORA Y DA</v>
          </cell>
        </row>
        <row r="9020">
          <cell r="Z9020" t="str">
            <v>MOBILIARIO CLINICO</v>
          </cell>
          <cell r="AA9020" t="str">
            <v>IMPORTADORA, COMERCIALIZADORA Y DA</v>
          </cell>
        </row>
        <row r="9021">
          <cell r="Z9021" t="str">
            <v>MOBILIARIO CLINICO</v>
          </cell>
          <cell r="AA9021" t="str">
            <v>IMPORTADORA, COMERCIALIZADORA Y DA</v>
          </cell>
        </row>
        <row r="9022">
          <cell r="Z9022" t="str">
            <v>MOBILIARIO CLINICO</v>
          </cell>
          <cell r="AA9022" t="str">
            <v>IMPORTADORA, COMERCIALIZADORA Y DA</v>
          </cell>
        </row>
        <row r="9023">
          <cell r="Z9023" t="str">
            <v>MOBILIARIO CLINICO</v>
          </cell>
          <cell r="AA9023" t="str">
            <v>IMPORTADORA, COMERCIALIZADORA Y DA</v>
          </cell>
        </row>
        <row r="9024">
          <cell r="Z9024" t="str">
            <v>MOBILIARIO CLINICO</v>
          </cell>
          <cell r="AA9024" t="str">
            <v>IMPORTADORA, COMERCIALIZADORA Y DA</v>
          </cell>
        </row>
        <row r="9025">
          <cell r="Z9025" t="str">
            <v>MOBILIARIO CLINICO</v>
          </cell>
          <cell r="AA9025" t="str">
            <v>IMPORTADORA, COMERCIALIZADORA Y DA</v>
          </cell>
        </row>
        <row r="9026">
          <cell r="Z9026" t="str">
            <v>MOBILIARIO CLINICO</v>
          </cell>
          <cell r="AA9026" t="str">
            <v>IMPORTADORA, COMERCIALIZADORA Y DA</v>
          </cell>
        </row>
        <row r="9027">
          <cell r="Z9027" t="str">
            <v>MOBILIARIO CLINICO</v>
          </cell>
          <cell r="AA9027" t="str">
            <v>IMPORTADORA, COMERCIALIZADORA Y DA</v>
          </cell>
        </row>
        <row r="9028">
          <cell r="Z9028" t="str">
            <v>MOBILIARIO CLINICO</v>
          </cell>
          <cell r="AA9028" t="str">
            <v>IMPORTADORA, COMERCIALIZADORA Y DA</v>
          </cell>
        </row>
        <row r="9029">
          <cell r="Z9029" t="str">
            <v>MOBILIARIO CLINICO</v>
          </cell>
          <cell r="AA9029" t="str">
            <v>IMPORTADORA, COMERCIALIZADORA Y DA</v>
          </cell>
        </row>
        <row r="9030">
          <cell r="Z9030" t="str">
            <v>MOBILIARIO CLINICO</v>
          </cell>
          <cell r="AA9030" t="str">
            <v>IMPORTADORA, COMERCIALIZADORA Y DA</v>
          </cell>
        </row>
        <row r="9031">
          <cell r="Z9031" t="str">
            <v>MOBILIARIO CLINICO</v>
          </cell>
          <cell r="AA9031" t="str">
            <v>IMPORTADORA, COMERCIALIZADORA Y DA</v>
          </cell>
        </row>
        <row r="9032">
          <cell r="Z9032" t="str">
            <v>MOBILIARIO CLINICO</v>
          </cell>
          <cell r="AA9032" t="str">
            <v>IMPORTADORA, COMERCIALIZADORA Y DA</v>
          </cell>
        </row>
        <row r="9033">
          <cell r="Z9033" t="str">
            <v>MOBILIARIO CLINICO</v>
          </cell>
          <cell r="AA9033" t="str">
            <v>IMPORTADORA, COMERCIALIZADORA Y DA</v>
          </cell>
        </row>
        <row r="9034">
          <cell r="Z9034" t="str">
            <v>MOBILIARIO CLINICO</v>
          </cell>
          <cell r="AA9034" t="str">
            <v>IMPORTADORA, COMERCIALIZADORA Y DA</v>
          </cell>
        </row>
        <row r="9035">
          <cell r="Z9035" t="str">
            <v>MOBILIARIO CLINICO</v>
          </cell>
          <cell r="AA9035" t="str">
            <v>IMPORTADORA, COMERCIALIZADORA Y DA</v>
          </cell>
        </row>
        <row r="9036">
          <cell r="Z9036" t="str">
            <v>MOBILIARIO CLINICO</v>
          </cell>
          <cell r="AA9036" t="str">
            <v>IMPORTADORA, COMERCIALIZADORA Y DA</v>
          </cell>
        </row>
        <row r="9037">
          <cell r="Z9037" t="str">
            <v>MOBILIARIO CLINICO</v>
          </cell>
          <cell r="AA9037" t="str">
            <v>IMPORTADORA, COMERCIALIZADORA Y DA</v>
          </cell>
        </row>
        <row r="9038">
          <cell r="Z9038" t="str">
            <v>MOBILIARIO CLINICO</v>
          </cell>
          <cell r="AA9038" t="str">
            <v>IMPORTADORA, COMERCIALIZADORA Y DA</v>
          </cell>
        </row>
        <row r="9039">
          <cell r="Z9039" t="str">
            <v>MOBILIARIO CLINICO</v>
          </cell>
          <cell r="AA9039" t="str">
            <v>IMPORTADORA, COMERCIALIZADORA Y DA</v>
          </cell>
        </row>
        <row r="9040">
          <cell r="Z9040" t="str">
            <v>MOBILIARIO CLINICO</v>
          </cell>
          <cell r="AA9040" t="str">
            <v>IMPORTADORA, COMERCIALIZADORA Y DA</v>
          </cell>
        </row>
        <row r="9041">
          <cell r="Z9041" t="str">
            <v>MOBILIARIO CLINICO</v>
          </cell>
          <cell r="AA9041" t="str">
            <v>IMPORTADORA, COMERCIALIZADORA Y DA</v>
          </cell>
        </row>
        <row r="9042">
          <cell r="Z9042" t="str">
            <v>MOBILIARIO CLINICO</v>
          </cell>
          <cell r="AA9042" t="str">
            <v>IMPORTADORA, COMERCIALIZADORA Y DA</v>
          </cell>
        </row>
        <row r="9043">
          <cell r="Z9043" t="str">
            <v>MOBILIARIO CLINICO</v>
          </cell>
          <cell r="AA9043" t="str">
            <v>IMPORTADORA, COMERCIALIZADORA Y DA</v>
          </cell>
        </row>
        <row r="9044">
          <cell r="Z9044" t="str">
            <v>MOBILIARIO CLINICO</v>
          </cell>
          <cell r="AA9044" t="str">
            <v>IMPORTADORA, COMERCIALIZADORA Y DA</v>
          </cell>
        </row>
        <row r="9045">
          <cell r="Z9045" t="str">
            <v>MOBILIARIO CLINICO</v>
          </cell>
          <cell r="AA9045" t="str">
            <v>IMPORTADORA, COMERCIALIZADORA Y DA</v>
          </cell>
        </row>
        <row r="9046">
          <cell r="Z9046" t="str">
            <v>MOBILIARIO CLINICO</v>
          </cell>
          <cell r="AA9046" t="str">
            <v>IMPORTADORA, COMERCIALIZADORA Y DA</v>
          </cell>
        </row>
        <row r="9047">
          <cell r="Z9047" t="str">
            <v>MOBILIARIO CLINICO</v>
          </cell>
          <cell r="AA9047" t="str">
            <v>IMPORTADORA, COMERCIALIZADORA Y DA</v>
          </cell>
        </row>
        <row r="9048">
          <cell r="Z9048" t="str">
            <v>MOBILIARIO CLINICO</v>
          </cell>
          <cell r="AA9048" t="str">
            <v>IMPORTADORA, COMERCIALIZADORA Y DA</v>
          </cell>
        </row>
        <row r="9049">
          <cell r="Z9049" t="str">
            <v>MOBILIARIO CLINICO</v>
          </cell>
          <cell r="AA9049" t="str">
            <v>IMPORTADORA, COMERCIALIZADORA Y DA</v>
          </cell>
        </row>
        <row r="9050">
          <cell r="Z9050" t="str">
            <v>MOBILIARIO CLINICO</v>
          </cell>
          <cell r="AA9050" t="str">
            <v>IMPORTADORA, COMERCIALIZADORA Y DA</v>
          </cell>
        </row>
        <row r="9051">
          <cell r="Z9051" t="str">
            <v>MOBILIARIO CLINICO</v>
          </cell>
          <cell r="AA9051" t="str">
            <v>IMPORTADORA, COMERCIALIZADORA Y DA</v>
          </cell>
        </row>
        <row r="9052">
          <cell r="Z9052" t="str">
            <v>MOBILIARIO CLINICO</v>
          </cell>
          <cell r="AA9052" t="str">
            <v>IMPORTADORA, COMERCIALIZADORA Y DA</v>
          </cell>
        </row>
        <row r="9053">
          <cell r="Z9053" t="str">
            <v>MOBILIARIO CLINICO</v>
          </cell>
          <cell r="AA9053" t="str">
            <v>IMPORTADORA, COMERCIALIZADORA Y DA</v>
          </cell>
        </row>
        <row r="9054">
          <cell r="Z9054" t="str">
            <v>MOBILIARIO CLINICO</v>
          </cell>
          <cell r="AA9054" t="str">
            <v>IMPORTADORA, COMERCIALIZADORA Y DA</v>
          </cell>
        </row>
        <row r="9055">
          <cell r="Z9055" t="str">
            <v>MOBILIARIO CLINICO</v>
          </cell>
          <cell r="AA9055" t="str">
            <v>IMPORTADORA, COMERCIALIZADORA Y DA</v>
          </cell>
        </row>
        <row r="9056">
          <cell r="Z9056" t="str">
            <v>MOBILIARIO CLINICO</v>
          </cell>
          <cell r="AA9056" t="str">
            <v>IMPORTADORA, COMERCIALIZADORA Y DA</v>
          </cell>
        </row>
        <row r="9057">
          <cell r="Z9057" t="str">
            <v>MOBILIARIO CLINICO</v>
          </cell>
          <cell r="AA9057" t="str">
            <v>IMPORTADORA, COMERCIALIZADORA Y DA</v>
          </cell>
        </row>
        <row r="9058">
          <cell r="Z9058" t="str">
            <v>MOBILIARIO CLINICO</v>
          </cell>
          <cell r="AA9058" t="str">
            <v>IMPORTADORA, COMERCIALIZADORA Y DA</v>
          </cell>
        </row>
        <row r="9059">
          <cell r="Z9059" t="str">
            <v>MOBILIARIO CLINICO</v>
          </cell>
          <cell r="AA9059" t="str">
            <v>IMPORTADORA, COMERCIALIZADORA Y DA</v>
          </cell>
        </row>
        <row r="9060">
          <cell r="Z9060" t="str">
            <v>MOBILIARIO CLINICO</v>
          </cell>
          <cell r="AA9060" t="str">
            <v>IMPORTADORA, COMERCIALIZADORA Y DA</v>
          </cell>
        </row>
        <row r="9061">
          <cell r="Z9061" t="str">
            <v>MOBILIARIO CLINICO</v>
          </cell>
          <cell r="AA9061" t="str">
            <v>IMPORTADORA, COMERCIALIZADORA Y DA</v>
          </cell>
        </row>
        <row r="9062">
          <cell r="Z9062" t="str">
            <v>MOBILIARIO CLINICO</v>
          </cell>
          <cell r="AA9062" t="str">
            <v>IMPORTADORA, COMERCIALIZADORA Y DA</v>
          </cell>
        </row>
        <row r="9063">
          <cell r="Z9063" t="str">
            <v>MOBILIARIO CLINICO</v>
          </cell>
          <cell r="AA9063" t="str">
            <v>HOSPITAL DEL PROFESOR</v>
          </cell>
        </row>
        <row r="9064">
          <cell r="Z9064" t="str">
            <v>MOBILIARIO CLINICO</v>
          </cell>
          <cell r="AA9064" t="str">
            <v>HOSPITAL DEL PROFESOR</v>
          </cell>
        </row>
        <row r="9065">
          <cell r="Z9065" t="str">
            <v>MOBILIARIO CLINICO</v>
          </cell>
          <cell r="AA9065" t="str">
            <v>HOSPITAL DEL PROFESOR</v>
          </cell>
        </row>
        <row r="9066">
          <cell r="Z9066" t="str">
            <v>MOBILIARIO CLINICO</v>
          </cell>
          <cell r="AA9066" t="str">
            <v>HOSPITAL DE LA FLORIDA</v>
          </cell>
        </row>
        <row r="9067">
          <cell r="Z9067" t="str">
            <v>MOBILIARIO CLINICO</v>
          </cell>
          <cell r="AA9067" t="str">
            <v>HOSPITAL DE LA FLORIDA</v>
          </cell>
        </row>
        <row r="9068">
          <cell r="Z9068" t="str">
            <v>MOBILIARIO CLINICO</v>
          </cell>
          <cell r="AA9068" t="str">
            <v>HOSPITAL DE LA FLORIDA</v>
          </cell>
        </row>
        <row r="9069">
          <cell r="Z9069" t="str">
            <v>MOBILIARIO CLINICO</v>
          </cell>
          <cell r="AA9069" t="str">
            <v>HOSPITAL DE LA FLORIDA</v>
          </cell>
        </row>
        <row r="9070">
          <cell r="Z9070" t="str">
            <v>MOBILIARIO CLINICO</v>
          </cell>
          <cell r="AA9070" t="str">
            <v>HOSPITAL DE LA FLORIDA</v>
          </cell>
        </row>
        <row r="9071">
          <cell r="Z9071" t="str">
            <v>MOBILIARIO CLINICO</v>
          </cell>
          <cell r="AA9071" t="str">
            <v>HOSPITAL DE LA FLORIDA</v>
          </cell>
        </row>
        <row r="9072">
          <cell r="Z9072" t="str">
            <v>MOBILIARIO CLINICO</v>
          </cell>
          <cell r="AA9072" t="str">
            <v>HOSPITAL DE LA FLORIDA</v>
          </cell>
        </row>
        <row r="9073">
          <cell r="Z9073" t="str">
            <v>MOBILIARIO CLINICO</v>
          </cell>
          <cell r="AA9073" t="str">
            <v>HOSPITAL DE LA FLORIDA</v>
          </cell>
        </row>
        <row r="9074">
          <cell r="Z9074" t="str">
            <v>MOBILIARIO CLINICO</v>
          </cell>
          <cell r="AA9074" t="str">
            <v>HOSPITAL DE LA FLORIDA</v>
          </cell>
        </row>
        <row r="9075">
          <cell r="Z9075" t="str">
            <v>MOBILIARIO CLINICO</v>
          </cell>
          <cell r="AA9075" t="str">
            <v>HOSPITAL DE LA FLORIDA</v>
          </cell>
        </row>
        <row r="9076">
          <cell r="Z9076" t="str">
            <v>MOBILIARIO CLINICO</v>
          </cell>
          <cell r="AA9076" t="str">
            <v>HOSPITAL DE LA FLORIDA</v>
          </cell>
        </row>
        <row r="9077">
          <cell r="Z9077" t="str">
            <v>MOBILIARIO CLINICO</v>
          </cell>
          <cell r="AA9077" t="str">
            <v>HOSPITAL DE LA FLORIDA</v>
          </cell>
        </row>
        <row r="9078">
          <cell r="Z9078" t="str">
            <v>MOBILIARIO CLINICO</v>
          </cell>
          <cell r="AA9078" t="str">
            <v>HOSPITAL DE LA FLORIDA</v>
          </cell>
        </row>
        <row r="9079">
          <cell r="Z9079" t="str">
            <v>MOBILIARIO CLINICO</v>
          </cell>
          <cell r="AA9079" t="str">
            <v>HOSPITAL DE LA FLORIDA</v>
          </cell>
        </row>
        <row r="9080">
          <cell r="Z9080" t="str">
            <v>MOBILIARIO CLINICO</v>
          </cell>
          <cell r="AA9080" t="str">
            <v>HOSPITAL DE LA FLORIDA</v>
          </cell>
        </row>
        <row r="9081">
          <cell r="Z9081" t="str">
            <v>MOBILIARIO CLINICO</v>
          </cell>
          <cell r="AA9081" t="str">
            <v>HOSPITAL DE LA FLORIDA</v>
          </cell>
        </row>
        <row r="9082">
          <cell r="Z9082" t="str">
            <v>MOBILIARIO CLINICO</v>
          </cell>
          <cell r="AA9082" t="str">
            <v>HOSPITAL DE LA FLORIDA</v>
          </cell>
        </row>
        <row r="9083">
          <cell r="Z9083" t="str">
            <v>MOBILIARIO CLINICO</v>
          </cell>
          <cell r="AA9083" t="str">
            <v>HOSPITAL DE LA FLORIDA</v>
          </cell>
        </row>
        <row r="9084">
          <cell r="Z9084" t="str">
            <v>MOBILIARIO CLINICO</v>
          </cell>
          <cell r="AA9084" t="str">
            <v>HOSPITAL DE LA FLORIDA</v>
          </cell>
        </row>
        <row r="9085">
          <cell r="Z9085" t="str">
            <v>MOBILIARIO CLINICO</v>
          </cell>
          <cell r="AA9085" t="str">
            <v>HOSPITAL DE LA FLORIDA</v>
          </cell>
        </row>
        <row r="9086">
          <cell r="Z9086" t="str">
            <v>MOBILIARIO CLINICO</v>
          </cell>
          <cell r="AA9086" t="str">
            <v>HOSPITAL DE LA FLORIDA</v>
          </cell>
        </row>
        <row r="9087">
          <cell r="Z9087" t="str">
            <v>MOBILIARIO CLINICO</v>
          </cell>
          <cell r="AA9087" t="str">
            <v>HOSPITAL DE LA FLORIDA</v>
          </cell>
        </row>
        <row r="9088">
          <cell r="Z9088" t="str">
            <v>MOBILIARIO CLINICO</v>
          </cell>
          <cell r="AA9088" t="str">
            <v>HOSPITAL DE LA FLORIDA</v>
          </cell>
        </row>
        <row r="9089">
          <cell r="Z9089" t="str">
            <v>MOBILIARIO CLINICO</v>
          </cell>
          <cell r="AA9089" t="str">
            <v>HOSPITAL DE LA FLORIDA</v>
          </cell>
        </row>
        <row r="9090">
          <cell r="Z9090" t="str">
            <v>MOBILIARIO CLINICO</v>
          </cell>
          <cell r="AA9090" t="str">
            <v>HOSPITAL DE LA FLORIDA</v>
          </cell>
        </row>
        <row r="9091">
          <cell r="Z9091" t="str">
            <v>MOBILIARIO CLINICO</v>
          </cell>
          <cell r="AA9091" t="str">
            <v>HOSPITAL DE LA FLORIDA</v>
          </cell>
        </row>
        <row r="9092">
          <cell r="Z9092" t="str">
            <v>MOBILIARIO CLINICO</v>
          </cell>
          <cell r="AA9092" t="str">
            <v>HOSPITAL DE LA FLORIDA</v>
          </cell>
        </row>
        <row r="9093">
          <cell r="Z9093" t="str">
            <v>MOBILIARIO CLINICO</v>
          </cell>
          <cell r="AA9093" t="str">
            <v>HOSPITAL DE LA FLORIDA</v>
          </cell>
        </row>
        <row r="9094">
          <cell r="Z9094" t="str">
            <v>MOBILIARIO CLINICO</v>
          </cell>
          <cell r="AA9094" t="str">
            <v>HOSPITAL DE LA FLORIDA</v>
          </cell>
        </row>
        <row r="9095">
          <cell r="Z9095" t="str">
            <v>MOBILIARIO CLINICO</v>
          </cell>
          <cell r="AA9095" t="str">
            <v>HOSPITAL DE LA FLORIDA</v>
          </cell>
        </row>
        <row r="9096">
          <cell r="Z9096" t="str">
            <v>MOBILIARIO CLINICO</v>
          </cell>
          <cell r="AA9096" t="str">
            <v>HOSPITAL DE LA FLORIDA</v>
          </cell>
        </row>
        <row r="9097">
          <cell r="Z9097" t="str">
            <v>MOBILIARIO CLINICO</v>
          </cell>
          <cell r="AA9097" t="str">
            <v>HOSPITAL DE LA FLORIDA</v>
          </cell>
        </row>
        <row r="9098">
          <cell r="Z9098" t="str">
            <v>MOBILIARIO CLINICO</v>
          </cell>
          <cell r="AA9098" t="str">
            <v>HOSPITAL DE LA FLORIDA</v>
          </cell>
        </row>
        <row r="9099">
          <cell r="Z9099" t="str">
            <v>MOBILIARIO CLINICO</v>
          </cell>
          <cell r="AA9099" t="str">
            <v>HOSPITAL DE LA FLORIDA</v>
          </cell>
        </row>
        <row r="9100">
          <cell r="Z9100" t="str">
            <v>MOBILIARIO CLINICO</v>
          </cell>
          <cell r="AA9100" t="str">
            <v>HOSPITAL DE LA FLORIDA</v>
          </cell>
        </row>
        <row r="9101">
          <cell r="Z9101" t="str">
            <v>MOBILIARIO CLINICO</v>
          </cell>
          <cell r="AA9101" t="str">
            <v>HOSPITAL DE LA FLORIDA</v>
          </cell>
        </row>
        <row r="9102">
          <cell r="Z9102" t="str">
            <v>MOBILIARIO CLINICO</v>
          </cell>
          <cell r="AA9102" t="str">
            <v>HOSPITAL DE LA FLORIDA</v>
          </cell>
        </row>
        <row r="9103">
          <cell r="Z9103" t="str">
            <v>MOBILIARIO CLINICO</v>
          </cell>
          <cell r="AA9103" t="str">
            <v>HOSPITAL DE LA FLORIDA</v>
          </cell>
        </row>
        <row r="9104">
          <cell r="Z9104" t="str">
            <v>MOBILIARIO CLINICO</v>
          </cell>
          <cell r="AA9104" t="str">
            <v>HOSPITAL DE LA FLORIDA</v>
          </cell>
        </row>
        <row r="9105">
          <cell r="Z9105" t="str">
            <v>MOBILIARIO CLINICO</v>
          </cell>
          <cell r="AA9105" t="str">
            <v>HOSPITAL DE LA FLORIDA</v>
          </cell>
        </row>
        <row r="9106">
          <cell r="Z9106" t="str">
            <v>MOBILIARIO CLINICO</v>
          </cell>
          <cell r="AA9106" t="str">
            <v>HOSPITAL DE LA FLORIDA</v>
          </cell>
        </row>
        <row r="9107">
          <cell r="Z9107" t="str">
            <v>MOBILIARIO CLINICO</v>
          </cell>
          <cell r="AA9107" t="str">
            <v>IMPORTADORA, COMERCIALIZADORA Y DA</v>
          </cell>
        </row>
        <row r="9108">
          <cell r="Z9108" t="str">
            <v>MOBILIARIO CLINICO</v>
          </cell>
          <cell r="AA9108" t="str">
            <v>IMPORTADORA, COMERCIALIZADORA Y DA</v>
          </cell>
        </row>
        <row r="9109">
          <cell r="Z9109" t="str">
            <v>MOBILIARIO CLINICO</v>
          </cell>
          <cell r="AA9109" t="str">
            <v>IMPORTADORA, COMERCIALIZADORA Y DA</v>
          </cell>
        </row>
        <row r="9110">
          <cell r="Z9110" t="str">
            <v>MOBILIARIO CLINICO</v>
          </cell>
          <cell r="AA9110" t="str">
            <v>IMPORTADORA, COMERCIALIZADORA Y DA</v>
          </cell>
        </row>
        <row r="9111">
          <cell r="Z9111" t="str">
            <v>MOBILIARIO CLINICO</v>
          </cell>
          <cell r="AA9111" t="str">
            <v>IMPORTADORA, COMERCIALIZADORA Y DA</v>
          </cell>
        </row>
        <row r="9112">
          <cell r="Z9112" t="str">
            <v>MOBILIARIO CLINICO</v>
          </cell>
          <cell r="AA9112" t="str">
            <v>IMPORTADORA, COMERCIALIZADORA Y DA</v>
          </cell>
        </row>
        <row r="9113">
          <cell r="Z9113" t="str">
            <v>MOBILIARIO CLINICO</v>
          </cell>
          <cell r="AA9113" t="str">
            <v>IMPORTADORA, COMERCIALIZADORA Y DA</v>
          </cell>
        </row>
        <row r="9114">
          <cell r="Z9114" t="str">
            <v>MOBILIARIO CLINICO</v>
          </cell>
          <cell r="AA9114" t="str">
            <v>IMPORTADORA, COMERCIALIZADORA Y DA</v>
          </cell>
        </row>
        <row r="9115">
          <cell r="Z9115" t="str">
            <v>MOBILIARIO CLINICO</v>
          </cell>
          <cell r="AA9115" t="str">
            <v>IMPORTADORA, COMERCIALIZADORA Y DA</v>
          </cell>
        </row>
        <row r="9116">
          <cell r="Z9116" t="str">
            <v>MOBILIARIO CLINICO</v>
          </cell>
          <cell r="AA9116" t="str">
            <v>IMPORTADORA, COMERCIALIZADORA Y DA</v>
          </cell>
        </row>
        <row r="9117">
          <cell r="Z9117" t="str">
            <v>MOBILIARIO CLINICO</v>
          </cell>
          <cell r="AA9117" t="str">
            <v>IMPORTADORA, COMERCIALIZADORA Y DA</v>
          </cell>
        </row>
        <row r="9118">
          <cell r="Z9118" t="str">
            <v>MOBILIARIO CLINICO</v>
          </cell>
          <cell r="AA9118" t="str">
            <v>IMPORTADORA, COMERCIALIZADORA Y DA</v>
          </cell>
        </row>
        <row r="9119">
          <cell r="Z9119" t="str">
            <v>MOBILIARIO CLINICO</v>
          </cell>
          <cell r="AA9119" t="str">
            <v>IMPORTADORA, COMERCIALIZADORA Y DA</v>
          </cell>
        </row>
        <row r="9120">
          <cell r="Z9120" t="str">
            <v>MOBILIARIO CLINICO</v>
          </cell>
          <cell r="AA9120" t="str">
            <v>IMPORTADORA, COMERCIALIZADORA Y DA</v>
          </cell>
        </row>
        <row r="9121">
          <cell r="Z9121" t="str">
            <v>MOBILIARIO CLINICO</v>
          </cell>
          <cell r="AA9121" t="str">
            <v>IMPORTADORA, COMERCIALIZADORA Y DA</v>
          </cell>
        </row>
        <row r="9122">
          <cell r="Z9122" t="str">
            <v>MOBILIARIO CLINICO</v>
          </cell>
          <cell r="AA9122" t="str">
            <v>IMPORTADORA, COMERCIALIZADORA Y DA</v>
          </cell>
        </row>
        <row r="9123">
          <cell r="Z9123" t="str">
            <v>MOBILIARIO CLINICO</v>
          </cell>
          <cell r="AA9123" t="str">
            <v>IMPORTADORA, COMERCIALIZADORA Y DA</v>
          </cell>
        </row>
        <row r="9124">
          <cell r="Z9124" t="str">
            <v>MOBILIARIO CLINICO</v>
          </cell>
          <cell r="AA9124" t="str">
            <v>IMPORTADORA, COMERCIALIZADORA Y DA</v>
          </cell>
        </row>
        <row r="9125">
          <cell r="Z9125" t="str">
            <v>MOBILIARIO CLINICO</v>
          </cell>
          <cell r="AA9125" t="str">
            <v>IMPORTADORA, COMERCIALIZADORA Y DA</v>
          </cell>
        </row>
        <row r="9126">
          <cell r="Z9126" t="str">
            <v>MOBILIARIO CLINICO</v>
          </cell>
          <cell r="AA9126" t="str">
            <v>IMPORTADORA, COMERCIALIZADORA Y DA</v>
          </cell>
        </row>
        <row r="9127">
          <cell r="Z9127" t="str">
            <v>MOBILIARIO CLINICO</v>
          </cell>
          <cell r="AA9127" t="str">
            <v>IMPORTADORA, COMERCIALIZADORA Y DA</v>
          </cell>
        </row>
        <row r="9128">
          <cell r="Z9128" t="str">
            <v>MOBILIARIO CLINICO</v>
          </cell>
          <cell r="AA9128" t="str">
            <v>IMPORTADORA, COMERCIALIZADORA Y DA</v>
          </cell>
        </row>
        <row r="9129">
          <cell r="Z9129" t="str">
            <v>MOBILIARIO CLINICO</v>
          </cell>
          <cell r="AA9129" t="str">
            <v>IMPORTADORA, COMERCIALIZADORA Y DA</v>
          </cell>
        </row>
        <row r="9130">
          <cell r="Z9130" t="str">
            <v>MOBILIARIO CLINICO</v>
          </cell>
          <cell r="AA9130" t="str">
            <v>IMPORTADORA, COMERCIALIZADORA Y DA</v>
          </cell>
        </row>
        <row r="9131">
          <cell r="Z9131" t="str">
            <v>MOBILIARIO CLINICO</v>
          </cell>
          <cell r="AA9131" t="str">
            <v>IMPORTADORA, COMERCIALIZADORA Y DA</v>
          </cell>
        </row>
        <row r="9132">
          <cell r="Z9132" t="str">
            <v>MOBILIARIO CLINICO</v>
          </cell>
          <cell r="AA9132" t="str">
            <v>IMPORTADORA, COMERCIALIZADORA Y DA</v>
          </cell>
        </row>
        <row r="9133">
          <cell r="Z9133" t="str">
            <v>MOBILIARIO CLINICO</v>
          </cell>
          <cell r="AA9133" t="str">
            <v>IMPORTADORA, COMERCIALIZADORA Y DA</v>
          </cell>
        </row>
        <row r="9134">
          <cell r="Z9134" t="str">
            <v>MOBILIARIO CLINICO</v>
          </cell>
          <cell r="AA9134" t="str">
            <v>IMPORTADORA, COMERCIALIZADORA Y DA</v>
          </cell>
        </row>
        <row r="9135">
          <cell r="Z9135" t="str">
            <v>MOBILIARIO CLINICO</v>
          </cell>
          <cell r="AA9135" t="str">
            <v>IMPORTADORA, COMERCIALIZADORA Y DA</v>
          </cell>
        </row>
        <row r="9136">
          <cell r="Z9136" t="str">
            <v>MOBILIARIO CLINICO</v>
          </cell>
          <cell r="AA9136" t="str">
            <v>IMPORTADORA, COMERCIALIZADORA Y DA</v>
          </cell>
        </row>
        <row r="9137">
          <cell r="Z9137" t="str">
            <v>MOBILIARIO CLINICO</v>
          </cell>
          <cell r="AA9137" t="str">
            <v>IMPORTADORA, COMERCIALIZADORA Y DA</v>
          </cell>
        </row>
        <row r="9138">
          <cell r="Z9138" t="str">
            <v>MOBILIARIO CLINICO</v>
          </cell>
          <cell r="AA9138" t="str">
            <v>IMPORTADORA, COMERCIALIZADORA Y DA</v>
          </cell>
        </row>
        <row r="9139">
          <cell r="Z9139" t="str">
            <v>MOBILIARIO CLINICO</v>
          </cell>
          <cell r="AA9139" t="str">
            <v>IMPORTADORA, COMERCIALIZADORA Y DA</v>
          </cell>
        </row>
        <row r="9140">
          <cell r="Z9140" t="str">
            <v>MOBILIARIO CLINICO</v>
          </cell>
          <cell r="AA9140" t="str">
            <v>IMPORTADORA, COMERCIALIZADORA Y DA</v>
          </cell>
        </row>
        <row r="9141">
          <cell r="Z9141" t="str">
            <v>MOBILIARIO CLINICO</v>
          </cell>
          <cell r="AA9141" t="str">
            <v>IMPORTADORA, COMERCIALIZADORA Y DA</v>
          </cell>
        </row>
        <row r="9142">
          <cell r="Z9142" t="str">
            <v>MOBILIARIO CLINICO</v>
          </cell>
          <cell r="AA9142" t="str">
            <v>IMPORTADORA, COMERCIALIZADORA Y DA</v>
          </cell>
        </row>
        <row r="9143">
          <cell r="Z9143" t="str">
            <v>MOBILIARIO CLINICO</v>
          </cell>
          <cell r="AA9143" t="str">
            <v>IMPORTADORA, COMERCIALIZADORA Y DA</v>
          </cell>
        </row>
        <row r="9144">
          <cell r="Z9144" t="str">
            <v>MOBILIARIO CLINICO</v>
          </cell>
          <cell r="AA9144" t="str">
            <v>IMPORTADORA, COMERCIALIZADORA Y DA</v>
          </cell>
        </row>
        <row r="9145">
          <cell r="Z9145" t="str">
            <v>MOBILIARIO CLINICO</v>
          </cell>
          <cell r="AA9145" t="str">
            <v>IMPORTADORA, COMERCIALIZADORA Y DA</v>
          </cell>
        </row>
        <row r="9146">
          <cell r="Z9146" t="str">
            <v>MOBILIARIO CLINICO</v>
          </cell>
          <cell r="AA9146" t="str">
            <v>IMPORTADORA, COMERCIALIZADORA Y DA</v>
          </cell>
        </row>
        <row r="9147">
          <cell r="Z9147" t="str">
            <v>MOBILIARIO CLINICO</v>
          </cell>
        </row>
        <row r="9148">
          <cell r="Z9148" t="str">
            <v>MOBILIARIO CLINICO</v>
          </cell>
        </row>
        <row r="9149">
          <cell r="Z9149" t="str">
            <v>MOBILIARIO CLINICO</v>
          </cell>
        </row>
        <row r="9150">
          <cell r="Z9150" t="str">
            <v>MOBILIARIO CLINICO</v>
          </cell>
        </row>
        <row r="9151">
          <cell r="Z9151" t="str">
            <v>MOBILIARIO CLINICO</v>
          </cell>
        </row>
        <row r="9152">
          <cell r="Z9152" t="str">
            <v>MOBILIARIO CLINICO</v>
          </cell>
        </row>
        <row r="9153">
          <cell r="Z9153" t="str">
            <v>MOBILIARIO CLINICO</v>
          </cell>
        </row>
        <row r="9154">
          <cell r="Z9154" t="str">
            <v>MOBILIARIO CLINICO</v>
          </cell>
        </row>
        <row r="9155">
          <cell r="Z9155" t="str">
            <v>MOBILIARIO CLINICO</v>
          </cell>
        </row>
        <row r="9156">
          <cell r="Z9156" t="str">
            <v>MOBILIARIO CLINICO</v>
          </cell>
        </row>
        <row r="9157">
          <cell r="Z9157" t="str">
            <v>MOBILIARIO CLINICO</v>
          </cell>
        </row>
        <row r="9158">
          <cell r="Z9158" t="str">
            <v>MOBILIARIO CLINICO</v>
          </cell>
        </row>
        <row r="9159">
          <cell r="Z9159" t="str">
            <v>MOBILIARIO CLINICO</v>
          </cell>
        </row>
        <row r="9160">
          <cell r="Z9160" t="str">
            <v>MOBILIARIO CLINICO</v>
          </cell>
        </row>
        <row r="9161">
          <cell r="Z9161" t="str">
            <v>MOBILIARIO CLINICO</v>
          </cell>
        </row>
        <row r="9162">
          <cell r="Z9162" t="str">
            <v>MOBILIARIO CLINICO</v>
          </cell>
        </row>
        <row r="9163">
          <cell r="Z9163" t="str">
            <v>MOBILIARIO CLINICO</v>
          </cell>
        </row>
        <row r="9164">
          <cell r="Z9164" t="str">
            <v>MOBILIARIO CLINICO</v>
          </cell>
        </row>
        <row r="9165">
          <cell r="Z9165" t="str">
            <v>MOBILIARIO CLINICO</v>
          </cell>
        </row>
        <row r="9166">
          <cell r="Z9166" t="str">
            <v>MOBILIARIO CLINICO</v>
          </cell>
        </row>
        <row r="9167">
          <cell r="Z9167" t="str">
            <v>MOBILIARIO CLINICO</v>
          </cell>
        </row>
        <row r="9168">
          <cell r="Z9168" t="str">
            <v>MOBILIARIO CLINICO</v>
          </cell>
        </row>
        <row r="9169">
          <cell r="Z9169" t="str">
            <v>MOBILIARIO CLINICO</v>
          </cell>
        </row>
        <row r="9170">
          <cell r="Z9170" t="str">
            <v>MOBILIARIO CLINICO</v>
          </cell>
        </row>
        <row r="9171">
          <cell r="Z9171" t="str">
            <v>MOBILIARIO CLINICO</v>
          </cell>
        </row>
        <row r="9172">
          <cell r="Z9172" t="str">
            <v>MOBILIARIO CLINICO</v>
          </cell>
        </row>
        <row r="9173">
          <cell r="Z9173" t="str">
            <v>MOBILIARIO CLINICO</v>
          </cell>
        </row>
        <row r="9174">
          <cell r="Z9174" t="str">
            <v>MOBILIARIO CLINICO</v>
          </cell>
        </row>
        <row r="9175">
          <cell r="Z9175" t="str">
            <v>MOBILIARIO CLINICO</v>
          </cell>
        </row>
        <row r="9176">
          <cell r="Z9176" t="str">
            <v>MOBILIARIO CLINICO</v>
          </cell>
        </row>
        <row r="9177">
          <cell r="Z9177" t="str">
            <v>MOBILIARIO CLINICO</v>
          </cell>
        </row>
        <row r="9178">
          <cell r="Z9178" t="str">
            <v>MOBILIARIO CLINICO</v>
          </cell>
        </row>
        <row r="9179">
          <cell r="Z9179" t="str">
            <v>MOBILIARIO CLINICO</v>
          </cell>
        </row>
        <row r="9180">
          <cell r="Z9180" t="str">
            <v>MOBILIARIO CLINICO</v>
          </cell>
        </row>
        <row r="9181">
          <cell r="Z9181" t="str">
            <v>MOBILIARIO CLINICO</v>
          </cell>
        </row>
        <row r="9182">
          <cell r="Z9182" t="str">
            <v>MOBILIARIO CLINICO</v>
          </cell>
        </row>
        <row r="9183">
          <cell r="Z9183" t="str">
            <v>MOBILIARIO CLINICO</v>
          </cell>
        </row>
        <row r="9184">
          <cell r="Z9184" t="str">
            <v>MOBILIARIO CLINICO</v>
          </cell>
        </row>
        <row r="9185">
          <cell r="Z9185" t="str">
            <v>MOBILIARIO CLINICO</v>
          </cell>
        </row>
        <row r="9186">
          <cell r="Z9186" t="str">
            <v>MOBILIARIO CLINICO</v>
          </cell>
        </row>
        <row r="9187">
          <cell r="Z9187" t="str">
            <v>MOBILIARIO CLINICO</v>
          </cell>
        </row>
        <row r="9188">
          <cell r="Z9188" t="str">
            <v>MOBILIARIO CLINICO</v>
          </cell>
        </row>
        <row r="9189">
          <cell r="Z9189" t="str">
            <v>MOBILIARIO CLINICO</v>
          </cell>
        </row>
        <row r="9190">
          <cell r="Z9190" t="str">
            <v>MOBILIARIO CLINICO</v>
          </cell>
        </row>
        <row r="9191">
          <cell r="Z9191" t="str">
            <v>MOBILIARIO CLINICO</v>
          </cell>
        </row>
        <row r="9192">
          <cell r="Z9192" t="str">
            <v>MOBILIARIO CLINICO</v>
          </cell>
        </row>
        <row r="9193">
          <cell r="Z9193" t="str">
            <v>MOBILIARIO CLINICO</v>
          </cell>
        </row>
        <row r="9194">
          <cell r="Z9194" t="str">
            <v>MOBILIARIO CLINICO</v>
          </cell>
        </row>
        <row r="9195">
          <cell r="Z9195" t="str">
            <v>MOBILIARIO CLINICO</v>
          </cell>
        </row>
        <row r="9196">
          <cell r="Z9196" t="str">
            <v>MOBILIARIO CLINICO</v>
          </cell>
        </row>
        <row r="9197">
          <cell r="Z9197" t="str">
            <v>MOBILIARIO CLINICO</v>
          </cell>
        </row>
        <row r="9198">
          <cell r="Z9198" t="str">
            <v>MOBILIARIO CLINICO</v>
          </cell>
        </row>
        <row r="9199">
          <cell r="Z9199" t="str">
            <v>MOBILIARIO CLINICO</v>
          </cell>
        </row>
        <row r="9200">
          <cell r="Z9200" t="str">
            <v>MOBILIARIO CLINICO</v>
          </cell>
        </row>
        <row r="9201">
          <cell r="Z9201" t="str">
            <v>MOBILIARIO CLINICO</v>
          </cell>
        </row>
        <row r="9202">
          <cell r="Z9202" t="str">
            <v>MOBILIARIO CLINICO</v>
          </cell>
        </row>
        <row r="9203">
          <cell r="Z9203" t="str">
            <v>MOBILIARIO CLINICO</v>
          </cell>
        </row>
        <row r="9204">
          <cell r="Z9204" t="str">
            <v>MOBILIARIO CLINICO</v>
          </cell>
        </row>
        <row r="9205">
          <cell r="Z9205" t="str">
            <v>MOBILIARIO CLINICO</v>
          </cell>
        </row>
        <row r="9206">
          <cell r="Z9206" t="str">
            <v>MOBILIARIO CLINICO</v>
          </cell>
        </row>
        <row r="9207">
          <cell r="Z9207" t="str">
            <v>MOBILIARIO CLINICO</v>
          </cell>
        </row>
        <row r="9208">
          <cell r="Z9208" t="str">
            <v>MOBILIARIO CLINICO</v>
          </cell>
        </row>
        <row r="9209">
          <cell r="Z9209" t="str">
            <v>MOBILIARIO CLINICO</v>
          </cell>
        </row>
        <row r="9210">
          <cell r="Z9210" t="str">
            <v>MOBILIARIO CLINICO</v>
          </cell>
        </row>
        <row r="9211">
          <cell r="Z9211" t="str">
            <v>MOBILIARIO CLINICO</v>
          </cell>
        </row>
        <row r="9212">
          <cell r="Z9212" t="str">
            <v>MOBILIARIO CLINICO</v>
          </cell>
        </row>
        <row r="9213">
          <cell r="Z9213" t="str">
            <v>MOBILIARIO CLINICO</v>
          </cell>
        </row>
        <row r="9214">
          <cell r="Z9214" t="str">
            <v>MOBILIARIO CLINICO</v>
          </cell>
        </row>
        <row r="9215">
          <cell r="Z9215" t="str">
            <v>MOBILIARIO CLINICO</v>
          </cell>
        </row>
        <row r="9216">
          <cell r="Z9216" t="str">
            <v>MOBILIARIO CLINICO</v>
          </cell>
        </row>
        <row r="9217">
          <cell r="Z9217" t="str">
            <v>MOBILIARIO CLINICO</v>
          </cell>
        </row>
        <row r="9218">
          <cell r="Z9218" t="str">
            <v>MOBILIARIO CLINICO</v>
          </cell>
        </row>
        <row r="9219">
          <cell r="Z9219" t="str">
            <v>MOBILIARIO CLINICO</v>
          </cell>
        </row>
        <row r="9220">
          <cell r="Z9220" t="str">
            <v>MOBILIARIO CLINICO</v>
          </cell>
        </row>
        <row r="9221">
          <cell r="Z9221" t="str">
            <v>MOBILIARIO CLINICO</v>
          </cell>
        </row>
        <row r="9222">
          <cell r="Z9222" t="str">
            <v>MOBILIARIO CLINICO</v>
          </cell>
        </row>
        <row r="9223">
          <cell r="Z9223" t="str">
            <v>MOBILIARIO CLINICO</v>
          </cell>
        </row>
        <row r="9224">
          <cell r="Z9224" t="str">
            <v>MOBILIARIO CLINICO</v>
          </cell>
        </row>
        <row r="9225">
          <cell r="Z9225" t="str">
            <v>MOBILIARIO CLINICO</v>
          </cell>
        </row>
        <row r="9226">
          <cell r="Z9226" t="str">
            <v>MOBILIARIO CLINICO</v>
          </cell>
        </row>
        <row r="9227">
          <cell r="Z9227" t="str">
            <v>MOBILIARIO CLINICO</v>
          </cell>
        </row>
        <row r="9228">
          <cell r="Z9228" t="str">
            <v>MOBILIARIO CLINICO</v>
          </cell>
        </row>
        <row r="9229">
          <cell r="Z9229" t="str">
            <v>MOBILIARIO CLINICO</v>
          </cell>
        </row>
        <row r="9230">
          <cell r="Z9230" t="str">
            <v>MOBILIARIO CLINICO</v>
          </cell>
        </row>
        <row r="9231">
          <cell r="Z9231" t="str">
            <v>MOBILIARIO CLINICO</v>
          </cell>
        </row>
        <row r="9232">
          <cell r="Z9232" t="str">
            <v>MOBILIARIO CLINICO</v>
          </cell>
        </row>
        <row r="9233">
          <cell r="Z9233" t="str">
            <v>MOBILIARIO CLINICO</v>
          </cell>
        </row>
        <row r="9234">
          <cell r="Z9234" t="str">
            <v>MOBILIARIO CLINICO</v>
          </cell>
        </row>
        <row r="9235">
          <cell r="Z9235" t="str">
            <v>MOBILIARIO CLINICO</v>
          </cell>
        </row>
        <row r="9236">
          <cell r="Z9236" t="str">
            <v>MOBILIARIO CLINICO</v>
          </cell>
        </row>
        <row r="9237">
          <cell r="Z9237" t="str">
            <v>MOBILIARIO CLINICO</v>
          </cell>
        </row>
        <row r="9238">
          <cell r="Z9238" t="str">
            <v>MOBILIARIO CLINICO</v>
          </cell>
        </row>
        <row r="9239">
          <cell r="Z9239" t="str">
            <v>MOBILIARIO CLINICO</v>
          </cell>
        </row>
        <row r="9240">
          <cell r="Z9240" t="str">
            <v>MOBILIARIO CLINICO</v>
          </cell>
        </row>
        <row r="9241">
          <cell r="Z9241" t="str">
            <v>MOBILIARIO CLINICO</v>
          </cell>
        </row>
        <row r="9242">
          <cell r="Z9242" t="str">
            <v>MOBILIARIO CLINICO</v>
          </cell>
        </row>
        <row r="9243">
          <cell r="Z9243" t="str">
            <v>MOBILIARIO CLINICO</v>
          </cell>
        </row>
        <row r="9244">
          <cell r="Z9244" t="str">
            <v>MOBILIARIO CLINICO</v>
          </cell>
        </row>
        <row r="9245">
          <cell r="Z9245" t="str">
            <v>MOBILIARIO CLINICO</v>
          </cell>
        </row>
        <row r="9246">
          <cell r="Z9246" t="str">
            <v>MOBILIARIO CLINICO</v>
          </cell>
        </row>
        <row r="9247">
          <cell r="Z9247" t="str">
            <v>MOBILIARIO CLINICO</v>
          </cell>
        </row>
        <row r="9248">
          <cell r="Z9248" t="str">
            <v>MOBILIARIO CLINICO</v>
          </cell>
        </row>
        <row r="9249">
          <cell r="Z9249" t="str">
            <v>MOBILIARIO CLINICO</v>
          </cell>
        </row>
        <row r="9250">
          <cell r="Z9250" t="str">
            <v>MOBILIARIO CLINICO</v>
          </cell>
        </row>
        <row r="9251">
          <cell r="Z9251" t="str">
            <v>MOBILIARIO CLINICO</v>
          </cell>
        </row>
        <row r="9252">
          <cell r="Z9252" t="str">
            <v>MOBILIARIO CLINICO</v>
          </cell>
        </row>
        <row r="9253">
          <cell r="Z9253" t="str">
            <v>MOBILIARIO CLINICO</v>
          </cell>
        </row>
        <row r="9254">
          <cell r="Z9254" t="str">
            <v>MOBILIARIO CLINICO</v>
          </cell>
        </row>
        <row r="9255">
          <cell r="Z9255" t="str">
            <v>MOBILIARIO CLINICO</v>
          </cell>
        </row>
        <row r="9256">
          <cell r="Z9256" t="str">
            <v>MOBILIARIO CLINICO</v>
          </cell>
        </row>
        <row r="9257">
          <cell r="Z9257" t="str">
            <v>MOBILIARIO CLINICO</v>
          </cell>
        </row>
        <row r="9258">
          <cell r="Z9258" t="str">
            <v>MOBILIARIO CLINICO</v>
          </cell>
        </row>
        <row r="9259">
          <cell r="Z9259" t="str">
            <v>MOBILIARIO CLINICO</v>
          </cell>
        </row>
        <row r="9260">
          <cell r="Z9260" t="str">
            <v>MOBILIARIO CLINICO</v>
          </cell>
        </row>
        <row r="9261">
          <cell r="Z9261" t="str">
            <v>MOBILIARIO CLINICO</v>
          </cell>
        </row>
        <row r="9262">
          <cell r="Z9262" t="str">
            <v>MOBILIARIO CLINICO</v>
          </cell>
        </row>
        <row r="9263">
          <cell r="Z9263" t="str">
            <v>MOBILIARIO CLINICO</v>
          </cell>
        </row>
        <row r="9264">
          <cell r="Z9264" t="str">
            <v>MOBILIARIO CLINICO</v>
          </cell>
        </row>
        <row r="9265">
          <cell r="Z9265" t="str">
            <v>MOBILIARIO CLINICO</v>
          </cell>
        </row>
        <row r="9266">
          <cell r="Z9266" t="str">
            <v>MOBILIARIO CLINICO</v>
          </cell>
        </row>
        <row r="9267">
          <cell r="Z9267" t="str">
            <v>MOBILIARIO CLINICO</v>
          </cell>
        </row>
        <row r="9268">
          <cell r="Z9268" t="str">
            <v>MOBILIARIO CLINICO</v>
          </cell>
        </row>
        <row r="9269">
          <cell r="Z9269" t="str">
            <v>MOBILIARIO CLINICO</v>
          </cell>
        </row>
        <row r="9270">
          <cell r="Z9270" t="str">
            <v>MOBILIARIO CLINICO</v>
          </cell>
        </row>
        <row r="9271">
          <cell r="Z9271" t="str">
            <v>MOBILIARIO CLINICO</v>
          </cell>
        </row>
        <row r="9272">
          <cell r="Z9272" t="str">
            <v>MOBILIARIO CLINICO</v>
          </cell>
        </row>
        <row r="9273">
          <cell r="Z9273" t="str">
            <v>MOBILIARIO CLINICO</v>
          </cell>
        </row>
        <row r="9274">
          <cell r="Z9274" t="str">
            <v>MOBILIARIO CLINICO</v>
          </cell>
        </row>
        <row r="9275">
          <cell r="Z9275" t="str">
            <v>MOBILIARIO CLINICO</v>
          </cell>
        </row>
        <row r="9276">
          <cell r="Z9276" t="str">
            <v>MOBILIARIO CLINICO</v>
          </cell>
        </row>
        <row r="9277">
          <cell r="Z9277" t="str">
            <v>MOBILIARIO CLINICO</v>
          </cell>
        </row>
        <row r="9278">
          <cell r="Z9278" t="str">
            <v>MOBILIARIO CLINICO</v>
          </cell>
        </row>
        <row r="9279">
          <cell r="Z9279" t="str">
            <v>MOBILIARIO CLINICO</v>
          </cell>
        </row>
        <row r="9280">
          <cell r="Z9280" t="str">
            <v>MOBILIARIO CLINICO</v>
          </cell>
        </row>
        <row r="9281">
          <cell r="Z9281" t="str">
            <v>MOBILIARIO CLINICO</v>
          </cell>
        </row>
        <row r="9282">
          <cell r="Z9282" t="str">
            <v>MOBILIARIO CLINICO</v>
          </cell>
        </row>
        <row r="9283">
          <cell r="Z9283" t="str">
            <v>MOBILIARIO CLINICO</v>
          </cell>
        </row>
        <row r="9284">
          <cell r="Z9284" t="str">
            <v>MOBILIARIO CLINICO</v>
          </cell>
          <cell r="AA9284" t="str">
            <v>UNIVERSIDAD AUTONOMA DE CHILE</v>
          </cell>
        </row>
        <row r="9285">
          <cell r="Z9285" t="str">
            <v>MOBILIARIO CLINICO</v>
          </cell>
          <cell r="AA9285" t="str">
            <v>UNIVERSIDAD AUTONOMA DE CHILE</v>
          </cell>
        </row>
        <row r="9286">
          <cell r="Z9286" t="str">
            <v>MOBILIARIO CLINICO</v>
          </cell>
          <cell r="AA9286" t="str">
            <v>UNIVERSIDAD AUTONOMA DE CHILE</v>
          </cell>
        </row>
        <row r="9287">
          <cell r="Z9287" t="str">
            <v>MOBILIARIO CLINICO</v>
          </cell>
          <cell r="AA9287" t="str">
            <v>UNIVERSIDAD AUTONOMA DE CHILE</v>
          </cell>
        </row>
        <row r="9288">
          <cell r="Z9288" t="str">
            <v>MOBILIARIO CLINICO</v>
          </cell>
          <cell r="AA9288" t="str">
            <v>UNIVERSIDAD AUTONOMA DE CHILE</v>
          </cell>
        </row>
        <row r="9289">
          <cell r="Z9289" t="str">
            <v>MOBILIARIO CLINICO</v>
          </cell>
          <cell r="AA9289" t="str">
            <v>UNIVERSIDAD AUTONOMA DE CHILE</v>
          </cell>
        </row>
        <row r="9290">
          <cell r="Z9290" t="str">
            <v>MOBILIARIO CLINICO</v>
          </cell>
          <cell r="AA9290" t="str">
            <v>UNIVERSIDAD AUTONOMA DE CHILE</v>
          </cell>
        </row>
        <row r="9291">
          <cell r="Z9291" t="str">
            <v>MOBILIARIO CLINICO</v>
          </cell>
        </row>
        <row r="9292">
          <cell r="Z9292" t="str">
            <v>MOBILIARIO CLINICO</v>
          </cell>
          <cell r="AA9292" t="str">
            <v>IMPORTADORA, COMERCIALIZADORA Y DA</v>
          </cell>
        </row>
        <row r="9293">
          <cell r="Z9293" t="str">
            <v>MOBILIARIO CLINICO</v>
          </cell>
          <cell r="AA9293" t="str">
            <v>IMPORTADORA, COMERCIALIZADORA Y DA</v>
          </cell>
        </row>
        <row r="9294">
          <cell r="Z9294" t="str">
            <v>MOBILIARIO CLINICO</v>
          </cell>
          <cell r="AA9294" t="str">
            <v>IMPORTADORA, COMERCIALIZADORA Y DA</v>
          </cell>
        </row>
        <row r="9295">
          <cell r="Z9295" t="str">
            <v>MOBILIARIO CLINICO</v>
          </cell>
          <cell r="AA9295" t="str">
            <v>IMPORTADORA, COMERCIALIZADORA Y DA</v>
          </cell>
        </row>
        <row r="9296">
          <cell r="Z9296" t="str">
            <v>MOBILIARIO CLINICO</v>
          </cell>
          <cell r="AA9296" t="str">
            <v>IMPORTADORA, COMERCIALIZADORA Y DA</v>
          </cell>
        </row>
        <row r="9297">
          <cell r="Z9297" t="str">
            <v>MOBILIARIO CLINICO</v>
          </cell>
          <cell r="AA9297" t="str">
            <v>IMPORTADORA, COMERCIALIZADORA Y DA</v>
          </cell>
        </row>
        <row r="9298">
          <cell r="Z9298" t="str">
            <v>ESTERILIZACIÓN</v>
          </cell>
        </row>
        <row r="9299">
          <cell r="Z9299" t="str">
            <v>MMQ</v>
          </cell>
          <cell r="AA9299" t="str">
            <v>INSTITUTO NACIONAL DEL CANCER</v>
          </cell>
        </row>
        <row r="9300">
          <cell r="Z9300" t="str">
            <v>MMQ</v>
          </cell>
          <cell r="AA9300" t="str">
            <v>INSTITUTO NACIONAL DEL CANCER</v>
          </cell>
        </row>
        <row r="9301">
          <cell r="Z9301" t="str">
            <v>MMQ</v>
          </cell>
          <cell r="AA9301" t="str">
            <v>HOSPITAL DE QUILPUE</v>
          </cell>
        </row>
        <row r="9302">
          <cell r="Z9302" t="str">
            <v>MMQ</v>
          </cell>
          <cell r="AA9302" t="str">
            <v>HOSPITAL DEL SALVADOR</v>
          </cell>
        </row>
        <row r="9303">
          <cell r="Z9303" t="str">
            <v>MMQ</v>
          </cell>
          <cell r="AA9303" t="str">
            <v>HOSPITAL CLAUDIO VICUÑA</v>
          </cell>
        </row>
        <row r="9304">
          <cell r="Z9304" t="str">
            <v>MMQ</v>
          </cell>
          <cell r="AA9304" t="str">
            <v>GENDARMERIA DE CHILE</v>
          </cell>
        </row>
        <row r="9305">
          <cell r="Z9305" t="str">
            <v>MMQ</v>
          </cell>
          <cell r="AA9305" t="str">
            <v>GEMCO GENERAL MACHINERY S.A.</v>
          </cell>
        </row>
        <row r="9306">
          <cell r="Z9306" t="str">
            <v>MMQ</v>
          </cell>
        </row>
        <row r="9307">
          <cell r="Z9307" t="str">
            <v>MMQ</v>
          </cell>
        </row>
        <row r="9308">
          <cell r="Z9308" t="str">
            <v>MMQ</v>
          </cell>
          <cell r="AA9308" t="str">
            <v>GEMCO GENERAL MACHINERY S.A.</v>
          </cell>
        </row>
        <row r="9309">
          <cell r="Z9309" t="str">
            <v>MMQ</v>
          </cell>
          <cell r="AA9309" t="str">
            <v>HOSPITAL SAN PABLO DE COQUIMBO</v>
          </cell>
        </row>
        <row r="9310">
          <cell r="Z9310" t="str">
            <v>MMQ</v>
          </cell>
          <cell r="AA9310" t="str">
            <v>GEMCO GENERAL MACHINERY S.A.</v>
          </cell>
        </row>
        <row r="9311">
          <cell r="Z9311" t="str">
            <v>MMQ</v>
          </cell>
          <cell r="AA9311" t="str">
            <v>GEMCO GENERAL MACHINERY S.A.</v>
          </cell>
        </row>
        <row r="9312">
          <cell r="Z9312" t="str">
            <v>MMQ</v>
          </cell>
          <cell r="AA9312" t="str">
            <v>HOSPITAL DEL SALVADOR</v>
          </cell>
        </row>
        <row r="9313">
          <cell r="Z9313" t="str">
            <v>MMQ</v>
          </cell>
          <cell r="AA9313" t="str">
            <v>HOSPITAL SAN PABLO DE COQUIMBO</v>
          </cell>
        </row>
        <row r="9314">
          <cell r="Z9314" t="str">
            <v>MMQ</v>
          </cell>
        </row>
        <row r="9315">
          <cell r="Z9315" t="str">
            <v>MMQ</v>
          </cell>
        </row>
        <row r="9316">
          <cell r="Z9316" t="str">
            <v>DENTAL</v>
          </cell>
        </row>
        <row r="9317">
          <cell r="Z9317" t="str">
            <v>DENTAL</v>
          </cell>
          <cell r="AA9317" t="str">
            <v>CESFAM SAN VICENTE TALCAHUANO</v>
          </cell>
        </row>
        <row r="9318">
          <cell r="Z9318" t="str">
            <v>DENTAL</v>
          </cell>
          <cell r="AA9318" t="str">
            <v>CESFAM SAN VICENTE TALCAHUANO</v>
          </cell>
        </row>
        <row r="9319">
          <cell r="Z9319" t="str">
            <v>DENTAL</v>
          </cell>
          <cell r="AA9319" t="str">
            <v>CESFAM THOMAS FENTON</v>
          </cell>
        </row>
        <row r="9320">
          <cell r="Z9320" t="str">
            <v>DENTAL</v>
          </cell>
          <cell r="AA9320" t="str">
            <v>CLINICA PICHIMAPU SPA</v>
          </cell>
        </row>
        <row r="9321">
          <cell r="Z9321" t="str">
            <v>DENTAL</v>
          </cell>
        </row>
        <row r="9322">
          <cell r="Z9322" t="str">
            <v>DENTAL</v>
          </cell>
        </row>
        <row r="9323">
          <cell r="Z9323" t="str">
            <v>DENTAL</v>
          </cell>
          <cell r="AA9323" t="str">
            <v>HOSPITAL BARROS LUCO TRUDEAU</v>
          </cell>
        </row>
        <row r="9324">
          <cell r="Z9324" t="str">
            <v>DENTAL</v>
          </cell>
          <cell r="AA9324" t="str">
            <v>HOSPITAL DR. GUSTAVO FRICKE</v>
          </cell>
        </row>
        <row r="9325">
          <cell r="Z9325" t="str">
            <v>DENTAL</v>
          </cell>
          <cell r="AA9325" t="str">
            <v>SOCIEDAD MEDICA E IMAGENEOLOGICA ANCUD LTDA</v>
          </cell>
        </row>
        <row r="9326">
          <cell r="Z9326" t="str">
            <v>DENTAL</v>
          </cell>
          <cell r="AA9326" t="str">
            <v>ACHS</v>
          </cell>
        </row>
        <row r="9327">
          <cell r="Z9327" t="str">
            <v>DENTAL</v>
          </cell>
          <cell r="AA9327" t="str">
            <v>HOSPITAL BARROS LUCO TRUDEAU</v>
          </cell>
        </row>
        <row r="9328">
          <cell r="Z9328" t="str">
            <v>DENTAL</v>
          </cell>
          <cell r="AA9328" t="str">
            <v>HOSPITAL BARROS LUCO TRUDEAU</v>
          </cell>
        </row>
        <row r="9329">
          <cell r="Z9329" t="str">
            <v>DENTAL</v>
          </cell>
          <cell r="AA9329" t="str">
            <v>HOSPITAL BARROS LUCO TRUDEAU</v>
          </cell>
        </row>
        <row r="9330">
          <cell r="Z9330" t="str">
            <v>DENTAL</v>
          </cell>
        </row>
        <row r="9331">
          <cell r="Z9331" t="str">
            <v>DENTAL</v>
          </cell>
        </row>
        <row r="9332">
          <cell r="Z9332" t="str">
            <v>DENTAL</v>
          </cell>
          <cell r="AA9332" t="str">
            <v>HOSPITAL DE LA FLORIDA</v>
          </cell>
        </row>
        <row r="9333">
          <cell r="Z9333" t="str">
            <v>DENTAL</v>
          </cell>
        </row>
        <row r="9334">
          <cell r="Z9334" t="str">
            <v>DENTAL</v>
          </cell>
        </row>
        <row r="9335">
          <cell r="Z9335" t="str">
            <v>DENTAL</v>
          </cell>
          <cell r="AA9335" t="str">
            <v>GEMCO GENERAL MACHINERY S.A.</v>
          </cell>
        </row>
        <row r="9336">
          <cell r="Z9336" t="str">
            <v>DENTAL</v>
          </cell>
          <cell r="AA9336" t="str">
            <v>GEMCO GENERAL MACHINERY S.A.</v>
          </cell>
        </row>
        <row r="9337">
          <cell r="Z9337" t="str">
            <v>DENTAL</v>
          </cell>
          <cell r="AA9337" t="str">
            <v>GEMCO GENERAL MACHINERY S.A.</v>
          </cell>
        </row>
        <row r="9338">
          <cell r="Z9338" t="str">
            <v>DENTAL</v>
          </cell>
          <cell r="AA9338" t="str">
            <v>GEMCO GENERAL MACHINERY S.A.</v>
          </cell>
        </row>
        <row r="9339">
          <cell r="Z9339" t="str">
            <v>DENTAL</v>
          </cell>
          <cell r="AA9339" t="str">
            <v>GEMCO GENERAL MACHINERY S.A.</v>
          </cell>
        </row>
        <row r="9340">
          <cell r="Z9340" t="str">
            <v>DENTAL</v>
          </cell>
          <cell r="AA9340" t="str">
            <v>GEMCO GENERAL MACHINERY S.A.</v>
          </cell>
        </row>
        <row r="9341">
          <cell r="Z9341" t="str">
            <v>DENTAL</v>
          </cell>
          <cell r="AA9341" t="str">
            <v>INSTITUTO DE SALUD PUBLICA</v>
          </cell>
        </row>
        <row r="9342">
          <cell r="Z9342" t="str">
            <v>DENTAL</v>
          </cell>
        </row>
        <row r="9343">
          <cell r="Z9343" t="str">
            <v>DENTAL</v>
          </cell>
          <cell r="AA9343" t="str">
            <v>INSTITUTO DE SALUD PUBLICA</v>
          </cell>
        </row>
        <row r="9344">
          <cell r="Z9344" t="str">
            <v>DENTAL</v>
          </cell>
          <cell r="AA9344" t="str">
            <v>CLINICA ESTORIL</v>
          </cell>
        </row>
        <row r="9345">
          <cell r="Z9345" t="str">
            <v>DENTAL</v>
          </cell>
        </row>
        <row r="9346">
          <cell r="Z9346" t="str">
            <v>DENTAL</v>
          </cell>
          <cell r="AA9346" t="str">
            <v>HOSPITAL CLAUDIO VICUÑA</v>
          </cell>
        </row>
        <row r="9347">
          <cell r="Z9347" t="str">
            <v>DENTAL</v>
          </cell>
        </row>
        <row r="9348">
          <cell r="Z9348" t="str">
            <v>DENTAL</v>
          </cell>
        </row>
        <row r="9349">
          <cell r="Z9349" t="str">
            <v>DENTAL</v>
          </cell>
          <cell r="AA9349" t="str">
            <v>GEMCO GENERAL MACHINERY S.A.</v>
          </cell>
        </row>
        <row r="9350">
          <cell r="Z9350" t="str">
            <v>DENTAL</v>
          </cell>
        </row>
        <row r="9351">
          <cell r="Z9351" t="str">
            <v>DENTAL</v>
          </cell>
        </row>
        <row r="9352">
          <cell r="Z9352" t="str">
            <v>DENTAL</v>
          </cell>
        </row>
        <row r="9353">
          <cell r="Z9353" t="str">
            <v>DENTAL</v>
          </cell>
          <cell r="AA9353" t="str">
            <v>NORDEN</v>
          </cell>
        </row>
        <row r="9354">
          <cell r="Z9354" t="str">
            <v>DENTAL</v>
          </cell>
          <cell r="AA9354" t="str">
            <v>NORDEN</v>
          </cell>
        </row>
        <row r="9355">
          <cell r="Z9355" t="str">
            <v>DENTAL</v>
          </cell>
          <cell r="AA9355" t="str">
            <v>SOCIEDAD MEDICA E IMAGENEOLOGICA ANCUD LTDA</v>
          </cell>
        </row>
        <row r="9356">
          <cell r="Z9356" t="str">
            <v>DENTAL</v>
          </cell>
          <cell r="AA9356" t="str">
            <v>CRS PEÑALOLEN CORDILLERA ORIENTE </v>
          </cell>
        </row>
        <row r="9357">
          <cell r="Z9357" t="str">
            <v>DENTAL</v>
          </cell>
          <cell r="AA9357" t="str">
            <v>CRS PEÑALOLEN CORDILLERA ORIENTE </v>
          </cell>
        </row>
        <row r="9358">
          <cell r="Z9358" t="str">
            <v>DENTAL</v>
          </cell>
          <cell r="AA9358" t="str">
            <v>HOSPITAL BARROS LUCO TRUDEAU</v>
          </cell>
        </row>
        <row r="9359">
          <cell r="Z9359" t="str">
            <v>DENTAL</v>
          </cell>
          <cell r="AA9359" t="str">
            <v>HOSPITAL DE URGENCIA ASISTENCIA PUBLICA DR. ALEJ</v>
          </cell>
        </row>
        <row r="9360">
          <cell r="Z9360" t="str">
            <v>DENTAL</v>
          </cell>
          <cell r="AA9360" t="str">
            <v>NORDEN</v>
          </cell>
        </row>
        <row r="9361">
          <cell r="Z9361" t="str">
            <v>DENTAL</v>
          </cell>
          <cell r="AA9361" t="str">
            <v>DIPRECA FONDO HOSPITAL</v>
          </cell>
        </row>
        <row r="9362">
          <cell r="Z9362" t="str">
            <v>DENTAL</v>
          </cell>
        </row>
        <row r="9363">
          <cell r="Z9363" t="str">
            <v>DENTAL</v>
          </cell>
          <cell r="AA9363" t="str">
            <v>GEMCO GENERAL MACHINERY S.A.</v>
          </cell>
        </row>
        <row r="9364">
          <cell r="Z9364" t="str">
            <v>DENTAL</v>
          </cell>
          <cell r="AA9364" t="str">
            <v>NORDEN</v>
          </cell>
        </row>
        <row r="9365">
          <cell r="Z9365" t="str">
            <v>DENTAL</v>
          </cell>
          <cell r="AA9365" t="str">
            <v>NORDEN</v>
          </cell>
        </row>
        <row r="9366">
          <cell r="Z9366" t="str">
            <v>DENTAL</v>
          </cell>
          <cell r="AA9366" t="str">
            <v>CLINICA ESTORIL</v>
          </cell>
        </row>
        <row r="9367">
          <cell r="Z9367" t="str">
            <v>DENTAL</v>
          </cell>
          <cell r="AA9367" t="str">
            <v>CLINICA ESTORIL</v>
          </cell>
        </row>
        <row r="9368">
          <cell r="Z9368" t="str">
            <v>DENTAL</v>
          </cell>
          <cell r="AA9368" t="str">
            <v>CLINICA ESTORIL</v>
          </cell>
        </row>
        <row r="9369">
          <cell r="Z9369" t="str">
            <v>DENTAL</v>
          </cell>
        </row>
        <row r="9370">
          <cell r="Z9370" t="str">
            <v>DENTAL</v>
          </cell>
          <cell r="AA9370" t="str">
            <v>SOCIEDAD CONCESIONARIA METROPOLITANA DE SALUD S.A.</v>
          </cell>
        </row>
        <row r="9371">
          <cell r="Z9371" t="str">
            <v>DENTAL</v>
          </cell>
          <cell r="AA9371" t="str">
            <v>SOCIEDAD CONCESIONARIA METROPOLITANA DE SALUD S.A.</v>
          </cell>
        </row>
        <row r="9372">
          <cell r="Z9372" t="str">
            <v>DENTAL</v>
          </cell>
          <cell r="AA9372" t="str">
            <v>SOCIEDAD CONCESIONARIA METROPOLITANA DE SALUD S.A.</v>
          </cell>
        </row>
        <row r="9373">
          <cell r="Z9373" t="str">
            <v>DENTAL</v>
          </cell>
          <cell r="AA9373" t="str">
            <v>SOCIEDAD CONCESIONARIA METROPOLITANA DE SALUD S.A.</v>
          </cell>
        </row>
        <row r="9374">
          <cell r="Z9374" t="str">
            <v>DENTAL</v>
          </cell>
          <cell r="AA9374" t="str">
            <v>SOCIEDAD CONCESIONARIA METROPOLITANA DE SALUD S.A.</v>
          </cell>
        </row>
        <row r="9375">
          <cell r="Z9375" t="str">
            <v>DENTAL</v>
          </cell>
          <cell r="AA9375" t="str">
            <v>SOCIEDAD CONCESIONARIA METROPOLITANA DE SALUD S.A.</v>
          </cell>
        </row>
        <row r="9376">
          <cell r="Z9376" t="str">
            <v>DENTAL</v>
          </cell>
          <cell r="AA9376" t="str">
            <v>SOCIEDAD CONCESIONARIA METROPOLITANA DE SALUD S.A.</v>
          </cell>
        </row>
        <row r="9377">
          <cell r="Z9377" t="str">
            <v>DENTAL</v>
          </cell>
          <cell r="AA9377" t="str">
            <v>SOCIEDAD CONCESIONARIA METROPOLITANA DE SALUD S.A.</v>
          </cell>
        </row>
        <row r="9378">
          <cell r="Z9378" t="str">
            <v>DENTAL</v>
          </cell>
          <cell r="AA9378" t="str">
            <v>SOCIEDAD CONCESIONARIA METROPOLITANA DE SALUD S.A.</v>
          </cell>
        </row>
        <row r="9379">
          <cell r="Z9379" t="str">
            <v>DENTAL</v>
          </cell>
          <cell r="AA9379" t="str">
            <v>SOCIEDAD CONCESIONARIA METROPOLITANA DE SALUD S.A.</v>
          </cell>
        </row>
        <row r="9380">
          <cell r="Z9380" t="str">
            <v>DENTAL</v>
          </cell>
          <cell r="AA9380" t="str">
            <v>SOCIEDAD CONCESIONARIA METROPOLITANA DE SALUD S.A.</v>
          </cell>
        </row>
        <row r="9381">
          <cell r="Z9381" t="str">
            <v>DENTAL</v>
          </cell>
          <cell r="AA9381" t="str">
            <v>SOCIEDAD CONCESIONARIA METROPOLITANA DE SALUD S.A.</v>
          </cell>
        </row>
        <row r="9382">
          <cell r="Z9382" t="str">
            <v>DENTAL</v>
          </cell>
          <cell r="AA9382" t="str">
            <v>SOCIEDAD CONCESIONARIA METROPOLITANA DE SALUD S.A.</v>
          </cell>
        </row>
        <row r="9383">
          <cell r="Z9383" t="str">
            <v>DENTAL</v>
          </cell>
          <cell r="AA9383" t="str">
            <v>SOCIEDAD CONCESIONARIA METROPOLITANA DE SALUD S.A.</v>
          </cell>
        </row>
        <row r="9384">
          <cell r="Z9384" t="str">
            <v>DENTAL</v>
          </cell>
          <cell r="AA9384" t="str">
            <v>SOCIEDAD CONCESIONARIA METROPOLITANA DE SALUD S.A.</v>
          </cell>
        </row>
        <row r="9385">
          <cell r="Z9385" t="str">
            <v>DENTAL</v>
          </cell>
          <cell r="AA9385" t="str">
            <v>SOCIEDAD CONCESIONARIA METROPOLITANA DE SALUD S.A.</v>
          </cell>
        </row>
        <row r="9386">
          <cell r="Z9386" t="str">
            <v>DENTAL</v>
          </cell>
          <cell r="AA9386" t="str">
            <v>SOCIEDAD CONCESIONARIA METROPOLITANA DE SALUD S.A.</v>
          </cell>
        </row>
        <row r="9387">
          <cell r="Z9387" t="str">
            <v>DENTAL</v>
          </cell>
          <cell r="AA9387" t="str">
            <v>SOCIEDAD CONCESIONARIA METROPOLITANA DE SALUD S.A.</v>
          </cell>
        </row>
        <row r="9388">
          <cell r="Z9388" t="str">
            <v>DENTAL</v>
          </cell>
          <cell r="AA9388" t="str">
            <v>SOCIEDAD CONCESIONARIA METROPOLITANA DE SALUD S.A.</v>
          </cell>
        </row>
        <row r="9389">
          <cell r="Z9389" t="str">
            <v>DENTAL</v>
          </cell>
          <cell r="AA9389" t="str">
            <v>SOCIEDAD CONCESIONARIA METROPOLITANA DE SALUD S.A.</v>
          </cell>
        </row>
        <row r="9390">
          <cell r="Z9390" t="str">
            <v>DENTAL</v>
          </cell>
          <cell r="AA9390" t="str">
            <v>SOCIEDAD CONCESIONARIA METROPOLITANA DE SALUD S.A.</v>
          </cell>
        </row>
        <row r="9391">
          <cell r="Z9391" t="str">
            <v>DENTAL</v>
          </cell>
          <cell r="AA9391" t="str">
            <v>SOCIEDAD CONCESIONARIA METROPOLITANA DE SALUD S.A.</v>
          </cell>
        </row>
        <row r="9392">
          <cell r="Z9392" t="str">
            <v>DENTAL</v>
          </cell>
        </row>
        <row r="9393">
          <cell r="Z9393" t="str">
            <v>DENTAL</v>
          </cell>
          <cell r="AA9393" t="str">
            <v>SOCIEDAD CONCESIONARIA METROPOLITANA DE SALUD S.A.</v>
          </cell>
        </row>
        <row r="9394">
          <cell r="Z9394" t="str">
            <v>DENTAL</v>
          </cell>
          <cell r="AA9394" t="str">
            <v>SOCIEDAD CONCESIONARIA METROPOLITANA DE SALUD S.A.</v>
          </cell>
        </row>
        <row r="9395">
          <cell r="Z9395" t="str">
            <v>DENTAL</v>
          </cell>
          <cell r="AA9395" t="str">
            <v>SOCIEDAD CONCESIONARIA METROPOLITANA DE SALUD S.A.</v>
          </cell>
        </row>
        <row r="9396">
          <cell r="Z9396" t="str">
            <v>DENTAL</v>
          </cell>
          <cell r="AA9396" t="str">
            <v>SOCIEDAD CONCESIONARIA METROPOLITANA DE SALUD S.A.</v>
          </cell>
        </row>
        <row r="9397">
          <cell r="Z9397" t="str">
            <v>DENTAL</v>
          </cell>
          <cell r="AA9397" t="str">
            <v>CESFAM URBANO DE ILLAPEL</v>
          </cell>
        </row>
        <row r="9398">
          <cell r="Z9398" t="str">
            <v>DENTAL</v>
          </cell>
          <cell r="AA9398" t="str">
            <v>INGELSERVICE</v>
          </cell>
        </row>
        <row r="9399">
          <cell r="Z9399" t="str">
            <v>DENTAL</v>
          </cell>
          <cell r="AA9399" t="str">
            <v>INGELSERVICE</v>
          </cell>
        </row>
        <row r="9400">
          <cell r="Z9400" t="str">
            <v>DENTAL</v>
          </cell>
          <cell r="AA9400" t="str">
            <v>HOSPITAL DE LA FLORIDA</v>
          </cell>
        </row>
        <row r="9401">
          <cell r="Z9401" t="str">
            <v>DENTAL</v>
          </cell>
          <cell r="AA9401" t="str">
            <v>SOCIEDAD CONCESIONARIA METROPOLITANA DE SALUD S.A.</v>
          </cell>
        </row>
        <row r="9402">
          <cell r="Z9402" t="str">
            <v>DENTAL</v>
          </cell>
          <cell r="AA9402" t="str">
            <v>SOCIEDAD CONCESIONARIA METROPOLITANA DE SALUD S.A.</v>
          </cell>
        </row>
        <row r="9403">
          <cell r="Z9403" t="str">
            <v>DENTAL</v>
          </cell>
        </row>
        <row r="9404">
          <cell r="Z9404" t="str">
            <v>DENTAL</v>
          </cell>
          <cell r="AA9404" t="str">
            <v>S.S VIÑA DEL MAR-QUILLOTA</v>
          </cell>
        </row>
        <row r="9405">
          <cell r="Z9405" t="str">
            <v>DENTAL</v>
          </cell>
          <cell r="AA9405" t="str">
            <v>INTEGRAMEDICA TOBALABA</v>
          </cell>
        </row>
        <row r="9406">
          <cell r="Z9406" t="str">
            <v>ESTERILIZACIÓN</v>
          </cell>
          <cell r="AA9406" t="str">
            <v>JOHNSON &amp; JOHNSON DE CHILE S.A.</v>
          </cell>
        </row>
        <row r="9407">
          <cell r="Z9407" t="str">
            <v>ENDOSCOPÍA</v>
          </cell>
        </row>
        <row r="9408">
          <cell r="Z9408" t="str">
            <v>ENDOSCOPÍA</v>
          </cell>
          <cell r="AA9408" t="str">
            <v>GEMCO GENERAL MACHINERY S.A.</v>
          </cell>
        </row>
        <row r="9409">
          <cell r="Z9409" t="str">
            <v>ESTERILIZACIÓN</v>
          </cell>
          <cell r="AA9409" t="str">
            <v>HOSPITAL DE PUERTO MONTT</v>
          </cell>
        </row>
        <row r="9410">
          <cell r="Z9410" t="str">
            <v>ESTERILIZACIÓN</v>
          </cell>
          <cell r="AA9410" t="str">
            <v>HOSPITAL DE PUERTO MONTT</v>
          </cell>
        </row>
        <row r="9411">
          <cell r="Z9411" t="str">
            <v>ESTERILIZACIÓN</v>
          </cell>
          <cell r="AA9411" t="str">
            <v>HOSPITAL DE PUERTO MONTT</v>
          </cell>
        </row>
        <row r="9412">
          <cell r="Z9412" t="str">
            <v>ESTERILIZACIÓN</v>
          </cell>
          <cell r="AA9412" t="str">
            <v>HOSPITAL DE PUERTO MONTT</v>
          </cell>
        </row>
        <row r="9413">
          <cell r="Z9413" t="str">
            <v>INCARDIA</v>
          </cell>
          <cell r="AA9413" t="str">
            <v>GEMCO GENERAL MACHINERY S.A.</v>
          </cell>
        </row>
        <row r="9414">
          <cell r="Z9414" t="str">
            <v>INCARDIA</v>
          </cell>
        </row>
        <row r="9415">
          <cell r="Z9415" t="str">
            <v>INCARDIA</v>
          </cell>
        </row>
        <row r="9416">
          <cell r="Z9416" t="str">
            <v>INCARDIA</v>
          </cell>
          <cell r="AA9416" t="str">
            <v>KINEROD BUIN</v>
          </cell>
        </row>
        <row r="9417">
          <cell r="Z9417" t="str">
            <v>INCARDIA</v>
          </cell>
          <cell r="AA9417" t="str">
            <v>KINEROD BUIN</v>
          </cell>
        </row>
        <row r="9418">
          <cell r="Z9418" t="str">
            <v>INCARDIA</v>
          </cell>
        </row>
        <row r="9419">
          <cell r="Z9419" t="str">
            <v>INCARDIA</v>
          </cell>
          <cell r="AA9419" t="str">
            <v>KINEROD BUIN</v>
          </cell>
        </row>
        <row r="9420">
          <cell r="Z9420" t="str">
            <v>INCARDIA</v>
          </cell>
          <cell r="AA9420" t="str">
            <v>CLINICA REDMEDICAL</v>
          </cell>
        </row>
        <row r="9421">
          <cell r="Z9421" t="str">
            <v>INCARDIA</v>
          </cell>
        </row>
        <row r="9422">
          <cell r="Z9422" t="str">
            <v>INCARDIA</v>
          </cell>
        </row>
        <row r="9423">
          <cell r="Z9423" t="str">
            <v>INCARDIA</v>
          </cell>
          <cell r="AA9423" t="str">
            <v>HOSPITAL CLINICO SAN BORJA-ARRIARAN</v>
          </cell>
        </row>
        <row r="9424">
          <cell r="Z9424" t="str">
            <v>INCARDIA</v>
          </cell>
          <cell r="AA9424" t="str">
            <v>HOSPITAL CLINICO SAN BORJA-ARRIARAN</v>
          </cell>
        </row>
        <row r="9425">
          <cell r="Z9425" t="str">
            <v>INCARDIA</v>
          </cell>
          <cell r="AA9425" t="str">
            <v>HOSPITAL CLINICO SAN BORJA-ARRIARAN</v>
          </cell>
        </row>
        <row r="9426">
          <cell r="Z9426" t="str">
            <v>INCARDIA</v>
          </cell>
          <cell r="AA9426" t="str">
            <v>HOSPITAL CLINICO SAN BORJA-ARRIARAN</v>
          </cell>
        </row>
        <row r="9427">
          <cell r="Z9427" t="str">
            <v>INCARDIA</v>
          </cell>
        </row>
        <row r="9428">
          <cell r="Z9428" t="str">
            <v>INCARDIA</v>
          </cell>
        </row>
        <row r="9429">
          <cell r="Z9429" t="str">
            <v>INCARDIA</v>
          </cell>
          <cell r="AA9429" t="str">
            <v>IMPORTADORA, COMERCIALIZADORA Y DA</v>
          </cell>
        </row>
        <row r="9430">
          <cell r="Z9430" t="str">
            <v>INCARDIA</v>
          </cell>
          <cell r="AA9430" t="str">
            <v>IMPORTADORA, COMERCIALIZADORA Y DA</v>
          </cell>
        </row>
        <row r="9431">
          <cell r="Z9431" t="str">
            <v>INCARDIA</v>
          </cell>
        </row>
        <row r="9432">
          <cell r="Z9432" t="str">
            <v>INCARDIA</v>
          </cell>
          <cell r="AA9432" t="str">
            <v>IMPORTADORA, COMERCIALIZADORA Y DA</v>
          </cell>
        </row>
        <row r="9433">
          <cell r="Z9433" t="str">
            <v>INCARDIA</v>
          </cell>
        </row>
        <row r="9434">
          <cell r="Z9434" t="str">
            <v>INCARDIA</v>
          </cell>
        </row>
        <row r="9435">
          <cell r="Z9435" t="str">
            <v>INCARDIA</v>
          </cell>
        </row>
        <row r="9436">
          <cell r="Z9436" t="str">
            <v>INCARDIA</v>
          </cell>
        </row>
        <row r="9437">
          <cell r="Z9437" t="str">
            <v>INCARDIA</v>
          </cell>
        </row>
        <row r="9438">
          <cell r="Z9438" t="str">
            <v>INCARDIA</v>
          </cell>
        </row>
        <row r="9439">
          <cell r="Z9439" t="str">
            <v>INCARDIA</v>
          </cell>
        </row>
        <row r="9440">
          <cell r="Z9440" t="str">
            <v>INCARDIA</v>
          </cell>
          <cell r="AA9440" t="str">
            <v>HOSPITAL  SAN JOSE DE MAIPO</v>
          </cell>
        </row>
        <row r="9441">
          <cell r="Z9441" t="str">
            <v>INCARDIA</v>
          </cell>
          <cell r="AA9441" t="str">
            <v>HOSPITAL  SAN JOSE DE MAIPO</v>
          </cell>
        </row>
        <row r="9442">
          <cell r="Z9442" t="str">
            <v>INCARDIA</v>
          </cell>
          <cell r="AA9442" t="str">
            <v>HOSPITAL  SAN JOSE DE MAIPO</v>
          </cell>
        </row>
        <row r="9443">
          <cell r="Z9443" t="str">
            <v>INCARDIA</v>
          </cell>
          <cell r="AA9443" t="str">
            <v>HOSPITAL  SAN JOSE DE MAIPO</v>
          </cell>
        </row>
        <row r="9444">
          <cell r="Z9444" t="str">
            <v>INCARDIA</v>
          </cell>
          <cell r="AA9444" t="str">
            <v>HOSPITAL  SAN JOSE DE MAIPO</v>
          </cell>
        </row>
        <row r="9445">
          <cell r="Z9445" t="str">
            <v>INCARDIA</v>
          </cell>
          <cell r="AA9445" t="str">
            <v>HOSPITAL  SAN JOSE DE MAIPO</v>
          </cell>
        </row>
        <row r="9446">
          <cell r="Z9446" t="str">
            <v>INCARDIA</v>
          </cell>
          <cell r="AA9446" t="str">
            <v>HOSPITAL  SAN JOSE DE MAIPO</v>
          </cell>
        </row>
        <row r="9447">
          <cell r="Z9447" t="str">
            <v>INCARDIA</v>
          </cell>
          <cell r="AA9447" t="str">
            <v>HOSPITAL  SAN JOSE DE MAIPO</v>
          </cell>
        </row>
        <row r="9448">
          <cell r="Z9448" t="str">
            <v>ENDOSCOPÍA</v>
          </cell>
          <cell r="AA9448" t="str">
            <v>INSTITUTO NACIONAL DEL TORAX</v>
          </cell>
        </row>
        <row r="9449">
          <cell r="Z9449" t="str">
            <v>ENDOSCOPÍA</v>
          </cell>
          <cell r="AA9449" t="str">
            <v>INSTITUTO NACIONAL DEL TORAX</v>
          </cell>
        </row>
        <row r="9450">
          <cell r="Z9450" t="str">
            <v>INCARDIA</v>
          </cell>
        </row>
        <row r="9451">
          <cell r="Z9451" t="str">
            <v>INCARDIA</v>
          </cell>
        </row>
        <row r="9452">
          <cell r="Z9452" t="str">
            <v>INCARDIA</v>
          </cell>
        </row>
        <row r="9453">
          <cell r="Z9453" t="str">
            <v>ENDOSCOPÍA</v>
          </cell>
        </row>
        <row r="9454">
          <cell r="Z9454" t="str">
            <v>ENDOSCOPÍA</v>
          </cell>
          <cell r="AA9454" t="str">
            <v>KINEROD BUIN</v>
          </cell>
        </row>
        <row r="9455">
          <cell r="Z9455" t="str">
            <v>ENDOSCOPÍA</v>
          </cell>
        </row>
        <row r="9456">
          <cell r="Z9456" t="str">
            <v>ENDOSCOPÍA</v>
          </cell>
        </row>
        <row r="9457">
          <cell r="Z9457" t="str">
            <v>ENDOSCOPÍA</v>
          </cell>
          <cell r="AA9457" t="str">
            <v>HOSPITAL SAN PABLO DE COQUIMBO</v>
          </cell>
        </row>
        <row r="9458">
          <cell r="Z9458" t="str">
            <v>INCARDIA</v>
          </cell>
          <cell r="AA9458" t="str">
            <v>GEMCO GENERAL MACHINERY S.A.</v>
          </cell>
        </row>
        <row r="9459">
          <cell r="Z9459" t="str">
            <v>INCARDIA</v>
          </cell>
        </row>
        <row r="9460">
          <cell r="Z9460" t="str">
            <v>ENDOSCOPÍA</v>
          </cell>
        </row>
        <row r="9461">
          <cell r="Z9461" t="str">
            <v>INCARDIA</v>
          </cell>
          <cell r="AA9461" t="str">
            <v>GEMCO GENERAL MACHINERY S.A.</v>
          </cell>
        </row>
        <row r="9462">
          <cell r="Z9462" t="str">
            <v>ENDOSCOPÍA</v>
          </cell>
          <cell r="AA9462" t="str">
            <v>CLINICA REDMEDICAL</v>
          </cell>
        </row>
        <row r="9463">
          <cell r="Z9463" t="str">
            <v>ENDOSCOPÍA</v>
          </cell>
          <cell r="AA9463" t="str">
            <v>CLÍNICA INTERMEDICAL LTDA.</v>
          </cell>
        </row>
        <row r="9464">
          <cell r="Z9464" t="str">
            <v>ENDOSCOPÍA</v>
          </cell>
          <cell r="AA9464" t="str">
            <v>HOSPITAL METROPOLITANO DE SANTIAGO</v>
          </cell>
        </row>
        <row r="9465">
          <cell r="Z9465" t="str">
            <v>INCARDIA</v>
          </cell>
          <cell r="AA9465" t="str">
            <v>UC CHRISTUS SERVICIOS AMBULATORIOS SPA</v>
          </cell>
        </row>
        <row r="9466">
          <cell r="Z9466" t="str">
            <v>INCARDIA</v>
          </cell>
          <cell r="AA9466" t="str">
            <v>GEMCO GENERAL MACHINERY S.A.</v>
          </cell>
        </row>
        <row r="9467">
          <cell r="Z9467" t="str">
            <v>INCARDIA</v>
          </cell>
          <cell r="AA9467" t="str">
            <v>HOSPITAL ROBERTO DEL RIO</v>
          </cell>
        </row>
        <row r="9468">
          <cell r="Z9468" t="str">
            <v>ENDOSCOPÍA</v>
          </cell>
          <cell r="AA9468" t="str">
            <v>HOSPITAL DE PUERTO AYSEN</v>
          </cell>
        </row>
        <row r="9469">
          <cell r="Z9469" t="str">
            <v>ENDOSCOPÍA</v>
          </cell>
          <cell r="AA9469" t="str">
            <v>GEMCO GENERAL MACHINERY S.A.</v>
          </cell>
        </row>
        <row r="9470">
          <cell r="Z9470" t="str">
            <v>ENDOSCOPÍA</v>
          </cell>
        </row>
        <row r="9471">
          <cell r="Z9471" t="str">
            <v>ENDOSCOPÍA</v>
          </cell>
          <cell r="AA9471" t="str">
            <v>GEMCO GENERAL MACHINERY S.A.</v>
          </cell>
        </row>
        <row r="9472">
          <cell r="Z9472" t="str">
            <v>INCARDIA</v>
          </cell>
          <cell r="AA9472" t="str">
            <v>INSTITUTO NACIONAL DE GERIATRIA</v>
          </cell>
        </row>
        <row r="9473">
          <cell r="Z9473" t="str">
            <v>INCARDIA</v>
          </cell>
          <cell r="AA9473" t="str">
            <v>INSTITUTO NACIONAL DE GERIATRIA</v>
          </cell>
        </row>
        <row r="9474">
          <cell r="Z9474" t="str">
            <v>INCARDIA</v>
          </cell>
          <cell r="AA9474" t="str">
            <v>SERVICIO DE SALUD BIO-BIO</v>
          </cell>
        </row>
        <row r="9475">
          <cell r="Z9475" t="str">
            <v>INCARDIA</v>
          </cell>
          <cell r="AA9475" t="str">
            <v>HOSPITAL LA SERENA</v>
          </cell>
        </row>
        <row r="9476">
          <cell r="Z9476" t="str">
            <v>INCARDIA</v>
          </cell>
          <cell r="AA9476" t="str">
            <v>SOCIEDAD CONCESIONARIA METROPOLITANA DE SALUD S.A.</v>
          </cell>
        </row>
        <row r="9477">
          <cell r="Z9477" t="str">
            <v>INCARDIA</v>
          </cell>
        </row>
        <row r="9478">
          <cell r="Z9478" t="str">
            <v>INCARDIA</v>
          </cell>
          <cell r="AA9478" t="str">
            <v>CESFAM RAUL BRAÑES</v>
          </cell>
        </row>
        <row r="9479">
          <cell r="Z9479" t="str">
            <v>INCARDIA</v>
          </cell>
        </row>
        <row r="9480">
          <cell r="Z9480" t="str">
            <v>INCARDIA</v>
          </cell>
        </row>
        <row r="9481">
          <cell r="Z9481" t="str">
            <v>INCARDIA</v>
          </cell>
        </row>
        <row r="9482">
          <cell r="Z9482" t="str">
            <v>INCARDIA</v>
          </cell>
        </row>
        <row r="9483">
          <cell r="Z9483" t="str">
            <v>INCARDIA</v>
          </cell>
        </row>
        <row r="9484">
          <cell r="Z9484" t="str">
            <v>INCARDIA</v>
          </cell>
          <cell r="AA9484" t="str">
            <v>CESFAM RAUL BRAÑES</v>
          </cell>
        </row>
        <row r="9485">
          <cell r="Z9485" t="str">
            <v>INCARDIA</v>
          </cell>
        </row>
        <row r="9486">
          <cell r="Z9486" t="str">
            <v>INCARDIA</v>
          </cell>
        </row>
        <row r="9487">
          <cell r="Z9487" t="str">
            <v>INCARDIA</v>
          </cell>
          <cell r="AA9487" t="str">
            <v>CESFAM RAUL BRAÑES</v>
          </cell>
        </row>
        <row r="9488">
          <cell r="Z9488" t="str">
            <v>INCARDIA</v>
          </cell>
        </row>
        <row r="9489">
          <cell r="Z9489" t="str">
            <v>INCARDIA</v>
          </cell>
        </row>
        <row r="9490">
          <cell r="Z9490" t="str">
            <v>INCARDIA</v>
          </cell>
        </row>
        <row r="9491">
          <cell r="Z9491" t="str">
            <v>INCARDIA</v>
          </cell>
          <cell r="AA9491" t="str">
            <v>HOSPITAL DE CARAHUE</v>
          </cell>
        </row>
        <row r="9492">
          <cell r="Z9492" t="str">
            <v>INCARDIA</v>
          </cell>
          <cell r="AA9492" t="str">
            <v>HOSPITAL DE CARAHUE</v>
          </cell>
        </row>
        <row r="9493">
          <cell r="Z9493" t="str">
            <v>INCARDIA</v>
          </cell>
          <cell r="AA9493" t="str">
            <v>HOSPITAL DE CARAHUE</v>
          </cell>
        </row>
        <row r="9494">
          <cell r="Z9494" t="str">
            <v>INCARDIA</v>
          </cell>
          <cell r="AA9494" t="str">
            <v>HOSPITAL DE CARAHUE</v>
          </cell>
        </row>
        <row r="9495">
          <cell r="Z9495" t="str">
            <v>INCARDIA</v>
          </cell>
          <cell r="AA9495" t="str">
            <v>HOSPITAL DE CARAHUE</v>
          </cell>
        </row>
        <row r="9496">
          <cell r="Z9496" t="str">
            <v>INCARDIA</v>
          </cell>
          <cell r="AA9496" t="str">
            <v>HOSPITAL DE CARAHUE</v>
          </cell>
        </row>
        <row r="9497">
          <cell r="Z9497" t="str">
            <v>INCARDIA</v>
          </cell>
          <cell r="AA9497" t="str">
            <v>HOSPITAL DE CARAHUE</v>
          </cell>
        </row>
        <row r="9498">
          <cell r="Z9498" t="str">
            <v>INCARDIA</v>
          </cell>
          <cell r="AA9498" t="str">
            <v>HOSPITAL DE CARAHUE</v>
          </cell>
        </row>
        <row r="9499">
          <cell r="Z9499" t="str">
            <v>INCARDIA</v>
          </cell>
          <cell r="AA9499" t="str">
            <v>HOSPITAL DE CARAHUE</v>
          </cell>
        </row>
        <row r="9500">
          <cell r="Z9500" t="str">
            <v>INCARDIA</v>
          </cell>
          <cell r="AA9500" t="str">
            <v>HOSPITAL DE CARAHUE</v>
          </cell>
        </row>
        <row r="9501">
          <cell r="Z9501" t="str">
            <v>INCARDIA</v>
          </cell>
          <cell r="AA9501" t="str">
            <v>HOSPITAL DE CARAHUE</v>
          </cell>
        </row>
        <row r="9502">
          <cell r="Z9502" t="str">
            <v>INCARDIA</v>
          </cell>
          <cell r="AA9502" t="str">
            <v>HOSPITAL DE CARAHUE</v>
          </cell>
        </row>
        <row r="9503">
          <cell r="Z9503" t="str">
            <v>INCARDIA</v>
          </cell>
          <cell r="AA9503" t="str">
            <v>HOSPITAL DE CARAHUE</v>
          </cell>
        </row>
        <row r="9504">
          <cell r="Z9504" t="str">
            <v>INCARDIA</v>
          </cell>
          <cell r="AA9504" t="str">
            <v>HOSPITAL DE CARAHUE</v>
          </cell>
        </row>
        <row r="9505">
          <cell r="Z9505" t="str">
            <v>INCARDIA</v>
          </cell>
          <cell r="AA9505" t="str">
            <v>HOSPITAL DE CARAHUE</v>
          </cell>
        </row>
        <row r="9506">
          <cell r="Z9506" t="str">
            <v>INCARDIA</v>
          </cell>
          <cell r="AA9506" t="str">
            <v>HOSPITAL DE CARAHUE</v>
          </cell>
        </row>
        <row r="9507">
          <cell r="Z9507" t="str">
            <v>INCARDIA</v>
          </cell>
          <cell r="AA9507" t="str">
            <v>HOSPITAL DE CARAHUE</v>
          </cell>
        </row>
        <row r="9508">
          <cell r="Z9508" t="str">
            <v>INCARDIA</v>
          </cell>
          <cell r="AA9508" t="str">
            <v>HOSPITAL DE CARAHUE</v>
          </cell>
        </row>
        <row r="9509">
          <cell r="Z9509" t="str">
            <v>INCARDIA</v>
          </cell>
          <cell r="AA9509" t="str">
            <v>HOSPITAL DE CARAHUE</v>
          </cell>
        </row>
        <row r="9510">
          <cell r="Z9510" t="str">
            <v>INCARDIA</v>
          </cell>
          <cell r="AA9510" t="str">
            <v>HOSPITAL DE PUERTO MONTT</v>
          </cell>
        </row>
        <row r="9511">
          <cell r="Z9511" t="str">
            <v>INCARDIA</v>
          </cell>
          <cell r="AA9511" t="str">
            <v>HOSPITAL DE PUERTO MONTT</v>
          </cell>
        </row>
        <row r="9512">
          <cell r="Z9512" t="str">
            <v>INCARDIA</v>
          </cell>
          <cell r="AA9512" t="str">
            <v>HOSPITAL DE PUERTO MONTT</v>
          </cell>
        </row>
        <row r="9513">
          <cell r="Z9513" t="str">
            <v>INCARDIA</v>
          </cell>
          <cell r="AA9513" t="str">
            <v>HOSPITAL DE PUERTO MONTT</v>
          </cell>
        </row>
        <row r="9514">
          <cell r="Z9514" t="str">
            <v>INCARDIA</v>
          </cell>
          <cell r="AA9514" t="str">
            <v>HOSPITAL DE PUERTO MONTT</v>
          </cell>
        </row>
        <row r="9515">
          <cell r="Z9515" t="str">
            <v>INCARDIA</v>
          </cell>
          <cell r="AA9515" t="str">
            <v>HOSPITAL DE PUERTO MONTT</v>
          </cell>
        </row>
        <row r="9516">
          <cell r="Z9516" t="str">
            <v>INCARDIA</v>
          </cell>
          <cell r="AA9516" t="str">
            <v>HOSPITAL DE PUERTO MONTT</v>
          </cell>
        </row>
        <row r="9517">
          <cell r="Z9517" t="str">
            <v>INCARDIA</v>
          </cell>
          <cell r="AA9517" t="str">
            <v>HOSPITAL DE PUERTO MONTT</v>
          </cell>
        </row>
        <row r="9518">
          <cell r="Z9518" t="str">
            <v>INCARDIA</v>
          </cell>
          <cell r="AA9518" t="str">
            <v>HOSPITAL DE PUERTO MONTT</v>
          </cell>
        </row>
        <row r="9519">
          <cell r="Z9519" t="str">
            <v>INCARDIA</v>
          </cell>
          <cell r="AA9519" t="str">
            <v>HOSPITAL DE PUERTO MONTT</v>
          </cell>
        </row>
        <row r="9520">
          <cell r="Z9520" t="str">
            <v>INCARDIA</v>
          </cell>
          <cell r="AA9520" t="str">
            <v>GEMCO GENERAL MACHINERY S.A.</v>
          </cell>
        </row>
        <row r="9521">
          <cell r="Z9521" t="str">
            <v>INCARDIA</v>
          </cell>
          <cell r="AA9521" t="str">
            <v>GEMCO GENERAL MACHINERY S.A.</v>
          </cell>
        </row>
        <row r="9522">
          <cell r="Z9522" t="str">
            <v>INCARDIA</v>
          </cell>
          <cell r="AA9522" t="str">
            <v>GEMCO GENERAL MACHINERY S.A.</v>
          </cell>
        </row>
        <row r="9523">
          <cell r="Z9523" t="str">
            <v>INCARDIA</v>
          </cell>
          <cell r="AA9523" t="str">
            <v>SOCIEDAD CONCESIONARIA METROPOLITANA DE SALUD S.A.</v>
          </cell>
        </row>
        <row r="9524">
          <cell r="Z9524" t="str">
            <v>INCARDIA</v>
          </cell>
          <cell r="AA9524" t="str">
            <v>GEMCO GENERAL MACHINERY S.A.</v>
          </cell>
        </row>
        <row r="9525">
          <cell r="Z9525" t="str">
            <v>INCARDIA</v>
          </cell>
          <cell r="AA9525" t="str">
            <v>SOCIEDAD CONCESIONARIA METROPOLITANA DE SALUD S.A.</v>
          </cell>
        </row>
        <row r="9526">
          <cell r="Z9526" t="str">
            <v>INCARDIA</v>
          </cell>
          <cell r="AA9526" t="str">
            <v>GEMCO GENERAL MACHINERY S.A.</v>
          </cell>
        </row>
        <row r="9527">
          <cell r="Z9527" t="str">
            <v>INCARDIA</v>
          </cell>
          <cell r="AA9527" t="str">
            <v>GEMCO GENERAL MACHINERY S.A.</v>
          </cell>
        </row>
        <row r="9528">
          <cell r="Z9528" t="str">
            <v>INCARDIA</v>
          </cell>
          <cell r="AA9528" t="str">
            <v>GEMCO GENERAL MACHINERY S.A.</v>
          </cell>
        </row>
        <row r="9529">
          <cell r="Z9529" t="str">
            <v>INCARDIA</v>
          </cell>
        </row>
        <row r="9530">
          <cell r="Z9530" t="str">
            <v>INCARDIA</v>
          </cell>
          <cell r="AA9530" t="str">
            <v>HOSPITAL LAS HIGUERAS</v>
          </cell>
        </row>
        <row r="9531">
          <cell r="Z9531" t="str">
            <v>INCARDIA</v>
          </cell>
          <cell r="AA9531" t="str">
            <v>HOSPITAL LAS HIGUERAS</v>
          </cell>
        </row>
        <row r="9532">
          <cell r="Z9532" t="str">
            <v>INCARDIA</v>
          </cell>
          <cell r="AA9532" t="str">
            <v>HOSPITAL LAS HIGUERAS</v>
          </cell>
        </row>
        <row r="9533">
          <cell r="Z9533" t="str">
            <v>INCARDIA</v>
          </cell>
          <cell r="AA9533" t="str">
            <v>HOSPITAL LAS HIGUERAS</v>
          </cell>
        </row>
        <row r="9534">
          <cell r="Z9534" t="str">
            <v>INCARDIA</v>
          </cell>
          <cell r="AA9534" t="str">
            <v>HOSPITAL LAS HIGUERAS</v>
          </cell>
        </row>
        <row r="9535">
          <cell r="Z9535" t="str">
            <v>INCARDIA</v>
          </cell>
        </row>
        <row r="9536">
          <cell r="Z9536" t="str">
            <v>INCARDIA</v>
          </cell>
        </row>
        <row r="9537">
          <cell r="Z9537" t="str">
            <v>INCARDIA</v>
          </cell>
          <cell r="AA9537" t="str">
            <v>GEMCO GENERAL MACHINERY S.A.</v>
          </cell>
        </row>
        <row r="9538">
          <cell r="Z9538" t="str">
            <v>INCARDIA</v>
          </cell>
          <cell r="AA9538" t="str">
            <v>GEMCO GENERAL MACHINERY S.A.</v>
          </cell>
        </row>
        <row r="9539">
          <cell r="Z9539" t="str">
            <v>INCARDIA</v>
          </cell>
          <cell r="AA9539" t="str">
            <v>GEMCO GENERAL MACHINERY S.A.</v>
          </cell>
        </row>
        <row r="9540">
          <cell r="Z9540" t="str">
            <v>INCARDIA</v>
          </cell>
          <cell r="AA9540" t="str">
            <v>HOSPITAL REGIONAL DE ARICA DR. JUAN NOÉ CREVANI</v>
          </cell>
        </row>
        <row r="9541">
          <cell r="Z9541" t="str">
            <v>INCARDIA</v>
          </cell>
          <cell r="AA9541" t="str">
            <v>GEMCO GENERAL MACHINERY S.A.</v>
          </cell>
        </row>
        <row r="9542">
          <cell r="Z9542" t="str">
            <v>INCARDIA</v>
          </cell>
          <cell r="AA9542" t="str">
            <v>GEMCO GENERAL MACHINERY S.A.</v>
          </cell>
        </row>
        <row r="9543">
          <cell r="Z9543" t="str">
            <v>INCARDIA</v>
          </cell>
          <cell r="AA9543" t="str">
            <v>INSTITUTO NACIONAL DE GERIATRIA</v>
          </cell>
        </row>
        <row r="9544">
          <cell r="Z9544" t="str">
            <v>INCARDIA</v>
          </cell>
          <cell r="AA9544" t="str">
            <v>INSTITUTO NACIONAL DE GERIATRIA</v>
          </cell>
        </row>
        <row r="9545">
          <cell r="Z9545" t="str">
            <v>INCARDIA</v>
          </cell>
          <cell r="AA9545" t="str">
            <v>GEMCO GENERAL MACHINERY S.A.</v>
          </cell>
        </row>
        <row r="9546">
          <cell r="Z9546" t="str">
            <v>INCARDIA</v>
          </cell>
          <cell r="AA9546" t="str">
            <v>GEMCO GENERAL MACHINERY S.A.</v>
          </cell>
        </row>
        <row r="9547">
          <cell r="Z9547" t="str">
            <v>INCARDIA</v>
          </cell>
          <cell r="AA9547" t="str">
            <v>GEMCO GENERAL MACHINERY S.A.</v>
          </cell>
        </row>
        <row r="9548">
          <cell r="Z9548" t="str">
            <v>INCARDIA</v>
          </cell>
          <cell r="AA9548" t="str">
            <v>GEMCO GENERAL MACHINERY S.A.</v>
          </cell>
        </row>
        <row r="9549">
          <cell r="Z9549" t="str">
            <v>INCARDIA</v>
          </cell>
          <cell r="AA9549" t="str">
            <v>HOSPITAL CARLOS VAN BUREN</v>
          </cell>
        </row>
        <row r="9550">
          <cell r="Z9550" t="str">
            <v>INCARDIA</v>
          </cell>
        </row>
        <row r="9551">
          <cell r="Z9551" t="str">
            <v>INCARDIA</v>
          </cell>
          <cell r="AA9551" t="str">
            <v>GEMCO GENERAL MACHINERY S.A.</v>
          </cell>
        </row>
        <row r="9552">
          <cell r="Z9552" t="str">
            <v>INCARDIA</v>
          </cell>
        </row>
        <row r="9553">
          <cell r="Z9553" t="str">
            <v>INCARDIA</v>
          </cell>
        </row>
        <row r="9554">
          <cell r="Z9554" t="str">
            <v>INCARDIA</v>
          </cell>
        </row>
        <row r="9555">
          <cell r="Z9555" t="str">
            <v>INCARDIA</v>
          </cell>
          <cell r="AA9555" t="str">
            <v>CESFAM LA CANELA</v>
          </cell>
        </row>
        <row r="9556">
          <cell r="Z9556" t="str">
            <v>INCARDIA</v>
          </cell>
        </row>
        <row r="9557">
          <cell r="Z9557" t="str">
            <v>INCARDIA</v>
          </cell>
        </row>
        <row r="9558">
          <cell r="Z9558" t="str">
            <v>INCARDIA</v>
          </cell>
        </row>
        <row r="9559">
          <cell r="Z9559" t="str">
            <v>INCARDIA</v>
          </cell>
          <cell r="AA9559" t="str">
            <v>CLINICA REDMEDICAL</v>
          </cell>
        </row>
        <row r="9560">
          <cell r="Z9560" t="str">
            <v>INCARDIA</v>
          </cell>
        </row>
        <row r="9561">
          <cell r="Z9561" t="str">
            <v>INCARDIA</v>
          </cell>
          <cell r="AA9561" t="str">
            <v>CLINICA REDMEDICAL</v>
          </cell>
        </row>
        <row r="9562">
          <cell r="Z9562" t="str">
            <v>INCARDIA</v>
          </cell>
        </row>
        <row r="9563">
          <cell r="Z9563" t="str">
            <v>INCARDIA</v>
          </cell>
        </row>
        <row r="9564">
          <cell r="Z9564" t="str">
            <v>INCARDIA</v>
          </cell>
        </row>
        <row r="9565">
          <cell r="Z9565" t="str">
            <v>INCARDIA</v>
          </cell>
        </row>
        <row r="9566">
          <cell r="Z9566" t="str">
            <v>INCARDIA</v>
          </cell>
          <cell r="AA9566" t="str">
            <v>CLINICA REDMEDICAL</v>
          </cell>
        </row>
        <row r="9567">
          <cell r="Z9567" t="str">
            <v>INCARDIA</v>
          </cell>
        </row>
        <row r="9568">
          <cell r="Z9568" t="str">
            <v>INCARDIA</v>
          </cell>
          <cell r="AA9568" t="str">
            <v>HOSPITAL CARLOS VAN BUREN</v>
          </cell>
        </row>
        <row r="9569">
          <cell r="Z9569" t="str">
            <v>INCARDIA</v>
          </cell>
          <cell r="AA9569" t="str">
            <v>HOSPITAL LA LIGUA</v>
          </cell>
        </row>
        <row r="9570">
          <cell r="Z9570" t="str">
            <v>INCARDIA</v>
          </cell>
          <cell r="AA9570" t="str">
            <v>HOSPITAL LA LIGUA</v>
          </cell>
        </row>
        <row r="9571">
          <cell r="Z9571" t="str">
            <v>INCARDIA</v>
          </cell>
          <cell r="AA9571" t="str">
            <v>HOSPITAL LA LIGUA</v>
          </cell>
        </row>
        <row r="9572">
          <cell r="Z9572" t="str">
            <v>INCARDIA</v>
          </cell>
          <cell r="AA9572" t="str">
            <v>HOSPITAL LA LIGUA</v>
          </cell>
        </row>
        <row r="9573">
          <cell r="Z9573" t="str">
            <v>INCARDIA</v>
          </cell>
          <cell r="AA9573" t="str">
            <v>HOSPITAL LA LIGUA</v>
          </cell>
        </row>
        <row r="9574">
          <cell r="Z9574" t="str">
            <v>INCARDIA</v>
          </cell>
          <cell r="AA9574" t="str">
            <v>HOSPITAL LA LIGUA</v>
          </cell>
        </row>
        <row r="9575">
          <cell r="Z9575" t="str">
            <v>INCARDIA</v>
          </cell>
        </row>
        <row r="9576">
          <cell r="Z9576" t="str">
            <v>INCARDIA</v>
          </cell>
          <cell r="AA9576" t="str">
            <v>GEMCO GENERAL MACHINERY S.A.</v>
          </cell>
        </row>
        <row r="9577">
          <cell r="Z9577" t="str">
            <v>INCARDIA</v>
          </cell>
          <cell r="AA9577" t="str">
            <v>GEMCO GENERAL MACHINERY S.A.</v>
          </cell>
        </row>
        <row r="9578">
          <cell r="Z9578" t="str">
            <v>INCARDIA</v>
          </cell>
          <cell r="AA9578" t="str">
            <v>GEMCO GENERAL MACHINERY S.A.</v>
          </cell>
        </row>
        <row r="9579">
          <cell r="Z9579" t="str">
            <v>INCARDIA</v>
          </cell>
          <cell r="AA9579" t="str">
            <v>GEMCO GENERAL MACHINERY S.A.</v>
          </cell>
        </row>
        <row r="9580">
          <cell r="Z9580" t="str">
            <v>INCARDIA</v>
          </cell>
          <cell r="AA9580" t="str">
            <v>GEMCO GENERAL MACHINERY S.A.</v>
          </cell>
        </row>
        <row r="9581">
          <cell r="Z9581" t="str">
            <v>INCARDIA</v>
          </cell>
          <cell r="AA9581" t="str">
            <v>GEMCO GENERAL MACHINERY S.A.</v>
          </cell>
        </row>
        <row r="9582">
          <cell r="Z9582" t="str">
            <v>INCARDIA</v>
          </cell>
        </row>
        <row r="9583">
          <cell r="Z9583" t="str">
            <v>INCARDIA</v>
          </cell>
        </row>
        <row r="9584">
          <cell r="Z9584" t="str">
            <v>INCARDIA</v>
          </cell>
        </row>
        <row r="9585">
          <cell r="Z9585" t="str">
            <v>INCARDIA</v>
          </cell>
        </row>
        <row r="9586">
          <cell r="Z9586" t="str">
            <v>INCARDIA</v>
          </cell>
        </row>
        <row r="9587">
          <cell r="Z9587" t="str">
            <v>INCARDIA</v>
          </cell>
        </row>
        <row r="9588">
          <cell r="Z9588" t="str">
            <v>INCARDIA</v>
          </cell>
        </row>
        <row r="9589">
          <cell r="Z9589" t="str">
            <v>INCARDIA</v>
          </cell>
        </row>
        <row r="9590">
          <cell r="Z9590" t="str">
            <v>INCARDIA</v>
          </cell>
        </row>
        <row r="9591">
          <cell r="Z9591" t="str">
            <v>INCARDIA</v>
          </cell>
        </row>
        <row r="9592">
          <cell r="Z9592" t="str">
            <v>INCARDIA</v>
          </cell>
          <cell r="AA9592" t="str">
            <v>HOSPITAL  SAN JOSE DE MAIPO</v>
          </cell>
        </row>
        <row r="9593">
          <cell r="Z9593" t="str">
            <v>INCARDIA</v>
          </cell>
        </row>
        <row r="9594">
          <cell r="Z9594" t="str">
            <v>INCARDIA</v>
          </cell>
        </row>
        <row r="9595">
          <cell r="Z9595" t="str">
            <v>INCARDIA</v>
          </cell>
        </row>
        <row r="9596">
          <cell r="Z9596" t="str">
            <v>INCARDIA</v>
          </cell>
          <cell r="AA9596" t="str">
            <v>HOSPITAL  SAN JOSE DE MAIPO</v>
          </cell>
        </row>
        <row r="9597">
          <cell r="Z9597" t="str">
            <v>INCARDIA</v>
          </cell>
        </row>
        <row r="9598">
          <cell r="Z9598" t="str">
            <v>INCARDIA</v>
          </cell>
          <cell r="AA9598" t="str">
            <v>HOSPITAL  SAN JOSE DE MAIPO</v>
          </cell>
        </row>
        <row r="9599">
          <cell r="Z9599" t="str">
            <v>INCARDIA</v>
          </cell>
        </row>
        <row r="9600">
          <cell r="Z9600" t="str">
            <v>INCARDIA</v>
          </cell>
        </row>
        <row r="9601">
          <cell r="Z9601" t="str">
            <v>INCARDIA</v>
          </cell>
          <cell r="AA9601" t="str">
            <v>HOSPITAL  SAN JOSE DE MAIPO</v>
          </cell>
        </row>
        <row r="9602">
          <cell r="Z9602" t="str">
            <v>INCARDIA</v>
          </cell>
          <cell r="AA9602" t="str">
            <v>HOSPITAL  SAN JOSE DE MAIPO</v>
          </cell>
        </row>
        <row r="9603">
          <cell r="Z9603" t="str">
            <v>INCARDIA</v>
          </cell>
          <cell r="AA9603" t="str">
            <v>HOSPITAL  SAN JOSE DE MAIPO</v>
          </cell>
        </row>
        <row r="9604">
          <cell r="Z9604" t="str">
            <v>INCARDIA</v>
          </cell>
          <cell r="AA9604" t="str">
            <v>HOSPITAL  SAN JOSE DE MAIPO</v>
          </cell>
        </row>
        <row r="9605">
          <cell r="Z9605" t="str">
            <v>INCARDIA</v>
          </cell>
        </row>
        <row r="9606">
          <cell r="Z9606" t="str">
            <v>INCARDIA</v>
          </cell>
          <cell r="AA9606" t="str">
            <v>CESFAM BOCA SUR</v>
          </cell>
        </row>
        <row r="9607">
          <cell r="Z9607" t="str">
            <v>INCARDIA</v>
          </cell>
        </row>
        <row r="9608">
          <cell r="Z9608" t="str">
            <v>INCARDIA</v>
          </cell>
          <cell r="AA9608" t="str">
            <v>CESFAM BOCA SUR</v>
          </cell>
        </row>
        <row r="9609">
          <cell r="Z9609" t="str">
            <v>INCARDIA</v>
          </cell>
        </row>
        <row r="9610">
          <cell r="Z9610" t="str">
            <v>INCARDIA</v>
          </cell>
          <cell r="AA9610" t="str">
            <v>CESFAM BOCA SUR</v>
          </cell>
        </row>
        <row r="9611">
          <cell r="Z9611" t="str">
            <v>INCARDIA</v>
          </cell>
        </row>
        <row r="9612">
          <cell r="Z9612" t="str">
            <v>INCARDIA</v>
          </cell>
          <cell r="AA9612" t="str">
            <v>CESFAM BOCA SUR</v>
          </cell>
        </row>
        <row r="9613">
          <cell r="Z9613" t="str">
            <v>INCARDIA</v>
          </cell>
        </row>
        <row r="9614">
          <cell r="Z9614" t="str">
            <v>INCARDIA</v>
          </cell>
        </row>
        <row r="9615">
          <cell r="Z9615" t="str">
            <v>INCARDIA</v>
          </cell>
        </row>
        <row r="9616">
          <cell r="Z9616" t="str">
            <v>INCARDIA</v>
          </cell>
        </row>
        <row r="9617">
          <cell r="Z9617" t="str">
            <v>INCARDIA</v>
          </cell>
        </row>
        <row r="9618">
          <cell r="Z9618" t="str">
            <v>INCARDIA</v>
          </cell>
        </row>
        <row r="9619">
          <cell r="Z9619" t="str">
            <v>INCARDIA</v>
          </cell>
        </row>
        <row r="9620">
          <cell r="Z9620" t="str">
            <v>INCARDIA</v>
          </cell>
        </row>
        <row r="9621">
          <cell r="Z9621" t="str">
            <v>INCARDIA</v>
          </cell>
        </row>
        <row r="9622">
          <cell r="Z9622" t="str">
            <v>INCARDIA</v>
          </cell>
        </row>
        <row r="9623">
          <cell r="Z9623" t="str">
            <v>INCARDIA</v>
          </cell>
        </row>
        <row r="9624">
          <cell r="Z9624" t="str">
            <v>INCARDIA</v>
          </cell>
        </row>
        <row r="9625">
          <cell r="Z9625" t="str">
            <v>INCARDIA</v>
          </cell>
        </row>
        <row r="9626">
          <cell r="Z9626" t="str">
            <v>INCARDIA</v>
          </cell>
          <cell r="AA9626" t="str">
            <v>SERVICIO DE SALUD METROPOLITANO CENTRAL</v>
          </cell>
        </row>
        <row r="9627">
          <cell r="Z9627" t="str">
            <v>INCARDIA</v>
          </cell>
        </row>
        <row r="9628">
          <cell r="Z9628" t="str">
            <v>INCARDIA</v>
          </cell>
        </row>
        <row r="9629">
          <cell r="Z9629" t="str">
            <v>INCARDIA</v>
          </cell>
        </row>
        <row r="9630">
          <cell r="Z9630" t="str">
            <v>INCARDIA</v>
          </cell>
          <cell r="AA9630" t="str">
            <v>SERVICIO DE SALUD METROPOLITANO CENTRAL</v>
          </cell>
        </row>
        <row r="9631">
          <cell r="Z9631" t="str">
            <v>INCARDIA</v>
          </cell>
        </row>
        <row r="9632">
          <cell r="Z9632" t="str">
            <v>INCARDIA</v>
          </cell>
        </row>
        <row r="9633">
          <cell r="Z9633" t="str">
            <v>INCARDIA</v>
          </cell>
        </row>
        <row r="9634">
          <cell r="Z9634" t="str">
            <v>INCARDIA</v>
          </cell>
          <cell r="AA9634" t="str">
            <v>SERVICIO DE SALUD METROPOLITANO CENTRAL</v>
          </cell>
        </row>
        <row r="9635">
          <cell r="Z9635" t="str">
            <v>INCARDIA</v>
          </cell>
        </row>
        <row r="9636">
          <cell r="Z9636" t="str">
            <v>INCARDIA</v>
          </cell>
        </row>
        <row r="9637">
          <cell r="Z9637" t="str">
            <v>INCARDIA</v>
          </cell>
          <cell r="AA9637" t="str">
            <v>SERVICIO DE SALUD METROPOLITANO CENTRAL</v>
          </cell>
        </row>
        <row r="9638">
          <cell r="Z9638" t="str">
            <v>INCARDIA</v>
          </cell>
        </row>
        <row r="9639">
          <cell r="Z9639" t="str">
            <v>INCARDIA</v>
          </cell>
          <cell r="AA9639" t="str">
            <v>SERVICIO DE SALUD METROPOLITANO CENTRAL</v>
          </cell>
        </row>
        <row r="9640">
          <cell r="Z9640" t="str">
            <v>INCARDIA</v>
          </cell>
          <cell r="AA9640" t="str">
            <v>SERVICIO DE SALUD METROPOLITANO CENTRAL</v>
          </cell>
        </row>
        <row r="9641">
          <cell r="Z9641" t="str">
            <v>INCARDIA</v>
          </cell>
        </row>
        <row r="9642">
          <cell r="Z9642" t="str">
            <v>INCARDIA</v>
          </cell>
          <cell r="AA9642" t="str">
            <v>SERVICIO DE SALUD METROPOLITANO CENTRAL</v>
          </cell>
        </row>
        <row r="9643">
          <cell r="Z9643" t="str">
            <v>INCARDIA</v>
          </cell>
        </row>
        <row r="9644">
          <cell r="Z9644" t="str">
            <v>INCARDIA</v>
          </cell>
        </row>
        <row r="9645">
          <cell r="Z9645" t="str">
            <v>INCARDIA</v>
          </cell>
        </row>
        <row r="9646">
          <cell r="Z9646" t="str">
            <v>INCARDIA</v>
          </cell>
        </row>
        <row r="9647">
          <cell r="Z9647" t="str">
            <v>INCARDIA</v>
          </cell>
        </row>
        <row r="9648">
          <cell r="Z9648" t="str">
            <v>INCARDIA</v>
          </cell>
        </row>
        <row r="9649">
          <cell r="Z9649" t="str">
            <v>INCARDIA</v>
          </cell>
        </row>
        <row r="9650">
          <cell r="Z9650" t="str">
            <v>INCARDIA</v>
          </cell>
        </row>
        <row r="9651">
          <cell r="Z9651" t="str">
            <v>INCARDIA</v>
          </cell>
          <cell r="AA9651" t="str">
            <v>SERVICIO DE SALUD METROPOLITANO CENTRAL</v>
          </cell>
        </row>
        <row r="9652">
          <cell r="Z9652" t="str">
            <v>INCARDIA</v>
          </cell>
        </row>
        <row r="9653">
          <cell r="Z9653" t="str">
            <v>INCARDIA</v>
          </cell>
        </row>
        <row r="9654">
          <cell r="Z9654" t="str">
            <v>INCARDIA</v>
          </cell>
        </row>
        <row r="9655">
          <cell r="Z9655" t="str">
            <v>INCARDIA</v>
          </cell>
        </row>
        <row r="9656">
          <cell r="Z9656" t="str">
            <v>INCARDIA</v>
          </cell>
        </row>
        <row r="9657">
          <cell r="Z9657" t="str">
            <v>INCARDIA</v>
          </cell>
        </row>
        <row r="9658">
          <cell r="Z9658" t="str">
            <v>INCARDIA</v>
          </cell>
        </row>
        <row r="9659">
          <cell r="Z9659" t="str">
            <v>INCARDIA</v>
          </cell>
        </row>
        <row r="9660">
          <cell r="Z9660" t="str">
            <v>INCARDIA</v>
          </cell>
        </row>
        <row r="9661">
          <cell r="Z9661" t="str">
            <v>INCARDIA</v>
          </cell>
        </row>
        <row r="9662">
          <cell r="Z9662" t="str">
            <v>INCARDIA</v>
          </cell>
        </row>
        <row r="9663">
          <cell r="Z9663" t="str">
            <v>INCARDIA</v>
          </cell>
          <cell r="AA9663" t="str">
            <v>SERVICIO DE SALUD METROPOLITANO CENTRAL</v>
          </cell>
        </row>
        <row r="9664">
          <cell r="Z9664" t="str">
            <v>INCARDIA</v>
          </cell>
          <cell r="AA9664" t="str">
            <v>SERVICIO DE SALUD METROPOLITANO CENTRAL</v>
          </cell>
        </row>
        <row r="9665">
          <cell r="Z9665" t="str">
            <v>INCARDIA</v>
          </cell>
        </row>
        <row r="9666">
          <cell r="Z9666" t="str">
            <v>INCARDIA</v>
          </cell>
          <cell r="AA9666" t="str">
            <v>HOSPITAL DE ANGOL</v>
          </cell>
        </row>
        <row r="9667">
          <cell r="Z9667" t="str">
            <v>INCARDIA</v>
          </cell>
          <cell r="AA9667" t="str">
            <v>HOSPITAL SAN JOSÉ</v>
          </cell>
        </row>
        <row r="9668">
          <cell r="Z9668" t="str">
            <v>INCARDIA</v>
          </cell>
          <cell r="AA9668" t="str">
            <v>HOSPITAL CARLOS CISTERNA DE CALAMA</v>
          </cell>
        </row>
        <row r="9669">
          <cell r="Z9669" t="str">
            <v>INCARDIA</v>
          </cell>
          <cell r="AA9669" t="str">
            <v>HOSPITAL DE ANGOL</v>
          </cell>
        </row>
        <row r="9670">
          <cell r="Z9670" t="str">
            <v>INCARDIA</v>
          </cell>
          <cell r="AA9670" t="str">
            <v>HOSPITAL CARLOS CISTERNA DE CALAMA</v>
          </cell>
        </row>
        <row r="9671">
          <cell r="Z9671" t="str">
            <v>INCARDIA</v>
          </cell>
          <cell r="AA9671" t="str">
            <v>HOSPITAL CARLOS CISTERNA DE CALAMA</v>
          </cell>
        </row>
        <row r="9672">
          <cell r="Z9672" t="str">
            <v>INCARDIA</v>
          </cell>
          <cell r="AA9672" t="str">
            <v>HOSPITAL CARLOS CISTERNA DE CALAMA</v>
          </cell>
        </row>
        <row r="9673">
          <cell r="Z9673" t="str">
            <v>INCARDIA</v>
          </cell>
          <cell r="AA9673" t="str">
            <v>HOSPITAL CARLOS CISTERNA DE CALAMA</v>
          </cell>
        </row>
        <row r="9674">
          <cell r="Z9674" t="str">
            <v>INCARDIA</v>
          </cell>
          <cell r="AA9674" t="str">
            <v>HOSPITAL SAN JOSÉ</v>
          </cell>
        </row>
        <row r="9675">
          <cell r="Z9675" t="str">
            <v>INCARDIA</v>
          </cell>
          <cell r="AA9675" t="str">
            <v>HOSPITAL SAN JOSÉ</v>
          </cell>
        </row>
        <row r="9676">
          <cell r="Z9676" t="str">
            <v>INCARDIA</v>
          </cell>
          <cell r="AA9676" t="str">
            <v>COMPLEJO ASISTENCIAL DR.SOTERO DEL RIO</v>
          </cell>
        </row>
        <row r="9677">
          <cell r="Z9677" t="str">
            <v>INCARDIA</v>
          </cell>
          <cell r="AA9677" t="str">
            <v>COMPLEJO ASISTENCIAL DR.SOTERO DEL RIO</v>
          </cell>
        </row>
        <row r="9678">
          <cell r="Z9678" t="str">
            <v>INCARDIA</v>
          </cell>
          <cell r="AA9678" t="str">
            <v>HOSPITAL DE ANGOL</v>
          </cell>
        </row>
        <row r="9679">
          <cell r="Z9679" t="str">
            <v>INCARDIA</v>
          </cell>
          <cell r="AA9679" t="str">
            <v>HOSPITAL CARLOS CISTERNA DE CALAMA</v>
          </cell>
        </row>
        <row r="9680">
          <cell r="Z9680" t="str">
            <v>INCARDIA</v>
          </cell>
          <cell r="AA9680" t="str">
            <v>HOSPITAL CARLOS CISTERNA DE CALAMA</v>
          </cell>
        </row>
        <row r="9681">
          <cell r="Z9681" t="str">
            <v>INCARDIA</v>
          </cell>
          <cell r="AA9681" t="str">
            <v>HOSPITAL DE ANGOL</v>
          </cell>
        </row>
        <row r="9682">
          <cell r="Z9682" t="str">
            <v>INCARDIA</v>
          </cell>
          <cell r="AA9682" t="str">
            <v>HOSPITAL DE ANGOL</v>
          </cell>
        </row>
        <row r="9683">
          <cell r="Z9683" t="str">
            <v>INCARDIA</v>
          </cell>
          <cell r="AA9683" t="str">
            <v>HOSPITAL SAN JOSÉ</v>
          </cell>
        </row>
        <row r="9684">
          <cell r="Z9684" t="str">
            <v>INCARDIA</v>
          </cell>
          <cell r="AA9684" t="str">
            <v>HOSPITAL CARLOS CISTERNA DE CALAMA</v>
          </cell>
        </row>
        <row r="9685">
          <cell r="Z9685" t="str">
            <v>INCARDIA</v>
          </cell>
          <cell r="AA9685" t="str">
            <v>HOSPITAL SAN JOSÉ</v>
          </cell>
        </row>
        <row r="9686">
          <cell r="Z9686" t="str">
            <v>INCARDIA</v>
          </cell>
          <cell r="AA9686" t="str">
            <v>HOSPITAL DE ANGOL</v>
          </cell>
        </row>
        <row r="9687">
          <cell r="Z9687" t="str">
            <v>INCARDIA</v>
          </cell>
          <cell r="AA9687" t="str">
            <v>HOSPITAL SAN JOSÉ</v>
          </cell>
        </row>
        <row r="9688">
          <cell r="Z9688" t="str">
            <v>INCARDIA</v>
          </cell>
          <cell r="AA9688" t="str">
            <v>COMPLEJO ASISTENCIAL DR.SOTERO DEL RIO</v>
          </cell>
        </row>
        <row r="9689">
          <cell r="Z9689" t="str">
            <v>INCARDIA</v>
          </cell>
          <cell r="AA9689" t="str">
            <v>COMPLEJO ASISTENCIAL DR.SOTERO DEL RIO</v>
          </cell>
        </row>
        <row r="9690">
          <cell r="Z9690" t="str">
            <v>INCARDIA</v>
          </cell>
          <cell r="AA9690" t="str">
            <v>CRS PEÑALOLEN CORDILLERA ORIENTE </v>
          </cell>
        </row>
        <row r="9691">
          <cell r="Z9691" t="str">
            <v>INCARDIA</v>
          </cell>
          <cell r="AA9691" t="str">
            <v>HOSPITAL CARLOS CISTERNA DE CALAMA</v>
          </cell>
        </row>
        <row r="9692">
          <cell r="Z9692" t="str">
            <v>INCARDIA</v>
          </cell>
          <cell r="AA9692" t="str">
            <v>HOSPITAL DE LA FLORIDA</v>
          </cell>
        </row>
        <row r="9693">
          <cell r="Z9693" t="str">
            <v>INCARDIA</v>
          </cell>
          <cell r="AA9693" t="str">
            <v>HOSPITAL SAN JOSÉ</v>
          </cell>
        </row>
        <row r="9694">
          <cell r="Z9694" t="str">
            <v>INCARDIA</v>
          </cell>
          <cell r="AA9694" t="str">
            <v>HOSPITAL SAN JOSÉ</v>
          </cell>
        </row>
        <row r="9695">
          <cell r="Z9695" t="str">
            <v>INCARDIA</v>
          </cell>
          <cell r="AA9695" t="str">
            <v>HOSPITAL DE ANGOL</v>
          </cell>
        </row>
        <row r="9696">
          <cell r="Z9696" t="str">
            <v>INCARDIA</v>
          </cell>
          <cell r="AA9696" t="str">
            <v>HOSPITAL DE ANGOL</v>
          </cell>
        </row>
        <row r="9697">
          <cell r="Z9697" t="str">
            <v>INCARDIA</v>
          </cell>
          <cell r="AA9697" t="str">
            <v>HOSPITAL DE ANGOL</v>
          </cell>
        </row>
        <row r="9698">
          <cell r="Z9698" t="str">
            <v>INCARDIA</v>
          </cell>
          <cell r="AA9698" t="str">
            <v>HOSPITAL DE LA FLORIDA</v>
          </cell>
        </row>
        <row r="9699">
          <cell r="Z9699" t="str">
            <v>INCARDIA</v>
          </cell>
          <cell r="AA9699" t="str">
            <v>HOSPITAL SAN JOSÉ</v>
          </cell>
        </row>
        <row r="9700">
          <cell r="Z9700" t="str">
            <v>INCARDIA</v>
          </cell>
          <cell r="AA9700" t="str">
            <v>HOSPITAL DE ANGOL</v>
          </cell>
        </row>
        <row r="9701">
          <cell r="Z9701" t="str">
            <v>INCARDIA</v>
          </cell>
          <cell r="AA9701" t="str">
            <v>HOSPITAL CARLOS CISTERNA DE CALAMA</v>
          </cell>
        </row>
        <row r="9702">
          <cell r="Z9702" t="str">
            <v>INCARDIA</v>
          </cell>
          <cell r="AA9702" t="str">
            <v>HOSPITAL SAN JOSÉ</v>
          </cell>
        </row>
        <row r="9703">
          <cell r="Z9703" t="str">
            <v>INCARDIA</v>
          </cell>
          <cell r="AA9703" t="str">
            <v>HOSPITAL DE LA FLORIDA</v>
          </cell>
        </row>
        <row r="9704">
          <cell r="Z9704" t="str">
            <v>INCARDIA</v>
          </cell>
          <cell r="AA9704" t="str">
            <v>HOSPITAL CARLOS CISTERNA DE CALAMA</v>
          </cell>
        </row>
        <row r="9705">
          <cell r="Z9705" t="str">
            <v>INCARDIA</v>
          </cell>
          <cell r="AA9705" t="str">
            <v>HOSPITAL SAN JOSÉ</v>
          </cell>
        </row>
        <row r="9706">
          <cell r="Z9706" t="str">
            <v>INCARDIA</v>
          </cell>
          <cell r="AA9706" t="str">
            <v>HOSPITAL DE ANGOL</v>
          </cell>
        </row>
        <row r="9707">
          <cell r="Z9707" t="str">
            <v>INCARDIA</v>
          </cell>
          <cell r="AA9707" t="str">
            <v>HOSPITAL DE ANGOL</v>
          </cell>
        </row>
        <row r="9708">
          <cell r="Z9708" t="str">
            <v>INCARDIA</v>
          </cell>
          <cell r="AA9708" t="str">
            <v>HOSPITAL DE ANGOL</v>
          </cell>
        </row>
        <row r="9709">
          <cell r="Z9709" t="str">
            <v>INCARDIA</v>
          </cell>
          <cell r="AA9709" t="str">
            <v>HOSPITAL CARLOS CISTERNA DE CALAMA</v>
          </cell>
        </row>
        <row r="9710">
          <cell r="Z9710" t="str">
            <v>INCARDIA</v>
          </cell>
          <cell r="AA9710" t="str">
            <v>HOSPITAL DE LA FLORIDA</v>
          </cell>
        </row>
        <row r="9711">
          <cell r="Z9711" t="str">
            <v>INCARDIA</v>
          </cell>
          <cell r="AA9711" t="str">
            <v>HOSPITAL DE ANGOL</v>
          </cell>
        </row>
        <row r="9712">
          <cell r="Z9712" t="str">
            <v>INCARDIA</v>
          </cell>
          <cell r="AA9712" t="str">
            <v>HOSPITAL DE ANGOL</v>
          </cell>
        </row>
        <row r="9713">
          <cell r="Z9713" t="str">
            <v>INCARDIA</v>
          </cell>
          <cell r="AA9713" t="str">
            <v>HOSPITAL SAN JOSÉ</v>
          </cell>
        </row>
        <row r="9714">
          <cell r="Z9714" t="str">
            <v>INCARDIA</v>
          </cell>
          <cell r="AA9714" t="str">
            <v>HOSPITAL SAN JOSÉ</v>
          </cell>
        </row>
        <row r="9715">
          <cell r="Z9715" t="str">
            <v>INCARDIA</v>
          </cell>
          <cell r="AA9715" t="str">
            <v>HOSPITAL SAN JOSÉ</v>
          </cell>
        </row>
        <row r="9716">
          <cell r="Z9716" t="str">
            <v>INCARDIA</v>
          </cell>
          <cell r="AA9716" t="str">
            <v>HOSPITAL DE LA FLORIDA</v>
          </cell>
        </row>
        <row r="9717">
          <cell r="Z9717" t="str">
            <v>INCARDIA</v>
          </cell>
          <cell r="AA9717" t="str">
            <v>HOSPITAL SAN JOSÉ</v>
          </cell>
        </row>
        <row r="9718">
          <cell r="Z9718" t="str">
            <v>INCARDIA</v>
          </cell>
          <cell r="AA9718" t="str">
            <v>HOSPITAL DE ANGOL</v>
          </cell>
        </row>
        <row r="9719">
          <cell r="Z9719" t="str">
            <v>INCARDIA</v>
          </cell>
          <cell r="AA9719" t="str">
            <v>HOSPITAL DE LA FLORIDA</v>
          </cell>
        </row>
        <row r="9720">
          <cell r="Z9720" t="str">
            <v>INCARDIA</v>
          </cell>
          <cell r="AA9720" t="str">
            <v>HOSPITAL CARLOS CISTERNA DE CALAMA</v>
          </cell>
        </row>
        <row r="9721">
          <cell r="Z9721" t="str">
            <v>INCARDIA</v>
          </cell>
          <cell r="AA9721" t="str">
            <v>HOSPITAL DE ANGOL</v>
          </cell>
        </row>
        <row r="9722">
          <cell r="Z9722" t="str">
            <v>INCARDIA</v>
          </cell>
          <cell r="AA9722" t="str">
            <v>HOSPITAL DE ANGOL</v>
          </cell>
        </row>
        <row r="9723">
          <cell r="Z9723" t="str">
            <v>INCARDIA</v>
          </cell>
          <cell r="AA9723" t="str">
            <v>HOSPITAL VICTORIA</v>
          </cell>
        </row>
        <row r="9724">
          <cell r="Z9724" t="str">
            <v>INCARDIA</v>
          </cell>
          <cell r="AA9724" t="str">
            <v>HOSPITAL VICTORIA</v>
          </cell>
        </row>
        <row r="9725">
          <cell r="Z9725" t="str">
            <v>INCARDIA</v>
          </cell>
          <cell r="AA9725" t="str">
            <v>HOSPITAL VICTORIA</v>
          </cell>
        </row>
        <row r="9726">
          <cell r="Z9726" t="str">
            <v>INCARDIA</v>
          </cell>
          <cell r="AA9726" t="str">
            <v>HOSPITAL  PITRUFQUEN</v>
          </cell>
        </row>
        <row r="9727">
          <cell r="Z9727" t="str">
            <v>INCARDIA</v>
          </cell>
          <cell r="AA9727" t="str">
            <v>HOSPITAL VICTORIA</v>
          </cell>
        </row>
        <row r="9728">
          <cell r="Z9728" t="str">
            <v>INCARDIA</v>
          </cell>
          <cell r="AA9728" t="str">
            <v>HOSPITAL VICTORIA</v>
          </cell>
        </row>
        <row r="9729">
          <cell r="Z9729" t="str">
            <v>INCARDIA</v>
          </cell>
          <cell r="AA9729" t="str">
            <v>HOSPITAL  PITRUFQUEN</v>
          </cell>
        </row>
        <row r="9730">
          <cell r="Z9730" t="str">
            <v>INCARDIA</v>
          </cell>
          <cell r="AA9730" t="str">
            <v>HOSPITAL VICTORIA</v>
          </cell>
        </row>
        <row r="9731">
          <cell r="Z9731" t="str">
            <v>INCARDIA</v>
          </cell>
          <cell r="AA9731" t="str">
            <v>HOSPITAL VICTORIA</v>
          </cell>
        </row>
        <row r="9732">
          <cell r="Z9732" t="str">
            <v>INCARDIA</v>
          </cell>
          <cell r="AA9732" t="str">
            <v>HOSPITAL VICTORIA</v>
          </cell>
        </row>
        <row r="9733">
          <cell r="Z9733" t="str">
            <v>INCARDIA</v>
          </cell>
          <cell r="AA9733" t="str">
            <v>HOSPITAL VICTORIA</v>
          </cell>
        </row>
        <row r="9734">
          <cell r="Z9734" t="str">
            <v>INCARDIA</v>
          </cell>
          <cell r="AA9734" t="str">
            <v>HOSPITAL VICTORIA</v>
          </cell>
        </row>
        <row r="9735">
          <cell r="Z9735" t="str">
            <v>INCARDIA</v>
          </cell>
          <cell r="AA9735" t="str">
            <v>HOSPITAL VICTORIA</v>
          </cell>
        </row>
        <row r="9736">
          <cell r="Z9736" t="str">
            <v>INCARDIA</v>
          </cell>
          <cell r="AA9736" t="str">
            <v>HOSPITAL VICTORIA</v>
          </cell>
        </row>
        <row r="9737">
          <cell r="Z9737" t="str">
            <v>INCARDIA</v>
          </cell>
          <cell r="AA9737" t="str">
            <v>HOSPITAL VICTORIA</v>
          </cell>
        </row>
        <row r="9738">
          <cell r="Z9738" t="str">
            <v>INCARDIA</v>
          </cell>
          <cell r="AA9738" t="str">
            <v>HOSPITAL DE CARAHUE</v>
          </cell>
        </row>
        <row r="9739">
          <cell r="Z9739" t="str">
            <v>INCARDIA</v>
          </cell>
          <cell r="AA9739" t="str">
            <v>HOSPITAL VICTORIA</v>
          </cell>
        </row>
        <row r="9740">
          <cell r="Z9740" t="str">
            <v>INCARDIA</v>
          </cell>
          <cell r="AA9740" t="str">
            <v>HOSPITAL VICTORIA</v>
          </cell>
        </row>
        <row r="9741">
          <cell r="Z9741" t="str">
            <v>INCARDIA</v>
          </cell>
          <cell r="AA9741" t="str">
            <v>HOSPITAL DE ANGOL</v>
          </cell>
        </row>
        <row r="9742">
          <cell r="Z9742" t="str">
            <v>INCARDIA</v>
          </cell>
          <cell r="AA9742" t="str">
            <v>HOSPITAL DE LA FLORIDA</v>
          </cell>
        </row>
        <row r="9743">
          <cell r="Z9743" t="str">
            <v>INCARDIA</v>
          </cell>
          <cell r="AA9743" t="str">
            <v>HOSPITAL DE LA FLORIDA</v>
          </cell>
        </row>
        <row r="9744">
          <cell r="Z9744" t="str">
            <v>INCARDIA</v>
          </cell>
          <cell r="AA9744" t="str">
            <v>HOSPITAL DE LA FLORIDA</v>
          </cell>
        </row>
        <row r="9745">
          <cell r="Z9745" t="str">
            <v>INCARDIA</v>
          </cell>
          <cell r="AA9745" t="str">
            <v>HOSPITAL DE LA FLORIDA</v>
          </cell>
        </row>
        <row r="9746">
          <cell r="Z9746" t="str">
            <v>INCARDIA</v>
          </cell>
          <cell r="AA9746" t="str">
            <v>HOSPITAL DE LA FLORIDA</v>
          </cell>
        </row>
        <row r="9747">
          <cell r="Z9747" t="str">
            <v>INCARDIA</v>
          </cell>
          <cell r="AA9747" t="str">
            <v>HOSPITAL DE LA FLORIDA</v>
          </cell>
        </row>
        <row r="9748">
          <cell r="Z9748" t="str">
            <v>INCARDIA</v>
          </cell>
          <cell r="AA9748" t="str">
            <v>HOSPITAL DE LA FLORIDA</v>
          </cell>
        </row>
        <row r="9749">
          <cell r="Z9749" t="str">
            <v>INCARDIA</v>
          </cell>
          <cell r="AA9749" t="str">
            <v>HOSPITAL DE LA FLORIDA</v>
          </cell>
        </row>
        <row r="9750">
          <cell r="Z9750" t="str">
            <v>INCARDIA</v>
          </cell>
          <cell r="AA9750" t="str">
            <v>HOSPITAL DE LA FLORIDA</v>
          </cell>
        </row>
        <row r="9751">
          <cell r="Z9751" t="str">
            <v>INCARDIA</v>
          </cell>
          <cell r="AA9751" t="str">
            <v>HOSPITAL DE LA FLORIDA</v>
          </cell>
        </row>
        <row r="9752">
          <cell r="Z9752" t="str">
            <v>INCARDIA</v>
          </cell>
          <cell r="AA9752" t="str">
            <v>HOSPITAL DE LA FLORIDA</v>
          </cell>
        </row>
        <row r="9753">
          <cell r="Z9753" t="str">
            <v>INCARDIA</v>
          </cell>
          <cell r="AA9753" t="str">
            <v>HOSPITAL DE LA FLORIDA</v>
          </cell>
        </row>
        <row r="9754">
          <cell r="Z9754" t="str">
            <v>INCARDIA</v>
          </cell>
          <cell r="AA9754" t="str">
            <v>HOSPITAL DE LA FLORIDA</v>
          </cell>
        </row>
        <row r="9755">
          <cell r="Z9755" t="str">
            <v>INCARDIA</v>
          </cell>
          <cell r="AA9755" t="str">
            <v>HOSPITAL DE LA FLORIDA</v>
          </cell>
        </row>
        <row r="9756">
          <cell r="Z9756" t="str">
            <v>INCARDIA</v>
          </cell>
          <cell r="AA9756" t="str">
            <v>HOSPITAL DE LA FLORIDA</v>
          </cell>
        </row>
        <row r="9757">
          <cell r="Z9757" t="str">
            <v>INCARDIA</v>
          </cell>
          <cell r="AA9757" t="str">
            <v>HOSPITAL DE LA FLORIDA</v>
          </cell>
        </row>
        <row r="9758">
          <cell r="Z9758" t="str">
            <v>INCARDIA</v>
          </cell>
          <cell r="AA9758" t="str">
            <v>IMPORTADORA, COMERCIALIZADORA Y DA</v>
          </cell>
        </row>
        <row r="9759">
          <cell r="Z9759" t="str">
            <v>INCARDIA</v>
          </cell>
        </row>
        <row r="9760">
          <cell r="Z9760" t="str">
            <v>INCARDIA</v>
          </cell>
        </row>
        <row r="9761">
          <cell r="Z9761" t="str">
            <v>INCARDIA</v>
          </cell>
        </row>
        <row r="9762">
          <cell r="Z9762" t="str">
            <v>INCARDIA</v>
          </cell>
          <cell r="AA9762" t="str">
            <v>IMPORTADORA, COMERCIALIZADORA Y DA</v>
          </cell>
        </row>
        <row r="9763">
          <cell r="Z9763" t="str">
            <v>INCARDIA</v>
          </cell>
          <cell r="AA9763" t="str">
            <v>IMPORTADORA, COMERCIALIZADORA Y DA</v>
          </cell>
        </row>
        <row r="9764">
          <cell r="Z9764" t="str">
            <v>INCARDIA</v>
          </cell>
          <cell r="AA9764" t="str">
            <v>IMPORTADORA, COMERCIALIZADORA Y DA</v>
          </cell>
        </row>
        <row r="9765">
          <cell r="Z9765" t="str">
            <v>INCARDIA</v>
          </cell>
        </row>
        <row r="9766">
          <cell r="Z9766" t="str">
            <v>INCARDIA</v>
          </cell>
          <cell r="AA9766" t="str">
            <v>IMPORTADORA, COMERCIALIZADORA Y DA</v>
          </cell>
        </row>
        <row r="9767">
          <cell r="Z9767" t="str">
            <v>INCARDIA</v>
          </cell>
        </row>
        <row r="9768">
          <cell r="Z9768" t="str">
            <v>INCARDIA</v>
          </cell>
          <cell r="AA9768" t="str">
            <v>INSTITUTO NACIONAL DE GERIATRIA</v>
          </cell>
        </row>
        <row r="9769">
          <cell r="Z9769" t="str">
            <v>INCARDIA</v>
          </cell>
          <cell r="AA9769" t="str">
            <v>INSTITUTO NACIONAL DE GERIATRIA</v>
          </cell>
        </row>
        <row r="9770">
          <cell r="Z9770" t="str">
            <v>INCARDIA</v>
          </cell>
          <cell r="AA9770" t="str">
            <v>INSTITUTO NACIONAL DE GERIATRIA</v>
          </cell>
        </row>
        <row r="9771">
          <cell r="Z9771" t="str">
            <v>INCARDIA</v>
          </cell>
          <cell r="AA9771" t="str">
            <v>INSTITUTO NACIONAL DE GERIATRIA</v>
          </cell>
        </row>
        <row r="9772">
          <cell r="Z9772" t="str">
            <v>INCARDIA</v>
          </cell>
        </row>
        <row r="9773">
          <cell r="Z9773" t="str">
            <v>INCARDIA</v>
          </cell>
          <cell r="AA9773" t="str">
            <v>INSTITUTO NACIONAL DE GERIATRIA</v>
          </cell>
        </row>
        <row r="9774">
          <cell r="Z9774" t="str">
            <v>INCARDIA</v>
          </cell>
          <cell r="AA9774" t="str">
            <v>INSTITUTO NACIONAL DE GERIATRIA</v>
          </cell>
        </row>
        <row r="9775">
          <cell r="Z9775" t="str">
            <v>INCARDIA</v>
          </cell>
          <cell r="AA9775" t="str">
            <v>INSTITUTO NACIONAL DE GERIATRIA</v>
          </cell>
        </row>
        <row r="9776">
          <cell r="Z9776" t="str">
            <v>INCARDIA</v>
          </cell>
          <cell r="AA9776" t="str">
            <v>INSTITUTO NACIONAL DE GERIATRIA</v>
          </cell>
        </row>
        <row r="9777">
          <cell r="Z9777" t="str">
            <v>INCARDIA</v>
          </cell>
          <cell r="AA9777" t="str">
            <v>INSTITUTO NACIONAL DE GERIATRIA</v>
          </cell>
        </row>
        <row r="9778">
          <cell r="Z9778" t="str">
            <v>INCARDIA</v>
          </cell>
          <cell r="AA9778" t="str">
            <v>INSTITUTO NACIONAL DE GERIATRIA</v>
          </cell>
        </row>
        <row r="9779">
          <cell r="Z9779" t="str">
            <v>INCARDIA</v>
          </cell>
          <cell r="AA9779" t="str">
            <v>INSTITUTO NACIONAL DE GERIATRIA</v>
          </cell>
        </row>
        <row r="9780">
          <cell r="Z9780" t="str">
            <v>INCARDIA</v>
          </cell>
          <cell r="AA9780" t="str">
            <v>INSTITUTO NACIONAL DE GERIATRIA</v>
          </cell>
        </row>
        <row r="9781">
          <cell r="Z9781" t="str">
            <v>INCARDIA</v>
          </cell>
          <cell r="AA9781" t="str">
            <v>INSTITUTO NACIONAL DE GERIATRIA</v>
          </cell>
        </row>
        <row r="9782">
          <cell r="Z9782" t="str">
            <v>INCARDIA</v>
          </cell>
          <cell r="AA9782" t="str">
            <v>INSTITUTO NACIONAL DE GERIATRIA</v>
          </cell>
        </row>
        <row r="9783">
          <cell r="Z9783" t="str">
            <v>INCARDIA</v>
          </cell>
          <cell r="AA9783" t="str">
            <v>INSTITUTO NACIONAL DE GERIATRIA</v>
          </cell>
        </row>
        <row r="9784">
          <cell r="Z9784" t="str">
            <v>INCARDIA</v>
          </cell>
          <cell r="AA9784" t="str">
            <v>INSTITUTO NACIONAL DE GERIATRIA</v>
          </cell>
        </row>
        <row r="9785">
          <cell r="Z9785" t="str">
            <v>INCARDIA</v>
          </cell>
          <cell r="AA9785" t="str">
            <v>INSTITUTO NACIONAL DE GERIATRIA</v>
          </cell>
        </row>
        <row r="9786">
          <cell r="Z9786" t="str">
            <v>INCARDIA</v>
          </cell>
        </row>
        <row r="9787">
          <cell r="Z9787" t="str">
            <v>INCARDIA</v>
          </cell>
        </row>
        <row r="9788">
          <cell r="Z9788" t="str">
            <v>INCARDIA</v>
          </cell>
        </row>
        <row r="9789">
          <cell r="Z9789" t="str">
            <v>INCARDIA</v>
          </cell>
        </row>
        <row r="9790">
          <cell r="Z9790" t="str">
            <v>INCARDIA</v>
          </cell>
        </row>
        <row r="9791">
          <cell r="Z9791" t="str">
            <v>INCARDIA</v>
          </cell>
        </row>
        <row r="9792">
          <cell r="Z9792" t="str">
            <v>INCARDIA</v>
          </cell>
        </row>
        <row r="9793">
          <cell r="Z9793" t="str">
            <v>INCARDIA</v>
          </cell>
        </row>
        <row r="9794">
          <cell r="Z9794" t="str">
            <v>INCARDIA</v>
          </cell>
        </row>
        <row r="9795">
          <cell r="Z9795" t="str">
            <v>INCARDIA</v>
          </cell>
        </row>
        <row r="9796">
          <cell r="Z9796" t="str">
            <v>INCARDIA</v>
          </cell>
        </row>
        <row r="9797">
          <cell r="Z9797" t="str">
            <v>INCARDIA</v>
          </cell>
        </row>
        <row r="9798">
          <cell r="Z9798" t="str">
            <v>INCARDIA</v>
          </cell>
        </row>
        <row r="9799">
          <cell r="Z9799" t="str">
            <v>INCARDIA</v>
          </cell>
        </row>
        <row r="9800">
          <cell r="Z9800" t="str">
            <v>INCARDIA</v>
          </cell>
        </row>
        <row r="9801">
          <cell r="Z9801" t="str">
            <v>INCARDIA</v>
          </cell>
        </row>
        <row r="9802">
          <cell r="Z9802" t="str">
            <v>INCARDIA</v>
          </cell>
        </row>
        <row r="9803">
          <cell r="Z9803" t="str">
            <v>INCARDIA</v>
          </cell>
        </row>
        <row r="9804">
          <cell r="Z9804" t="str">
            <v>INCARDIA</v>
          </cell>
          <cell r="AA9804" t="str">
            <v>HOSPITAL REGIONAL DE ANTOFAGASTA</v>
          </cell>
        </row>
        <row r="9805">
          <cell r="Z9805" t="str">
            <v>INCARDIA</v>
          </cell>
          <cell r="AA9805" t="str">
            <v>HOSPITAL REGIONAL DE ANTOFAGASTA</v>
          </cell>
        </row>
        <row r="9806">
          <cell r="Z9806" t="str">
            <v>INCARDIA</v>
          </cell>
          <cell r="AA9806" t="str">
            <v>HOSPITAL REGIONAL DE ANTOFAGASTA</v>
          </cell>
        </row>
        <row r="9807">
          <cell r="Z9807" t="str">
            <v>INCARDIA</v>
          </cell>
          <cell r="AA9807" t="str">
            <v>HOSPITAL REGIONAL DE ANTOFAGASTA</v>
          </cell>
        </row>
        <row r="9808">
          <cell r="Z9808" t="str">
            <v>INCARDIA</v>
          </cell>
          <cell r="AA9808" t="str">
            <v>HOSPITAL REGIONAL DE ANTOFAGASTA</v>
          </cell>
        </row>
        <row r="9809">
          <cell r="Z9809" t="str">
            <v>INCARDIA</v>
          </cell>
          <cell r="AA9809" t="str">
            <v>HOSPITAL REGIONAL DE ANTOFAGASTA</v>
          </cell>
        </row>
        <row r="9810">
          <cell r="Z9810" t="str">
            <v>INCARDIA</v>
          </cell>
          <cell r="AA9810" t="str">
            <v>HOSPITAL REGIONAL DE ANTOFAGASTA</v>
          </cell>
        </row>
        <row r="9811">
          <cell r="Z9811" t="str">
            <v>INCARDIA</v>
          </cell>
          <cell r="AA9811" t="str">
            <v>HOSPITAL REGIONAL DE ANTOFAGASTA</v>
          </cell>
        </row>
        <row r="9812">
          <cell r="Z9812" t="str">
            <v>INCARDIA</v>
          </cell>
          <cell r="AA9812" t="str">
            <v>HOSPITAL REGIONAL DE ANTOFAGASTA</v>
          </cell>
        </row>
        <row r="9813">
          <cell r="Z9813" t="str">
            <v>INCARDIA</v>
          </cell>
          <cell r="AA9813" t="str">
            <v>S.S VIÑA DEL MAR-QUILLOTA</v>
          </cell>
        </row>
        <row r="9814">
          <cell r="Z9814" t="str">
            <v>INCARDIA</v>
          </cell>
          <cell r="AA9814" t="str">
            <v>INSTITUTO NACIONAL DE GERIATRIA</v>
          </cell>
        </row>
        <row r="9815">
          <cell r="Z9815" t="str">
            <v>INCARDIA</v>
          </cell>
          <cell r="AA9815" t="str">
            <v>INSTITUTO NACIONAL DE GERIATRIA</v>
          </cell>
        </row>
        <row r="9816">
          <cell r="Z9816" t="str">
            <v>INCARDIA</v>
          </cell>
        </row>
        <row r="9817">
          <cell r="Z9817" t="str">
            <v>INCARDIA</v>
          </cell>
          <cell r="AA9817" t="str">
            <v>GEMCO GENERAL MACHINERY S.A.</v>
          </cell>
        </row>
        <row r="9818">
          <cell r="Z9818" t="str">
            <v>INCARDIA</v>
          </cell>
          <cell r="AA9818" t="str">
            <v>IMPORTADORA, COMERCIALIZADORA Y DA</v>
          </cell>
        </row>
        <row r="9819">
          <cell r="Z9819" t="str">
            <v>INCARDIA</v>
          </cell>
          <cell r="AA9819" t="str">
            <v>IMPORTADORA, COMERCIALIZADORA Y DA</v>
          </cell>
        </row>
        <row r="9820">
          <cell r="Z9820" t="str">
            <v>INCARDIA</v>
          </cell>
          <cell r="AA9820" t="str">
            <v>IMPORTADORA, COMERCIALIZADORA Y DA</v>
          </cell>
        </row>
        <row r="9821">
          <cell r="Z9821" t="str">
            <v>INCARDIA</v>
          </cell>
          <cell r="AA9821" t="str">
            <v>IMPORTADORA, COMERCIALIZADORA Y DA</v>
          </cell>
        </row>
        <row r="9822">
          <cell r="Z9822" t="str">
            <v>INCARDIA</v>
          </cell>
          <cell r="AA9822" t="str">
            <v>IMPORTADORA, COMERCIALIZADORA Y DA</v>
          </cell>
        </row>
        <row r="9823">
          <cell r="Z9823" t="str">
            <v>INCARDIA</v>
          </cell>
          <cell r="AA9823" t="str">
            <v>IMPORTADORA, COMERCIALIZADORA Y DA</v>
          </cell>
        </row>
        <row r="9824">
          <cell r="Z9824" t="str">
            <v>INCARDIA</v>
          </cell>
        </row>
        <row r="9825">
          <cell r="Z9825" t="str">
            <v>INCARDIA</v>
          </cell>
          <cell r="AA9825" t="str">
            <v>IMPORTADORA, COMERCIALIZADORA Y DA</v>
          </cell>
        </row>
        <row r="9826">
          <cell r="Z9826" t="str">
            <v>INCARDIA</v>
          </cell>
          <cell r="AA9826" t="str">
            <v>IMPORTADORA, COMERCIALIZADORA Y DA</v>
          </cell>
        </row>
        <row r="9827">
          <cell r="Z9827" t="str">
            <v>INCARDIA</v>
          </cell>
          <cell r="AA9827" t="str">
            <v>IMPORTADORA, COMERCIALIZADORA Y DA</v>
          </cell>
        </row>
        <row r="9828">
          <cell r="Z9828" t="str">
            <v>INCARDIA</v>
          </cell>
        </row>
        <row r="9829">
          <cell r="Z9829" t="str">
            <v>INCARDIA</v>
          </cell>
          <cell r="AA9829" t="str">
            <v>IMPORTADORA, COMERCIALIZADORA Y DA</v>
          </cell>
        </row>
        <row r="9830">
          <cell r="Z9830" t="str">
            <v>INCARDIA</v>
          </cell>
        </row>
        <row r="9831">
          <cell r="Z9831" t="str">
            <v>INCARDIA</v>
          </cell>
          <cell r="AA9831" t="str">
            <v>IMPORTADORA, COMERCIALIZADORA Y DA</v>
          </cell>
        </row>
        <row r="9832">
          <cell r="Z9832" t="str">
            <v>INCARDIA</v>
          </cell>
          <cell r="AA9832" t="str">
            <v>IMPORTADORA, COMERCIALIZADORA Y DA</v>
          </cell>
        </row>
        <row r="9833">
          <cell r="Z9833" t="str">
            <v>INCARDIA</v>
          </cell>
          <cell r="AA9833" t="str">
            <v>IMPORTADORA, COMERCIALIZADORA Y DA</v>
          </cell>
        </row>
        <row r="9834">
          <cell r="Z9834" t="str">
            <v>INCARDIA</v>
          </cell>
          <cell r="AA9834" t="str">
            <v>IMPORTADORA, COMERCIALIZADORA Y DA</v>
          </cell>
        </row>
        <row r="9835">
          <cell r="Z9835" t="str">
            <v>INCARDIA</v>
          </cell>
          <cell r="AA9835" t="str">
            <v>IMPORTADORA, COMERCIALIZADORA Y DA</v>
          </cell>
        </row>
        <row r="9836">
          <cell r="Z9836" t="str">
            <v>INCARDIA</v>
          </cell>
          <cell r="AA9836" t="str">
            <v>IMPORTADORA, COMERCIALIZADORA Y DA</v>
          </cell>
        </row>
        <row r="9837">
          <cell r="Z9837" t="str">
            <v>INCARDIA</v>
          </cell>
          <cell r="AA9837" t="str">
            <v>IMPORTADORA, COMERCIALIZADORA Y DA</v>
          </cell>
        </row>
        <row r="9838">
          <cell r="Z9838" t="str">
            <v>INCARDIA</v>
          </cell>
          <cell r="AA9838" t="str">
            <v>IMPORTADORA, COMERCIALIZADORA Y DA</v>
          </cell>
        </row>
        <row r="9839">
          <cell r="Z9839" t="str">
            <v>INCARDIA</v>
          </cell>
          <cell r="AA9839" t="str">
            <v>IMPORTADORA, COMERCIALIZADORA Y DA</v>
          </cell>
        </row>
        <row r="9840">
          <cell r="Z9840" t="str">
            <v>INCARDIA</v>
          </cell>
          <cell r="AA9840" t="str">
            <v>IMPORTADORA, COMERCIALIZADORA Y DA</v>
          </cell>
        </row>
        <row r="9841">
          <cell r="Z9841" t="str">
            <v>INCARDIA</v>
          </cell>
          <cell r="AA9841" t="str">
            <v>IMPORTADORA, COMERCIALIZADORA Y DA</v>
          </cell>
        </row>
        <row r="9842">
          <cell r="Z9842" t="str">
            <v>INCARDIA</v>
          </cell>
          <cell r="AA9842" t="str">
            <v>IMPORTADORA, COMERCIALIZADORA Y DA</v>
          </cell>
        </row>
        <row r="9843">
          <cell r="Z9843" t="str">
            <v>INCARDIA</v>
          </cell>
        </row>
        <row r="9844">
          <cell r="Z9844" t="str">
            <v>INCARDIA</v>
          </cell>
        </row>
        <row r="9845">
          <cell r="Z9845" t="str">
            <v>INCARDIA</v>
          </cell>
          <cell r="AA9845" t="str">
            <v>HOSPITAL VICTOR RIOS RUIZ</v>
          </cell>
        </row>
        <row r="9846">
          <cell r="Z9846" t="str">
            <v>INCARDIA</v>
          </cell>
          <cell r="AA9846" t="str">
            <v>HOSPITAL VICTOR RIOS RUIZ</v>
          </cell>
        </row>
        <row r="9847">
          <cell r="Z9847" t="str">
            <v>INCARDIA</v>
          </cell>
          <cell r="AA9847" t="str">
            <v>HOSPITAL BARROS LUCO TRUDEAU</v>
          </cell>
        </row>
        <row r="9848">
          <cell r="Z9848" t="str">
            <v>INCARDIA</v>
          </cell>
          <cell r="AA9848" t="str">
            <v>HOSPITAL BARROS LUCO TRUDEAU</v>
          </cell>
        </row>
        <row r="9849">
          <cell r="Z9849" t="str">
            <v>INCARDIA</v>
          </cell>
          <cell r="AA9849" t="str">
            <v>HOSPITAL BARROS LUCO TRUDEAU</v>
          </cell>
        </row>
        <row r="9850">
          <cell r="Z9850" t="str">
            <v>INCARDIA</v>
          </cell>
        </row>
        <row r="9851">
          <cell r="Z9851" t="str">
            <v>INCARDIA</v>
          </cell>
          <cell r="AA9851" t="str">
            <v>GEMCO GENERAL MACHINERY S.A.</v>
          </cell>
        </row>
        <row r="9852">
          <cell r="Z9852" t="str">
            <v>INCARDIA</v>
          </cell>
          <cell r="AA9852" t="str">
            <v>HOSPITAL FUTALEUFU</v>
          </cell>
        </row>
        <row r="9853">
          <cell r="Z9853" t="str">
            <v>INCARDIA</v>
          </cell>
          <cell r="AA9853" t="str">
            <v>HOSPITAL DE COYHAIQUE</v>
          </cell>
        </row>
        <row r="9854">
          <cell r="Z9854" t="str">
            <v>INCARDIA</v>
          </cell>
          <cell r="AA9854" t="str">
            <v>UNIVERSIDAD SAN SEBASTIAN</v>
          </cell>
        </row>
        <row r="9855">
          <cell r="Z9855" t="str">
            <v>INCARDIA</v>
          </cell>
          <cell r="AA9855" t="str">
            <v>HOSPITAL FUTALEUFU</v>
          </cell>
        </row>
        <row r="9856">
          <cell r="Z9856" t="str">
            <v>INCARDIA</v>
          </cell>
          <cell r="AA9856" t="str">
            <v>HOSPITAL BARROS LUCO TRUDEAU</v>
          </cell>
        </row>
        <row r="9857">
          <cell r="Z9857" t="str">
            <v>INCARDIA</v>
          </cell>
          <cell r="AA9857" t="str">
            <v>CESFAM LA CANELA</v>
          </cell>
        </row>
        <row r="9858">
          <cell r="Z9858" t="str">
            <v>INCARDIA</v>
          </cell>
          <cell r="AA9858" t="str">
            <v>HOSPITAL FUTALEUFU</v>
          </cell>
        </row>
        <row r="9859">
          <cell r="Z9859" t="str">
            <v>INCARDIA</v>
          </cell>
          <cell r="AA9859" t="str">
            <v>HOSPITAL FUTALEUFU</v>
          </cell>
        </row>
        <row r="9860">
          <cell r="Z9860" t="str">
            <v>INCARDIA</v>
          </cell>
          <cell r="AA9860" t="str">
            <v>HOSPITAL REGIONAL DE ARICA DR. JUAN NOÉ CREVANI</v>
          </cell>
        </row>
        <row r="9861">
          <cell r="Z9861" t="str">
            <v>INCARDIA</v>
          </cell>
          <cell r="AA9861" t="str">
            <v>HOSPITAL REGIONAL DE ARICA DR. JUAN NOÉ CREVANI</v>
          </cell>
        </row>
        <row r="9862">
          <cell r="Z9862" t="str">
            <v>INCARDIA</v>
          </cell>
          <cell r="AA9862" t="str">
            <v>HOSPITAL REGIONAL DE ARICA DR. JUAN NOÉ CREVANI</v>
          </cell>
        </row>
        <row r="9863">
          <cell r="Z9863" t="str">
            <v>INCARDIA</v>
          </cell>
          <cell r="AA9863" t="str">
            <v>HOSPITAL FUTALEUFU</v>
          </cell>
        </row>
        <row r="9864">
          <cell r="Z9864" t="str">
            <v>INCARDIA</v>
          </cell>
          <cell r="AA9864" t="str">
            <v>HOSPITAL FUTALEUFU</v>
          </cell>
        </row>
        <row r="9865">
          <cell r="Z9865" t="str">
            <v>INCARDIA</v>
          </cell>
        </row>
        <row r="9866">
          <cell r="Z9866" t="str">
            <v>INCARDIA</v>
          </cell>
          <cell r="AA9866" t="str">
            <v>HOSPITAL FUTALEUFU</v>
          </cell>
        </row>
        <row r="9867">
          <cell r="Z9867" t="str">
            <v>INCARDIA</v>
          </cell>
          <cell r="AA9867" t="str">
            <v>HOSPITAL FUTALEUFU</v>
          </cell>
        </row>
        <row r="9868">
          <cell r="Z9868" t="str">
            <v>INCARDIA</v>
          </cell>
          <cell r="AA9868" t="str">
            <v>HOSPITAL FUTALEUFU</v>
          </cell>
        </row>
        <row r="9869">
          <cell r="Z9869" t="str">
            <v>INCARDIA</v>
          </cell>
        </row>
        <row r="9870">
          <cell r="Z9870" t="str">
            <v>INCARDIA</v>
          </cell>
          <cell r="AA9870" t="str">
            <v>HOSPITAL FUTALEUFU</v>
          </cell>
        </row>
        <row r="9871">
          <cell r="Z9871" t="str">
            <v>INCARDIA</v>
          </cell>
          <cell r="AA9871" t="str">
            <v>HOSPITAL FUTALEUFU</v>
          </cell>
        </row>
        <row r="9872">
          <cell r="Z9872" t="str">
            <v>INCARDIA</v>
          </cell>
          <cell r="AA9872" t="str">
            <v>HOSPITAL DE QUILACAHUIN</v>
          </cell>
        </row>
        <row r="9873">
          <cell r="Z9873" t="str">
            <v>INCARDIA</v>
          </cell>
          <cell r="AA9873" t="str">
            <v>HOSPITAL DE QUILACAHUIN</v>
          </cell>
        </row>
        <row r="9874">
          <cell r="Z9874" t="str">
            <v>INCARDIA</v>
          </cell>
          <cell r="AA9874" t="str">
            <v>HOSPITAL DE QUILACAHUIN</v>
          </cell>
        </row>
        <row r="9875">
          <cell r="Z9875" t="str">
            <v>INCARDIA</v>
          </cell>
          <cell r="AA9875" t="str">
            <v>HOSPITAL DE MISION SAN JUAN DE LA COSTA</v>
          </cell>
        </row>
        <row r="9876">
          <cell r="Z9876" t="str">
            <v>INCARDIA</v>
          </cell>
          <cell r="AA9876" t="str">
            <v>HOSPITAL DE MISION SAN JUAN DE LA COSTA</v>
          </cell>
        </row>
        <row r="9877">
          <cell r="Z9877" t="str">
            <v>INCARDIA</v>
          </cell>
          <cell r="AA9877" t="str">
            <v>HOSPITAL DE MISION SAN JUAN DE LA COSTA</v>
          </cell>
        </row>
        <row r="9878">
          <cell r="Z9878" t="str">
            <v>INCARDIA</v>
          </cell>
          <cell r="AA9878" t="str">
            <v>HOSPITAL DE MISION SAN JUAN DE LA COSTA</v>
          </cell>
        </row>
        <row r="9879">
          <cell r="Z9879" t="str">
            <v>INCARDIA</v>
          </cell>
          <cell r="AA9879" t="str">
            <v>HOSPITAL DE MISION SAN JUAN DE LA COSTA</v>
          </cell>
        </row>
        <row r="9880">
          <cell r="Z9880" t="str">
            <v>INCARDIA</v>
          </cell>
          <cell r="AA9880" t="str">
            <v>HOSPITAL DE QUILACAHUIN</v>
          </cell>
        </row>
        <row r="9881">
          <cell r="Z9881" t="str">
            <v>INCARDIA</v>
          </cell>
          <cell r="AA9881" t="str">
            <v>HOSPITAL DE QUILACAHUIN</v>
          </cell>
        </row>
        <row r="9882">
          <cell r="Z9882" t="str">
            <v>INCARDIA</v>
          </cell>
          <cell r="AA9882" t="str">
            <v>HOSPITAL DE MISION SAN JUAN DE LA COSTA</v>
          </cell>
        </row>
        <row r="9883">
          <cell r="Z9883" t="str">
            <v>INCARDIA</v>
          </cell>
          <cell r="AA9883" t="str">
            <v>HOSPITAL DE QUILACAHUIN</v>
          </cell>
        </row>
        <row r="9884">
          <cell r="Z9884" t="str">
            <v>INCARDIA</v>
          </cell>
          <cell r="AA9884" t="str">
            <v>HOSPITAL DE MISION SAN JUAN DE LA COSTA</v>
          </cell>
        </row>
        <row r="9885">
          <cell r="Z9885" t="str">
            <v>INCARDIA</v>
          </cell>
          <cell r="AA9885" t="str">
            <v>HOSPITAL DE MISION SAN JUAN DE LA COSTA</v>
          </cell>
        </row>
        <row r="9886">
          <cell r="Z9886" t="str">
            <v>INCARDIA</v>
          </cell>
          <cell r="AA9886" t="str">
            <v>HOSPITAL DE QUILACAHUIN</v>
          </cell>
        </row>
        <row r="9887">
          <cell r="Z9887" t="str">
            <v>INCARDIA</v>
          </cell>
          <cell r="AA9887" t="str">
            <v>HOSPITAL DE QUILACAHUIN</v>
          </cell>
        </row>
        <row r="9888">
          <cell r="Z9888" t="str">
            <v>INCARDIA</v>
          </cell>
          <cell r="AA9888" t="str">
            <v>HOSPITAL DE QUILACAHUIN</v>
          </cell>
        </row>
        <row r="9889">
          <cell r="Z9889" t="str">
            <v>INCARDIA</v>
          </cell>
          <cell r="AA9889" t="str">
            <v>HOSPITAL DE QUILACAHUIN</v>
          </cell>
        </row>
        <row r="9890">
          <cell r="Z9890" t="str">
            <v>INCARDIA</v>
          </cell>
          <cell r="AA9890" t="str">
            <v>HOSPITAL DE QUILACAHUIN</v>
          </cell>
        </row>
        <row r="9891">
          <cell r="Z9891" t="str">
            <v>INCARDIA</v>
          </cell>
          <cell r="AA9891" t="str">
            <v>HOSPITAL DE MISION SAN JUAN DE LA COSTA</v>
          </cell>
        </row>
        <row r="9892">
          <cell r="Z9892" t="str">
            <v>INCARDIA</v>
          </cell>
          <cell r="AA9892" t="str">
            <v>HOSPITAL DE QUILACAHUIN</v>
          </cell>
        </row>
        <row r="9893">
          <cell r="Z9893" t="str">
            <v>INCARDIA</v>
          </cell>
          <cell r="AA9893" t="str">
            <v>HOSPITAL DE MISION SAN JUAN DE LA COSTA</v>
          </cell>
        </row>
        <row r="9894">
          <cell r="Z9894" t="str">
            <v>INCARDIA</v>
          </cell>
          <cell r="AA9894" t="str">
            <v>HOSPITAL DE MISION SAN JUAN DE LA COSTA</v>
          </cell>
        </row>
        <row r="9895">
          <cell r="Z9895" t="str">
            <v>INCARDIA</v>
          </cell>
          <cell r="AA9895" t="str">
            <v>HOSPITAL DE QUILACAHUIN</v>
          </cell>
        </row>
        <row r="9896">
          <cell r="Z9896" t="str">
            <v>INCARDIA</v>
          </cell>
          <cell r="AA9896" t="str">
            <v>HOSPITAL DE QUILACAHUIN</v>
          </cell>
        </row>
        <row r="9897">
          <cell r="Z9897" t="str">
            <v>INCARDIA</v>
          </cell>
          <cell r="AA9897" t="str">
            <v>HOSPITAL DE MISION SAN JUAN DE LA COSTA</v>
          </cell>
        </row>
        <row r="9898">
          <cell r="Z9898" t="str">
            <v>INCARDIA</v>
          </cell>
          <cell r="AA9898" t="str">
            <v>HOSPITAL DE MISION SAN JUAN DE LA COSTA</v>
          </cell>
        </row>
        <row r="9899">
          <cell r="Z9899" t="str">
            <v>INCARDIA</v>
          </cell>
          <cell r="AA9899" t="str">
            <v>HOSPITAL DE MISION SAN JUAN DE LA COSTA</v>
          </cell>
        </row>
        <row r="9900">
          <cell r="Z9900" t="str">
            <v>INCARDIA</v>
          </cell>
          <cell r="AA9900" t="str">
            <v>HOSPITAL DE MISION SAN JUAN DE LA COSTA</v>
          </cell>
        </row>
        <row r="9901">
          <cell r="Z9901" t="str">
            <v>INCARDIA</v>
          </cell>
          <cell r="AA9901" t="str">
            <v>HOSPITAL DE MISION SAN JUAN DE LA COSTA</v>
          </cell>
        </row>
        <row r="9902">
          <cell r="Z9902" t="str">
            <v>INCARDIA</v>
          </cell>
        </row>
        <row r="9903">
          <cell r="Z9903" t="str">
            <v>INCARDIA</v>
          </cell>
          <cell r="AA9903" t="str">
            <v>HOSPITAL NUEVO LA FLORIDA-CONCEPCION</v>
          </cell>
        </row>
        <row r="9904">
          <cell r="Z9904" t="str">
            <v>INCARDIA</v>
          </cell>
          <cell r="AA9904" t="str">
            <v>HOSPITAL DE QUILACAHUIN</v>
          </cell>
        </row>
        <row r="9905">
          <cell r="Z9905" t="str">
            <v>INCARDIA</v>
          </cell>
        </row>
        <row r="9906">
          <cell r="Z9906" t="str">
            <v>INCARDIA</v>
          </cell>
          <cell r="AA9906" t="str">
            <v>HOSPITAL DE ANGOL</v>
          </cell>
        </row>
        <row r="9907">
          <cell r="Z9907" t="str">
            <v>INCARDIA</v>
          </cell>
        </row>
        <row r="9908">
          <cell r="Z9908" t="str">
            <v>INCARDIA</v>
          </cell>
        </row>
        <row r="9909">
          <cell r="Z9909" t="str">
            <v>INCARDIA</v>
          </cell>
        </row>
        <row r="9910">
          <cell r="Z9910" t="str">
            <v>INCARDIA</v>
          </cell>
        </row>
        <row r="9911">
          <cell r="Z9911" t="str">
            <v>INCARDIA</v>
          </cell>
        </row>
        <row r="9912">
          <cell r="Z9912" t="str">
            <v>INCARDIA</v>
          </cell>
        </row>
        <row r="9913">
          <cell r="Z9913" t="str">
            <v>INCARDIA</v>
          </cell>
        </row>
        <row r="9914">
          <cell r="Z9914" t="str">
            <v>INCARDIA</v>
          </cell>
        </row>
        <row r="9915">
          <cell r="Z9915" t="str">
            <v>INCARDIA</v>
          </cell>
        </row>
        <row r="9916">
          <cell r="Z9916" t="str">
            <v>INCARDIA</v>
          </cell>
        </row>
        <row r="9917">
          <cell r="Z9917" t="str">
            <v>INCARDIA</v>
          </cell>
        </row>
        <row r="9918">
          <cell r="Z9918" t="str">
            <v>INCARDIA</v>
          </cell>
        </row>
        <row r="9919">
          <cell r="Z9919" t="str">
            <v>INCARDIA</v>
          </cell>
        </row>
        <row r="9920">
          <cell r="Z9920" t="str">
            <v>INCARDIA</v>
          </cell>
        </row>
        <row r="9921">
          <cell r="Z9921" t="str">
            <v>INCARDIA</v>
          </cell>
        </row>
        <row r="9922">
          <cell r="Z9922" t="str">
            <v>INCARDIA</v>
          </cell>
        </row>
        <row r="9923">
          <cell r="Z9923" t="str">
            <v>INCARDIA</v>
          </cell>
        </row>
        <row r="9924">
          <cell r="Z9924" t="str">
            <v>INCARDIA</v>
          </cell>
        </row>
        <row r="9925">
          <cell r="Z9925" t="str">
            <v>INCARDIA</v>
          </cell>
        </row>
        <row r="9926">
          <cell r="Z9926" t="str">
            <v>INCARDIA</v>
          </cell>
        </row>
        <row r="9927">
          <cell r="Z9927" t="str">
            <v>INCARDIA</v>
          </cell>
        </row>
        <row r="9928">
          <cell r="Z9928" t="str">
            <v>INCARDIA</v>
          </cell>
        </row>
        <row r="9929">
          <cell r="Z9929" t="str">
            <v>INCARDIA</v>
          </cell>
        </row>
        <row r="9930">
          <cell r="Z9930" t="str">
            <v>INCARDIA</v>
          </cell>
        </row>
        <row r="9931">
          <cell r="Z9931" t="str">
            <v>INCARDIA</v>
          </cell>
        </row>
        <row r="9932">
          <cell r="Z9932" t="str">
            <v>INCARDIA</v>
          </cell>
        </row>
        <row r="9933">
          <cell r="Z9933" t="str">
            <v>INCARDIA</v>
          </cell>
        </row>
        <row r="9934">
          <cell r="Z9934" t="str">
            <v>INCARDIA</v>
          </cell>
        </row>
        <row r="9935">
          <cell r="Z9935" t="str">
            <v>INCARDIA</v>
          </cell>
        </row>
        <row r="9936">
          <cell r="Z9936" t="str">
            <v>INCARDIA</v>
          </cell>
        </row>
        <row r="9937">
          <cell r="Z9937" t="str">
            <v>INCARDIA</v>
          </cell>
        </row>
        <row r="9938">
          <cell r="Z9938" t="str">
            <v>INCARDIA</v>
          </cell>
        </row>
        <row r="9939">
          <cell r="Z9939" t="str">
            <v>INCARDIA</v>
          </cell>
        </row>
        <row r="9940">
          <cell r="Z9940" t="str">
            <v>INCARDIA</v>
          </cell>
        </row>
        <row r="9941">
          <cell r="Z9941" t="str">
            <v>INCARDIA</v>
          </cell>
        </row>
        <row r="9942">
          <cell r="Z9942" t="str">
            <v>INCARDIA</v>
          </cell>
        </row>
        <row r="9943">
          <cell r="Z9943" t="str">
            <v>INCARDIA</v>
          </cell>
        </row>
        <row r="9944">
          <cell r="Z9944" t="str">
            <v>INCARDIA</v>
          </cell>
        </row>
        <row r="9945">
          <cell r="Z9945" t="str">
            <v>INCARDIA</v>
          </cell>
        </row>
        <row r="9946">
          <cell r="Z9946" t="str">
            <v>INCARDIA</v>
          </cell>
        </row>
        <row r="9947">
          <cell r="Z9947" t="str">
            <v>INCARDIA</v>
          </cell>
        </row>
        <row r="9948">
          <cell r="Z9948" t="str">
            <v>INCARDIA</v>
          </cell>
          <cell r="AA9948" t="str">
            <v>HOSPITAL DE LA FLORIDA</v>
          </cell>
        </row>
        <row r="9949">
          <cell r="Z9949" t="str">
            <v>INCARDIA</v>
          </cell>
        </row>
        <row r="9950">
          <cell r="Z9950" t="str">
            <v>INCARDIA</v>
          </cell>
        </row>
        <row r="9951">
          <cell r="Z9951" t="str">
            <v>INCARDIA</v>
          </cell>
        </row>
        <row r="9952">
          <cell r="Z9952" t="str">
            <v>INCARDIA</v>
          </cell>
        </row>
        <row r="9953">
          <cell r="Z9953" t="str">
            <v>INCARDIA</v>
          </cell>
        </row>
        <row r="9954">
          <cell r="Z9954" t="str">
            <v>INCARDIA</v>
          </cell>
        </row>
        <row r="9955">
          <cell r="Z9955" t="str">
            <v>INCARDIA</v>
          </cell>
        </row>
        <row r="9956">
          <cell r="Z9956" t="str">
            <v>INCARDIA</v>
          </cell>
        </row>
        <row r="9957">
          <cell r="Z9957" t="str">
            <v>INCARDIA</v>
          </cell>
        </row>
        <row r="9958">
          <cell r="Z9958" t="str">
            <v>INCARDIA</v>
          </cell>
          <cell r="AA9958" t="str">
            <v>HOSPITAL DE COYHAIQUE</v>
          </cell>
        </row>
        <row r="9959">
          <cell r="Z9959" t="str">
            <v>INCARDIA</v>
          </cell>
          <cell r="AA9959" t="str">
            <v>HOSPITAL DE COYHAIQUE</v>
          </cell>
        </row>
        <row r="9960">
          <cell r="Z9960" t="str">
            <v>INCARDIA</v>
          </cell>
          <cell r="AA9960" t="str">
            <v>HOSPITAL DE COYHAIQUE</v>
          </cell>
        </row>
        <row r="9961">
          <cell r="Z9961" t="str">
            <v>INCARDIA</v>
          </cell>
          <cell r="AA9961" t="str">
            <v>HOSPITAL DE COYHAIQUE</v>
          </cell>
        </row>
        <row r="9962">
          <cell r="Z9962" t="str">
            <v>INCARDIA</v>
          </cell>
          <cell r="AA9962" t="str">
            <v>HOSPITAL DE OVALLE</v>
          </cell>
        </row>
        <row r="9963">
          <cell r="Z9963" t="str">
            <v>INCARDIA</v>
          </cell>
          <cell r="AA9963" t="str">
            <v>IMPORTADORA, COMERCIALIZADORA Y DA</v>
          </cell>
        </row>
        <row r="9964">
          <cell r="Z9964" t="str">
            <v>INCARDIA</v>
          </cell>
          <cell r="AA9964" t="str">
            <v>HOSPITAL DE LA FLORIDA</v>
          </cell>
        </row>
        <row r="9965">
          <cell r="Z9965" t="str">
            <v>INCARDIA</v>
          </cell>
        </row>
        <row r="9966">
          <cell r="Z9966" t="str">
            <v>INCARDIA</v>
          </cell>
        </row>
        <row r="9967">
          <cell r="Z9967" t="str">
            <v>INCARDIA</v>
          </cell>
        </row>
        <row r="9968">
          <cell r="Z9968" t="str">
            <v>INCARDIA</v>
          </cell>
        </row>
        <row r="9969">
          <cell r="Z9969" t="str">
            <v>INCARDIA</v>
          </cell>
        </row>
        <row r="9970">
          <cell r="Z9970" t="str">
            <v>INCARDIA</v>
          </cell>
        </row>
        <row r="9971">
          <cell r="Z9971" t="str">
            <v>INCARDIA</v>
          </cell>
          <cell r="AA9971" t="str">
            <v>HOSPITAL DE LA FLORIDA</v>
          </cell>
        </row>
        <row r="9972">
          <cell r="Z9972" t="str">
            <v>INCARDIA</v>
          </cell>
          <cell r="AA9972" t="str">
            <v>IMPORTADORA, COMERCIALIZADORA Y DA</v>
          </cell>
        </row>
        <row r="9973">
          <cell r="Z9973" t="str">
            <v>INCARDIA</v>
          </cell>
        </row>
        <row r="9974">
          <cell r="Z9974" t="str">
            <v>INCARDIA</v>
          </cell>
        </row>
        <row r="9975">
          <cell r="Z9975" t="str">
            <v>INCARDIA</v>
          </cell>
        </row>
        <row r="9976">
          <cell r="Z9976" t="str">
            <v>INCARDIA</v>
          </cell>
          <cell r="AA9976" t="str">
            <v>HOSPITAL DE LA FLORIDA</v>
          </cell>
        </row>
        <row r="9977">
          <cell r="Z9977" t="str">
            <v>INCARDIA</v>
          </cell>
        </row>
        <row r="9978">
          <cell r="Z9978" t="str">
            <v>INCARDIA</v>
          </cell>
        </row>
        <row r="9979">
          <cell r="Z9979" t="str">
            <v>INCARDIA</v>
          </cell>
        </row>
        <row r="9980">
          <cell r="Z9980" t="str">
            <v>INCARDIA</v>
          </cell>
          <cell r="AA9980" t="str">
            <v>HOSPITAL VICTOR RIOS RUIZ</v>
          </cell>
        </row>
        <row r="9981">
          <cell r="Z9981" t="str">
            <v>INCARDIA</v>
          </cell>
          <cell r="AA9981" t="str">
            <v>HOSPITAL PENCO -LIRQUEN</v>
          </cell>
        </row>
        <row r="9982">
          <cell r="Z9982" t="str">
            <v>INCARDIA</v>
          </cell>
          <cell r="AA9982" t="str">
            <v>HOSPITAL VICTOR RIOS RUIZ</v>
          </cell>
        </row>
        <row r="9983">
          <cell r="Z9983" t="str">
            <v>INCARDIA</v>
          </cell>
          <cell r="AA9983" t="str">
            <v>ACHS</v>
          </cell>
        </row>
        <row r="9984">
          <cell r="Z9984" t="str">
            <v>INCARDIA</v>
          </cell>
          <cell r="AA9984" t="str">
            <v>GEMCO GENERAL MACHINERY S.A.</v>
          </cell>
        </row>
        <row r="9985">
          <cell r="Z9985" t="str">
            <v>INCARDIA</v>
          </cell>
          <cell r="AA9985" t="str">
            <v>INSTITUTO NACIONAL DE GERIATRIA</v>
          </cell>
        </row>
        <row r="9986">
          <cell r="Z9986" t="str">
            <v>INCARDIA</v>
          </cell>
          <cell r="AA9986" t="str">
            <v>INSTITUTO NACIONAL DE GERIATRIA</v>
          </cell>
        </row>
        <row r="9987">
          <cell r="Z9987" t="str">
            <v>INCARDIA</v>
          </cell>
          <cell r="AA9987" t="str">
            <v>INSTITUTO NACIONAL DE GERIATRIA</v>
          </cell>
        </row>
        <row r="9988">
          <cell r="Z9988" t="str">
            <v>INCARDIA</v>
          </cell>
          <cell r="AA9988" t="str">
            <v>INSTITUTO NACIONAL DE GERIATRIA</v>
          </cell>
        </row>
        <row r="9989">
          <cell r="Z9989" t="str">
            <v>INCARDIA</v>
          </cell>
          <cell r="AA9989" t="str">
            <v>INSTITUTO NACIONAL DE GERIATRIA</v>
          </cell>
        </row>
        <row r="9990">
          <cell r="Z9990" t="str">
            <v>INCARDIA</v>
          </cell>
          <cell r="AA9990" t="str">
            <v>INSTITUTO NACIONAL DE GERIATRIA</v>
          </cell>
        </row>
        <row r="9991">
          <cell r="Z9991" t="str">
            <v>INCARDIA</v>
          </cell>
          <cell r="AA9991" t="str">
            <v>INSTITUTO NACIONAL DE GERIATRIA</v>
          </cell>
        </row>
        <row r="9992">
          <cell r="Z9992" t="str">
            <v>INCARDIA</v>
          </cell>
          <cell r="AA9992" t="str">
            <v>INSTITUTO NACIONAL DE GERIATRIA</v>
          </cell>
        </row>
        <row r="9993">
          <cell r="Z9993" t="str">
            <v>INCARDIA</v>
          </cell>
          <cell r="AA9993" t="str">
            <v>INSTITUTO NACIONAL DE GERIATRIA</v>
          </cell>
        </row>
        <row r="9994">
          <cell r="Z9994" t="str">
            <v>INCARDIA</v>
          </cell>
          <cell r="AA9994" t="str">
            <v>INSTITUTO NACIONAL DE GERIATRIA</v>
          </cell>
        </row>
        <row r="9995">
          <cell r="Z9995" t="str">
            <v>INCARDIA</v>
          </cell>
          <cell r="AA9995" t="str">
            <v>INSTITUTO NACIONAL DE GERIATRIA</v>
          </cell>
        </row>
        <row r="9996">
          <cell r="Z9996" t="str">
            <v>INCARDIA</v>
          </cell>
          <cell r="AA9996" t="str">
            <v>INSTITUTO NACIONAL DE GERIATRIA</v>
          </cell>
        </row>
        <row r="9997">
          <cell r="Z9997" t="str">
            <v>INCARDIA</v>
          </cell>
          <cell r="AA9997" t="str">
            <v>INSTITUTO NACIONAL DE GERIATRIA</v>
          </cell>
        </row>
        <row r="9998">
          <cell r="Z9998" t="str">
            <v>INCARDIA</v>
          </cell>
          <cell r="AA9998" t="str">
            <v>INSTITUTO NACIONAL DE GERIATRIA</v>
          </cell>
        </row>
        <row r="9999">
          <cell r="Z9999" t="str">
            <v>INCARDIA</v>
          </cell>
          <cell r="AA9999" t="str">
            <v>INSTITUTO NACIONAL DE GERIATRIA</v>
          </cell>
        </row>
        <row r="10000">
          <cell r="Z10000" t="str">
            <v>INCARDIA</v>
          </cell>
        </row>
        <row r="10001">
          <cell r="Z10001" t="str">
            <v>INCARDIA</v>
          </cell>
          <cell r="AA10001" t="str">
            <v>HOSPITAL DR. GUSTAVO FRICKE</v>
          </cell>
        </row>
        <row r="10002">
          <cell r="Z10002" t="str">
            <v>INCARDIA</v>
          </cell>
          <cell r="AA10002" t="str">
            <v>HOSPITAL DR. GUSTAVO FRICKE</v>
          </cell>
        </row>
        <row r="10003">
          <cell r="Z10003" t="str">
            <v>INCARDIA</v>
          </cell>
        </row>
        <row r="10004">
          <cell r="Z10004" t="str">
            <v>INCARDIA</v>
          </cell>
        </row>
        <row r="10005">
          <cell r="Z10005" t="str">
            <v>INCARDIA</v>
          </cell>
        </row>
        <row r="10006">
          <cell r="Z10006" t="str">
            <v>INCARDIA</v>
          </cell>
          <cell r="AA10006" t="str">
            <v>HOSPITAL DE COYHAIQUE</v>
          </cell>
        </row>
        <row r="10007">
          <cell r="Z10007" t="str">
            <v>INCARDIA</v>
          </cell>
        </row>
        <row r="10008">
          <cell r="Z10008" t="str">
            <v>INCARDIA</v>
          </cell>
        </row>
        <row r="10009">
          <cell r="Z10009" t="str">
            <v>INCARDIA</v>
          </cell>
          <cell r="AA10009" t="str">
            <v>HOSPITAL REGIONAL DE ARICA DR. JUAN NOÉ CREVANI</v>
          </cell>
        </row>
        <row r="10010">
          <cell r="Z10010" t="str">
            <v>INCARDIA</v>
          </cell>
          <cell r="AA10010" t="str">
            <v>HOSPITAL REGIONAL DE ARICA DR. JUAN NOÉ CREVANI</v>
          </cell>
        </row>
        <row r="10011">
          <cell r="Z10011" t="str">
            <v>INCARDIA</v>
          </cell>
          <cell r="AA10011" t="str">
            <v>HOSPITAL REGIONAL DE ARICA DR. JUAN NOÉ CREVANI</v>
          </cell>
        </row>
        <row r="10012">
          <cell r="Z10012" t="str">
            <v>INCARDIA</v>
          </cell>
          <cell r="AA10012" t="str">
            <v>HOSPITAL REGIONAL DE ARICA DR. JUAN NOÉ CREVANI</v>
          </cell>
        </row>
        <row r="10013">
          <cell r="Z10013" t="str">
            <v>INCARDIA</v>
          </cell>
          <cell r="AA10013" t="str">
            <v>HOSPITAL REGIONAL DE ARICA DR. JUAN NOÉ CREVANI</v>
          </cell>
        </row>
        <row r="10014">
          <cell r="Z10014" t="str">
            <v>INCARDIA</v>
          </cell>
          <cell r="AA10014" t="str">
            <v>HOSPITAL REGIONAL DE ARICA DR. JUAN NOÉ CREVANI</v>
          </cell>
        </row>
        <row r="10015">
          <cell r="Z10015" t="str">
            <v>INCARDIA</v>
          </cell>
          <cell r="AA10015" t="str">
            <v>HOSPITAL REGIONAL DE ARICA DR. JUAN NOÉ CREVANI</v>
          </cell>
        </row>
        <row r="10016">
          <cell r="Z10016" t="str">
            <v>INCARDIA</v>
          </cell>
          <cell r="AA10016" t="str">
            <v>HOSPITAL REGIONAL DE ARICA DR. JUAN NOÉ CREVANI</v>
          </cell>
        </row>
        <row r="10017">
          <cell r="Z10017" t="str">
            <v>INCARDIA</v>
          </cell>
          <cell r="AA10017" t="str">
            <v>HOSPITAL REGIONAL DE ARICA DR. JUAN NOÉ CREVANI</v>
          </cell>
        </row>
        <row r="10018">
          <cell r="Z10018" t="str">
            <v>INCARDIA</v>
          </cell>
          <cell r="AA10018" t="str">
            <v>HOSPITAL REGIONAL DE ARICA DR. JUAN NOÉ CREVANI</v>
          </cell>
        </row>
        <row r="10019">
          <cell r="Z10019" t="str">
            <v>INCARDIA</v>
          </cell>
          <cell r="AA10019" t="str">
            <v>HOSPITAL REGIONAL DE ARICA DR. JUAN NOÉ CREVANI</v>
          </cell>
        </row>
        <row r="10020">
          <cell r="Z10020" t="str">
            <v>INCARDIA</v>
          </cell>
          <cell r="AA10020" t="str">
            <v>HOSPITAL REGIONAL DE ARICA DR. JUAN NOÉ CREVANI</v>
          </cell>
        </row>
        <row r="10021">
          <cell r="Z10021" t="str">
            <v>INCARDIA</v>
          </cell>
          <cell r="AA10021" t="str">
            <v>HOSPITAL REGIONAL DE ARICA DR. JUAN NOÉ CREVANI</v>
          </cell>
        </row>
        <row r="10022">
          <cell r="Z10022" t="str">
            <v>INCARDIA</v>
          </cell>
          <cell r="AA10022" t="str">
            <v>HOSPITAL REGIONAL DE ARICA DR. JUAN NOÉ CREVANI</v>
          </cell>
        </row>
        <row r="10023">
          <cell r="Z10023" t="str">
            <v>INCARDIA</v>
          </cell>
          <cell r="AA10023" t="str">
            <v>HOSPITAL REGIONAL DE ARICA DR. JUAN NOÉ CREVANI</v>
          </cell>
        </row>
        <row r="10024">
          <cell r="Z10024" t="str">
            <v>INCARDIA</v>
          </cell>
          <cell r="AA10024" t="str">
            <v>HOSPITAL REGIONAL DE ARICA DR. JUAN NOÉ CREVANI</v>
          </cell>
        </row>
        <row r="10025">
          <cell r="Z10025" t="str">
            <v>INCARDIA</v>
          </cell>
          <cell r="AA10025" t="str">
            <v>HOSPITAL REGIONAL DE ARICA DR. JUAN NOÉ CREVANI</v>
          </cell>
        </row>
        <row r="10026">
          <cell r="Z10026" t="str">
            <v>INCARDIA</v>
          </cell>
          <cell r="AA10026" t="str">
            <v>HOSPITAL REGIONAL DE ARICA DR. JUAN NOÉ CREVANI</v>
          </cell>
        </row>
        <row r="10027">
          <cell r="Z10027" t="str">
            <v>INCARDIA</v>
          </cell>
          <cell r="AA10027" t="str">
            <v>HOSPITAL REGIONAL DE ARICA DR. JUAN NOÉ CREVANI</v>
          </cell>
        </row>
        <row r="10028">
          <cell r="Z10028" t="str">
            <v>INCARDIA</v>
          </cell>
          <cell r="AA10028" t="str">
            <v>HOSPITAL REGIONAL DE ARICA DR. JUAN NOÉ CREVANI</v>
          </cell>
        </row>
        <row r="10029">
          <cell r="Z10029" t="str">
            <v>INCARDIA</v>
          </cell>
          <cell r="AA10029" t="str">
            <v>HOSPITAL REGIONAL DE ARICA DR. JUAN NOÉ CREVANI</v>
          </cell>
        </row>
        <row r="10030">
          <cell r="Z10030" t="str">
            <v>INCARDIA</v>
          </cell>
          <cell r="AA10030" t="str">
            <v>HOSPITAL REGIONAL DE ARICA DR. JUAN NOÉ CREVANI</v>
          </cell>
        </row>
        <row r="10031">
          <cell r="Z10031" t="str">
            <v>INCARDIA</v>
          </cell>
          <cell r="AA10031" t="str">
            <v>HOSPITAL REGIONAL DE ARICA DR. JUAN NOÉ CREVANI</v>
          </cell>
        </row>
        <row r="10032">
          <cell r="Z10032" t="str">
            <v>INCARDIA</v>
          </cell>
          <cell r="AA10032" t="str">
            <v>HOSPITAL REGIONAL DE ARICA DR. JUAN NOÉ CREVANI</v>
          </cell>
        </row>
        <row r="10033">
          <cell r="Z10033" t="str">
            <v>INCARDIA</v>
          </cell>
        </row>
        <row r="10034">
          <cell r="Z10034" t="str">
            <v>INCARDIA</v>
          </cell>
        </row>
        <row r="10035">
          <cell r="Z10035" t="str">
            <v>INCARDIA</v>
          </cell>
          <cell r="AA10035" t="str">
            <v>HOSPITAL DE COYHAIQUE</v>
          </cell>
        </row>
        <row r="10036">
          <cell r="Z10036" t="str">
            <v>INCARDIA</v>
          </cell>
          <cell r="AA10036" t="str">
            <v>GEMCO GENERAL MACHINERY S.A.</v>
          </cell>
        </row>
        <row r="10037">
          <cell r="Z10037" t="str">
            <v>INCARDIA</v>
          </cell>
          <cell r="AA10037" t="str">
            <v>GEMCO GENERAL MACHINERY S.A.</v>
          </cell>
        </row>
        <row r="10038">
          <cell r="Z10038" t="str">
            <v>INCARDIA</v>
          </cell>
        </row>
        <row r="10039">
          <cell r="Z10039" t="str">
            <v>INCARDIA</v>
          </cell>
        </row>
        <row r="10040">
          <cell r="Z10040" t="str">
            <v>INCARDIA</v>
          </cell>
        </row>
        <row r="10041">
          <cell r="Z10041" t="str">
            <v>INCARDIA</v>
          </cell>
          <cell r="AA10041" t="str">
            <v>GEMCO GENERAL MACHINERY S.A.</v>
          </cell>
        </row>
        <row r="10042">
          <cell r="Z10042" t="str">
            <v>INCARDIA</v>
          </cell>
        </row>
        <row r="10043">
          <cell r="Z10043" t="str">
            <v>INCARDIA</v>
          </cell>
          <cell r="AA10043" t="str">
            <v>HOSPITAL REGIONAL DE ARICA DR. JUAN NOÉ CREVANI</v>
          </cell>
        </row>
        <row r="10044">
          <cell r="Z10044" t="str">
            <v>INCARDIA</v>
          </cell>
          <cell r="AA10044" t="str">
            <v>INSTITUTO NACIONAL DE GERIATRIA</v>
          </cell>
        </row>
        <row r="10045">
          <cell r="Z10045" t="str">
            <v>INCARDIA</v>
          </cell>
          <cell r="AA10045" t="str">
            <v>GEMCO GENERAL MACHINERY S.A.</v>
          </cell>
        </row>
        <row r="10046">
          <cell r="Z10046" t="str">
            <v>INCARDIA</v>
          </cell>
          <cell r="AA10046" t="str">
            <v>GEMCO GENERAL MACHINERY S.A.</v>
          </cell>
        </row>
        <row r="10047">
          <cell r="Z10047" t="str">
            <v>INCARDIA</v>
          </cell>
          <cell r="AA10047" t="str">
            <v>HOSPITAL DE COYHAIQUE</v>
          </cell>
        </row>
        <row r="10048">
          <cell r="Z10048" t="str">
            <v>INCARDIA</v>
          </cell>
          <cell r="AA10048" t="str">
            <v>SOCIEDAD CONCESIONARIA METROPOLITANA DE SALUD S.A.</v>
          </cell>
        </row>
        <row r="10049">
          <cell r="Z10049" t="str">
            <v>ENDOSCOPÍA</v>
          </cell>
          <cell r="AA10049" t="str">
            <v>HOSPITAL DE LA FLORIDA</v>
          </cell>
        </row>
        <row r="10050">
          <cell r="Z10050" t="str">
            <v>ENDOSCOPÍA</v>
          </cell>
        </row>
        <row r="10051">
          <cell r="Z10051" t="str">
            <v>INCARDIA</v>
          </cell>
          <cell r="AA10051" t="str">
            <v>CESFAM CORDILLERA ANDINA</v>
          </cell>
        </row>
        <row r="10052">
          <cell r="Z10052" t="str">
            <v>ENDOSCOPÍA</v>
          </cell>
          <cell r="AA10052" t="str">
            <v>GEMCO GENERAL MACHINERY S.A.</v>
          </cell>
        </row>
        <row r="10053">
          <cell r="Z10053" t="str">
            <v>ENDOSCOPÍA</v>
          </cell>
        </row>
        <row r="10054">
          <cell r="Z10054" t="str">
            <v>ENDOSCOPÍA</v>
          </cell>
        </row>
        <row r="10055">
          <cell r="Z10055" t="str">
            <v>ENDOSCOPÍA</v>
          </cell>
        </row>
        <row r="10056">
          <cell r="Z10056" t="str">
            <v>ENDOSCOPÍA</v>
          </cell>
          <cell r="AA10056" t="str">
            <v>KINEROD BUIN</v>
          </cell>
        </row>
        <row r="10057">
          <cell r="Z10057" t="str">
            <v>ESTERILIZACIÓN</v>
          </cell>
        </row>
        <row r="10058">
          <cell r="Z10058" t="str">
            <v>ENDOSCOPÍA</v>
          </cell>
          <cell r="AA10058" t="str">
            <v>HOSPITAL DE ILLAPEL</v>
          </cell>
        </row>
        <row r="10059">
          <cell r="Z10059" t="str">
            <v>ENDOSCOPÍA</v>
          </cell>
          <cell r="AA10059" t="str">
            <v>HOSPITAL EL CARMEN DR. LUIS VALENTIN FERRADA</v>
          </cell>
        </row>
        <row r="10060">
          <cell r="Z10060" t="str">
            <v>MOBILIARIO CLINICO</v>
          </cell>
        </row>
        <row r="10061">
          <cell r="Z10061" t="str">
            <v>MOBILIARIO CLINICO</v>
          </cell>
        </row>
        <row r="10062">
          <cell r="Z10062" t="str">
            <v>DENTAL</v>
          </cell>
          <cell r="AA10062" t="str">
            <v>HOSPITAL BARROS LUCO TRUDEAU</v>
          </cell>
        </row>
        <row r="10063">
          <cell r="Z10063" t="str">
            <v>DENTAL</v>
          </cell>
          <cell r="AA10063" t="str">
            <v>HOSPITAL DE LA FLORIDA</v>
          </cell>
        </row>
        <row r="10064">
          <cell r="Z10064" t="str">
            <v>DENTAL</v>
          </cell>
        </row>
        <row r="10065">
          <cell r="Z10065" t="str">
            <v>DENTAL</v>
          </cell>
          <cell r="AA10065" t="str">
            <v>HOSPITAL BARROS LUCO TRUDEAU</v>
          </cell>
        </row>
        <row r="10066">
          <cell r="Z10066" t="str">
            <v>DENTAL</v>
          </cell>
          <cell r="AA10066" t="str">
            <v>S.S VIÑA DEL MAR-QUILLOTA</v>
          </cell>
        </row>
        <row r="10067">
          <cell r="Z10067" t="str">
            <v>DENTAL</v>
          </cell>
          <cell r="AA10067" t="str">
            <v>S.S VIÑA DEL MAR-QUILLOTA</v>
          </cell>
        </row>
        <row r="10068">
          <cell r="Z10068" t="str">
            <v>DENTAL</v>
          </cell>
          <cell r="AA10068" t="str">
            <v>S.S VIÑA DEL MAR-QUILLOTA</v>
          </cell>
        </row>
        <row r="10069">
          <cell r="Z10069" t="str">
            <v>DENTAL</v>
          </cell>
          <cell r="AA10069" t="str">
            <v>NORDEN VITACURA</v>
          </cell>
        </row>
        <row r="10070">
          <cell r="Z10070" t="str">
            <v>DENTAL</v>
          </cell>
        </row>
        <row r="10071">
          <cell r="Z10071" t="str">
            <v>DENTAL</v>
          </cell>
          <cell r="AA10071" t="str">
            <v>NORDEN VITACURA</v>
          </cell>
        </row>
        <row r="10072">
          <cell r="Z10072" t="str">
            <v>DENTAL</v>
          </cell>
          <cell r="AA10072" t="str">
            <v>LA ARAUCANA SALUD S.A.</v>
          </cell>
        </row>
        <row r="10073">
          <cell r="Z10073" t="str">
            <v>DENTAL</v>
          </cell>
          <cell r="AA10073" t="str">
            <v>INTEGRAMEDICA ALAMEDA</v>
          </cell>
        </row>
        <row r="10074">
          <cell r="Z10074" t="str">
            <v>DENTAL</v>
          </cell>
          <cell r="AA10074" t="str">
            <v>INTEGRAMEDICA TOBALABA</v>
          </cell>
        </row>
        <row r="10075">
          <cell r="Z10075" t="str">
            <v>DENTAL</v>
          </cell>
        </row>
        <row r="10076">
          <cell r="Z10076" t="str">
            <v>DENTAL</v>
          </cell>
        </row>
        <row r="10077">
          <cell r="Z10077" t="str">
            <v>DENTAL</v>
          </cell>
        </row>
        <row r="10078">
          <cell r="Z10078" t="str">
            <v>ENDOSCOPÍA</v>
          </cell>
        </row>
        <row r="10079">
          <cell r="Z10079" t="str">
            <v>ENDOSCOPÍA</v>
          </cell>
          <cell r="AA10079" t="str">
            <v>HOSPITAL REGIONAL DE ANTOFAGASTA</v>
          </cell>
        </row>
        <row r="10080">
          <cell r="Z10080" t="str">
            <v>ENDOSCOPÍA</v>
          </cell>
          <cell r="AA10080" t="str">
            <v>HOSPITAL DE OVALLE</v>
          </cell>
        </row>
        <row r="10081">
          <cell r="Z10081" t="str">
            <v>ENDOSCOPÍA</v>
          </cell>
          <cell r="AA10081" t="str">
            <v>HOSPITAL DE OVALLE</v>
          </cell>
        </row>
        <row r="10082">
          <cell r="Z10082" t="str">
            <v>ENDOSCOPÍA</v>
          </cell>
          <cell r="AA10082" t="str">
            <v>CLINICA ALEMANA DE SANTIAGO S A</v>
          </cell>
        </row>
        <row r="10083">
          <cell r="Z10083" t="str">
            <v>ENDOSCOPÍA</v>
          </cell>
        </row>
        <row r="10084">
          <cell r="Z10084" t="str">
            <v>ENDOSCOPÍA</v>
          </cell>
        </row>
        <row r="10085">
          <cell r="Z10085" t="str">
            <v>ENDOSCOPÍA</v>
          </cell>
          <cell r="AA10085" t="str">
            <v>CLINICA ALEMANA DE SANTIAGO S A</v>
          </cell>
        </row>
        <row r="10086">
          <cell r="Z10086" t="str">
            <v>ENDOSCOPÍA</v>
          </cell>
          <cell r="AA10086" t="str">
            <v>CLINICA ALEMANA DE SANTIAGO S A</v>
          </cell>
        </row>
        <row r="10087">
          <cell r="Z10087" t="str">
            <v>ENDOSCOPÍA</v>
          </cell>
        </row>
        <row r="10088">
          <cell r="Z10088" t="str">
            <v>ENDOSCOPÍA</v>
          </cell>
          <cell r="AA10088" t="str">
            <v>CLINICA ALEMANA DE SANTIAGO S A</v>
          </cell>
        </row>
        <row r="10089">
          <cell r="Z10089" t="str">
            <v>ENDOSCOPÍA</v>
          </cell>
        </row>
        <row r="10090">
          <cell r="Z10090" t="str">
            <v>ENDOSCOPÍA</v>
          </cell>
          <cell r="AA10090" t="str">
            <v>CLINICA ALEMANA DE SANTIAGO S A</v>
          </cell>
        </row>
        <row r="10091">
          <cell r="Z10091" t="str">
            <v>ENDOSCOPÍA</v>
          </cell>
        </row>
        <row r="10092">
          <cell r="Z10092" t="str">
            <v>ENDOSCOPÍA</v>
          </cell>
        </row>
        <row r="10093">
          <cell r="Z10093" t="str">
            <v>ENDOSCOPÍA</v>
          </cell>
        </row>
        <row r="10094">
          <cell r="Z10094" t="str">
            <v>ENDOSCOPÍA</v>
          </cell>
          <cell r="AA10094" t="str">
            <v>INTEGRAMEDICA BARCELONA</v>
          </cell>
        </row>
        <row r="10095">
          <cell r="Z10095" t="str">
            <v>ENDOSCOPÍA</v>
          </cell>
        </row>
        <row r="10096">
          <cell r="Z10096" t="str">
            <v>ENDOSCOPÍA</v>
          </cell>
        </row>
        <row r="10097">
          <cell r="Z10097" t="str">
            <v>DENTAL</v>
          </cell>
        </row>
        <row r="10098">
          <cell r="Z10098" t="str">
            <v>DENTAL</v>
          </cell>
          <cell r="AA10098" t="str">
            <v>ODONTOLOGIA PROVIDENCIA SPA</v>
          </cell>
        </row>
        <row r="10099">
          <cell r="Z10099" t="str">
            <v>DENTAL</v>
          </cell>
        </row>
        <row r="10100">
          <cell r="Z10100" t="str">
            <v>DENTAL</v>
          </cell>
        </row>
        <row r="10101">
          <cell r="Z10101" t="str">
            <v>DENTAL</v>
          </cell>
          <cell r="AA10101" t="str">
            <v>HOSPITAL DE ILLAPEL</v>
          </cell>
        </row>
        <row r="10102">
          <cell r="Z10102" t="str">
            <v>DENTAL</v>
          </cell>
        </row>
        <row r="10103">
          <cell r="Z10103" t="str">
            <v>DENTAL</v>
          </cell>
          <cell r="AA10103" t="str">
            <v>HOSPITAL LAS HIGUERAS</v>
          </cell>
        </row>
        <row r="10104">
          <cell r="Z10104" t="str">
            <v>DENTAL</v>
          </cell>
        </row>
        <row r="10105">
          <cell r="Z10105" t="str">
            <v>DENTAL</v>
          </cell>
        </row>
        <row r="10106">
          <cell r="Z10106" t="str">
            <v>DENTAL</v>
          </cell>
          <cell r="AA10106" t="str">
            <v>HOSPITAL DE CURANILAHUE DR. RAFAEL AVARIA</v>
          </cell>
        </row>
        <row r="10107">
          <cell r="Z10107" t="str">
            <v>DENTAL</v>
          </cell>
        </row>
        <row r="10108">
          <cell r="Z10108" t="str">
            <v>DENTAL</v>
          </cell>
        </row>
        <row r="10109">
          <cell r="Z10109" t="str">
            <v>DENTAL</v>
          </cell>
        </row>
        <row r="10110">
          <cell r="Z10110" t="str">
            <v>DENTAL</v>
          </cell>
          <cell r="AA10110" t="str">
            <v>HOSPITAL CARLOS CISTERNA DE CALAMA</v>
          </cell>
        </row>
        <row r="10111">
          <cell r="Z10111" t="str">
            <v>DENTAL</v>
          </cell>
          <cell r="AA10111" t="str">
            <v>HOSPITAL LAS HIGUERAS</v>
          </cell>
        </row>
        <row r="10112">
          <cell r="Z10112" t="str">
            <v>DENTAL</v>
          </cell>
        </row>
        <row r="10113">
          <cell r="Z10113" t="str">
            <v>DENTAL</v>
          </cell>
        </row>
        <row r="10114">
          <cell r="Z10114" t="str">
            <v>DENTAL</v>
          </cell>
        </row>
        <row r="10115">
          <cell r="Z10115" t="str">
            <v>DENTAL</v>
          </cell>
        </row>
        <row r="10116">
          <cell r="Z10116" t="str">
            <v>DENTAL</v>
          </cell>
        </row>
        <row r="10117">
          <cell r="Z10117" t="str">
            <v>DENTAL</v>
          </cell>
        </row>
        <row r="10118">
          <cell r="Z10118" t="str">
            <v>DENTAL</v>
          </cell>
          <cell r="AA10118" t="str">
            <v>ODONTOLOGIA PROVIDENCIA SPA</v>
          </cell>
        </row>
        <row r="10119">
          <cell r="Z10119" t="str">
            <v>DENTAL</v>
          </cell>
          <cell r="AA10119" t="str">
            <v>ODONTOESTETICA</v>
          </cell>
        </row>
        <row r="10120">
          <cell r="Z10120" t="str">
            <v>DENTAL</v>
          </cell>
        </row>
        <row r="10121">
          <cell r="Z10121" t="str">
            <v>DENTAL</v>
          </cell>
          <cell r="AA10121" t="str">
            <v>EJERCITO DE CHILE CENTRAL ODONTOLOGICA D</v>
          </cell>
        </row>
        <row r="10122">
          <cell r="Z10122" t="str">
            <v>DENTAL</v>
          </cell>
        </row>
        <row r="10123">
          <cell r="Z10123" t="str">
            <v>DENTAL</v>
          </cell>
        </row>
        <row r="10124">
          <cell r="Z10124" t="str">
            <v>DENTAL</v>
          </cell>
          <cell r="AA10124" t="str">
            <v>HOSPITAL REGIONAL DE ANTOFAGASTA</v>
          </cell>
        </row>
        <row r="10125">
          <cell r="Z10125" t="str">
            <v>DENTAL</v>
          </cell>
          <cell r="AA10125" t="str">
            <v>HOSPITAL DR. GUSTAVO FRICKE</v>
          </cell>
        </row>
        <row r="10126">
          <cell r="Z10126" t="str">
            <v>DENTAL</v>
          </cell>
          <cell r="AA10126" t="str">
            <v>HOSPITAL REGIONAL DE ARICA DR. JUAN NOÉ CREVANI</v>
          </cell>
        </row>
        <row r="10127">
          <cell r="Z10127" t="str">
            <v>DENTAL</v>
          </cell>
          <cell r="AA10127" t="str">
            <v>HOSPITAL DE IQUIQUE</v>
          </cell>
        </row>
        <row r="10128">
          <cell r="Z10128" t="str">
            <v>DENTAL</v>
          </cell>
        </row>
        <row r="10129">
          <cell r="Z10129" t="str">
            <v>DENTAL</v>
          </cell>
        </row>
        <row r="10130">
          <cell r="Z10130" t="str">
            <v>DENTAL</v>
          </cell>
        </row>
        <row r="10131">
          <cell r="Z10131" t="str">
            <v>DENTAL</v>
          </cell>
        </row>
        <row r="10132">
          <cell r="Z10132" t="str">
            <v>DENTAL</v>
          </cell>
        </row>
        <row r="10133">
          <cell r="Z10133" t="str">
            <v>DENTAL</v>
          </cell>
        </row>
        <row r="10134">
          <cell r="Z10134" t="str">
            <v>DENTAL</v>
          </cell>
        </row>
        <row r="10135">
          <cell r="Z10135" t="str">
            <v>INCARDIA</v>
          </cell>
          <cell r="AA10135" t="str">
            <v>HOSPITAL GUILLERMO GRANT BENAVENTE</v>
          </cell>
        </row>
        <row r="10136">
          <cell r="Z10136" t="str">
            <v>INCARDIA</v>
          </cell>
          <cell r="AA10136" t="str">
            <v>HOSPITAL GUILLERMO GRANT BENAVENTE</v>
          </cell>
        </row>
        <row r="10137">
          <cell r="Z10137" t="str">
            <v>INCARDIA</v>
          </cell>
          <cell r="AA10137" t="str">
            <v>HOSPITAL GUILLERMO GRANT BENAVENTE</v>
          </cell>
        </row>
        <row r="10138">
          <cell r="Z10138" t="str">
            <v>INCARDIA</v>
          </cell>
          <cell r="AA10138" t="str">
            <v>HOSPITAL GUILLERMO GRANT BENAVENTE</v>
          </cell>
        </row>
        <row r="10139">
          <cell r="Z10139" t="str">
            <v>INCARDIA</v>
          </cell>
          <cell r="AA10139" t="str">
            <v>HOSPITAL DE ANGOL</v>
          </cell>
        </row>
        <row r="10140">
          <cell r="Z10140" t="str">
            <v>INCARDIA</v>
          </cell>
          <cell r="AA10140" t="str">
            <v>SERVICIO DE SALUD OSORNO</v>
          </cell>
        </row>
        <row r="10141">
          <cell r="Z10141" t="str">
            <v>INCARDIA</v>
          </cell>
          <cell r="AA10141" t="str">
            <v>SERVICIO DE SALUD OSORNO</v>
          </cell>
        </row>
        <row r="10142">
          <cell r="Z10142" t="str">
            <v>INCARDIA</v>
          </cell>
          <cell r="AA10142" t="str">
            <v>SERVICIO DE SALUD OSORNO</v>
          </cell>
        </row>
        <row r="10143">
          <cell r="Z10143" t="str">
            <v>INCARDIA</v>
          </cell>
          <cell r="AA10143" t="str">
            <v>SERVICIO DE SALUD OSORNO</v>
          </cell>
        </row>
        <row r="10144">
          <cell r="Z10144" t="str">
            <v>INCARDIA</v>
          </cell>
          <cell r="AA10144" t="str">
            <v>I. MUNICIPALIDAD DE PAINE</v>
          </cell>
        </row>
        <row r="10145">
          <cell r="Z10145" t="str">
            <v>INCARDIA</v>
          </cell>
          <cell r="AA10145" t="str">
            <v>I. MUNICIPALIDAD DE PAINE</v>
          </cell>
        </row>
        <row r="10146">
          <cell r="Z10146" t="str">
            <v>INCARDIA</v>
          </cell>
          <cell r="AA10146" t="str">
            <v>I. MUNICIPALIDAD DE PAINE</v>
          </cell>
        </row>
        <row r="10147">
          <cell r="Z10147" t="str">
            <v>INCARDIA</v>
          </cell>
          <cell r="AA10147" t="str">
            <v>I. MUNICIPALIDAD DE PAINE</v>
          </cell>
        </row>
        <row r="10148">
          <cell r="Z10148" t="str">
            <v>INCARDIA</v>
          </cell>
          <cell r="AA10148" t="str">
            <v>I. MUNICIPALIDAD DE PAINE</v>
          </cell>
        </row>
        <row r="10149">
          <cell r="Z10149" t="str">
            <v>INCARDIA</v>
          </cell>
          <cell r="AA10149" t="str">
            <v>I. MUNICIPALIDAD DE PAINE</v>
          </cell>
        </row>
        <row r="10150">
          <cell r="Z10150" t="str">
            <v>INCARDIA</v>
          </cell>
        </row>
        <row r="10151">
          <cell r="Z10151" t="str">
            <v>INCARDIA</v>
          </cell>
        </row>
        <row r="10152">
          <cell r="Z10152" t="str">
            <v>INCARDIA</v>
          </cell>
        </row>
        <row r="10153">
          <cell r="Z10153" t="str">
            <v>INCARDIA</v>
          </cell>
          <cell r="AA10153" t="str">
            <v>HOSPITAL CLINICO HERMINDA MARTIN CHILLAN</v>
          </cell>
        </row>
        <row r="10154">
          <cell r="Z10154" t="str">
            <v>INCARDIA</v>
          </cell>
          <cell r="AA10154" t="str">
            <v>GEMCO GENERAL MACHINERY S.A.</v>
          </cell>
        </row>
        <row r="10155">
          <cell r="Z10155" t="str">
            <v>INCARDIA</v>
          </cell>
          <cell r="AA10155" t="str">
            <v>GEMCO GENERAL MACHINERY S.A.</v>
          </cell>
        </row>
        <row r="10156">
          <cell r="Z10156" t="str">
            <v>INCARDIA</v>
          </cell>
          <cell r="AA10156" t="str">
            <v>GEMCO GENERAL MACHINERY S.A.</v>
          </cell>
        </row>
        <row r="10157">
          <cell r="Z10157" t="str">
            <v>INCARDIA</v>
          </cell>
          <cell r="AA10157" t="str">
            <v>GEMCO GENERAL MACHINERY S.A.</v>
          </cell>
        </row>
        <row r="10158">
          <cell r="Z10158" t="str">
            <v>INCARDIA</v>
          </cell>
          <cell r="AA10158" t="str">
            <v>GEMCO GENERAL MACHINERY S.A.</v>
          </cell>
        </row>
        <row r="10159">
          <cell r="Z10159" t="str">
            <v>INCARDIA</v>
          </cell>
          <cell r="AA10159" t="str">
            <v>GEMCO GENERAL MACHINERY S.A.</v>
          </cell>
        </row>
        <row r="10160">
          <cell r="Z10160" t="str">
            <v>INCARDIA</v>
          </cell>
        </row>
        <row r="10161">
          <cell r="Z10161" t="str">
            <v>INCARDIA</v>
          </cell>
        </row>
        <row r="10162">
          <cell r="Z10162" t="str">
            <v>INCARDIA</v>
          </cell>
        </row>
        <row r="10163">
          <cell r="Z10163" t="str">
            <v>INCARDIA</v>
          </cell>
        </row>
        <row r="10164">
          <cell r="Z10164" t="str">
            <v>INCARDIA</v>
          </cell>
        </row>
        <row r="10165">
          <cell r="Z10165" t="str">
            <v>INCARDIA</v>
          </cell>
        </row>
        <row r="10166">
          <cell r="Z10166" t="str">
            <v>INCARDIA</v>
          </cell>
        </row>
        <row r="10167">
          <cell r="Z10167" t="str">
            <v>INCARDIA</v>
          </cell>
        </row>
        <row r="10168">
          <cell r="Z10168" t="str">
            <v>INCARDIA</v>
          </cell>
        </row>
        <row r="10169">
          <cell r="Z10169" t="str">
            <v>INCARDIA</v>
          </cell>
        </row>
        <row r="10170">
          <cell r="Z10170" t="str">
            <v>INCARDIA</v>
          </cell>
        </row>
        <row r="10171">
          <cell r="Z10171" t="str">
            <v>INCARDIA</v>
          </cell>
        </row>
        <row r="10172">
          <cell r="Z10172" t="str">
            <v>INCARDIA</v>
          </cell>
        </row>
        <row r="10173">
          <cell r="Z10173" t="str">
            <v>INCARDIA</v>
          </cell>
        </row>
        <row r="10174">
          <cell r="Z10174" t="str">
            <v>INCARDIA</v>
          </cell>
        </row>
        <row r="10175">
          <cell r="Z10175" t="str">
            <v>INCARDIA</v>
          </cell>
        </row>
        <row r="10176">
          <cell r="Z10176" t="str">
            <v>INCARDIA</v>
          </cell>
        </row>
        <row r="10177">
          <cell r="Z10177" t="str">
            <v>INCARDIA</v>
          </cell>
        </row>
        <row r="10178">
          <cell r="Z10178" t="str">
            <v>INCARDIA</v>
          </cell>
        </row>
        <row r="10179">
          <cell r="Z10179" t="str">
            <v>INCARDIA</v>
          </cell>
        </row>
        <row r="10180">
          <cell r="Z10180" t="str">
            <v>INCARDIA</v>
          </cell>
        </row>
        <row r="10181">
          <cell r="Z10181" t="str">
            <v>INCARDIA</v>
          </cell>
        </row>
        <row r="10182">
          <cell r="Z10182" t="str">
            <v>INCARDIA</v>
          </cell>
        </row>
        <row r="10183">
          <cell r="Z10183" t="str">
            <v>INCARDIA</v>
          </cell>
        </row>
        <row r="10184">
          <cell r="Z10184" t="str">
            <v>INCARDIA</v>
          </cell>
        </row>
        <row r="10185">
          <cell r="Z10185" t="str">
            <v>INCARDIA</v>
          </cell>
        </row>
        <row r="10186">
          <cell r="Z10186" t="str">
            <v>INCARDIA</v>
          </cell>
        </row>
        <row r="10187">
          <cell r="Z10187" t="str">
            <v>INCARDIA</v>
          </cell>
        </row>
        <row r="10188">
          <cell r="Z10188" t="str">
            <v>INCARDIA</v>
          </cell>
        </row>
        <row r="10189">
          <cell r="Z10189" t="str">
            <v>INCARDIA</v>
          </cell>
        </row>
        <row r="10190">
          <cell r="Z10190" t="str">
            <v>INCARDIA</v>
          </cell>
        </row>
        <row r="10191">
          <cell r="Z10191" t="str">
            <v>INCARDIA</v>
          </cell>
        </row>
        <row r="10192">
          <cell r="Z10192" t="str">
            <v>INCARDIA</v>
          </cell>
        </row>
        <row r="10193">
          <cell r="Z10193" t="str">
            <v>INCARDIA</v>
          </cell>
        </row>
        <row r="10194">
          <cell r="Z10194" t="str">
            <v>INCARDIA</v>
          </cell>
        </row>
        <row r="10195">
          <cell r="Z10195" t="str">
            <v>INCARDIA</v>
          </cell>
        </row>
        <row r="10196">
          <cell r="Z10196" t="str">
            <v>INCARDIA</v>
          </cell>
        </row>
        <row r="10197">
          <cell r="Z10197" t="str">
            <v>INCARDIA</v>
          </cell>
        </row>
        <row r="10198">
          <cell r="Z10198" t="str">
            <v>INCARDIA</v>
          </cell>
        </row>
        <row r="10199">
          <cell r="Z10199" t="str">
            <v>INCARDIA</v>
          </cell>
        </row>
        <row r="10200">
          <cell r="Z10200" t="str">
            <v>INCARDIA</v>
          </cell>
        </row>
        <row r="10201">
          <cell r="Z10201" t="str">
            <v>INCARDIA</v>
          </cell>
        </row>
        <row r="10202">
          <cell r="Z10202" t="str">
            <v>INCARDIA</v>
          </cell>
        </row>
        <row r="10203">
          <cell r="Z10203" t="str">
            <v>INCARDIA</v>
          </cell>
        </row>
        <row r="10204">
          <cell r="Z10204" t="str">
            <v>INCARDIA</v>
          </cell>
        </row>
        <row r="10205">
          <cell r="Z10205" t="str">
            <v>INCARDIA</v>
          </cell>
        </row>
        <row r="10206">
          <cell r="Z10206" t="str">
            <v>INCARDIA</v>
          </cell>
        </row>
        <row r="10207">
          <cell r="Z10207" t="str">
            <v>INCARDIA</v>
          </cell>
        </row>
        <row r="10208">
          <cell r="Z10208" t="str">
            <v>INCARDIA</v>
          </cell>
        </row>
        <row r="10209">
          <cell r="Z10209" t="str">
            <v>INCARDIA</v>
          </cell>
        </row>
        <row r="10210">
          <cell r="Z10210" t="str">
            <v>INCARDIA</v>
          </cell>
        </row>
        <row r="10211">
          <cell r="Z10211" t="str">
            <v>INCARDIA</v>
          </cell>
        </row>
        <row r="10212">
          <cell r="Z10212" t="str">
            <v>INCARDIA</v>
          </cell>
        </row>
        <row r="10213">
          <cell r="Z10213" t="str">
            <v>INCARDIA</v>
          </cell>
        </row>
        <row r="10214">
          <cell r="Z10214" t="str">
            <v>INCARDIA</v>
          </cell>
        </row>
        <row r="10215">
          <cell r="Z10215" t="str">
            <v>INCARDIA</v>
          </cell>
        </row>
        <row r="10216">
          <cell r="Z10216" t="str">
            <v>INCARDIA</v>
          </cell>
        </row>
        <row r="10217">
          <cell r="Z10217" t="str">
            <v>INCARDIA</v>
          </cell>
        </row>
        <row r="10218">
          <cell r="Z10218" t="str">
            <v>INCARDIA</v>
          </cell>
        </row>
        <row r="10219">
          <cell r="Z10219" t="str">
            <v>INCARDIA</v>
          </cell>
        </row>
        <row r="10220">
          <cell r="Z10220" t="str">
            <v>INCARDIA</v>
          </cell>
        </row>
        <row r="10221">
          <cell r="Z10221" t="str">
            <v>INCARDIA</v>
          </cell>
        </row>
        <row r="10222">
          <cell r="Z10222" t="str">
            <v>INCARDIA</v>
          </cell>
        </row>
        <row r="10223">
          <cell r="Z10223" t="str">
            <v>INCARDIA</v>
          </cell>
        </row>
        <row r="10224">
          <cell r="Z10224" t="str">
            <v>INCARDIA</v>
          </cell>
        </row>
        <row r="10225">
          <cell r="Z10225" t="str">
            <v>INCARDIA</v>
          </cell>
        </row>
        <row r="10226">
          <cell r="Z10226" t="str">
            <v>INCARDIA</v>
          </cell>
        </row>
        <row r="10227">
          <cell r="Z10227" t="str">
            <v>INCARDIA</v>
          </cell>
        </row>
        <row r="10228">
          <cell r="Z10228" t="str">
            <v>INCARDIA</v>
          </cell>
        </row>
        <row r="10229">
          <cell r="Z10229" t="str">
            <v>INCARDIA</v>
          </cell>
        </row>
        <row r="10230">
          <cell r="Z10230" t="str">
            <v>INCARDIA</v>
          </cell>
        </row>
        <row r="10231">
          <cell r="Z10231" t="str">
            <v>INCARDIA</v>
          </cell>
        </row>
        <row r="10232">
          <cell r="Z10232" t="str">
            <v>INCARDIA</v>
          </cell>
        </row>
        <row r="10233">
          <cell r="Z10233" t="str">
            <v>INCARDIA</v>
          </cell>
        </row>
        <row r="10234">
          <cell r="Z10234" t="str">
            <v>INCARDIA</v>
          </cell>
        </row>
        <row r="10235">
          <cell r="Z10235" t="str">
            <v>INCARDIA</v>
          </cell>
        </row>
        <row r="10236">
          <cell r="Z10236" t="str">
            <v>INCARDIA</v>
          </cell>
        </row>
        <row r="10237">
          <cell r="Z10237" t="str">
            <v>INCARDIA</v>
          </cell>
        </row>
        <row r="10238">
          <cell r="Z10238" t="str">
            <v>INCARDIA</v>
          </cell>
        </row>
        <row r="10239">
          <cell r="Z10239" t="str">
            <v>INCARDIA</v>
          </cell>
        </row>
        <row r="10240">
          <cell r="Z10240" t="str">
            <v>INCARDIA</v>
          </cell>
        </row>
        <row r="10241">
          <cell r="Z10241" t="str">
            <v>INCARDIA</v>
          </cell>
        </row>
        <row r="10242">
          <cell r="Z10242" t="str">
            <v>INCARDIA</v>
          </cell>
        </row>
        <row r="10243">
          <cell r="Z10243" t="str">
            <v>INCARDIA</v>
          </cell>
        </row>
        <row r="10244">
          <cell r="Z10244" t="str">
            <v>INCARDIA</v>
          </cell>
        </row>
        <row r="10245">
          <cell r="Z10245" t="str">
            <v>INCARDIA</v>
          </cell>
        </row>
        <row r="10246">
          <cell r="Z10246" t="str">
            <v>INCARDIA</v>
          </cell>
        </row>
        <row r="10247">
          <cell r="Z10247" t="str">
            <v>INCARDIA</v>
          </cell>
        </row>
        <row r="10248">
          <cell r="Z10248" t="str">
            <v>INCARDIA</v>
          </cell>
        </row>
        <row r="10249">
          <cell r="Z10249" t="str">
            <v>INCARDIA</v>
          </cell>
        </row>
        <row r="10250">
          <cell r="Z10250" t="str">
            <v>INCARDIA</v>
          </cell>
        </row>
        <row r="10251">
          <cell r="Z10251" t="str">
            <v>INCARDIA</v>
          </cell>
        </row>
        <row r="10252">
          <cell r="Z10252" t="str">
            <v>INCARDIA</v>
          </cell>
        </row>
        <row r="10253">
          <cell r="Z10253" t="str">
            <v>INCARDIA</v>
          </cell>
        </row>
        <row r="10254">
          <cell r="Z10254" t="str">
            <v>INCARDIA</v>
          </cell>
        </row>
        <row r="10255">
          <cell r="Z10255" t="str">
            <v>INCARDIA</v>
          </cell>
        </row>
        <row r="10256">
          <cell r="Z10256" t="str">
            <v>INCARDIA</v>
          </cell>
        </row>
        <row r="10257">
          <cell r="Z10257" t="str">
            <v>INCARDIA</v>
          </cell>
        </row>
        <row r="10258">
          <cell r="Z10258" t="str">
            <v>INCARDIA</v>
          </cell>
        </row>
        <row r="10259">
          <cell r="Z10259" t="str">
            <v>INCARDIA</v>
          </cell>
        </row>
        <row r="10260">
          <cell r="Z10260" t="str">
            <v>INCARDIA</v>
          </cell>
        </row>
        <row r="10261">
          <cell r="Z10261" t="str">
            <v>INCARDIA</v>
          </cell>
        </row>
        <row r="10262">
          <cell r="Z10262" t="str">
            <v>INCARDIA</v>
          </cell>
        </row>
        <row r="10263">
          <cell r="Z10263" t="str">
            <v>INCARDIA</v>
          </cell>
        </row>
        <row r="10264">
          <cell r="Z10264" t="str">
            <v>INCARDIA</v>
          </cell>
        </row>
        <row r="10265">
          <cell r="Z10265" t="str">
            <v>INCARDIA</v>
          </cell>
        </row>
        <row r="10266">
          <cell r="Z10266" t="str">
            <v>INCARDIA</v>
          </cell>
        </row>
        <row r="10267">
          <cell r="Z10267" t="str">
            <v>INCARDIA</v>
          </cell>
        </row>
        <row r="10268">
          <cell r="Z10268" t="str">
            <v>INCARDIA</v>
          </cell>
        </row>
        <row r="10269">
          <cell r="Z10269" t="str">
            <v>INCARDIA</v>
          </cell>
        </row>
        <row r="10270">
          <cell r="Z10270" t="str">
            <v>INCARDIA</v>
          </cell>
        </row>
        <row r="10271">
          <cell r="Z10271" t="str">
            <v>INCARDIA</v>
          </cell>
        </row>
        <row r="10272">
          <cell r="Z10272" t="str">
            <v>INCARDIA</v>
          </cell>
        </row>
        <row r="10273">
          <cell r="Z10273" t="str">
            <v>INCARDIA</v>
          </cell>
        </row>
        <row r="10274">
          <cell r="Z10274" t="str">
            <v>INCARDIA</v>
          </cell>
        </row>
        <row r="10275">
          <cell r="Z10275" t="str">
            <v>INCARDIA</v>
          </cell>
        </row>
        <row r="10276">
          <cell r="Z10276" t="str">
            <v>INCARDIA</v>
          </cell>
        </row>
        <row r="10277">
          <cell r="Z10277" t="str">
            <v>INCARDIA</v>
          </cell>
        </row>
        <row r="10278">
          <cell r="Z10278" t="str">
            <v>INCARDIA</v>
          </cell>
        </row>
        <row r="10279">
          <cell r="Z10279" t="str">
            <v>INCARDIA</v>
          </cell>
        </row>
        <row r="10280">
          <cell r="Z10280" t="str">
            <v>INCARDIA</v>
          </cell>
        </row>
        <row r="10281">
          <cell r="Z10281" t="str">
            <v>INCARDIA</v>
          </cell>
        </row>
        <row r="10282">
          <cell r="Z10282" t="str">
            <v>INCARDIA</v>
          </cell>
        </row>
        <row r="10283">
          <cell r="Z10283" t="str">
            <v>INCARDIA</v>
          </cell>
        </row>
        <row r="10284">
          <cell r="Z10284" t="str">
            <v>INCARDIA</v>
          </cell>
        </row>
        <row r="10285">
          <cell r="Z10285" t="str">
            <v>INCARDIA</v>
          </cell>
        </row>
        <row r="10286">
          <cell r="Z10286" t="str">
            <v>INCARDIA</v>
          </cell>
        </row>
        <row r="10287">
          <cell r="Z10287" t="str">
            <v>INCARDIA</v>
          </cell>
        </row>
        <row r="10288">
          <cell r="Z10288" t="str">
            <v>INCARDIA</v>
          </cell>
        </row>
        <row r="10289">
          <cell r="Z10289" t="str">
            <v>INCARDIA</v>
          </cell>
        </row>
        <row r="10290">
          <cell r="Z10290" t="str">
            <v>INCARDIA</v>
          </cell>
        </row>
        <row r="10291">
          <cell r="Z10291" t="str">
            <v>INCARDIA</v>
          </cell>
        </row>
        <row r="10292">
          <cell r="Z10292" t="str">
            <v>INCARDIA</v>
          </cell>
        </row>
        <row r="10293">
          <cell r="Z10293" t="str">
            <v>INCARDIA</v>
          </cell>
        </row>
        <row r="10294">
          <cell r="Z10294" t="str">
            <v>INCARDIA</v>
          </cell>
        </row>
        <row r="10295">
          <cell r="Z10295" t="str">
            <v>INCARDIA</v>
          </cell>
        </row>
        <row r="10296">
          <cell r="Z10296" t="str">
            <v>INCARDIA</v>
          </cell>
        </row>
        <row r="10297">
          <cell r="Z10297" t="str">
            <v>INCARDIA</v>
          </cell>
        </row>
        <row r="10298">
          <cell r="Z10298" t="str">
            <v>INCARDIA</v>
          </cell>
        </row>
        <row r="10299">
          <cell r="Z10299" t="str">
            <v>INCARDIA</v>
          </cell>
        </row>
        <row r="10300">
          <cell r="Z10300" t="str">
            <v>INCARDIA</v>
          </cell>
        </row>
        <row r="10301">
          <cell r="Z10301" t="str">
            <v>INCARDIA</v>
          </cell>
        </row>
        <row r="10302">
          <cell r="Z10302" t="str">
            <v>INCARDIA</v>
          </cell>
        </row>
        <row r="10303">
          <cell r="Z10303" t="str">
            <v>INCARDIA</v>
          </cell>
        </row>
        <row r="10304">
          <cell r="Z10304" t="str">
            <v>INCARDIA</v>
          </cell>
        </row>
        <row r="10305">
          <cell r="Z10305" t="str">
            <v>INCARDIA</v>
          </cell>
        </row>
        <row r="10306">
          <cell r="Z10306" t="str">
            <v>INCARDIA</v>
          </cell>
        </row>
        <row r="10307">
          <cell r="Z10307" t="str">
            <v>INCARDIA</v>
          </cell>
        </row>
        <row r="10308">
          <cell r="Z10308" t="str">
            <v>INCARDIA</v>
          </cell>
        </row>
        <row r="10309">
          <cell r="Z10309" t="str">
            <v>INCARDIA</v>
          </cell>
        </row>
        <row r="10310">
          <cell r="Z10310" t="str">
            <v>INCARDIA</v>
          </cell>
        </row>
        <row r="10311">
          <cell r="Z10311" t="str">
            <v>INCARDIA</v>
          </cell>
        </row>
        <row r="10312">
          <cell r="Z10312" t="str">
            <v>INCARDIA</v>
          </cell>
        </row>
        <row r="10313">
          <cell r="Z10313" t="str">
            <v>INCARDIA</v>
          </cell>
        </row>
        <row r="10314">
          <cell r="Z10314" t="str">
            <v>INCARDIA</v>
          </cell>
        </row>
        <row r="10315">
          <cell r="Z10315" t="str">
            <v>INCARDIA</v>
          </cell>
        </row>
        <row r="10316">
          <cell r="Z10316" t="str">
            <v>INCARDIA</v>
          </cell>
        </row>
        <row r="10317">
          <cell r="Z10317" t="str">
            <v>INCARDIA</v>
          </cell>
        </row>
        <row r="10318">
          <cell r="Z10318" t="str">
            <v>INCARDIA</v>
          </cell>
        </row>
        <row r="10319">
          <cell r="Z10319" t="str">
            <v>INCARDIA</v>
          </cell>
        </row>
        <row r="10320">
          <cell r="Z10320" t="str">
            <v>INCARDIA</v>
          </cell>
        </row>
        <row r="10321">
          <cell r="Z10321" t="str">
            <v>INCARDIA</v>
          </cell>
        </row>
        <row r="10322">
          <cell r="Z10322" t="str">
            <v>INCARDIA</v>
          </cell>
        </row>
        <row r="10323">
          <cell r="Z10323" t="str">
            <v>INCARDIA</v>
          </cell>
        </row>
        <row r="10324">
          <cell r="Z10324" t="str">
            <v>INCARDIA</v>
          </cell>
        </row>
        <row r="10325">
          <cell r="Z10325" t="str">
            <v>INCARDIA</v>
          </cell>
        </row>
        <row r="10326">
          <cell r="Z10326" t="str">
            <v>INCARDIA</v>
          </cell>
        </row>
        <row r="10327">
          <cell r="Z10327" t="str">
            <v>INCARDIA</v>
          </cell>
        </row>
        <row r="10328">
          <cell r="Z10328" t="str">
            <v>INCARDIA</v>
          </cell>
        </row>
        <row r="10329">
          <cell r="Z10329" t="str">
            <v>INCARDIA</v>
          </cell>
        </row>
        <row r="10330">
          <cell r="Z10330" t="str">
            <v>INCARDIA</v>
          </cell>
        </row>
        <row r="10331">
          <cell r="Z10331" t="str">
            <v>INCARDIA</v>
          </cell>
        </row>
        <row r="10332">
          <cell r="Z10332" t="str">
            <v>INCARDIA</v>
          </cell>
        </row>
        <row r="10333">
          <cell r="Z10333" t="str">
            <v>INCARDIA</v>
          </cell>
        </row>
        <row r="10334">
          <cell r="Z10334" t="str">
            <v>INCARDIA</v>
          </cell>
        </row>
        <row r="10335">
          <cell r="Z10335" t="str">
            <v>INCARDIA</v>
          </cell>
        </row>
        <row r="10336">
          <cell r="Z10336" t="str">
            <v>INCARDIA</v>
          </cell>
        </row>
        <row r="10337">
          <cell r="Z10337" t="str">
            <v>INCARDIA</v>
          </cell>
        </row>
        <row r="10338">
          <cell r="Z10338" t="str">
            <v>INCARDIA</v>
          </cell>
        </row>
        <row r="10339">
          <cell r="Z10339" t="str">
            <v>INCARDIA</v>
          </cell>
        </row>
        <row r="10340">
          <cell r="Z10340" t="str">
            <v>INCARDIA</v>
          </cell>
        </row>
        <row r="10341">
          <cell r="Z10341" t="str">
            <v>INCARDIA</v>
          </cell>
        </row>
        <row r="10342">
          <cell r="Z10342" t="str">
            <v>INCARDIA</v>
          </cell>
        </row>
        <row r="10343">
          <cell r="Z10343" t="str">
            <v>INCARDIA</v>
          </cell>
        </row>
        <row r="10344">
          <cell r="Z10344" t="str">
            <v>INCARDIA</v>
          </cell>
        </row>
        <row r="10345">
          <cell r="Z10345" t="str">
            <v>INCARDIA</v>
          </cell>
        </row>
        <row r="10346">
          <cell r="Z10346" t="str">
            <v>INCARDIA</v>
          </cell>
        </row>
        <row r="10347">
          <cell r="Z10347" t="str">
            <v>INCARDIA</v>
          </cell>
        </row>
        <row r="10348">
          <cell r="Z10348" t="str">
            <v>INCARDIA</v>
          </cell>
        </row>
        <row r="10349">
          <cell r="Z10349" t="str">
            <v>INCARDIA</v>
          </cell>
        </row>
        <row r="10350">
          <cell r="Z10350" t="str">
            <v>INCARDIA</v>
          </cell>
        </row>
        <row r="10351">
          <cell r="Z10351" t="str">
            <v>INCARDIA</v>
          </cell>
        </row>
        <row r="10352">
          <cell r="Z10352" t="str">
            <v>INCARDIA</v>
          </cell>
        </row>
        <row r="10353">
          <cell r="Z10353" t="str">
            <v>INCARDIA</v>
          </cell>
        </row>
        <row r="10354">
          <cell r="Z10354" t="str">
            <v>INCARDIA</v>
          </cell>
        </row>
        <row r="10355">
          <cell r="Z10355" t="str">
            <v>INCARDIA</v>
          </cell>
        </row>
        <row r="10356">
          <cell r="Z10356" t="str">
            <v>INCARDIA</v>
          </cell>
        </row>
        <row r="10357">
          <cell r="Z10357" t="str">
            <v>INCARDIA</v>
          </cell>
        </row>
        <row r="10358">
          <cell r="Z10358" t="str">
            <v>INCARDIA</v>
          </cell>
        </row>
        <row r="10359">
          <cell r="Z10359" t="str">
            <v>INCARDIA</v>
          </cell>
        </row>
        <row r="10360">
          <cell r="Z10360" t="str">
            <v>INCARDIA</v>
          </cell>
        </row>
        <row r="10361">
          <cell r="Z10361" t="str">
            <v>INCARDIA</v>
          </cell>
        </row>
        <row r="10362">
          <cell r="Z10362" t="str">
            <v>INCARDIA</v>
          </cell>
        </row>
        <row r="10363">
          <cell r="Z10363" t="str">
            <v>INCARDIA</v>
          </cell>
        </row>
        <row r="10364">
          <cell r="Z10364" t="str">
            <v>INCARDIA</v>
          </cell>
        </row>
        <row r="10365">
          <cell r="Z10365" t="str">
            <v>INCARDIA</v>
          </cell>
        </row>
        <row r="10366">
          <cell r="Z10366" t="str">
            <v>INCARDIA</v>
          </cell>
        </row>
        <row r="10367">
          <cell r="Z10367" t="str">
            <v>INCARDIA</v>
          </cell>
        </row>
        <row r="10368">
          <cell r="Z10368" t="str">
            <v>INCARDIA</v>
          </cell>
        </row>
        <row r="10369">
          <cell r="Z10369" t="str">
            <v>INCARDIA</v>
          </cell>
        </row>
        <row r="10370">
          <cell r="Z10370" t="str">
            <v>INCARDIA</v>
          </cell>
        </row>
        <row r="10371">
          <cell r="Z10371" t="str">
            <v>INCARDIA</v>
          </cell>
        </row>
        <row r="10372">
          <cell r="Z10372" t="str">
            <v>INCARDIA</v>
          </cell>
        </row>
        <row r="10373">
          <cell r="Z10373" t="str">
            <v>INCARDIA</v>
          </cell>
        </row>
        <row r="10374">
          <cell r="Z10374" t="str">
            <v>INCARDIA</v>
          </cell>
        </row>
        <row r="10375">
          <cell r="Z10375" t="str">
            <v>INCARDIA</v>
          </cell>
        </row>
        <row r="10376">
          <cell r="Z10376" t="str">
            <v>INCARDIA</v>
          </cell>
        </row>
        <row r="10377">
          <cell r="Z10377" t="str">
            <v>INCARDIA</v>
          </cell>
        </row>
        <row r="10378">
          <cell r="Z10378" t="str">
            <v>INCARDIA</v>
          </cell>
        </row>
        <row r="10379">
          <cell r="Z10379" t="str">
            <v>INCARDIA</v>
          </cell>
        </row>
        <row r="10380">
          <cell r="Z10380" t="str">
            <v>INCARDIA</v>
          </cell>
        </row>
        <row r="10381">
          <cell r="Z10381" t="str">
            <v>INCARDIA</v>
          </cell>
        </row>
        <row r="10382">
          <cell r="Z10382" t="str">
            <v>INCARDIA</v>
          </cell>
        </row>
        <row r="10383">
          <cell r="Z10383" t="str">
            <v>INCARDIA</v>
          </cell>
        </row>
        <row r="10384">
          <cell r="Z10384" t="str">
            <v>INCARDIA</v>
          </cell>
        </row>
        <row r="10385">
          <cell r="Z10385" t="str">
            <v>INCARDIA</v>
          </cell>
        </row>
        <row r="10386">
          <cell r="Z10386" t="str">
            <v>INCARDIA</v>
          </cell>
        </row>
        <row r="10387">
          <cell r="Z10387" t="str">
            <v>INCARDIA</v>
          </cell>
        </row>
        <row r="10388">
          <cell r="Z10388" t="str">
            <v>INCARDIA</v>
          </cell>
        </row>
        <row r="10389">
          <cell r="Z10389" t="str">
            <v>INCARDIA</v>
          </cell>
        </row>
        <row r="10390">
          <cell r="Z10390" t="str">
            <v>INCARDIA</v>
          </cell>
        </row>
        <row r="10391">
          <cell r="Z10391" t="str">
            <v>INCARDIA</v>
          </cell>
        </row>
        <row r="10392">
          <cell r="Z10392" t="str">
            <v>INCARDIA</v>
          </cell>
        </row>
        <row r="10393">
          <cell r="Z10393" t="str">
            <v>INCARDIA</v>
          </cell>
        </row>
        <row r="10394">
          <cell r="Z10394" t="str">
            <v>INCARDIA</v>
          </cell>
        </row>
        <row r="10395">
          <cell r="Z10395" t="str">
            <v>INCARDIA</v>
          </cell>
        </row>
        <row r="10396">
          <cell r="Z10396" t="str">
            <v>INCARDIA</v>
          </cell>
        </row>
        <row r="10397">
          <cell r="Z10397" t="str">
            <v>INCARDIA</v>
          </cell>
        </row>
        <row r="10398">
          <cell r="Z10398" t="str">
            <v>INCARDIA</v>
          </cell>
        </row>
        <row r="10399">
          <cell r="Z10399" t="str">
            <v>INCARDIA</v>
          </cell>
        </row>
        <row r="10400">
          <cell r="Z10400" t="str">
            <v>INCARDIA</v>
          </cell>
        </row>
        <row r="10401">
          <cell r="Z10401" t="str">
            <v>INCARDIA</v>
          </cell>
        </row>
        <row r="10402">
          <cell r="Z10402" t="str">
            <v>INCARDIA</v>
          </cell>
        </row>
        <row r="10403">
          <cell r="Z10403" t="str">
            <v>INCARDIA</v>
          </cell>
        </row>
        <row r="10404">
          <cell r="Z10404" t="str">
            <v>INCARDIA</v>
          </cell>
        </row>
        <row r="10405">
          <cell r="Z10405" t="str">
            <v>INCARDIA</v>
          </cell>
        </row>
        <row r="10406">
          <cell r="Z10406" t="str">
            <v>INCARDIA</v>
          </cell>
        </row>
        <row r="10407">
          <cell r="Z10407" t="str">
            <v>INCARDIA</v>
          </cell>
        </row>
        <row r="10408">
          <cell r="Z10408" t="str">
            <v>INCARDIA</v>
          </cell>
        </row>
        <row r="10409">
          <cell r="Z10409" t="str">
            <v>INCARDIA</v>
          </cell>
        </row>
        <row r="10410">
          <cell r="Z10410" t="str">
            <v>INCARDIA</v>
          </cell>
        </row>
        <row r="10411">
          <cell r="Z10411" t="str">
            <v>INCARDIA</v>
          </cell>
        </row>
        <row r="10412">
          <cell r="Z10412" t="str">
            <v>INCARDIA</v>
          </cell>
        </row>
        <row r="10413">
          <cell r="Z10413" t="str">
            <v>INCARDIA</v>
          </cell>
        </row>
        <row r="10414">
          <cell r="Z10414" t="str">
            <v>INCARDIA</v>
          </cell>
        </row>
        <row r="10415">
          <cell r="Z10415" t="str">
            <v>INCARDIA</v>
          </cell>
        </row>
        <row r="10416">
          <cell r="Z10416" t="str">
            <v>INCARDIA</v>
          </cell>
        </row>
        <row r="10417">
          <cell r="Z10417" t="str">
            <v>INCARDIA</v>
          </cell>
        </row>
        <row r="10418">
          <cell r="Z10418" t="str">
            <v>INCARDIA</v>
          </cell>
        </row>
        <row r="10419">
          <cell r="Z10419" t="str">
            <v>INCARDIA</v>
          </cell>
        </row>
        <row r="10420">
          <cell r="Z10420" t="str">
            <v>INCARDIA</v>
          </cell>
        </row>
        <row r="10421">
          <cell r="Z10421" t="str">
            <v>INCARDIA</v>
          </cell>
        </row>
        <row r="10422">
          <cell r="Z10422" t="str">
            <v>INCARDIA</v>
          </cell>
        </row>
        <row r="10423">
          <cell r="Z10423" t="str">
            <v>INCARDIA</v>
          </cell>
        </row>
        <row r="10424">
          <cell r="Z10424" t="str">
            <v>INCARDIA</v>
          </cell>
        </row>
        <row r="10425">
          <cell r="Z10425" t="str">
            <v>INCARDIA</v>
          </cell>
        </row>
        <row r="10426">
          <cell r="Z10426" t="str">
            <v>INCARDIA</v>
          </cell>
        </row>
        <row r="10427">
          <cell r="Z10427" t="str">
            <v>INCARDIA</v>
          </cell>
        </row>
        <row r="10428">
          <cell r="Z10428" t="str">
            <v>INCARDIA</v>
          </cell>
        </row>
        <row r="10429">
          <cell r="Z10429" t="str">
            <v>INCARDIA</v>
          </cell>
        </row>
        <row r="10430">
          <cell r="Z10430" t="str">
            <v>INCARDIA</v>
          </cell>
        </row>
        <row r="10431">
          <cell r="Z10431" t="str">
            <v>INCARDIA</v>
          </cell>
        </row>
        <row r="10432">
          <cell r="Z10432" t="str">
            <v>INCARDIA</v>
          </cell>
        </row>
        <row r="10433">
          <cell r="Z10433" t="str">
            <v>INCARDIA</v>
          </cell>
        </row>
        <row r="10434">
          <cell r="Z10434" t="str">
            <v>INCARDIA</v>
          </cell>
        </row>
        <row r="10435">
          <cell r="Z10435" t="str">
            <v>INCARDIA</v>
          </cell>
        </row>
        <row r="10436">
          <cell r="Z10436" t="str">
            <v>INCARDIA</v>
          </cell>
        </row>
        <row r="10437">
          <cell r="Z10437" t="str">
            <v>INCARDIA</v>
          </cell>
        </row>
        <row r="10438">
          <cell r="Z10438" t="str">
            <v>INCARDIA</v>
          </cell>
        </row>
        <row r="10439">
          <cell r="Z10439" t="str">
            <v>INCARDIA</v>
          </cell>
        </row>
        <row r="10440">
          <cell r="Z10440" t="str">
            <v>INCARDIA</v>
          </cell>
        </row>
        <row r="10441">
          <cell r="Z10441" t="str">
            <v>INCARDIA</v>
          </cell>
        </row>
        <row r="10442">
          <cell r="Z10442" t="str">
            <v>INCARDIA</v>
          </cell>
        </row>
        <row r="10443">
          <cell r="Z10443" t="str">
            <v>INCARDIA</v>
          </cell>
        </row>
        <row r="10444">
          <cell r="Z10444" t="str">
            <v>INCARDIA</v>
          </cell>
        </row>
        <row r="10445">
          <cell r="Z10445" t="str">
            <v>INCARDIA</v>
          </cell>
        </row>
        <row r="10446">
          <cell r="Z10446" t="str">
            <v>INCARDIA</v>
          </cell>
        </row>
        <row r="10447">
          <cell r="Z10447" t="str">
            <v>INCARDIA</v>
          </cell>
        </row>
        <row r="10448">
          <cell r="Z10448" t="str">
            <v>INCARDIA</v>
          </cell>
        </row>
        <row r="10449">
          <cell r="Z10449" t="str">
            <v>INCARDIA</v>
          </cell>
        </row>
        <row r="10450">
          <cell r="Z10450" t="str">
            <v>INCARDIA</v>
          </cell>
        </row>
        <row r="10451">
          <cell r="Z10451" t="str">
            <v>INCARDIA</v>
          </cell>
        </row>
        <row r="10452">
          <cell r="Z10452" t="str">
            <v>INCARDIA</v>
          </cell>
        </row>
        <row r="10453">
          <cell r="Z10453" t="str">
            <v>INCARDIA</v>
          </cell>
        </row>
        <row r="10454">
          <cell r="Z10454" t="str">
            <v>INCARDIA</v>
          </cell>
        </row>
        <row r="10455">
          <cell r="Z10455" t="str">
            <v>INCARDIA</v>
          </cell>
        </row>
        <row r="10456">
          <cell r="Z10456" t="str">
            <v>INCARDIA</v>
          </cell>
        </row>
        <row r="10457">
          <cell r="Z10457" t="str">
            <v>INCARDIA</v>
          </cell>
        </row>
        <row r="10458">
          <cell r="Z10458" t="str">
            <v>INCARDIA</v>
          </cell>
        </row>
        <row r="10459">
          <cell r="Z10459" t="str">
            <v>INCARDIA</v>
          </cell>
        </row>
        <row r="10460">
          <cell r="Z10460" t="str">
            <v>INCARDIA</v>
          </cell>
        </row>
        <row r="10461">
          <cell r="Z10461" t="str">
            <v>INCARDIA</v>
          </cell>
        </row>
        <row r="10462">
          <cell r="Z10462" t="str">
            <v>INCARDIA</v>
          </cell>
        </row>
        <row r="10463">
          <cell r="Z10463" t="str">
            <v>INCARDIA</v>
          </cell>
        </row>
        <row r="10464">
          <cell r="Z10464" t="str">
            <v>INCARDIA</v>
          </cell>
        </row>
        <row r="10465">
          <cell r="Z10465" t="str">
            <v>INCARDIA</v>
          </cell>
        </row>
        <row r="10466">
          <cell r="Z10466" t="str">
            <v>INCARDIA</v>
          </cell>
        </row>
        <row r="10467">
          <cell r="Z10467" t="str">
            <v>INCARDIA</v>
          </cell>
        </row>
        <row r="10468">
          <cell r="Z10468" t="str">
            <v>INCARDIA</v>
          </cell>
        </row>
        <row r="10469">
          <cell r="Z10469" t="str">
            <v>INCARDIA</v>
          </cell>
        </row>
        <row r="10470">
          <cell r="Z10470" t="str">
            <v>INCARDIA</v>
          </cell>
        </row>
        <row r="10471">
          <cell r="Z10471" t="str">
            <v>INCARDIA</v>
          </cell>
        </row>
        <row r="10472">
          <cell r="Z10472" t="str">
            <v>INCARDIA</v>
          </cell>
        </row>
        <row r="10473">
          <cell r="Z10473" t="str">
            <v>INCARDIA</v>
          </cell>
        </row>
        <row r="10474">
          <cell r="Z10474" t="str">
            <v>INCARDIA</v>
          </cell>
        </row>
        <row r="10475">
          <cell r="Z10475" t="str">
            <v>INCARDIA</v>
          </cell>
        </row>
        <row r="10476">
          <cell r="Z10476" t="str">
            <v>INCARDIA</v>
          </cell>
        </row>
        <row r="10477">
          <cell r="Z10477" t="str">
            <v>INCARDIA</v>
          </cell>
        </row>
        <row r="10478">
          <cell r="Z10478" t="str">
            <v>INCARDIA</v>
          </cell>
        </row>
        <row r="10479">
          <cell r="Z10479" t="str">
            <v>INCARDIA</v>
          </cell>
        </row>
        <row r="10480">
          <cell r="Z10480" t="str">
            <v>INCARDIA</v>
          </cell>
        </row>
        <row r="10481">
          <cell r="Z10481" t="str">
            <v>INCARDIA</v>
          </cell>
        </row>
        <row r="10482">
          <cell r="Z10482" t="str">
            <v>INCARDIA</v>
          </cell>
        </row>
        <row r="10483">
          <cell r="Z10483" t="str">
            <v>INCARDIA</v>
          </cell>
        </row>
        <row r="10484">
          <cell r="Z10484" t="str">
            <v>INCARDIA</v>
          </cell>
        </row>
        <row r="10485">
          <cell r="Z10485" t="str">
            <v>INCARDIA</v>
          </cell>
        </row>
        <row r="10486">
          <cell r="Z10486" t="str">
            <v>INCARDIA</v>
          </cell>
        </row>
        <row r="10487">
          <cell r="Z10487" t="str">
            <v>INCARDIA</v>
          </cell>
        </row>
        <row r="10488">
          <cell r="Z10488" t="str">
            <v>INCARDIA</v>
          </cell>
        </row>
        <row r="10489">
          <cell r="Z10489" t="str">
            <v>INCARDIA</v>
          </cell>
        </row>
        <row r="10490">
          <cell r="Z10490" t="str">
            <v>INCARDIA</v>
          </cell>
        </row>
        <row r="10491">
          <cell r="Z10491" t="str">
            <v>INCARDIA</v>
          </cell>
        </row>
        <row r="10492">
          <cell r="Z10492" t="str">
            <v>INCARDIA</v>
          </cell>
        </row>
        <row r="10493">
          <cell r="Z10493" t="str">
            <v>INCARDIA</v>
          </cell>
        </row>
        <row r="10494">
          <cell r="Z10494" t="str">
            <v>INCARDIA</v>
          </cell>
        </row>
        <row r="10495">
          <cell r="Z10495" t="str">
            <v>INCARDIA</v>
          </cell>
        </row>
        <row r="10496">
          <cell r="Z10496" t="str">
            <v>INCARDIA</v>
          </cell>
        </row>
        <row r="10497">
          <cell r="Z10497" t="str">
            <v>INCARDIA</v>
          </cell>
        </row>
        <row r="10498">
          <cell r="Z10498" t="str">
            <v>INCARDIA</v>
          </cell>
        </row>
        <row r="10499">
          <cell r="Z10499" t="str">
            <v>INCARDIA</v>
          </cell>
        </row>
        <row r="10500">
          <cell r="Z10500" t="str">
            <v>INCARDIA</v>
          </cell>
        </row>
        <row r="10501">
          <cell r="Z10501" t="str">
            <v>INCARDIA</v>
          </cell>
        </row>
        <row r="10502">
          <cell r="Z10502" t="str">
            <v>INCARDIA</v>
          </cell>
        </row>
        <row r="10503">
          <cell r="Z10503" t="str">
            <v>INCARDIA</v>
          </cell>
        </row>
        <row r="10504">
          <cell r="Z10504" t="str">
            <v>INCARDIA</v>
          </cell>
        </row>
        <row r="10505">
          <cell r="Z10505" t="str">
            <v>INCARDIA</v>
          </cell>
        </row>
        <row r="10506">
          <cell r="Z10506" t="str">
            <v>INCARDIA</v>
          </cell>
        </row>
        <row r="10507">
          <cell r="Z10507" t="str">
            <v>INCARDIA</v>
          </cell>
        </row>
        <row r="10508">
          <cell r="Z10508" t="str">
            <v>INCARDIA</v>
          </cell>
        </row>
        <row r="10509">
          <cell r="Z10509" t="str">
            <v>INCARDIA</v>
          </cell>
        </row>
        <row r="10510">
          <cell r="Z10510" t="str">
            <v>INCARDIA</v>
          </cell>
        </row>
        <row r="10511">
          <cell r="Z10511" t="str">
            <v>INCARDIA</v>
          </cell>
        </row>
        <row r="10512">
          <cell r="Z10512" t="str">
            <v>INCARDIA</v>
          </cell>
        </row>
        <row r="10513">
          <cell r="Z10513" t="str">
            <v>INCARDIA</v>
          </cell>
        </row>
        <row r="10514">
          <cell r="Z10514" t="str">
            <v>INCARDIA</v>
          </cell>
        </row>
        <row r="10515">
          <cell r="Z10515" t="str">
            <v>INCARDIA</v>
          </cell>
        </row>
        <row r="10516">
          <cell r="Z10516" t="str">
            <v>INCARDIA</v>
          </cell>
        </row>
        <row r="10517">
          <cell r="Z10517" t="str">
            <v>INCARDIA</v>
          </cell>
        </row>
        <row r="10518">
          <cell r="Z10518" t="str">
            <v>INCARDIA</v>
          </cell>
        </row>
        <row r="10519">
          <cell r="Z10519" t="str">
            <v>INCARDIA</v>
          </cell>
        </row>
        <row r="10520">
          <cell r="Z10520" t="str">
            <v>INCARDIA</v>
          </cell>
        </row>
        <row r="10521">
          <cell r="Z10521" t="str">
            <v>INCARDIA</v>
          </cell>
        </row>
        <row r="10522">
          <cell r="Z10522" t="str">
            <v>INCARDIA</v>
          </cell>
        </row>
        <row r="10523">
          <cell r="Z10523" t="str">
            <v>INCARDIA</v>
          </cell>
        </row>
        <row r="10524">
          <cell r="Z10524" t="str">
            <v>INCARDIA</v>
          </cell>
        </row>
        <row r="10525">
          <cell r="Z10525" t="str">
            <v>INCARDIA</v>
          </cell>
        </row>
        <row r="10526">
          <cell r="Z10526" t="str">
            <v>INCARDIA</v>
          </cell>
        </row>
        <row r="10527">
          <cell r="Z10527" t="str">
            <v>INCARDIA</v>
          </cell>
        </row>
        <row r="10528">
          <cell r="Z10528" t="str">
            <v>INCARDIA</v>
          </cell>
        </row>
        <row r="10529">
          <cell r="Z10529" t="str">
            <v>INCARDIA</v>
          </cell>
        </row>
        <row r="10530">
          <cell r="Z10530" t="str">
            <v>INCARDIA</v>
          </cell>
        </row>
        <row r="10531">
          <cell r="Z10531" t="str">
            <v>INCARDIA</v>
          </cell>
        </row>
        <row r="10532">
          <cell r="Z10532" t="str">
            <v>INCARDIA</v>
          </cell>
        </row>
        <row r="10533">
          <cell r="Z10533" t="str">
            <v>INCARDIA</v>
          </cell>
        </row>
        <row r="10534">
          <cell r="Z10534" t="str">
            <v>INCARDIA</v>
          </cell>
        </row>
        <row r="10535">
          <cell r="Z10535" t="str">
            <v>INCARDIA</v>
          </cell>
        </row>
        <row r="10536">
          <cell r="Z10536" t="str">
            <v>INCARDIA</v>
          </cell>
        </row>
        <row r="10537">
          <cell r="Z10537" t="str">
            <v>INCARDIA</v>
          </cell>
        </row>
        <row r="10538">
          <cell r="Z10538" t="str">
            <v>INCARDIA</v>
          </cell>
        </row>
        <row r="10539">
          <cell r="Z10539" t="str">
            <v>INCARDIA</v>
          </cell>
        </row>
        <row r="10540">
          <cell r="Z10540" t="str">
            <v>INCARDIA</v>
          </cell>
        </row>
        <row r="10541">
          <cell r="Z10541" t="str">
            <v>INCARDIA</v>
          </cell>
        </row>
        <row r="10542">
          <cell r="Z10542" t="str">
            <v>INCARDIA</v>
          </cell>
        </row>
        <row r="10543">
          <cell r="Z10543" t="str">
            <v>INCARDIA</v>
          </cell>
        </row>
        <row r="10544">
          <cell r="Z10544" t="str">
            <v>INCARDIA</v>
          </cell>
        </row>
        <row r="10545">
          <cell r="Z10545" t="str">
            <v>INCARDIA</v>
          </cell>
        </row>
        <row r="10546">
          <cell r="Z10546" t="str">
            <v>INCARDIA</v>
          </cell>
        </row>
        <row r="10547">
          <cell r="Z10547" t="str">
            <v>INCARDIA</v>
          </cell>
        </row>
        <row r="10548">
          <cell r="Z10548" t="str">
            <v>INCARDIA</v>
          </cell>
        </row>
        <row r="10549">
          <cell r="Z10549" t="str">
            <v>INCARDIA</v>
          </cell>
        </row>
        <row r="10550">
          <cell r="Z10550" t="str">
            <v>INCARDIA</v>
          </cell>
        </row>
        <row r="10551">
          <cell r="Z10551" t="str">
            <v>INCARDIA</v>
          </cell>
        </row>
        <row r="10552">
          <cell r="Z10552" t="str">
            <v>INCARDIA</v>
          </cell>
        </row>
        <row r="10553">
          <cell r="Z10553" t="str">
            <v>INCARDIA</v>
          </cell>
        </row>
        <row r="10554">
          <cell r="Z10554" t="str">
            <v>INCARDIA</v>
          </cell>
        </row>
        <row r="10555">
          <cell r="Z10555" t="str">
            <v>INCARDIA</v>
          </cell>
        </row>
        <row r="10556">
          <cell r="Z10556" t="str">
            <v>INCARDIA</v>
          </cell>
        </row>
        <row r="10557">
          <cell r="Z10557" t="str">
            <v>INCARDIA</v>
          </cell>
        </row>
        <row r="10558">
          <cell r="Z10558" t="str">
            <v>INCARDIA</v>
          </cell>
        </row>
        <row r="10559">
          <cell r="Z10559" t="str">
            <v>INCARDIA</v>
          </cell>
        </row>
        <row r="10560">
          <cell r="Z10560" t="str">
            <v>INCARDIA</v>
          </cell>
        </row>
        <row r="10561">
          <cell r="Z10561" t="str">
            <v>INCARDIA</v>
          </cell>
        </row>
        <row r="10562">
          <cell r="Z10562" t="str">
            <v>INCARDIA</v>
          </cell>
        </row>
        <row r="10563">
          <cell r="Z10563" t="str">
            <v>INCARDIA</v>
          </cell>
        </row>
        <row r="10564">
          <cell r="Z10564" t="str">
            <v>INCARDIA</v>
          </cell>
        </row>
        <row r="10565">
          <cell r="Z10565" t="str">
            <v>INCARDIA</v>
          </cell>
        </row>
        <row r="10566">
          <cell r="Z10566" t="str">
            <v>INCARDIA</v>
          </cell>
        </row>
        <row r="10567">
          <cell r="Z10567" t="str">
            <v>INCARDIA</v>
          </cell>
        </row>
        <row r="10568">
          <cell r="Z10568" t="str">
            <v>INCARDIA</v>
          </cell>
        </row>
        <row r="10569">
          <cell r="Z10569" t="str">
            <v>INCARDIA</v>
          </cell>
        </row>
        <row r="10570">
          <cell r="Z10570" t="str">
            <v>INCARDIA</v>
          </cell>
        </row>
        <row r="10571">
          <cell r="Z10571" t="str">
            <v>INCARDIA</v>
          </cell>
        </row>
        <row r="10572">
          <cell r="Z10572" t="str">
            <v>INCARDIA</v>
          </cell>
        </row>
        <row r="10573">
          <cell r="Z10573" t="str">
            <v>INCARDIA</v>
          </cell>
        </row>
        <row r="10574">
          <cell r="Z10574" t="str">
            <v>INCARDIA</v>
          </cell>
        </row>
        <row r="10575">
          <cell r="Z10575" t="str">
            <v>INCARDIA</v>
          </cell>
        </row>
        <row r="10576">
          <cell r="Z10576" t="str">
            <v>INCARDIA</v>
          </cell>
        </row>
        <row r="10577">
          <cell r="Z10577" t="str">
            <v>INCARDIA</v>
          </cell>
        </row>
        <row r="10578">
          <cell r="Z10578" t="str">
            <v>INCARDIA</v>
          </cell>
        </row>
        <row r="10579">
          <cell r="Z10579" t="str">
            <v>INCARDIA</v>
          </cell>
        </row>
        <row r="10580">
          <cell r="Z10580" t="str">
            <v>INCARDIA</v>
          </cell>
        </row>
        <row r="10581">
          <cell r="Z10581" t="str">
            <v>INCARDIA</v>
          </cell>
        </row>
        <row r="10582">
          <cell r="Z10582" t="str">
            <v>INCARDIA</v>
          </cell>
        </row>
        <row r="10583">
          <cell r="Z10583" t="str">
            <v>INCARDIA</v>
          </cell>
        </row>
        <row r="10584">
          <cell r="Z10584" t="str">
            <v>INCARDIA</v>
          </cell>
        </row>
        <row r="10585">
          <cell r="Z10585" t="str">
            <v>INCARDIA</v>
          </cell>
        </row>
        <row r="10586">
          <cell r="Z10586" t="str">
            <v>INCARDIA</v>
          </cell>
        </row>
        <row r="10587">
          <cell r="Z10587" t="str">
            <v>INCARDIA</v>
          </cell>
        </row>
        <row r="10588">
          <cell r="Z10588" t="str">
            <v>INCARDIA</v>
          </cell>
        </row>
        <row r="10589">
          <cell r="Z10589" t="str">
            <v>INCARDIA</v>
          </cell>
        </row>
        <row r="10590">
          <cell r="Z10590" t="str">
            <v>INCARDIA</v>
          </cell>
        </row>
        <row r="10591">
          <cell r="Z10591" t="str">
            <v>INCARDIA</v>
          </cell>
        </row>
        <row r="10592">
          <cell r="Z10592" t="str">
            <v>INCARDIA</v>
          </cell>
        </row>
        <row r="10593">
          <cell r="Z10593" t="str">
            <v>INCARDIA</v>
          </cell>
        </row>
        <row r="10594">
          <cell r="Z10594" t="str">
            <v>INCARDIA</v>
          </cell>
        </row>
        <row r="10595">
          <cell r="Z10595" t="str">
            <v>INCARDIA</v>
          </cell>
        </row>
        <row r="10596">
          <cell r="Z10596" t="str">
            <v>INCARDIA</v>
          </cell>
        </row>
        <row r="10597">
          <cell r="Z10597" t="str">
            <v>INCARDIA</v>
          </cell>
        </row>
        <row r="10598">
          <cell r="Z10598" t="str">
            <v>INCARDIA</v>
          </cell>
        </row>
        <row r="10599">
          <cell r="Z10599" t="str">
            <v>INCARDIA</v>
          </cell>
        </row>
        <row r="10600">
          <cell r="Z10600" t="str">
            <v>INCARDIA</v>
          </cell>
        </row>
        <row r="10601">
          <cell r="Z10601" t="str">
            <v>INCARDIA</v>
          </cell>
        </row>
        <row r="10602">
          <cell r="Z10602" t="str">
            <v>INCARDIA</v>
          </cell>
        </row>
        <row r="10603">
          <cell r="Z10603" t="str">
            <v>INCARDIA</v>
          </cell>
        </row>
        <row r="10604">
          <cell r="Z10604" t="str">
            <v>INCARDIA</v>
          </cell>
        </row>
        <row r="10605">
          <cell r="Z10605" t="str">
            <v>INCARDIA</v>
          </cell>
        </row>
        <row r="10606">
          <cell r="Z10606" t="str">
            <v>INCARDIA</v>
          </cell>
        </row>
        <row r="10607">
          <cell r="Z10607" t="str">
            <v>INCARDIA</v>
          </cell>
        </row>
        <row r="10608">
          <cell r="Z10608" t="str">
            <v>INCARDIA</v>
          </cell>
        </row>
        <row r="10609">
          <cell r="Z10609" t="str">
            <v>INCARDIA</v>
          </cell>
        </row>
        <row r="10610">
          <cell r="Z10610" t="str">
            <v>INCARDIA</v>
          </cell>
        </row>
        <row r="10611">
          <cell r="Z10611" t="str">
            <v>INCARDIA</v>
          </cell>
        </row>
        <row r="10612">
          <cell r="Z10612" t="str">
            <v>INCARDIA</v>
          </cell>
        </row>
        <row r="10613">
          <cell r="Z10613" t="str">
            <v>INCARDIA</v>
          </cell>
        </row>
        <row r="10614">
          <cell r="Z10614" t="str">
            <v>INCARDIA</v>
          </cell>
        </row>
        <row r="10615">
          <cell r="Z10615" t="str">
            <v>INCARDIA</v>
          </cell>
        </row>
        <row r="10616">
          <cell r="Z10616" t="str">
            <v>INCARDIA</v>
          </cell>
        </row>
        <row r="10617">
          <cell r="Z10617" t="str">
            <v>INCARDIA</v>
          </cell>
        </row>
        <row r="10618">
          <cell r="Z10618" t="str">
            <v>INCARDIA</v>
          </cell>
        </row>
        <row r="10619">
          <cell r="Z10619" t="str">
            <v>INCARDIA</v>
          </cell>
        </row>
        <row r="10620">
          <cell r="Z10620" t="str">
            <v>INCARDIA</v>
          </cell>
        </row>
        <row r="10621">
          <cell r="Z10621" t="str">
            <v>INCARDIA</v>
          </cell>
        </row>
        <row r="10622">
          <cell r="Z10622" t="str">
            <v>INCARDIA</v>
          </cell>
        </row>
        <row r="10623">
          <cell r="Z10623" t="str">
            <v>INCARDIA</v>
          </cell>
        </row>
        <row r="10624">
          <cell r="Z10624" t="str">
            <v>INCARDIA</v>
          </cell>
        </row>
        <row r="10625">
          <cell r="Z10625" t="str">
            <v>INCARDIA</v>
          </cell>
        </row>
        <row r="10626">
          <cell r="Z10626" t="str">
            <v>INCARDIA</v>
          </cell>
        </row>
        <row r="10627">
          <cell r="Z10627" t="str">
            <v>INCARDIA</v>
          </cell>
        </row>
        <row r="10628">
          <cell r="Z10628" t="str">
            <v>INCARDIA</v>
          </cell>
        </row>
        <row r="10629">
          <cell r="Z10629" t="str">
            <v>INCARDIA</v>
          </cell>
        </row>
        <row r="10630">
          <cell r="Z10630" t="str">
            <v>INCARDIA</v>
          </cell>
        </row>
        <row r="10631">
          <cell r="Z10631" t="str">
            <v>INCARDIA</v>
          </cell>
        </row>
        <row r="10632">
          <cell r="Z10632" t="str">
            <v>INCARDIA</v>
          </cell>
        </row>
        <row r="10633">
          <cell r="Z10633" t="str">
            <v>INCARDIA</v>
          </cell>
        </row>
        <row r="10634">
          <cell r="Z10634" t="str">
            <v>INCARDIA</v>
          </cell>
        </row>
        <row r="10635">
          <cell r="Z10635" t="str">
            <v>INCARDIA</v>
          </cell>
        </row>
        <row r="10636">
          <cell r="Z10636" t="str">
            <v>INCARDIA</v>
          </cell>
        </row>
        <row r="10637">
          <cell r="Z10637" t="str">
            <v>INCARDIA</v>
          </cell>
        </row>
        <row r="10638">
          <cell r="Z10638" t="str">
            <v>INCARDIA</v>
          </cell>
        </row>
        <row r="10639">
          <cell r="Z10639" t="str">
            <v>INCARDIA</v>
          </cell>
        </row>
        <row r="10640">
          <cell r="Z10640" t="str">
            <v>INCARDIA</v>
          </cell>
        </row>
        <row r="10641">
          <cell r="Z10641" t="str">
            <v>INCARDIA</v>
          </cell>
        </row>
        <row r="10642">
          <cell r="Z10642" t="str">
            <v>INCARDIA</v>
          </cell>
        </row>
        <row r="10643">
          <cell r="Z10643" t="str">
            <v>INCARDIA</v>
          </cell>
        </row>
        <row r="10644">
          <cell r="Z10644" t="str">
            <v>INCARDIA</v>
          </cell>
        </row>
        <row r="10645">
          <cell r="Z10645" t="str">
            <v>INCARDIA</v>
          </cell>
        </row>
        <row r="10646">
          <cell r="Z10646" t="str">
            <v>INCARDIA</v>
          </cell>
        </row>
        <row r="10647">
          <cell r="Z10647" t="str">
            <v>INCARDIA</v>
          </cell>
        </row>
        <row r="10648">
          <cell r="Z10648" t="str">
            <v>INCARDIA</v>
          </cell>
        </row>
        <row r="10649">
          <cell r="Z10649" t="str">
            <v>INCARDIA</v>
          </cell>
        </row>
        <row r="10650">
          <cell r="Z10650" t="str">
            <v>INCARDIA</v>
          </cell>
        </row>
        <row r="10651">
          <cell r="Z10651" t="str">
            <v>INCARDIA</v>
          </cell>
        </row>
        <row r="10652">
          <cell r="Z10652" t="str">
            <v>INCARDIA</v>
          </cell>
        </row>
        <row r="10653">
          <cell r="Z10653" t="str">
            <v>INCARDIA</v>
          </cell>
        </row>
        <row r="10654">
          <cell r="Z10654" t="str">
            <v>INCARDIA</v>
          </cell>
        </row>
        <row r="10655">
          <cell r="Z10655" t="str">
            <v>INCARDIA</v>
          </cell>
        </row>
        <row r="10656">
          <cell r="Z10656" t="str">
            <v>INCARDIA</v>
          </cell>
        </row>
        <row r="10657">
          <cell r="Z10657" t="str">
            <v>INCARDIA</v>
          </cell>
        </row>
        <row r="10658">
          <cell r="Z10658" t="str">
            <v>INCARDIA</v>
          </cell>
        </row>
        <row r="10659">
          <cell r="Z10659" t="str">
            <v>INCARDIA</v>
          </cell>
        </row>
        <row r="10660">
          <cell r="Z10660" t="str">
            <v>INCARDIA</v>
          </cell>
        </row>
        <row r="10661">
          <cell r="Z10661" t="str">
            <v>INCARDIA</v>
          </cell>
        </row>
        <row r="10662">
          <cell r="Z10662" t="str">
            <v>INCARDIA</v>
          </cell>
        </row>
        <row r="10663">
          <cell r="Z10663" t="str">
            <v>INCARDIA</v>
          </cell>
        </row>
        <row r="10664">
          <cell r="Z10664" t="str">
            <v>INCARDIA</v>
          </cell>
        </row>
        <row r="10665">
          <cell r="Z10665" t="str">
            <v>INCARDIA</v>
          </cell>
        </row>
        <row r="10666">
          <cell r="Z10666" t="str">
            <v>INCARDIA</v>
          </cell>
        </row>
        <row r="10667">
          <cell r="Z10667" t="str">
            <v>INCARDIA</v>
          </cell>
        </row>
        <row r="10668">
          <cell r="Z10668" t="str">
            <v>INCARDIA</v>
          </cell>
        </row>
        <row r="10669">
          <cell r="Z10669" t="str">
            <v>INCARDIA</v>
          </cell>
        </row>
        <row r="10670">
          <cell r="Z10670" t="str">
            <v>INCARDIA</v>
          </cell>
        </row>
        <row r="10671">
          <cell r="Z10671" t="str">
            <v>INCARDIA</v>
          </cell>
        </row>
        <row r="10672">
          <cell r="Z10672" t="str">
            <v>INCARDIA</v>
          </cell>
        </row>
        <row r="10673">
          <cell r="Z10673" t="str">
            <v>INCARDIA</v>
          </cell>
        </row>
        <row r="10674">
          <cell r="Z10674" t="str">
            <v>INCARDIA</v>
          </cell>
        </row>
        <row r="10675">
          <cell r="Z10675" t="str">
            <v>INCARDIA</v>
          </cell>
        </row>
        <row r="10676">
          <cell r="Z10676" t="str">
            <v>INCARDIA</v>
          </cell>
        </row>
        <row r="10677">
          <cell r="Z10677" t="str">
            <v>INCARDIA</v>
          </cell>
        </row>
        <row r="10678">
          <cell r="Z10678" t="str">
            <v>INCARDIA</v>
          </cell>
        </row>
        <row r="10679">
          <cell r="Z10679" t="str">
            <v>INCARDIA</v>
          </cell>
        </row>
        <row r="10680">
          <cell r="Z10680" t="str">
            <v>INCARDIA</v>
          </cell>
        </row>
        <row r="10681">
          <cell r="Z10681" t="str">
            <v>INCARDIA</v>
          </cell>
        </row>
        <row r="10682">
          <cell r="Z10682" t="str">
            <v>INCARDIA</v>
          </cell>
        </row>
        <row r="10683">
          <cell r="Z10683" t="str">
            <v>INCARDIA</v>
          </cell>
        </row>
        <row r="10684">
          <cell r="Z10684" t="str">
            <v>INCARDIA</v>
          </cell>
        </row>
        <row r="10685">
          <cell r="Z10685" t="str">
            <v>INCARDIA</v>
          </cell>
        </row>
        <row r="10686">
          <cell r="Z10686" t="str">
            <v>INCARDIA</v>
          </cell>
        </row>
        <row r="10687">
          <cell r="Z10687" t="str">
            <v>INCARDIA</v>
          </cell>
        </row>
        <row r="10688">
          <cell r="Z10688" t="str">
            <v>INCARDIA</v>
          </cell>
        </row>
        <row r="10689">
          <cell r="Z10689" t="str">
            <v>INCARDIA</v>
          </cell>
        </row>
        <row r="10690">
          <cell r="Z10690" t="str">
            <v>INCARDIA</v>
          </cell>
        </row>
        <row r="10691">
          <cell r="Z10691" t="str">
            <v>INCARDIA</v>
          </cell>
        </row>
        <row r="10692">
          <cell r="Z10692" t="str">
            <v>INCARDIA</v>
          </cell>
        </row>
        <row r="10693">
          <cell r="Z10693" t="str">
            <v>INCARDIA</v>
          </cell>
        </row>
        <row r="10694">
          <cell r="Z10694" t="str">
            <v>INCARDIA</v>
          </cell>
        </row>
        <row r="10695">
          <cell r="Z10695" t="str">
            <v>INCARDIA</v>
          </cell>
        </row>
        <row r="10696">
          <cell r="Z10696" t="str">
            <v>INCARDIA</v>
          </cell>
        </row>
        <row r="10697">
          <cell r="Z10697" t="str">
            <v>INCARDIA</v>
          </cell>
        </row>
        <row r="10698">
          <cell r="Z10698" t="str">
            <v>INCARDIA</v>
          </cell>
        </row>
        <row r="10699">
          <cell r="Z10699" t="str">
            <v>INCARDIA</v>
          </cell>
        </row>
        <row r="10700">
          <cell r="Z10700" t="str">
            <v>INCARDIA</v>
          </cell>
        </row>
        <row r="10701">
          <cell r="Z10701" t="str">
            <v>INCARDIA</v>
          </cell>
        </row>
        <row r="10702">
          <cell r="Z10702" t="str">
            <v>INCARDIA</v>
          </cell>
        </row>
        <row r="10703">
          <cell r="Z10703" t="str">
            <v>INCARDIA</v>
          </cell>
        </row>
        <row r="10704">
          <cell r="Z10704" t="str">
            <v>INCARDIA</v>
          </cell>
        </row>
        <row r="10705">
          <cell r="Z10705" t="str">
            <v>INCARDIA</v>
          </cell>
        </row>
        <row r="10706">
          <cell r="Z10706" t="str">
            <v>INCARDIA</v>
          </cell>
        </row>
        <row r="10707">
          <cell r="Z10707" t="str">
            <v>INCARDIA</v>
          </cell>
        </row>
        <row r="10708">
          <cell r="Z10708" t="str">
            <v>INCARDIA</v>
          </cell>
        </row>
        <row r="10709">
          <cell r="Z10709" t="str">
            <v>INCARDIA</v>
          </cell>
        </row>
        <row r="10710">
          <cell r="Z10710" t="str">
            <v>INCARDIA</v>
          </cell>
        </row>
        <row r="10711">
          <cell r="Z10711" t="str">
            <v>INCARDIA</v>
          </cell>
        </row>
        <row r="10712">
          <cell r="Z10712" t="str">
            <v>INCARDIA</v>
          </cell>
        </row>
        <row r="10713">
          <cell r="Z10713" t="str">
            <v>INCARDIA</v>
          </cell>
        </row>
        <row r="10714">
          <cell r="Z10714" t="str">
            <v>INCARDIA</v>
          </cell>
        </row>
        <row r="10715">
          <cell r="Z10715" t="str">
            <v>INCARDIA</v>
          </cell>
        </row>
        <row r="10716">
          <cell r="Z10716" t="str">
            <v>INCARDIA</v>
          </cell>
        </row>
        <row r="10717">
          <cell r="Z10717" t="str">
            <v>INCARDIA</v>
          </cell>
        </row>
        <row r="10718">
          <cell r="Z10718" t="str">
            <v>INCARDIA</v>
          </cell>
        </row>
        <row r="10719">
          <cell r="Z10719" t="str">
            <v>INCARDIA</v>
          </cell>
        </row>
        <row r="10720">
          <cell r="Z10720" t="str">
            <v>INCARDIA</v>
          </cell>
        </row>
        <row r="10721">
          <cell r="Z10721" t="str">
            <v>INCARDIA</v>
          </cell>
        </row>
        <row r="10722">
          <cell r="Z10722" t="str">
            <v>INCARDIA</v>
          </cell>
        </row>
        <row r="10723">
          <cell r="Z10723" t="str">
            <v>INCARDIA</v>
          </cell>
        </row>
        <row r="10724">
          <cell r="Z10724" t="str">
            <v>INCARDIA</v>
          </cell>
        </row>
        <row r="10725">
          <cell r="Z10725" t="str">
            <v>INCARDIA</v>
          </cell>
        </row>
        <row r="10726">
          <cell r="Z10726" t="str">
            <v>INCARDIA</v>
          </cell>
        </row>
        <row r="10727">
          <cell r="Z10727" t="str">
            <v>INCARDIA</v>
          </cell>
        </row>
        <row r="10728">
          <cell r="Z10728" t="str">
            <v>INCARDIA</v>
          </cell>
        </row>
        <row r="10729">
          <cell r="Z10729" t="str">
            <v>INCARDIA</v>
          </cell>
        </row>
        <row r="10730">
          <cell r="Z10730" t="str">
            <v>INCARDIA</v>
          </cell>
        </row>
        <row r="10731">
          <cell r="Z10731" t="str">
            <v>INCARDIA</v>
          </cell>
        </row>
        <row r="10732">
          <cell r="Z10732" t="str">
            <v>INCARDIA</v>
          </cell>
        </row>
        <row r="10733">
          <cell r="Z10733" t="str">
            <v>INCARDIA</v>
          </cell>
        </row>
        <row r="10734">
          <cell r="Z10734" t="str">
            <v>INCARDIA</v>
          </cell>
        </row>
        <row r="10735">
          <cell r="Z10735" t="str">
            <v>INCARDIA</v>
          </cell>
        </row>
        <row r="10736">
          <cell r="Z10736" t="str">
            <v>INCARDIA</v>
          </cell>
        </row>
        <row r="10737">
          <cell r="Z10737" t="str">
            <v>INCARDIA</v>
          </cell>
        </row>
        <row r="10738">
          <cell r="Z10738" t="str">
            <v>INCARDIA</v>
          </cell>
        </row>
        <row r="10739">
          <cell r="Z10739" t="str">
            <v>INCARDIA</v>
          </cell>
        </row>
        <row r="10740">
          <cell r="Z10740" t="str">
            <v>INCARDIA</v>
          </cell>
        </row>
        <row r="10741">
          <cell r="Z10741" t="str">
            <v>INCARDIA</v>
          </cell>
        </row>
        <row r="10742">
          <cell r="Z10742" t="str">
            <v>INCARDIA</v>
          </cell>
        </row>
        <row r="10743">
          <cell r="Z10743" t="str">
            <v>INCARDIA</v>
          </cell>
        </row>
        <row r="10744">
          <cell r="Z10744" t="str">
            <v>INCARDIA</v>
          </cell>
        </row>
        <row r="10745">
          <cell r="Z10745" t="str">
            <v>INCARDIA</v>
          </cell>
        </row>
        <row r="10746">
          <cell r="Z10746" t="str">
            <v>INCARDIA</v>
          </cell>
        </row>
        <row r="10747">
          <cell r="Z10747" t="str">
            <v>INCARDIA</v>
          </cell>
        </row>
        <row r="10748">
          <cell r="Z10748" t="str">
            <v>INCARDIA</v>
          </cell>
        </row>
        <row r="10749">
          <cell r="Z10749" t="str">
            <v>INCARDIA</v>
          </cell>
        </row>
        <row r="10750">
          <cell r="Z10750" t="str">
            <v>INCARDIA</v>
          </cell>
        </row>
        <row r="10751">
          <cell r="Z10751" t="str">
            <v>INCARDIA</v>
          </cell>
        </row>
        <row r="10752">
          <cell r="Z10752" t="str">
            <v>INCARDIA</v>
          </cell>
        </row>
        <row r="10753">
          <cell r="Z10753" t="str">
            <v>INCARDIA</v>
          </cell>
        </row>
        <row r="10754">
          <cell r="Z10754" t="str">
            <v>INCARDIA</v>
          </cell>
        </row>
        <row r="10755">
          <cell r="Z10755" t="str">
            <v>INCARDIA</v>
          </cell>
        </row>
        <row r="10756">
          <cell r="Z10756" t="str">
            <v>INCARDIA</v>
          </cell>
        </row>
        <row r="10757">
          <cell r="Z10757" t="str">
            <v>INCARDIA</v>
          </cell>
        </row>
        <row r="10758">
          <cell r="Z10758" t="str">
            <v>INCARDIA</v>
          </cell>
        </row>
        <row r="10759">
          <cell r="Z10759" t="str">
            <v>INCARDIA</v>
          </cell>
        </row>
        <row r="10760">
          <cell r="Z10760" t="str">
            <v>INCARDIA</v>
          </cell>
        </row>
        <row r="10761">
          <cell r="Z10761" t="str">
            <v>INCARDIA</v>
          </cell>
        </row>
        <row r="10762">
          <cell r="Z10762" t="str">
            <v>INCARDIA</v>
          </cell>
        </row>
        <row r="10763">
          <cell r="Z10763" t="str">
            <v>INCARDIA</v>
          </cell>
        </row>
        <row r="10764">
          <cell r="Z10764" t="str">
            <v>INCARDIA</v>
          </cell>
        </row>
        <row r="10765">
          <cell r="Z10765" t="str">
            <v>INCARDIA</v>
          </cell>
        </row>
        <row r="10766">
          <cell r="Z10766" t="str">
            <v>INCARDIA</v>
          </cell>
        </row>
        <row r="10767">
          <cell r="Z10767" t="str">
            <v>INCARDIA</v>
          </cell>
        </row>
        <row r="10768">
          <cell r="Z10768" t="str">
            <v>INCARDIA</v>
          </cell>
        </row>
        <row r="10769">
          <cell r="Z10769" t="str">
            <v>INCARDIA</v>
          </cell>
        </row>
        <row r="10770">
          <cell r="Z10770" t="str">
            <v>INCARDIA</v>
          </cell>
        </row>
        <row r="10771">
          <cell r="Z10771" t="str">
            <v>INCARDIA</v>
          </cell>
        </row>
        <row r="10772">
          <cell r="Z10772" t="str">
            <v>INCARDIA</v>
          </cell>
        </row>
        <row r="10773">
          <cell r="Z10773" t="str">
            <v>INCARDIA</v>
          </cell>
        </row>
        <row r="10774">
          <cell r="Z10774" t="str">
            <v>INCARDIA</v>
          </cell>
        </row>
        <row r="10775">
          <cell r="Z10775" t="str">
            <v>INCARDIA</v>
          </cell>
        </row>
        <row r="10776">
          <cell r="Z10776" t="str">
            <v>INCARDIA</v>
          </cell>
        </row>
        <row r="10777">
          <cell r="Z10777" t="str">
            <v>INCARDIA</v>
          </cell>
        </row>
        <row r="10778">
          <cell r="Z10778" t="str">
            <v>INCARDIA</v>
          </cell>
        </row>
        <row r="10779">
          <cell r="Z10779" t="str">
            <v>INCARDIA</v>
          </cell>
        </row>
        <row r="10780">
          <cell r="Z10780" t="str">
            <v>INCARDIA</v>
          </cell>
        </row>
        <row r="10781">
          <cell r="Z10781" t="str">
            <v>INCARDIA</v>
          </cell>
        </row>
        <row r="10782">
          <cell r="Z10782" t="str">
            <v>INCARDIA</v>
          </cell>
        </row>
        <row r="10783">
          <cell r="Z10783" t="str">
            <v>INCARDIA</v>
          </cell>
        </row>
        <row r="10784">
          <cell r="Z10784" t="str">
            <v>INCARDIA</v>
          </cell>
        </row>
        <row r="10785">
          <cell r="Z10785" t="str">
            <v>INCARDIA</v>
          </cell>
        </row>
        <row r="10786">
          <cell r="Z10786" t="str">
            <v>INCARDIA</v>
          </cell>
        </row>
        <row r="10787">
          <cell r="Z10787" t="str">
            <v>INCARDIA</v>
          </cell>
        </row>
        <row r="10788">
          <cell r="Z10788" t="str">
            <v>INCARDIA</v>
          </cell>
        </row>
        <row r="10789">
          <cell r="Z10789" t="str">
            <v>INCARDIA</v>
          </cell>
        </row>
        <row r="10790">
          <cell r="Z10790" t="str">
            <v>INCARDIA</v>
          </cell>
        </row>
        <row r="10791">
          <cell r="Z10791" t="str">
            <v>INCARDIA</v>
          </cell>
        </row>
        <row r="10792">
          <cell r="Z10792" t="str">
            <v>INCARDIA</v>
          </cell>
        </row>
        <row r="10793">
          <cell r="Z10793" t="str">
            <v>INCARDIA</v>
          </cell>
        </row>
        <row r="10794">
          <cell r="Z10794" t="str">
            <v>INCARDIA</v>
          </cell>
        </row>
        <row r="10795">
          <cell r="Z10795" t="str">
            <v>INCARDIA</v>
          </cell>
        </row>
        <row r="10796">
          <cell r="Z10796" t="str">
            <v>INCARDIA</v>
          </cell>
        </row>
        <row r="10797">
          <cell r="Z10797" t="str">
            <v>INCARDIA</v>
          </cell>
        </row>
        <row r="10798">
          <cell r="Z10798" t="str">
            <v>INCARDIA</v>
          </cell>
        </row>
        <row r="10799">
          <cell r="Z10799" t="str">
            <v>INCARDIA</v>
          </cell>
        </row>
        <row r="10800">
          <cell r="Z10800" t="str">
            <v>INCARDIA</v>
          </cell>
        </row>
        <row r="10801">
          <cell r="Z10801" t="str">
            <v>INCARDIA</v>
          </cell>
        </row>
        <row r="10802">
          <cell r="Z10802" t="str">
            <v>INCARDIA</v>
          </cell>
        </row>
        <row r="10803">
          <cell r="Z10803" t="str">
            <v>INCARDIA</v>
          </cell>
        </row>
        <row r="10804">
          <cell r="Z10804" t="str">
            <v>INCARDIA</v>
          </cell>
        </row>
        <row r="10805">
          <cell r="Z10805" t="str">
            <v>INCARDIA</v>
          </cell>
        </row>
        <row r="10806">
          <cell r="Z10806" t="str">
            <v>INCARDIA</v>
          </cell>
        </row>
        <row r="10807">
          <cell r="Z10807" t="str">
            <v>INCARDIA</v>
          </cell>
        </row>
        <row r="10808">
          <cell r="Z10808" t="str">
            <v>INCARDIA</v>
          </cell>
        </row>
        <row r="10809">
          <cell r="Z10809" t="str">
            <v>INCARDIA</v>
          </cell>
        </row>
        <row r="10810">
          <cell r="Z10810" t="str">
            <v>INCARDIA</v>
          </cell>
        </row>
        <row r="10811">
          <cell r="Z10811" t="str">
            <v>INCARDIA</v>
          </cell>
        </row>
        <row r="10812">
          <cell r="Z10812" t="str">
            <v>INCARDIA</v>
          </cell>
        </row>
        <row r="10813">
          <cell r="Z10813" t="str">
            <v>INCARDIA</v>
          </cell>
        </row>
        <row r="10814">
          <cell r="Z10814" t="str">
            <v>INCARDIA</v>
          </cell>
        </row>
        <row r="10815">
          <cell r="Z10815" t="str">
            <v>INCARDIA</v>
          </cell>
        </row>
        <row r="10816">
          <cell r="Z10816" t="str">
            <v>INCARDIA</v>
          </cell>
        </row>
        <row r="10817">
          <cell r="Z10817" t="str">
            <v>INCARDIA</v>
          </cell>
        </row>
        <row r="10818">
          <cell r="Z10818" t="str">
            <v>INCARDIA</v>
          </cell>
        </row>
        <row r="10819">
          <cell r="Z10819" t="str">
            <v>INCARDIA</v>
          </cell>
        </row>
        <row r="10820">
          <cell r="Z10820" t="str">
            <v>INCARDIA</v>
          </cell>
        </row>
        <row r="10821">
          <cell r="Z10821" t="str">
            <v>INCARDIA</v>
          </cell>
        </row>
        <row r="10822">
          <cell r="Z10822" t="str">
            <v>INCARDIA</v>
          </cell>
        </row>
        <row r="10823">
          <cell r="Z10823" t="str">
            <v>INCARDIA</v>
          </cell>
        </row>
        <row r="10824">
          <cell r="Z10824" t="str">
            <v>INCARDIA</v>
          </cell>
        </row>
        <row r="10825">
          <cell r="Z10825" t="str">
            <v>INCARDIA</v>
          </cell>
        </row>
        <row r="10826">
          <cell r="Z10826" t="str">
            <v>INCARDIA</v>
          </cell>
        </row>
        <row r="10827">
          <cell r="Z10827" t="str">
            <v>INCARDIA</v>
          </cell>
        </row>
        <row r="10828">
          <cell r="Z10828" t="str">
            <v>INCARDIA</v>
          </cell>
        </row>
        <row r="10829">
          <cell r="Z10829" t="str">
            <v>INCARDIA</v>
          </cell>
        </row>
        <row r="10830">
          <cell r="Z10830" t="str">
            <v>INCARDIA</v>
          </cell>
        </row>
        <row r="10831">
          <cell r="Z10831" t="str">
            <v>INCARDIA</v>
          </cell>
        </row>
        <row r="10832">
          <cell r="Z10832" t="str">
            <v>INCARDIA</v>
          </cell>
        </row>
        <row r="10833">
          <cell r="Z10833" t="str">
            <v>INCARDIA</v>
          </cell>
        </row>
        <row r="10834">
          <cell r="Z10834" t="str">
            <v>INCARDIA</v>
          </cell>
        </row>
        <row r="10835">
          <cell r="Z10835" t="str">
            <v>INCARDIA</v>
          </cell>
        </row>
        <row r="10836">
          <cell r="Z10836" t="str">
            <v>INCARDIA</v>
          </cell>
        </row>
        <row r="10837">
          <cell r="Z10837" t="str">
            <v>INCARDIA</v>
          </cell>
        </row>
        <row r="10838">
          <cell r="Z10838" t="str">
            <v>INCARDIA</v>
          </cell>
        </row>
        <row r="10839">
          <cell r="Z10839" t="str">
            <v>INCARDIA</v>
          </cell>
        </row>
        <row r="10840">
          <cell r="Z10840" t="str">
            <v>INCARDIA</v>
          </cell>
        </row>
        <row r="10841">
          <cell r="Z10841" t="str">
            <v>INCARDIA</v>
          </cell>
        </row>
        <row r="10842">
          <cell r="Z10842" t="str">
            <v>INCARDIA</v>
          </cell>
        </row>
        <row r="10843">
          <cell r="Z10843" t="str">
            <v>INCARDIA</v>
          </cell>
        </row>
        <row r="10844">
          <cell r="Z10844" t="str">
            <v>INCARDIA</v>
          </cell>
        </row>
        <row r="10845">
          <cell r="Z10845" t="str">
            <v>INCARDIA</v>
          </cell>
        </row>
        <row r="10846">
          <cell r="Z10846" t="str">
            <v>INCARDIA</v>
          </cell>
        </row>
        <row r="10847">
          <cell r="Z10847" t="str">
            <v>INCARDIA</v>
          </cell>
        </row>
        <row r="10848">
          <cell r="Z10848" t="str">
            <v>INCARDIA</v>
          </cell>
        </row>
        <row r="10849">
          <cell r="Z10849" t="str">
            <v>INCARDIA</v>
          </cell>
        </row>
        <row r="10850">
          <cell r="Z10850" t="str">
            <v>INCARDIA</v>
          </cell>
        </row>
        <row r="10851">
          <cell r="Z10851" t="str">
            <v>INCARDIA</v>
          </cell>
        </row>
        <row r="10852">
          <cell r="Z10852" t="str">
            <v>INCARDIA</v>
          </cell>
        </row>
        <row r="10853">
          <cell r="Z10853" t="str">
            <v>INCARDIA</v>
          </cell>
        </row>
        <row r="10854">
          <cell r="Z10854" t="str">
            <v>INCARDIA</v>
          </cell>
        </row>
        <row r="10855">
          <cell r="Z10855" t="str">
            <v>INCARDIA</v>
          </cell>
        </row>
        <row r="10856">
          <cell r="Z10856" t="str">
            <v>INCARDIA</v>
          </cell>
        </row>
        <row r="10857">
          <cell r="Z10857" t="str">
            <v>INCARDIA</v>
          </cell>
        </row>
        <row r="10858">
          <cell r="Z10858" t="str">
            <v>INCARDIA</v>
          </cell>
        </row>
        <row r="10859">
          <cell r="Z10859" t="str">
            <v>INCARDIA</v>
          </cell>
        </row>
        <row r="10860">
          <cell r="Z10860" t="str">
            <v>INCARDIA</v>
          </cell>
        </row>
        <row r="10861">
          <cell r="Z10861" t="str">
            <v>INCARDIA</v>
          </cell>
        </row>
        <row r="10862">
          <cell r="Z10862" t="str">
            <v>INCARDIA</v>
          </cell>
        </row>
        <row r="10863">
          <cell r="Z10863" t="str">
            <v>INCARDIA</v>
          </cell>
        </row>
        <row r="10864">
          <cell r="Z10864" t="str">
            <v>INCARDIA</v>
          </cell>
        </row>
        <row r="10865">
          <cell r="Z10865" t="str">
            <v>INCARDIA</v>
          </cell>
        </row>
        <row r="10866">
          <cell r="Z10866" t="str">
            <v>INCARDIA</v>
          </cell>
        </row>
        <row r="10867">
          <cell r="Z10867" t="str">
            <v>INCARDIA</v>
          </cell>
        </row>
        <row r="10868">
          <cell r="Z10868" t="str">
            <v>INCARDIA</v>
          </cell>
        </row>
        <row r="10869">
          <cell r="Z10869" t="str">
            <v>INCARDIA</v>
          </cell>
        </row>
        <row r="10870">
          <cell r="Z10870" t="str">
            <v>INCARDIA</v>
          </cell>
        </row>
        <row r="10871">
          <cell r="Z10871" t="str">
            <v>INCARDIA</v>
          </cell>
        </row>
        <row r="10872">
          <cell r="Z10872" t="str">
            <v>INCARDIA</v>
          </cell>
        </row>
        <row r="10873">
          <cell r="Z10873" t="str">
            <v>INCARDIA</v>
          </cell>
        </row>
        <row r="10874">
          <cell r="Z10874" t="str">
            <v>INCARDIA</v>
          </cell>
        </row>
        <row r="10875">
          <cell r="Z10875" t="str">
            <v>INCARDIA</v>
          </cell>
        </row>
        <row r="10876">
          <cell r="Z10876" t="str">
            <v>INCARDIA</v>
          </cell>
        </row>
        <row r="10877">
          <cell r="Z10877" t="str">
            <v>INCARDIA</v>
          </cell>
        </row>
        <row r="10878">
          <cell r="Z10878" t="str">
            <v>INCARDIA</v>
          </cell>
        </row>
        <row r="10879">
          <cell r="Z10879" t="str">
            <v>INCARDIA</v>
          </cell>
        </row>
        <row r="10880">
          <cell r="Z10880" t="str">
            <v>INCARDIA</v>
          </cell>
        </row>
        <row r="10881">
          <cell r="Z10881" t="str">
            <v>INCARDIA</v>
          </cell>
        </row>
        <row r="10882">
          <cell r="Z10882" t="str">
            <v>INCARDIA</v>
          </cell>
        </row>
        <row r="10883">
          <cell r="Z10883" t="str">
            <v>INCARDIA</v>
          </cell>
        </row>
        <row r="10884">
          <cell r="Z10884" t="str">
            <v>INCARDIA</v>
          </cell>
        </row>
        <row r="10885">
          <cell r="Z10885" t="str">
            <v>INCARDIA</v>
          </cell>
        </row>
        <row r="10886">
          <cell r="Z10886" t="str">
            <v>INCARDIA</v>
          </cell>
        </row>
        <row r="10887">
          <cell r="Z10887" t="str">
            <v>INCARDIA</v>
          </cell>
        </row>
        <row r="10888">
          <cell r="Z10888" t="str">
            <v>INCARDIA</v>
          </cell>
        </row>
        <row r="10889">
          <cell r="Z10889" t="str">
            <v>INCARDIA</v>
          </cell>
        </row>
        <row r="10890">
          <cell r="Z10890" t="str">
            <v>INCARDIA</v>
          </cell>
        </row>
        <row r="10891">
          <cell r="Z10891" t="str">
            <v>INCARDIA</v>
          </cell>
        </row>
        <row r="10892">
          <cell r="Z10892" t="str">
            <v>INCARDIA</v>
          </cell>
        </row>
        <row r="10893">
          <cell r="Z10893" t="str">
            <v>INCARDIA</v>
          </cell>
        </row>
        <row r="10894">
          <cell r="Z10894" t="str">
            <v>INCARDIA</v>
          </cell>
        </row>
        <row r="10895">
          <cell r="Z10895" t="str">
            <v>INCARDIA</v>
          </cell>
        </row>
        <row r="10896">
          <cell r="Z10896" t="str">
            <v>INCARDIA</v>
          </cell>
        </row>
        <row r="10897">
          <cell r="Z10897" t="str">
            <v>INCARDIA</v>
          </cell>
        </row>
        <row r="10898">
          <cell r="Z10898" t="str">
            <v>INCARDIA</v>
          </cell>
        </row>
        <row r="10899">
          <cell r="Z10899" t="str">
            <v>INCARDIA</v>
          </cell>
        </row>
        <row r="10900">
          <cell r="Z10900" t="str">
            <v>INCARDIA</v>
          </cell>
        </row>
        <row r="10901">
          <cell r="Z10901" t="str">
            <v>INCARDIA</v>
          </cell>
        </row>
        <row r="10902">
          <cell r="Z10902" t="str">
            <v>INCARDIA</v>
          </cell>
        </row>
        <row r="10903">
          <cell r="Z10903" t="str">
            <v>INCARDIA</v>
          </cell>
        </row>
        <row r="10904">
          <cell r="Z10904" t="str">
            <v>INCARDIA</v>
          </cell>
        </row>
        <row r="10905">
          <cell r="Z10905" t="str">
            <v>INCARDIA</v>
          </cell>
        </row>
        <row r="10906">
          <cell r="Z10906" t="str">
            <v>INCARDIA</v>
          </cell>
        </row>
        <row r="10907">
          <cell r="Z10907" t="str">
            <v>INCARDIA</v>
          </cell>
        </row>
        <row r="10908">
          <cell r="Z10908" t="str">
            <v>INCARDIA</v>
          </cell>
        </row>
        <row r="10909">
          <cell r="Z10909" t="str">
            <v>INCARDIA</v>
          </cell>
        </row>
        <row r="10910">
          <cell r="Z10910" t="str">
            <v>INCARDIA</v>
          </cell>
        </row>
        <row r="10911">
          <cell r="Z10911" t="str">
            <v>INCARDIA</v>
          </cell>
        </row>
        <row r="10912">
          <cell r="Z10912" t="str">
            <v>INCARDIA</v>
          </cell>
        </row>
        <row r="10913">
          <cell r="Z10913" t="str">
            <v>INCARDIA</v>
          </cell>
        </row>
        <row r="10914">
          <cell r="Z10914" t="str">
            <v>INCARDIA</v>
          </cell>
        </row>
        <row r="10915">
          <cell r="Z10915" t="str">
            <v>INCARDIA</v>
          </cell>
        </row>
        <row r="10916">
          <cell r="Z10916" t="str">
            <v>INCARDIA</v>
          </cell>
        </row>
        <row r="10917">
          <cell r="Z10917" t="str">
            <v>INCARDIA</v>
          </cell>
        </row>
        <row r="10918">
          <cell r="Z10918" t="str">
            <v>INCARDIA</v>
          </cell>
        </row>
        <row r="10919">
          <cell r="Z10919" t="str">
            <v>INCARDIA</v>
          </cell>
        </row>
        <row r="10920">
          <cell r="Z10920" t="str">
            <v>INCARDIA</v>
          </cell>
        </row>
        <row r="10921">
          <cell r="Z10921" t="str">
            <v>INCARDIA</v>
          </cell>
        </row>
        <row r="10922">
          <cell r="Z10922" t="str">
            <v>INCARDIA</v>
          </cell>
        </row>
        <row r="10923">
          <cell r="Z10923" t="str">
            <v>INCARDIA</v>
          </cell>
        </row>
        <row r="10924">
          <cell r="Z10924" t="str">
            <v>INCARDIA</v>
          </cell>
        </row>
        <row r="10925">
          <cell r="Z10925" t="str">
            <v>INCARDIA</v>
          </cell>
        </row>
        <row r="10926">
          <cell r="Z10926" t="str">
            <v>INCARDIA</v>
          </cell>
        </row>
        <row r="10927">
          <cell r="Z10927" t="str">
            <v>INCARDIA</v>
          </cell>
        </row>
        <row r="10928">
          <cell r="Z10928" t="str">
            <v>INCARDIA</v>
          </cell>
        </row>
        <row r="10929">
          <cell r="Z10929" t="str">
            <v>INCARDIA</v>
          </cell>
        </row>
        <row r="10930">
          <cell r="Z10930" t="str">
            <v>INCARDIA</v>
          </cell>
        </row>
        <row r="10931">
          <cell r="Z10931" t="str">
            <v>INCARDIA</v>
          </cell>
        </row>
        <row r="10932">
          <cell r="Z10932" t="str">
            <v>INCARDIA</v>
          </cell>
        </row>
        <row r="10933">
          <cell r="Z10933" t="str">
            <v>INCARDIA</v>
          </cell>
        </row>
        <row r="10934">
          <cell r="Z10934" t="str">
            <v>INCARDIA</v>
          </cell>
        </row>
        <row r="10935">
          <cell r="Z10935" t="str">
            <v>INCARDIA</v>
          </cell>
        </row>
        <row r="10936">
          <cell r="Z10936" t="str">
            <v>INCARDIA</v>
          </cell>
        </row>
        <row r="10937">
          <cell r="Z10937" t="str">
            <v>INCARDIA</v>
          </cell>
        </row>
        <row r="10938">
          <cell r="Z10938" t="str">
            <v>INCARDIA</v>
          </cell>
        </row>
        <row r="10939">
          <cell r="Z10939" t="str">
            <v>INCARDIA</v>
          </cell>
        </row>
        <row r="10940">
          <cell r="Z10940" t="str">
            <v>INCARDIA</v>
          </cell>
        </row>
        <row r="10941">
          <cell r="Z10941" t="str">
            <v>INCARDIA</v>
          </cell>
        </row>
        <row r="10942">
          <cell r="Z10942" t="str">
            <v>INCARDIA</v>
          </cell>
        </row>
        <row r="10943">
          <cell r="Z10943" t="str">
            <v>INCARDIA</v>
          </cell>
        </row>
        <row r="10944">
          <cell r="Z10944" t="str">
            <v>INCARDIA</v>
          </cell>
        </row>
        <row r="10945">
          <cell r="Z10945" t="str">
            <v>INCARDIA</v>
          </cell>
        </row>
        <row r="10946">
          <cell r="Z10946" t="str">
            <v>INCARDIA</v>
          </cell>
        </row>
        <row r="10947">
          <cell r="Z10947" t="str">
            <v>INCARDIA</v>
          </cell>
        </row>
        <row r="10948">
          <cell r="Z10948" t="str">
            <v>INCARDIA</v>
          </cell>
        </row>
        <row r="10949">
          <cell r="Z10949" t="str">
            <v>INCARDIA</v>
          </cell>
        </row>
        <row r="10950">
          <cell r="Z10950" t="str">
            <v>INCARDIA</v>
          </cell>
        </row>
        <row r="10951">
          <cell r="Z10951" t="str">
            <v>INCARDIA</v>
          </cell>
        </row>
        <row r="10952">
          <cell r="Z10952" t="str">
            <v>INCARDIA</v>
          </cell>
        </row>
        <row r="10953">
          <cell r="Z10953" t="str">
            <v>INCARDIA</v>
          </cell>
        </row>
        <row r="10954">
          <cell r="Z10954" t="str">
            <v>INCARDIA</v>
          </cell>
        </row>
        <row r="10955">
          <cell r="Z10955" t="str">
            <v>INCARDIA</v>
          </cell>
        </row>
        <row r="10956">
          <cell r="Z10956" t="str">
            <v>INCARDIA</v>
          </cell>
        </row>
        <row r="10957">
          <cell r="Z10957" t="str">
            <v>INCARDIA</v>
          </cell>
        </row>
        <row r="10958">
          <cell r="Z10958" t="str">
            <v>INCARDIA</v>
          </cell>
        </row>
        <row r="10959">
          <cell r="Z10959" t="str">
            <v>INCARDIA</v>
          </cell>
        </row>
        <row r="10960">
          <cell r="Z10960" t="str">
            <v>INCARDIA</v>
          </cell>
        </row>
        <row r="10961">
          <cell r="Z10961" t="str">
            <v>INCARDIA</v>
          </cell>
        </row>
        <row r="10962">
          <cell r="Z10962" t="str">
            <v>INCARDIA</v>
          </cell>
        </row>
        <row r="10963">
          <cell r="Z10963" t="str">
            <v>INCARDIA</v>
          </cell>
        </row>
        <row r="10964">
          <cell r="Z10964" t="str">
            <v>INCARDIA</v>
          </cell>
        </row>
        <row r="10965">
          <cell r="Z10965" t="str">
            <v>INCARDIA</v>
          </cell>
        </row>
        <row r="10966">
          <cell r="Z10966" t="str">
            <v>INCARDIA</v>
          </cell>
        </row>
        <row r="10967">
          <cell r="Z10967" t="str">
            <v>INCARDIA</v>
          </cell>
        </row>
        <row r="10968">
          <cell r="Z10968" t="str">
            <v>INCARDIA</v>
          </cell>
        </row>
        <row r="10969">
          <cell r="Z10969" t="str">
            <v>INCARDIA</v>
          </cell>
        </row>
        <row r="10970">
          <cell r="Z10970" t="str">
            <v>INCARDIA</v>
          </cell>
        </row>
        <row r="10971">
          <cell r="Z10971" t="str">
            <v>INCARDIA</v>
          </cell>
        </row>
        <row r="10972">
          <cell r="Z10972" t="str">
            <v>INCARDIA</v>
          </cell>
        </row>
        <row r="10973">
          <cell r="Z10973" t="str">
            <v>INCARDIA</v>
          </cell>
        </row>
        <row r="10974">
          <cell r="Z10974" t="str">
            <v>INCARDIA</v>
          </cell>
        </row>
        <row r="10975">
          <cell r="Z10975" t="str">
            <v>INCARDIA</v>
          </cell>
        </row>
        <row r="10976">
          <cell r="Z10976" t="str">
            <v>INCARDIA</v>
          </cell>
        </row>
        <row r="10977">
          <cell r="Z10977" t="str">
            <v>INCARDIA</v>
          </cell>
        </row>
        <row r="10978">
          <cell r="Z10978" t="str">
            <v>INCARDIA</v>
          </cell>
        </row>
        <row r="10979">
          <cell r="Z10979" t="str">
            <v>INCARDIA</v>
          </cell>
        </row>
        <row r="10980">
          <cell r="Z10980" t="str">
            <v>INCARDIA</v>
          </cell>
        </row>
        <row r="10981">
          <cell r="Z10981" t="str">
            <v>INCARDIA</v>
          </cell>
        </row>
        <row r="10982">
          <cell r="Z10982" t="str">
            <v>INCARDIA</v>
          </cell>
        </row>
        <row r="10983">
          <cell r="Z10983" t="str">
            <v>INCARDIA</v>
          </cell>
        </row>
        <row r="10984">
          <cell r="Z10984" t="str">
            <v>INCARDIA</v>
          </cell>
        </row>
        <row r="10985">
          <cell r="Z10985" t="str">
            <v>INCARDIA</v>
          </cell>
        </row>
        <row r="10986">
          <cell r="Z10986" t="str">
            <v>INCARDIA</v>
          </cell>
        </row>
        <row r="10987">
          <cell r="Z10987" t="str">
            <v>INCARDIA</v>
          </cell>
        </row>
        <row r="10988">
          <cell r="Z10988" t="str">
            <v>INCARDIA</v>
          </cell>
        </row>
        <row r="10989">
          <cell r="Z10989" t="str">
            <v>INCARDIA</v>
          </cell>
        </row>
        <row r="10990">
          <cell r="Z10990" t="str">
            <v>INCARDIA</v>
          </cell>
        </row>
        <row r="10991">
          <cell r="Z10991" t="str">
            <v>INCARDIA</v>
          </cell>
        </row>
        <row r="10992">
          <cell r="Z10992" t="str">
            <v>INCARDIA</v>
          </cell>
        </row>
        <row r="10993">
          <cell r="Z10993" t="str">
            <v>INCARDIA</v>
          </cell>
        </row>
        <row r="10994">
          <cell r="Z10994" t="str">
            <v>INCARDIA</v>
          </cell>
        </row>
        <row r="10995">
          <cell r="Z10995" t="str">
            <v>INCARDIA</v>
          </cell>
        </row>
        <row r="10996">
          <cell r="Z10996" t="str">
            <v>INCARDIA</v>
          </cell>
        </row>
        <row r="10997">
          <cell r="Z10997" t="str">
            <v>INCARDIA</v>
          </cell>
        </row>
        <row r="10998">
          <cell r="Z10998" t="str">
            <v>INCARDIA</v>
          </cell>
        </row>
        <row r="10999">
          <cell r="Z10999" t="str">
            <v>INCARDIA</v>
          </cell>
        </row>
        <row r="11000">
          <cell r="Z11000" t="str">
            <v>INCARDIA</v>
          </cell>
        </row>
        <row r="11001">
          <cell r="Z11001" t="str">
            <v>INCARDIA</v>
          </cell>
        </row>
        <row r="11002">
          <cell r="Z11002" t="str">
            <v>INCARDIA</v>
          </cell>
        </row>
        <row r="11003">
          <cell r="Z11003" t="str">
            <v>INCARDIA</v>
          </cell>
        </row>
        <row r="11004">
          <cell r="Z11004" t="str">
            <v>INCARDIA</v>
          </cell>
        </row>
        <row r="11005">
          <cell r="Z11005" t="str">
            <v>INCARDIA</v>
          </cell>
        </row>
        <row r="11006">
          <cell r="Z11006" t="str">
            <v>INCARDIA</v>
          </cell>
        </row>
        <row r="11007">
          <cell r="Z11007" t="str">
            <v>INCARDIA</v>
          </cell>
        </row>
        <row r="11008">
          <cell r="Z11008" t="str">
            <v>INCARDIA</v>
          </cell>
        </row>
        <row r="11009">
          <cell r="Z11009" t="str">
            <v>INCARDIA</v>
          </cell>
        </row>
        <row r="11010">
          <cell r="Z11010" t="str">
            <v>INCARDIA</v>
          </cell>
        </row>
        <row r="11011">
          <cell r="Z11011" t="str">
            <v>INCARDIA</v>
          </cell>
        </row>
        <row r="11012">
          <cell r="Z11012" t="str">
            <v>INCARDIA</v>
          </cell>
        </row>
        <row r="11013">
          <cell r="Z11013" t="str">
            <v>INCARDIA</v>
          </cell>
        </row>
        <row r="11014">
          <cell r="Z11014" t="str">
            <v>INCARDIA</v>
          </cell>
        </row>
        <row r="11015">
          <cell r="Z11015" t="str">
            <v>INCARDIA</v>
          </cell>
        </row>
        <row r="11016">
          <cell r="Z11016" t="str">
            <v>INCARDIA</v>
          </cell>
        </row>
        <row r="11017">
          <cell r="Z11017" t="str">
            <v>INCARDIA</v>
          </cell>
        </row>
        <row r="11018">
          <cell r="Z11018" t="str">
            <v>INCARDIA</v>
          </cell>
        </row>
        <row r="11019">
          <cell r="Z11019" t="str">
            <v>INCARDIA</v>
          </cell>
        </row>
        <row r="11020">
          <cell r="Z11020" t="str">
            <v>INCARDIA</v>
          </cell>
        </row>
        <row r="11021">
          <cell r="Z11021" t="str">
            <v>INCARDIA</v>
          </cell>
        </row>
        <row r="11022">
          <cell r="Z11022" t="str">
            <v>INCARDIA</v>
          </cell>
        </row>
        <row r="11023">
          <cell r="Z11023" t="str">
            <v>INCARDIA</v>
          </cell>
        </row>
        <row r="11024">
          <cell r="Z11024" t="str">
            <v>INCARDIA</v>
          </cell>
        </row>
        <row r="11025">
          <cell r="Z11025" t="str">
            <v>INCARDIA</v>
          </cell>
        </row>
        <row r="11026">
          <cell r="Z11026" t="str">
            <v>INCARDIA</v>
          </cell>
        </row>
        <row r="11027">
          <cell r="Z11027" t="str">
            <v>INCARDIA</v>
          </cell>
        </row>
        <row r="11028">
          <cell r="Z11028" t="str">
            <v>INCARDIA</v>
          </cell>
        </row>
        <row r="11029">
          <cell r="Z11029" t="str">
            <v>INCARDIA</v>
          </cell>
        </row>
        <row r="11030">
          <cell r="Z11030" t="str">
            <v>INCARDIA</v>
          </cell>
        </row>
        <row r="11031">
          <cell r="Z11031" t="str">
            <v>INCARDIA</v>
          </cell>
        </row>
        <row r="11032">
          <cell r="Z11032" t="str">
            <v>INCARDIA</v>
          </cell>
        </row>
        <row r="11033">
          <cell r="Z11033" t="str">
            <v>INCARDIA</v>
          </cell>
        </row>
        <row r="11034">
          <cell r="Z11034" t="str">
            <v>INCARDIA</v>
          </cell>
        </row>
        <row r="11035">
          <cell r="Z11035" t="str">
            <v>INCARDIA</v>
          </cell>
        </row>
        <row r="11036">
          <cell r="Z11036" t="str">
            <v>INCARDIA</v>
          </cell>
        </row>
        <row r="11037">
          <cell r="Z11037" t="str">
            <v>INCARDIA</v>
          </cell>
        </row>
        <row r="11038">
          <cell r="Z11038" t="str">
            <v>INCARDIA</v>
          </cell>
        </row>
        <row r="11039">
          <cell r="Z11039" t="str">
            <v>INCARDIA</v>
          </cell>
        </row>
        <row r="11040">
          <cell r="Z11040" t="str">
            <v>INCARDIA</v>
          </cell>
        </row>
        <row r="11041">
          <cell r="Z11041" t="str">
            <v>INCARDIA</v>
          </cell>
        </row>
        <row r="11042">
          <cell r="Z11042" t="str">
            <v>INCARDIA</v>
          </cell>
        </row>
        <row r="11043">
          <cell r="Z11043" t="str">
            <v>INCARDIA</v>
          </cell>
        </row>
        <row r="11044">
          <cell r="Z11044" t="str">
            <v>INCARDIA</v>
          </cell>
        </row>
        <row r="11045">
          <cell r="Z11045" t="str">
            <v>INCARDIA</v>
          </cell>
        </row>
        <row r="11046">
          <cell r="Z11046" t="str">
            <v>INCARDIA</v>
          </cell>
        </row>
        <row r="11047">
          <cell r="Z11047" t="str">
            <v>INCARDIA</v>
          </cell>
        </row>
        <row r="11048">
          <cell r="Z11048" t="str">
            <v>INCARDIA</v>
          </cell>
        </row>
        <row r="11049">
          <cell r="Z11049" t="str">
            <v>INCARDIA</v>
          </cell>
        </row>
        <row r="11050">
          <cell r="Z11050" t="str">
            <v>INCARDIA</v>
          </cell>
        </row>
        <row r="11051">
          <cell r="Z11051" t="str">
            <v>INCARDIA</v>
          </cell>
        </row>
        <row r="11052">
          <cell r="Z11052" t="str">
            <v>INCARDIA</v>
          </cell>
        </row>
        <row r="11053">
          <cell r="Z11053" t="str">
            <v>INCARDIA</v>
          </cell>
        </row>
        <row r="11054">
          <cell r="Z11054" t="str">
            <v>INCARDIA</v>
          </cell>
          <cell r="AA11054" t="str">
            <v>INSTITUTO NACIONAL DE GERIATRIA</v>
          </cell>
        </row>
        <row r="11055">
          <cell r="Z11055" t="str">
            <v>INCARDIA</v>
          </cell>
          <cell r="AA11055" t="str">
            <v>INSTITUTO NACIONAL DE GERIATRIA</v>
          </cell>
        </row>
        <row r="11056">
          <cell r="Z11056" t="str">
            <v>INCARDIA</v>
          </cell>
          <cell r="AA11056" t="str">
            <v>INSTITUTO NACIONAL DE GERIATRIA</v>
          </cell>
        </row>
        <row r="11057">
          <cell r="Z11057" t="str">
            <v>INCARDIA</v>
          </cell>
          <cell r="AA11057" t="str">
            <v>INSTITUTO NACIONAL DE GERIATRIA</v>
          </cell>
        </row>
        <row r="11058">
          <cell r="Z11058" t="str">
            <v>INCARDIA</v>
          </cell>
        </row>
        <row r="11059">
          <cell r="Z11059" t="str">
            <v>INCARDIA</v>
          </cell>
        </row>
        <row r="11060">
          <cell r="Z11060" t="str">
            <v>INCARDIA</v>
          </cell>
        </row>
        <row r="11061">
          <cell r="Z11061" t="str">
            <v>INCARDIA</v>
          </cell>
          <cell r="AA11061" t="str">
            <v>INSTITUTO NACIONAL DE GERIATRIA</v>
          </cell>
        </row>
        <row r="11062">
          <cell r="Z11062" t="str">
            <v>INCARDIA</v>
          </cell>
        </row>
        <row r="11063">
          <cell r="Z11063" t="str">
            <v>INCARDIA</v>
          </cell>
        </row>
        <row r="11064">
          <cell r="Z11064" t="str">
            <v>INCARDIA</v>
          </cell>
        </row>
        <row r="11065">
          <cell r="Z11065" t="str">
            <v>INCARDIA</v>
          </cell>
        </row>
        <row r="11066">
          <cell r="Z11066" t="str">
            <v>INCARDIA</v>
          </cell>
        </row>
        <row r="11067">
          <cell r="Z11067" t="str">
            <v>INCARDIA</v>
          </cell>
        </row>
        <row r="11068">
          <cell r="Z11068" t="str">
            <v>INCARDIA</v>
          </cell>
        </row>
        <row r="11069">
          <cell r="Z11069" t="str">
            <v>INCARDIA</v>
          </cell>
        </row>
        <row r="11070">
          <cell r="Z11070" t="str">
            <v>INCARDIA</v>
          </cell>
        </row>
        <row r="11071">
          <cell r="Z11071" t="str">
            <v>INCARDIA</v>
          </cell>
        </row>
        <row r="11072">
          <cell r="Z11072" t="str">
            <v>INCARDIA</v>
          </cell>
        </row>
        <row r="11073">
          <cell r="Z11073" t="str">
            <v>INCARDIA</v>
          </cell>
        </row>
        <row r="11074">
          <cell r="Z11074" t="str">
            <v>INCARDIA</v>
          </cell>
        </row>
        <row r="11075">
          <cell r="Z11075" t="str">
            <v>INCARDIA</v>
          </cell>
        </row>
        <row r="11076">
          <cell r="Z11076" t="str">
            <v>INCARDIA</v>
          </cell>
        </row>
        <row r="11077">
          <cell r="Z11077" t="str">
            <v>INCARDIA</v>
          </cell>
        </row>
        <row r="11078">
          <cell r="Z11078" t="str">
            <v>INCARDIA</v>
          </cell>
        </row>
        <row r="11079">
          <cell r="Z11079" t="str">
            <v>INCARDIA</v>
          </cell>
        </row>
        <row r="11080">
          <cell r="Z11080" t="str">
            <v>INCARDIA</v>
          </cell>
        </row>
        <row r="11081">
          <cell r="Z11081" t="str">
            <v>INCARDIA</v>
          </cell>
        </row>
        <row r="11082">
          <cell r="Z11082" t="str">
            <v>INCARDIA</v>
          </cell>
        </row>
        <row r="11083">
          <cell r="Z11083" t="str">
            <v>INCARDIA</v>
          </cell>
        </row>
        <row r="11084">
          <cell r="Z11084" t="str">
            <v>INCARDIA</v>
          </cell>
        </row>
        <row r="11085">
          <cell r="Z11085" t="str">
            <v>INCARDIA</v>
          </cell>
        </row>
        <row r="11086">
          <cell r="Z11086" t="str">
            <v>INCARDIA</v>
          </cell>
        </row>
        <row r="11087">
          <cell r="Z11087" t="str">
            <v>INCARDIA</v>
          </cell>
        </row>
        <row r="11088">
          <cell r="Z11088" t="str">
            <v>INCARDIA</v>
          </cell>
        </row>
        <row r="11089">
          <cell r="Z11089" t="str">
            <v>INCARDIA</v>
          </cell>
        </row>
        <row r="11090">
          <cell r="Z11090" t="str">
            <v>INCARDIA</v>
          </cell>
        </row>
        <row r="11091">
          <cell r="Z11091" t="str">
            <v>INCARDIA</v>
          </cell>
        </row>
        <row r="11092">
          <cell r="Z11092" t="str">
            <v>INCARDIA</v>
          </cell>
        </row>
        <row r="11093">
          <cell r="Z11093" t="str">
            <v>INCARDIA</v>
          </cell>
        </row>
        <row r="11094">
          <cell r="Z11094" t="str">
            <v>INCARDIA</v>
          </cell>
        </row>
        <row r="11095">
          <cell r="Z11095" t="str">
            <v>INCARDIA</v>
          </cell>
        </row>
        <row r="11096">
          <cell r="Z11096" t="str">
            <v>INCARDIA</v>
          </cell>
        </row>
        <row r="11097">
          <cell r="Z11097" t="str">
            <v>INCARDIA</v>
          </cell>
        </row>
        <row r="11098">
          <cell r="Z11098" t="str">
            <v>INCARDIA</v>
          </cell>
        </row>
        <row r="11099">
          <cell r="Z11099" t="str">
            <v>INCARDIA</v>
          </cell>
        </row>
        <row r="11100">
          <cell r="Z11100" t="str">
            <v>INCARDIA</v>
          </cell>
        </row>
        <row r="11101">
          <cell r="Z11101" t="str">
            <v>INCARDIA</v>
          </cell>
        </row>
        <row r="11102">
          <cell r="Z11102" t="str">
            <v>INCARDIA</v>
          </cell>
        </row>
        <row r="11103">
          <cell r="Z11103" t="str">
            <v>INCARDIA</v>
          </cell>
        </row>
        <row r="11104">
          <cell r="Z11104" t="str">
            <v>INCARDIA</v>
          </cell>
        </row>
        <row r="11105">
          <cell r="Z11105" t="str">
            <v>INCARDIA</v>
          </cell>
        </row>
        <row r="11106">
          <cell r="Z11106" t="str">
            <v>INCARDIA</v>
          </cell>
        </row>
        <row r="11107">
          <cell r="Z11107" t="str">
            <v>INCARDIA</v>
          </cell>
        </row>
        <row r="11108">
          <cell r="Z11108" t="str">
            <v>INCARDIA</v>
          </cell>
        </row>
        <row r="11109">
          <cell r="Z11109" t="str">
            <v>INCARDIA</v>
          </cell>
        </row>
        <row r="11110">
          <cell r="Z11110" t="str">
            <v>INCARDIA</v>
          </cell>
        </row>
        <row r="11111">
          <cell r="Z11111" t="str">
            <v>INCARDIA</v>
          </cell>
        </row>
        <row r="11112">
          <cell r="Z11112" t="str">
            <v>INCARDIA</v>
          </cell>
        </row>
        <row r="11113">
          <cell r="Z11113" t="str">
            <v>INCARDIA</v>
          </cell>
        </row>
        <row r="11114">
          <cell r="Z11114" t="str">
            <v>INCARDIA</v>
          </cell>
        </row>
        <row r="11115">
          <cell r="Z11115" t="str">
            <v>INCARDIA</v>
          </cell>
        </row>
        <row r="11116">
          <cell r="Z11116" t="str">
            <v>INCARDIA</v>
          </cell>
        </row>
        <row r="11117">
          <cell r="Z11117" t="str">
            <v>INCARDIA</v>
          </cell>
        </row>
        <row r="11118">
          <cell r="Z11118" t="str">
            <v>INCARDIA</v>
          </cell>
        </row>
        <row r="11119">
          <cell r="Z11119" t="str">
            <v>INCARDIA</v>
          </cell>
          <cell r="AA11119" t="str">
            <v>HOSPITAL SANTA JUANA</v>
          </cell>
        </row>
        <row r="11120">
          <cell r="Z11120" t="str">
            <v>INCARDIA</v>
          </cell>
        </row>
        <row r="11121">
          <cell r="Z11121" t="str">
            <v>INCARDIA</v>
          </cell>
        </row>
        <row r="11122">
          <cell r="Z11122" t="str">
            <v>INCARDIA</v>
          </cell>
        </row>
        <row r="11123">
          <cell r="Z11123" t="str">
            <v>INCARDIA</v>
          </cell>
        </row>
        <row r="11124">
          <cell r="Z11124" t="str">
            <v>INCARDIA</v>
          </cell>
        </row>
        <row r="11125">
          <cell r="Z11125" t="str">
            <v>INCARDIA</v>
          </cell>
        </row>
        <row r="11126">
          <cell r="Z11126" t="str">
            <v>INCARDIA</v>
          </cell>
        </row>
        <row r="11127">
          <cell r="Z11127" t="str">
            <v>INCARDIA</v>
          </cell>
        </row>
        <row r="11128">
          <cell r="Z11128" t="str">
            <v>INCARDIA</v>
          </cell>
          <cell r="AA11128" t="str">
            <v>HOSPITAL SANTA JUANA</v>
          </cell>
        </row>
        <row r="11129">
          <cell r="Z11129" t="str">
            <v>INCARDIA</v>
          </cell>
        </row>
        <row r="11130">
          <cell r="Z11130" t="str">
            <v>INCARDIA</v>
          </cell>
        </row>
        <row r="11131">
          <cell r="Z11131" t="str">
            <v>INCARDIA</v>
          </cell>
        </row>
        <row r="11132">
          <cell r="Z11132" t="str">
            <v>INCARDIA</v>
          </cell>
        </row>
        <row r="11133">
          <cell r="Z11133" t="str">
            <v>INCARDIA</v>
          </cell>
        </row>
        <row r="11134">
          <cell r="Z11134" t="str">
            <v>INCARDIA</v>
          </cell>
        </row>
        <row r="11135">
          <cell r="Z11135" t="str">
            <v>INCARDIA</v>
          </cell>
        </row>
        <row r="11136">
          <cell r="Z11136" t="str">
            <v>INCARDIA</v>
          </cell>
        </row>
        <row r="11137">
          <cell r="Z11137" t="str">
            <v>INCARDIA</v>
          </cell>
        </row>
        <row r="11138">
          <cell r="Z11138" t="str">
            <v>INCARDIA</v>
          </cell>
        </row>
        <row r="11139">
          <cell r="Z11139" t="str">
            <v>INCARDIA</v>
          </cell>
        </row>
        <row r="11140">
          <cell r="Z11140" t="str">
            <v>INCARDIA</v>
          </cell>
        </row>
        <row r="11141">
          <cell r="Z11141" t="str">
            <v>INCARDIA</v>
          </cell>
        </row>
        <row r="11142">
          <cell r="Z11142" t="str">
            <v>INCARDIA</v>
          </cell>
        </row>
        <row r="11143">
          <cell r="Z11143" t="str">
            <v>INCARDIA</v>
          </cell>
        </row>
        <row r="11144">
          <cell r="Z11144" t="str">
            <v>INCARDIA</v>
          </cell>
        </row>
        <row r="11145">
          <cell r="Z11145" t="str">
            <v>INCARDIA</v>
          </cell>
        </row>
        <row r="11146">
          <cell r="Z11146" t="str">
            <v>INCARDIA</v>
          </cell>
        </row>
        <row r="11147">
          <cell r="Z11147" t="str">
            <v>INCARDIA</v>
          </cell>
        </row>
        <row r="11148">
          <cell r="Z11148" t="str">
            <v>INCARDIA</v>
          </cell>
        </row>
        <row r="11149">
          <cell r="Z11149" t="str">
            <v>INCARDIA</v>
          </cell>
        </row>
        <row r="11150">
          <cell r="Z11150" t="str">
            <v>INCARDIA</v>
          </cell>
          <cell r="AA11150" t="str">
            <v>HOSPITAL SANTA JUANA</v>
          </cell>
        </row>
        <row r="11151">
          <cell r="Z11151" t="str">
            <v>INCARDIA</v>
          </cell>
        </row>
        <row r="11152">
          <cell r="Z11152" t="str">
            <v>INCARDIA</v>
          </cell>
        </row>
        <row r="11153">
          <cell r="Z11153" t="str">
            <v>INCARDIA</v>
          </cell>
        </row>
        <row r="11154">
          <cell r="Z11154" t="str">
            <v>INCARDIA</v>
          </cell>
        </row>
        <row r="11155">
          <cell r="Z11155" t="str">
            <v>INCARDIA</v>
          </cell>
        </row>
        <row r="11156">
          <cell r="Z11156" t="str">
            <v>INCARDIA</v>
          </cell>
        </row>
        <row r="11157">
          <cell r="Z11157" t="str">
            <v>INCARDIA</v>
          </cell>
        </row>
        <row r="11158">
          <cell r="Z11158" t="str">
            <v>INCARDIA</v>
          </cell>
        </row>
        <row r="11159">
          <cell r="Z11159" t="str">
            <v>INCARDIA</v>
          </cell>
        </row>
        <row r="11160">
          <cell r="Z11160" t="str">
            <v>INCARDIA</v>
          </cell>
          <cell r="AA11160" t="str">
            <v>HOSPITAL SANTA JUANA</v>
          </cell>
        </row>
        <row r="11161">
          <cell r="Z11161" t="str">
            <v>INCARDIA</v>
          </cell>
        </row>
        <row r="11162">
          <cell r="Z11162" t="str">
            <v>INCARDIA</v>
          </cell>
        </row>
        <row r="11163">
          <cell r="Z11163" t="str">
            <v>INCARDIA</v>
          </cell>
        </row>
        <row r="11164">
          <cell r="Z11164" t="str">
            <v>INCARDIA</v>
          </cell>
        </row>
        <row r="11165">
          <cell r="Z11165" t="str">
            <v>INCARDIA</v>
          </cell>
        </row>
        <row r="11166">
          <cell r="Z11166" t="str">
            <v>INCARDIA</v>
          </cell>
        </row>
        <row r="11167">
          <cell r="Z11167" t="str">
            <v>INCARDIA</v>
          </cell>
        </row>
        <row r="11168">
          <cell r="Z11168" t="str">
            <v>INCARDIA</v>
          </cell>
        </row>
        <row r="11169">
          <cell r="Z11169" t="str">
            <v>INCARDIA</v>
          </cell>
        </row>
        <row r="11170">
          <cell r="Z11170" t="str">
            <v>INCARDIA</v>
          </cell>
        </row>
        <row r="11171">
          <cell r="Z11171" t="str">
            <v>INCARDIA</v>
          </cell>
        </row>
        <row r="11172">
          <cell r="Z11172" t="str">
            <v>INCARDIA</v>
          </cell>
        </row>
        <row r="11173">
          <cell r="Z11173" t="str">
            <v>INCARDIA</v>
          </cell>
        </row>
        <row r="11174">
          <cell r="Z11174" t="str">
            <v>INCARDIA</v>
          </cell>
        </row>
        <row r="11175">
          <cell r="Z11175" t="str">
            <v>INCARDIA</v>
          </cell>
        </row>
        <row r="11176">
          <cell r="Z11176" t="str">
            <v>INCARDIA</v>
          </cell>
        </row>
        <row r="11177">
          <cell r="Z11177" t="str">
            <v>INCARDIA</v>
          </cell>
        </row>
        <row r="11178">
          <cell r="Z11178" t="str">
            <v>INCARDIA</v>
          </cell>
        </row>
        <row r="11179">
          <cell r="Z11179" t="str">
            <v>INCARDIA</v>
          </cell>
        </row>
        <row r="11180">
          <cell r="Z11180" t="str">
            <v>INCARDIA</v>
          </cell>
        </row>
        <row r="11181">
          <cell r="Z11181" t="str">
            <v>INCARDIA</v>
          </cell>
        </row>
        <row r="11182">
          <cell r="Z11182" t="str">
            <v>INCARDIA</v>
          </cell>
        </row>
        <row r="11183">
          <cell r="Z11183" t="str">
            <v>INCARDIA</v>
          </cell>
        </row>
        <row r="11184">
          <cell r="Z11184" t="str">
            <v>INCARDIA</v>
          </cell>
          <cell r="AA11184" t="str">
            <v>HOSPITAL SANTA JUANA</v>
          </cell>
        </row>
        <row r="11185">
          <cell r="Z11185" t="str">
            <v>INCARDIA</v>
          </cell>
        </row>
        <row r="11186">
          <cell r="Z11186" t="str">
            <v>INCARDIA</v>
          </cell>
          <cell r="AA11186" t="str">
            <v>HOSPITAL SANTA JUANA</v>
          </cell>
        </row>
        <row r="11187">
          <cell r="Z11187" t="str">
            <v>INCARDIA</v>
          </cell>
        </row>
        <row r="11188">
          <cell r="Z11188" t="str">
            <v>INCARDIA</v>
          </cell>
        </row>
        <row r="11189">
          <cell r="Z11189" t="str">
            <v>INCARDIA</v>
          </cell>
        </row>
        <row r="11190">
          <cell r="Z11190" t="str">
            <v>INCARDIA</v>
          </cell>
        </row>
        <row r="11191">
          <cell r="Z11191" t="str">
            <v>INCARDIA</v>
          </cell>
        </row>
        <row r="11192">
          <cell r="Z11192" t="str">
            <v>INCARDIA</v>
          </cell>
        </row>
        <row r="11193">
          <cell r="Z11193" t="str">
            <v>INCARDIA</v>
          </cell>
        </row>
        <row r="11194">
          <cell r="Z11194" t="str">
            <v>INCARDIA</v>
          </cell>
        </row>
        <row r="11195">
          <cell r="Z11195" t="str">
            <v>INCARDIA</v>
          </cell>
        </row>
        <row r="11196">
          <cell r="Z11196" t="str">
            <v>INCARDIA</v>
          </cell>
        </row>
        <row r="11197">
          <cell r="Z11197" t="str">
            <v>INCARDIA</v>
          </cell>
        </row>
        <row r="11198">
          <cell r="Z11198" t="str">
            <v>INCARDIA</v>
          </cell>
        </row>
        <row r="11199">
          <cell r="Z11199" t="str">
            <v>INCARDIA</v>
          </cell>
        </row>
        <row r="11200">
          <cell r="Z11200" t="str">
            <v>INCARDIA</v>
          </cell>
        </row>
        <row r="11201">
          <cell r="Z11201" t="str">
            <v>INCARDIA</v>
          </cell>
        </row>
        <row r="11202">
          <cell r="Z11202" t="str">
            <v>INCARDIA</v>
          </cell>
        </row>
        <row r="11203">
          <cell r="Z11203" t="str">
            <v>INCARDIA</v>
          </cell>
        </row>
        <row r="11204">
          <cell r="Z11204" t="str">
            <v>INCARDIA</v>
          </cell>
        </row>
        <row r="11205">
          <cell r="Z11205" t="str">
            <v>INCARDIA</v>
          </cell>
        </row>
        <row r="11206">
          <cell r="Z11206" t="str">
            <v>INCARDIA</v>
          </cell>
        </row>
        <row r="11207">
          <cell r="Z11207" t="str">
            <v>INCARDIA</v>
          </cell>
        </row>
        <row r="11208">
          <cell r="Z11208" t="str">
            <v>INCARDIA</v>
          </cell>
        </row>
        <row r="11209">
          <cell r="Z11209" t="str">
            <v>INCARDIA</v>
          </cell>
        </row>
        <row r="11210">
          <cell r="Z11210" t="str">
            <v>INCARDIA</v>
          </cell>
        </row>
        <row r="11211">
          <cell r="Z11211" t="str">
            <v>INCARDIA</v>
          </cell>
        </row>
        <row r="11212">
          <cell r="Z11212" t="str">
            <v>INCARDIA</v>
          </cell>
          <cell r="AA11212" t="str">
            <v>HOSPITAL SANTA JUANA</v>
          </cell>
        </row>
        <row r="11213">
          <cell r="Z11213" t="str">
            <v>INCARDIA</v>
          </cell>
          <cell r="AA11213" t="str">
            <v>INSTITUTO NACIONAL DE GERIATRIA</v>
          </cell>
        </row>
        <row r="11214">
          <cell r="Z11214" t="str">
            <v>INCARDIA</v>
          </cell>
          <cell r="AA11214" t="str">
            <v>INSTITUTO NACIONAL DE GERIATRIA</v>
          </cell>
        </row>
        <row r="11215">
          <cell r="Z11215" t="str">
            <v>INCARDIA</v>
          </cell>
          <cell r="AA11215" t="str">
            <v>INSTITUTO NACIONAL DE GERIATRIA</v>
          </cell>
        </row>
        <row r="11216">
          <cell r="Z11216" t="str">
            <v>INCARDIA</v>
          </cell>
          <cell r="AA11216" t="str">
            <v>INSTITUTO NACIONAL DE GERIATRIA</v>
          </cell>
        </row>
        <row r="11217">
          <cell r="Z11217" t="str">
            <v>INCARDIA</v>
          </cell>
          <cell r="AA11217" t="str">
            <v>INSTITUTO NACIONAL DE GERIATRIA</v>
          </cell>
        </row>
        <row r="11218">
          <cell r="Z11218" t="str">
            <v>INCARDIA</v>
          </cell>
          <cell r="AA11218" t="str">
            <v>INSTITUTO NACIONAL DE GERIATRIA</v>
          </cell>
        </row>
        <row r="11219">
          <cell r="Z11219" t="str">
            <v>INCARDIA</v>
          </cell>
          <cell r="AA11219" t="str">
            <v>INSTITUTO NACIONAL DE GERIATRIA</v>
          </cell>
        </row>
        <row r="11220">
          <cell r="Z11220" t="str">
            <v>INCARDIA</v>
          </cell>
          <cell r="AA11220" t="str">
            <v>INSTITUTO NACIONAL DE GERIATRIA</v>
          </cell>
        </row>
        <row r="11221">
          <cell r="Z11221" t="str">
            <v>INCARDIA</v>
          </cell>
          <cell r="AA11221" t="str">
            <v>INSTITUTO NACIONAL DE GERIATRIA</v>
          </cell>
        </row>
        <row r="11222">
          <cell r="Z11222" t="str">
            <v>INCARDIA</v>
          </cell>
          <cell r="AA11222" t="str">
            <v>INSTITUTO NACIONAL DE GERIATRIA</v>
          </cell>
        </row>
        <row r="11223">
          <cell r="Z11223" t="str">
            <v>INCARDIA</v>
          </cell>
          <cell r="AA11223" t="str">
            <v>INSTITUTO NACIONAL DE GERIATRIA</v>
          </cell>
        </row>
        <row r="11224">
          <cell r="Z11224" t="str">
            <v>INCARDIA</v>
          </cell>
          <cell r="AA11224" t="str">
            <v>INSTITUTO NACIONAL DE GERIATRIA</v>
          </cell>
        </row>
        <row r="11225">
          <cell r="Z11225" t="str">
            <v>INCARDIA</v>
          </cell>
          <cell r="AA11225" t="str">
            <v>INSTITUTO NACIONAL DE GERIATRIA</v>
          </cell>
        </row>
        <row r="11226">
          <cell r="Z11226" t="str">
            <v>INCARDIA</v>
          </cell>
          <cell r="AA11226" t="str">
            <v>INSTITUTO NACIONAL DE GERIATRIA</v>
          </cell>
        </row>
        <row r="11227">
          <cell r="Z11227" t="str">
            <v>INCARDIA</v>
          </cell>
          <cell r="AA11227" t="str">
            <v>INSTITUTO NACIONAL DE GERIATRIA</v>
          </cell>
        </row>
        <row r="11228">
          <cell r="Z11228" t="str">
            <v>INCARDIA</v>
          </cell>
        </row>
        <row r="11229">
          <cell r="Z11229" t="str">
            <v>INCARDIA</v>
          </cell>
        </row>
        <row r="11230">
          <cell r="Z11230" t="str">
            <v>INCARDIA</v>
          </cell>
        </row>
        <row r="11231">
          <cell r="Z11231" t="str">
            <v>INCARDIA</v>
          </cell>
        </row>
        <row r="11232">
          <cell r="Z11232" t="str">
            <v>INCARDIA</v>
          </cell>
        </row>
        <row r="11233">
          <cell r="Z11233" t="str">
            <v>INCARDIA</v>
          </cell>
        </row>
        <row r="11234">
          <cell r="Z11234" t="str">
            <v>INCARDIA</v>
          </cell>
        </row>
        <row r="11235">
          <cell r="Z11235" t="str">
            <v>INCARDIA</v>
          </cell>
        </row>
        <row r="11236">
          <cell r="Z11236" t="str">
            <v>INCARDIA</v>
          </cell>
        </row>
        <row r="11237">
          <cell r="Z11237" t="str">
            <v>INCARDIA</v>
          </cell>
        </row>
        <row r="11238">
          <cell r="Z11238" t="str">
            <v>INCARDIA</v>
          </cell>
        </row>
        <row r="11239">
          <cell r="Z11239" t="str">
            <v>INCARDIA</v>
          </cell>
        </row>
        <row r="11240">
          <cell r="Z11240" t="str">
            <v>INCARDIA</v>
          </cell>
        </row>
        <row r="11241">
          <cell r="Z11241" t="str">
            <v>INCARDIA</v>
          </cell>
        </row>
        <row r="11242">
          <cell r="Z11242" t="str">
            <v>INCARDIA</v>
          </cell>
        </row>
        <row r="11243">
          <cell r="Z11243" t="str">
            <v>INCARDIA</v>
          </cell>
        </row>
        <row r="11244">
          <cell r="Z11244" t="str">
            <v>INCARDIA</v>
          </cell>
        </row>
        <row r="11245">
          <cell r="Z11245" t="str">
            <v>INCARDIA</v>
          </cell>
        </row>
        <row r="11246">
          <cell r="Z11246" t="str">
            <v>INCARDIA</v>
          </cell>
        </row>
        <row r="11247">
          <cell r="Z11247" t="str">
            <v>INCARDIA</v>
          </cell>
        </row>
        <row r="11248">
          <cell r="Z11248" t="str">
            <v>INCARDIA</v>
          </cell>
        </row>
        <row r="11249">
          <cell r="Z11249" t="str">
            <v>INCARDIA</v>
          </cell>
        </row>
        <row r="11250">
          <cell r="Z11250" t="str">
            <v>INCARDIA</v>
          </cell>
        </row>
        <row r="11251">
          <cell r="Z11251" t="str">
            <v>INCARDIA</v>
          </cell>
        </row>
        <row r="11252">
          <cell r="Z11252" t="str">
            <v>INCARDIA</v>
          </cell>
        </row>
        <row r="11253">
          <cell r="Z11253" t="str">
            <v>INCARDIA</v>
          </cell>
        </row>
        <row r="11254">
          <cell r="Z11254" t="str">
            <v>INCARDIA</v>
          </cell>
        </row>
        <row r="11255">
          <cell r="Z11255" t="str">
            <v>INCARDIA</v>
          </cell>
        </row>
        <row r="11256">
          <cell r="Z11256" t="str">
            <v>INCARDIA</v>
          </cell>
        </row>
        <row r="11257">
          <cell r="Z11257" t="str">
            <v>INCARDIA</v>
          </cell>
        </row>
        <row r="11258">
          <cell r="Z11258" t="str">
            <v>INCARDIA</v>
          </cell>
        </row>
        <row r="11259">
          <cell r="Z11259" t="str">
            <v>INCARDIA</v>
          </cell>
        </row>
        <row r="11260">
          <cell r="Z11260" t="str">
            <v>INCARDIA</v>
          </cell>
        </row>
        <row r="11261">
          <cell r="Z11261" t="str">
            <v>INCARDIA</v>
          </cell>
        </row>
        <row r="11262">
          <cell r="Z11262" t="str">
            <v>INCARDIA</v>
          </cell>
        </row>
        <row r="11263">
          <cell r="Z11263" t="str">
            <v>INCARDIA</v>
          </cell>
        </row>
        <row r="11264">
          <cell r="Z11264" t="str">
            <v>INCARDIA</v>
          </cell>
        </row>
        <row r="11265">
          <cell r="Z11265" t="str">
            <v>INCARDIA</v>
          </cell>
        </row>
        <row r="11266">
          <cell r="Z11266" t="str">
            <v>INCARDIA</v>
          </cell>
        </row>
        <row r="11267">
          <cell r="Z11267" t="str">
            <v>INCARDIA</v>
          </cell>
        </row>
        <row r="11268">
          <cell r="Z11268" t="str">
            <v>INCARDIA</v>
          </cell>
        </row>
        <row r="11269">
          <cell r="Z11269" t="str">
            <v>INCARDIA</v>
          </cell>
        </row>
        <row r="11270">
          <cell r="Z11270" t="str">
            <v>INCARDIA</v>
          </cell>
        </row>
        <row r="11271">
          <cell r="Z11271" t="str">
            <v>INCARDIA</v>
          </cell>
        </row>
        <row r="11272">
          <cell r="Z11272" t="str">
            <v>INCARDIA</v>
          </cell>
        </row>
        <row r="11273">
          <cell r="Z11273" t="str">
            <v>INCARDIA</v>
          </cell>
        </row>
        <row r="11274">
          <cell r="Z11274" t="str">
            <v>INCARDIA</v>
          </cell>
        </row>
        <row r="11275">
          <cell r="Z11275" t="str">
            <v>INCARDIA</v>
          </cell>
        </row>
        <row r="11276">
          <cell r="Z11276" t="str">
            <v>INCARDIA</v>
          </cell>
        </row>
        <row r="11277">
          <cell r="Z11277" t="str">
            <v>INCARDIA</v>
          </cell>
        </row>
        <row r="11278">
          <cell r="Z11278" t="str">
            <v>INCARDIA</v>
          </cell>
        </row>
        <row r="11279">
          <cell r="Z11279" t="str">
            <v>INCARDIA</v>
          </cell>
        </row>
        <row r="11280">
          <cell r="Z11280" t="str">
            <v>INCARDIA</v>
          </cell>
        </row>
        <row r="11281">
          <cell r="Z11281" t="str">
            <v>INCARDIA</v>
          </cell>
        </row>
        <row r="11282">
          <cell r="Z11282" t="str">
            <v>INCARDIA</v>
          </cell>
        </row>
        <row r="11283">
          <cell r="Z11283" t="str">
            <v>INCARDIA</v>
          </cell>
        </row>
        <row r="11284">
          <cell r="Z11284" t="str">
            <v>INCARDIA</v>
          </cell>
        </row>
        <row r="11285">
          <cell r="Z11285" t="str">
            <v>INCARDIA</v>
          </cell>
        </row>
        <row r="11286">
          <cell r="Z11286" t="str">
            <v>INCARDIA</v>
          </cell>
        </row>
        <row r="11287">
          <cell r="Z11287" t="str">
            <v>INCARDIA</v>
          </cell>
        </row>
        <row r="11288">
          <cell r="Z11288" t="str">
            <v>INCARDIA</v>
          </cell>
        </row>
        <row r="11289">
          <cell r="Z11289" t="str">
            <v>INCARDIA</v>
          </cell>
        </row>
        <row r="11290">
          <cell r="Z11290" t="str">
            <v>INCARDIA</v>
          </cell>
        </row>
        <row r="11291">
          <cell r="Z11291" t="str">
            <v>INCARDIA</v>
          </cell>
        </row>
        <row r="11292">
          <cell r="Z11292" t="str">
            <v>INCARDIA</v>
          </cell>
        </row>
        <row r="11293">
          <cell r="Z11293" t="str">
            <v>INCARDIA</v>
          </cell>
        </row>
        <row r="11294">
          <cell r="Z11294" t="str">
            <v>INCARDIA</v>
          </cell>
        </row>
        <row r="11295">
          <cell r="Z11295" t="str">
            <v>INCARDIA</v>
          </cell>
          <cell r="AA11295" t="str">
            <v>HOSPITAL  SAN JOSE DE MAIPO</v>
          </cell>
        </row>
        <row r="11296">
          <cell r="Z11296" t="str">
            <v>INCARDIA</v>
          </cell>
          <cell r="AA11296" t="str">
            <v>HOSPITAL  SAN JOSE DE MAIPO</v>
          </cell>
        </row>
        <row r="11297">
          <cell r="Z11297" t="str">
            <v>INCARDIA</v>
          </cell>
          <cell r="AA11297" t="str">
            <v>HOSPITAL  SAN JOSE DE MAIPO</v>
          </cell>
        </row>
        <row r="11298">
          <cell r="Z11298" t="str">
            <v>INCARDIA</v>
          </cell>
          <cell r="AA11298" t="str">
            <v>HOSPITAL  SAN JOSE DE MAIPO</v>
          </cell>
        </row>
        <row r="11299">
          <cell r="Z11299" t="str">
            <v>INCARDIA</v>
          </cell>
          <cell r="AA11299" t="str">
            <v>HOSPITAL  SAN JOSE DE MAIPO</v>
          </cell>
        </row>
        <row r="11300">
          <cell r="Z11300" t="str">
            <v>INCARDIA</v>
          </cell>
          <cell r="AA11300" t="str">
            <v>HOSPITAL  SAN JOSE DE MAIPO</v>
          </cell>
        </row>
        <row r="11301">
          <cell r="Z11301" t="str">
            <v>INCARDIA</v>
          </cell>
          <cell r="AA11301" t="str">
            <v>HOSPITAL  SAN JOSE DE MAIPO</v>
          </cell>
        </row>
        <row r="11302">
          <cell r="Z11302" t="str">
            <v>INCARDIA</v>
          </cell>
          <cell r="AA11302" t="str">
            <v>GEMCO GENERAL MACHINERY S.A.</v>
          </cell>
        </row>
        <row r="11303">
          <cell r="Z11303" t="str">
            <v>OTRO</v>
          </cell>
        </row>
        <row r="11304">
          <cell r="Z11304" t="str">
            <v>ENDOSCOPÍA</v>
          </cell>
          <cell r="AA11304" t="str">
            <v>CENTRO REFERENCIAL DE SALUD DR SALVADOR ALLENDE GO</v>
          </cell>
        </row>
        <row r="11305">
          <cell r="Z11305" t="str">
            <v>DENTAL</v>
          </cell>
          <cell r="AA11305" t="str">
            <v>ODONTOESTETICA</v>
          </cell>
        </row>
        <row r="11306">
          <cell r="Z11306" t="str">
            <v>DENTAL</v>
          </cell>
        </row>
        <row r="11307">
          <cell r="Z11307" t="str">
            <v>DENTAL</v>
          </cell>
        </row>
        <row r="11308">
          <cell r="Z11308" t="str">
            <v>ENDOSCOPÍA</v>
          </cell>
          <cell r="AA11308" t="str">
            <v>HOSPITAL DE CURICO</v>
          </cell>
        </row>
        <row r="11309">
          <cell r="Z11309" t="str">
            <v>DENTAL</v>
          </cell>
        </row>
        <row r="11310">
          <cell r="Z11310" t="str">
            <v>DENTAL</v>
          </cell>
          <cell r="AA11310" t="str">
            <v>HOSPITAL BARROS LUCO TRUDEAU</v>
          </cell>
        </row>
        <row r="11311">
          <cell r="Z11311" t="str">
            <v>DENTAL</v>
          </cell>
          <cell r="AA11311" t="str">
            <v>HOSPITAL BARROS LUCO TRUDEAU</v>
          </cell>
        </row>
        <row r="11312">
          <cell r="Z11312" t="str">
            <v>DENTAL</v>
          </cell>
          <cell r="AA11312" t="str">
            <v>HOSPITAL BARROS LUCO TRUDEAU</v>
          </cell>
        </row>
        <row r="11313">
          <cell r="Z11313" t="str">
            <v>DENTAL</v>
          </cell>
          <cell r="AA11313" t="str">
            <v>HOSPITAL BARROS LUCO TRUDEAU</v>
          </cell>
        </row>
        <row r="11314">
          <cell r="Z11314" t="str">
            <v>DENTAL</v>
          </cell>
        </row>
        <row r="11315">
          <cell r="Z11315" t="str">
            <v>DENTAL</v>
          </cell>
          <cell r="AA11315" t="str">
            <v>HOSPITAL BARROS LUCO TRUDEAU</v>
          </cell>
        </row>
        <row r="11316">
          <cell r="Z11316" t="str">
            <v>DENTAL</v>
          </cell>
        </row>
        <row r="11317">
          <cell r="Z11317" t="str">
            <v>DENTAL</v>
          </cell>
          <cell r="AA11317" t="str">
            <v>HOSPITAL BARROS LUCO TRUDEAU</v>
          </cell>
        </row>
        <row r="11318">
          <cell r="Z11318" t="str">
            <v>DENTAL</v>
          </cell>
          <cell r="AA11318" t="str">
            <v>S.S VIÑA DEL MAR-QUILLOTA</v>
          </cell>
        </row>
        <row r="11319">
          <cell r="Z11319" t="str">
            <v>DENTAL</v>
          </cell>
          <cell r="AA11319" t="str">
            <v>HOSPITAL BARROS LUCO TRUDEAU</v>
          </cell>
        </row>
        <row r="11320">
          <cell r="Z11320" t="str">
            <v>DENTAL</v>
          </cell>
        </row>
        <row r="11321">
          <cell r="Z11321" t="str">
            <v>DENTAL</v>
          </cell>
        </row>
        <row r="11322">
          <cell r="Z11322" t="str">
            <v>DENTAL</v>
          </cell>
          <cell r="AA11322" t="str">
            <v>HOSPITAL LITUECHE</v>
          </cell>
        </row>
        <row r="11323">
          <cell r="Z11323" t="str">
            <v>DENTAL</v>
          </cell>
          <cell r="AA11323" t="str">
            <v>HOSPITAL LITUECHE</v>
          </cell>
        </row>
        <row r="11324">
          <cell r="Z11324" t="str">
            <v>DENTAL</v>
          </cell>
        </row>
        <row r="11325">
          <cell r="Z11325" t="str">
            <v>ESTERILIZACIÓN</v>
          </cell>
          <cell r="AA11325" t="str">
            <v>CESFAM NAVIDAD</v>
          </cell>
        </row>
        <row r="11326">
          <cell r="Z11326" t="str">
            <v>ESTERILIZACIÓN</v>
          </cell>
          <cell r="AA11326" t="str">
            <v>HOSPITAL COLLIPULLI</v>
          </cell>
        </row>
        <row r="11327">
          <cell r="Z11327" t="str">
            <v>ESTERILIZACIÓN</v>
          </cell>
          <cell r="AA11327" t="str">
            <v>EJERCITO DE CHILE CENTRAL ODONTOLOGICA D</v>
          </cell>
        </row>
        <row r="11328">
          <cell r="Z11328" t="str">
            <v>ESTERILIZACIÓN</v>
          </cell>
          <cell r="AA11328" t="str">
            <v>HOSPITAL COLLIPULLI</v>
          </cell>
        </row>
        <row r="11329">
          <cell r="Z11329" t="str">
            <v>ESTERILIZACIÓN</v>
          </cell>
        </row>
        <row r="11330">
          <cell r="Z11330" t="str">
            <v>ESTERILIZACIÓN</v>
          </cell>
        </row>
        <row r="11331">
          <cell r="Z11331" t="str">
            <v>ESTERILIZACIÓN</v>
          </cell>
          <cell r="AA11331" t="str">
            <v xml:space="preserve">CESFAM CONSTITUCIÓN </v>
          </cell>
        </row>
        <row r="11332">
          <cell r="Z11332" t="str">
            <v>ESTERILIZACIÓN</v>
          </cell>
          <cell r="AA11332" t="str">
            <v>HOSPITAL COLLIPULLI</v>
          </cell>
        </row>
        <row r="11333">
          <cell r="Z11333" t="str">
            <v>ESTERILIZACIÓN</v>
          </cell>
          <cell r="AA11333" t="str">
            <v>HOSPITAL DE PUERTO OCTAY</v>
          </cell>
        </row>
        <row r="11334">
          <cell r="Z11334" t="str">
            <v>ESTERILIZACIÓN</v>
          </cell>
          <cell r="AA11334" t="str">
            <v>UNIVERSIDAD DE VALPARAISO</v>
          </cell>
        </row>
        <row r="11335">
          <cell r="Z11335" t="str">
            <v>ESTERILIZACIÓN</v>
          </cell>
          <cell r="AA11335" t="str">
            <v>CESFAM LOS CERROS</v>
          </cell>
        </row>
        <row r="11336">
          <cell r="Z11336" t="str">
            <v>ESTERILIZACIÓN</v>
          </cell>
        </row>
        <row r="11337">
          <cell r="Z11337" t="str">
            <v>ESTERILIZACIÓN</v>
          </cell>
          <cell r="AA11337" t="str">
            <v>SOCIEDAD CMA-COSTANERA S.A.</v>
          </cell>
        </row>
        <row r="11338">
          <cell r="Z11338" t="str">
            <v>ESTERILIZACIÓN</v>
          </cell>
        </row>
        <row r="11339">
          <cell r="Z11339" t="str">
            <v>ESTERILIZACIÓN</v>
          </cell>
          <cell r="AA11339" t="str">
            <v>HOSPITAL FUTALEUFU</v>
          </cell>
        </row>
        <row r="11340">
          <cell r="Z11340" t="str">
            <v>ESTERILIZACIÓN</v>
          </cell>
          <cell r="AA11340" t="str">
            <v>DIPRECA FONDO HOSPITAL</v>
          </cell>
        </row>
        <row r="11341">
          <cell r="Z11341" t="str">
            <v>ESTERILIZACIÓN</v>
          </cell>
          <cell r="AA11341" t="str">
            <v>UNIVERSIDAD DE CHILE</v>
          </cell>
        </row>
        <row r="11342">
          <cell r="Z11342" t="str">
            <v>ESTERILIZACIÓN</v>
          </cell>
          <cell r="AA11342" t="str">
            <v>HOSPITAL DE QUELLON</v>
          </cell>
        </row>
        <row r="11343">
          <cell r="Z11343" t="str">
            <v>ESTERILIZACIÓN</v>
          </cell>
          <cell r="AA11343" t="str">
            <v>JOHNSON &amp; JOHNSON DE CHILE S.A.</v>
          </cell>
        </row>
        <row r="11344">
          <cell r="Z11344" t="str">
            <v>ESTERILIZACIÓN</v>
          </cell>
          <cell r="AA11344" t="str">
            <v>UNIVERSIDAD DE VALPARAISO</v>
          </cell>
        </row>
        <row r="11345">
          <cell r="Z11345" t="str">
            <v>ESTERILIZACIÓN</v>
          </cell>
          <cell r="AA11345" t="str">
            <v>UNIVERSIDAD DE VALPARAISO</v>
          </cell>
        </row>
        <row r="11346">
          <cell r="Z11346" t="str">
            <v>ESTERILIZACIÓN</v>
          </cell>
          <cell r="AA11346" t="str">
            <v>HOSPITAL VICTORIA</v>
          </cell>
        </row>
        <row r="11347">
          <cell r="Z11347" t="str">
            <v>ESTERILIZACIÓN</v>
          </cell>
          <cell r="AA11347" t="str">
            <v>UNIVERSIDAD DE LA FRONTERA</v>
          </cell>
        </row>
        <row r="11348">
          <cell r="Z11348" t="str">
            <v>ESTERILIZACIÓN</v>
          </cell>
          <cell r="AA11348" t="str">
            <v>CESFAM MIRAFLORES</v>
          </cell>
        </row>
        <row r="11349">
          <cell r="Z11349" t="str">
            <v>ESTERILIZACIÓN</v>
          </cell>
          <cell r="AA11349" t="str">
            <v>HOSPITAL DE CARAHUE</v>
          </cell>
        </row>
        <row r="11350">
          <cell r="Z11350" t="str">
            <v>ESTERILIZACIÓN</v>
          </cell>
          <cell r="AA11350" t="str">
            <v>HOSPITAL DE CARAHUE</v>
          </cell>
        </row>
        <row r="11351">
          <cell r="Z11351" t="str">
            <v>ESTERILIZACIÓN</v>
          </cell>
        </row>
        <row r="11352">
          <cell r="Z11352" t="str">
            <v>ESTERILIZACIÓN</v>
          </cell>
          <cell r="AA11352" t="str">
            <v>HOSPITAL COMPLEJO ASISTENCIAL PADRE LAS CASAS</v>
          </cell>
        </row>
        <row r="11353">
          <cell r="Z11353" t="str">
            <v>ESTERILIZACIÓN</v>
          </cell>
          <cell r="AA11353" t="str">
            <v>CESFAM ALERCE</v>
          </cell>
        </row>
        <row r="11354">
          <cell r="Z11354" t="str">
            <v>ESTERILIZACIÓN</v>
          </cell>
          <cell r="AA11354" t="str">
            <v>INSUMOS Y SERVICIOS MEDICOS S.A.</v>
          </cell>
        </row>
        <row r="11355">
          <cell r="Z11355" t="str">
            <v>ESTERILIZACIÓN</v>
          </cell>
          <cell r="AA11355" t="str">
            <v>INSUMOS Y SERVICIOS MEDICOS S.A.</v>
          </cell>
        </row>
        <row r="11356">
          <cell r="Z11356" t="str">
            <v>ESTERILIZACIÓN</v>
          </cell>
        </row>
        <row r="11357">
          <cell r="Z11357" t="str">
            <v>ESTERILIZACIÓN</v>
          </cell>
          <cell r="AA11357" t="str">
            <v>INSUMOS Y SERVICIOS MEDICOS S.A.</v>
          </cell>
        </row>
        <row r="11358">
          <cell r="Z11358" t="str">
            <v>ESTERILIZACIÓN</v>
          </cell>
          <cell r="AA11358" t="str">
            <v>CE LOS TILOS</v>
          </cell>
        </row>
        <row r="11359">
          <cell r="Z11359" t="str">
            <v>ESTERILIZACIÓN</v>
          </cell>
          <cell r="AA11359" t="str">
            <v>CESFAM LOS CERROS</v>
          </cell>
        </row>
        <row r="11360">
          <cell r="Z11360" t="str">
            <v>ESTERILIZACIÓN</v>
          </cell>
          <cell r="AA11360" t="str">
            <v>INSUMOS Y SERVICIOS MEDICOS S.A.</v>
          </cell>
        </row>
        <row r="11361">
          <cell r="Z11361" t="str">
            <v>ESTERILIZACIÓN</v>
          </cell>
          <cell r="AA11361" t="str">
            <v>INSUMOS Y SERVICIOS MEDICOS S.A.</v>
          </cell>
        </row>
        <row r="11362">
          <cell r="Z11362" t="str">
            <v>ESTERILIZACIÓN</v>
          </cell>
          <cell r="AA11362" t="str">
            <v>INSUMOS Y SERVICIOS MEDICOS S.A.</v>
          </cell>
        </row>
        <row r="11363">
          <cell r="Z11363" t="str">
            <v>ESTERILIZACIÓN</v>
          </cell>
        </row>
        <row r="11364">
          <cell r="Z11364" t="str">
            <v>ESTERILIZACIÓN</v>
          </cell>
          <cell r="AA11364" t="str">
            <v>CESFAM VICTOR CASTRO</v>
          </cell>
        </row>
        <row r="11365">
          <cell r="Z11365" t="str">
            <v>ESTERILIZACIÓN</v>
          </cell>
        </row>
        <row r="11366">
          <cell r="Z11366" t="str">
            <v>ESTERILIZACIÓN</v>
          </cell>
        </row>
        <row r="11367">
          <cell r="Z11367" t="str">
            <v>ESTERILIZACIÓN</v>
          </cell>
        </row>
        <row r="11368">
          <cell r="Z11368" t="str">
            <v>ESTERILIZACIÓN</v>
          </cell>
          <cell r="AA11368" t="str">
            <v>CESFAM MARTA UGARTE QUILICURA</v>
          </cell>
        </row>
        <row r="11369">
          <cell r="Z11369" t="str">
            <v>DENTAL</v>
          </cell>
          <cell r="AA11369" t="str">
            <v>HOSPITAL CARLOS VAN BUREN</v>
          </cell>
        </row>
        <row r="11370">
          <cell r="Z11370" t="str">
            <v>DENTAL</v>
          </cell>
          <cell r="AA11370" t="str">
            <v>HOSPITAL DE ANGOL</v>
          </cell>
        </row>
        <row r="11371">
          <cell r="Z11371" t="str">
            <v>DENTAL</v>
          </cell>
          <cell r="AA11371" t="str">
            <v>S. SALUD METROPOLITANO SUR ORIENTE</v>
          </cell>
        </row>
        <row r="11372">
          <cell r="Z11372" t="str">
            <v>DENTAL</v>
          </cell>
          <cell r="AA11372" t="str">
            <v>FUNDACION JOSEFINA MARTINEZ DE FERRARI</v>
          </cell>
        </row>
        <row r="11373">
          <cell r="Z11373" t="str">
            <v>DENTAL</v>
          </cell>
        </row>
        <row r="11374">
          <cell r="Z11374" t="str">
            <v>DENTAL</v>
          </cell>
          <cell r="AA11374" t="str">
            <v>HOSPITAL LUIS CALVO MACKENNA</v>
          </cell>
        </row>
        <row r="11375">
          <cell r="Z11375" t="str">
            <v>ESTERILIZACIÓN</v>
          </cell>
          <cell r="AA11375" t="str">
            <v>HOSPITAL DE CURANILAHUE DR. RAFAEL AVARIA</v>
          </cell>
        </row>
        <row r="11376">
          <cell r="Z11376" t="str">
            <v>ESTERILIZACIÓN</v>
          </cell>
          <cell r="AA11376" t="str">
            <v>HOSPITAL SAN LUIS BUIN</v>
          </cell>
        </row>
        <row r="11377">
          <cell r="Z11377" t="str">
            <v>ESTERILIZACIÓN</v>
          </cell>
        </row>
        <row r="11378">
          <cell r="Z11378" t="str">
            <v>ESTERILIZACIÓN</v>
          </cell>
          <cell r="AA11378" t="str">
            <v>CESFAM MIRAFLORES</v>
          </cell>
        </row>
        <row r="11379">
          <cell r="Z11379" t="str">
            <v>ESTERILIZACIÓN</v>
          </cell>
          <cell r="AA11379" t="str">
            <v>HOSPITAL DE FRUTILLAR</v>
          </cell>
        </row>
        <row r="11380">
          <cell r="Z11380" t="str">
            <v>ESTERILIZACIÓN</v>
          </cell>
          <cell r="AA11380" t="str">
            <v>HOSPITAL DR. LUIS TISNE B.</v>
          </cell>
        </row>
        <row r="11381">
          <cell r="Z11381" t="str">
            <v>ESTERILIZACIÓN</v>
          </cell>
          <cell r="AA11381" t="str">
            <v>SOCIEDAD CONCESIONARIA METROPOLITANA DE SALUD S.A.</v>
          </cell>
        </row>
        <row r="11382">
          <cell r="Z11382" t="str">
            <v>ESTERILIZACIÓN</v>
          </cell>
          <cell r="AA11382" t="str">
            <v>HOSPITAL DE OVALLE</v>
          </cell>
        </row>
        <row r="11383">
          <cell r="Z11383" t="str">
            <v>ESTERILIZACIÓN</v>
          </cell>
          <cell r="AA11383" t="str">
            <v>HOSPITAL  PITRUFQUEN</v>
          </cell>
        </row>
        <row r="11384">
          <cell r="Z11384" t="str">
            <v>ESTERILIZACIÓN</v>
          </cell>
          <cell r="AA11384" t="str">
            <v>CENTRO CLINICO MILITAR ARICA</v>
          </cell>
        </row>
        <row r="11385">
          <cell r="Z11385" t="str">
            <v>ESTERILIZACIÓN</v>
          </cell>
          <cell r="AA11385" t="str">
            <v>CESFAM BETTY MUÑOZ</v>
          </cell>
        </row>
        <row r="11386">
          <cell r="Z11386" t="str">
            <v>ESTERILIZACIÓN</v>
          </cell>
          <cell r="AA11386" t="str">
            <v>UNIVERSIDAD FINIS TERRAE</v>
          </cell>
        </row>
        <row r="11387">
          <cell r="Z11387" t="str">
            <v>ESTERILIZACIÓN</v>
          </cell>
          <cell r="AA11387" t="str">
            <v>UNIVERSIDAD DEL DESARROLLO CONCEPCION</v>
          </cell>
        </row>
        <row r="11388">
          <cell r="Z11388" t="str">
            <v>ESTERILIZACIÓN</v>
          </cell>
        </row>
        <row r="11389">
          <cell r="Z11389" t="str">
            <v>ESTERILIZACIÓN</v>
          </cell>
        </row>
        <row r="11390">
          <cell r="Z11390" t="str">
            <v>ESTERILIZACIÓN</v>
          </cell>
        </row>
        <row r="11391">
          <cell r="Z11391" t="str">
            <v>ESTERILIZACIÓN</v>
          </cell>
          <cell r="AA11391" t="str">
            <v>HOSPITAL DE QUILLOTA</v>
          </cell>
        </row>
        <row r="11392">
          <cell r="Z11392" t="str">
            <v>ESTERILIZACIÓN</v>
          </cell>
          <cell r="AA11392" t="str">
            <v>CESFAM SAN VICENTE TALCAHUANO</v>
          </cell>
        </row>
        <row r="11393">
          <cell r="Z11393" t="str">
            <v>ESTERILIZACIÓN</v>
          </cell>
          <cell r="AA11393" t="str">
            <v>HOSPITAL DE PARRAL</v>
          </cell>
        </row>
        <row r="11394">
          <cell r="Z11394" t="str">
            <v>ESTERILIZACIÓN</v>
          </cell>
          <cell r="AA11394" t="str">
            <v>HOSPITAL EDUARDO PEREIRA</v>
          </cell>
        </row>
        <row r="11395">
          <cell r="Z11395" t="str">
            <v>ESTERILIZACIÓN</v>
          </cell>
          <cell r="AA11395" t="str">
            <v>HOSPITAL NAVAL ALMIRANTE ADRIAZOLA</v>
          </cell>
        </row>
        <row r="11396">
          <cell r="Z11396" t="str">
            <v>ESTERILIZACIÓN</v>
          </cell>
          <cell r="AA11396" t="str">
            <v>HOSPITAL DE IQUIQUE</v>
          </cell>
        </row>
        <row r="11397">
          <cell r="Z11397" t="str">
            <v>ESTERILIZACIÓN</v>
          </cell>
          <cell r="AA11397" t="str">
            <v>HOSPITAL LA SERENA</v>
          </cell>
        </row>
        <row r="11398">
          <cell r="Z11398" t="str">
            <v>ESTERILIZACIÓN</v>
          </cell>
          <cell r="AA11398" t="str">
            <v>HOSPITAL LA SERENA</v>
          </cell>
        </row>
        <row r="11399">
          <cell r="Z11399" t="str">
            <v>ESTERILIZACIÓN</v>
          </cell>
          <cell r="AA11399" t="str">
            <v>HOSPITAL LA SERENA</v>
          </cell>
        </row>
        <row r="11400">
          <cell r="Z11400" t="str">
            <v>ESTERILIZACIÓN</v>
          </cell>
        </row>
        <row r="11401">
          <cell r="Z11401" t="str">
            <v>ESTERILIZACIÓN</v>
          </cell>
          <cell r="AA11401" t="str">
            <v>CLINICA SANATORIO ALEMAN</v>
          </cell>
        </row>
        <row r="11402">
          <cell r="Z11402" t="str">
            <v>ESTERILIZACIÓN</v>
          </cell>
        </row>
        <row r="11403">
          <cell r="Z11403" t="str">
            <v>ESTERILIZACIÓN</v>
          </cell>
          <cell r="AA11403" t="str">
            <v>HOSPITAL DE SALAMANCA</v>
          </cell>
        </row>
        <row r="11404">
          <cell r="Z11404" t="str">
            <v>ESTERILIZACIÓN</v>
          </cell>
          <cell r="AA11404" t="str">
            <v>HOSPITAL NAVAL ALMIRANTE ADRIAZOLA</v>
          </cell>
        </row>
        <row r="11405">
          <cell r="Z11405" t="str">
            <v>ESTERILIZACIÓN</v>
          </cell>
          <cell r="AA11405" t="str">
            <v>CLINICA HOGAR BUENA SALUD S.P.A</v>
          </cell>
        </row>
        <row r="11406">
          <cell r="Z11406" t="str">
            <v>ESTERILIZACIÓN</v>
          </cell>
          <cell r="AA11406" t="str">
            <v>HOSPITAL CARLOS VAN BUREN</v>
          </cell>
        </row>
        <row r="11407">
          <cell r="Z11407" t="str">
            <v>ESTERILIZACIÓN</v>
          </cell>
          <cell r="AA11407" t="str">
            <v>HOSPITAL VICTORIA</v>
          </cell>
        </row>
        <row r="11408">
          <cell r="Z11408" t="str">
            <v>ESTERILIZACIÓN</v>
          </cell>
          <cell r="AA11408" t="str">
            <v>HOSPITAL DE CASTRO</v>
          </cell>
        </row>
        <row r="11409">
          <cell r="Z11409" t="str">
            <v>ESTERILIZACIÓN</v>
          </cell>
          <cell r="AA11409" t="str">
            <v>CONSULTORIO NORTE</v>
          </cell>
        </row>
        <row r="11410">
          <cell r="Z11410" t="str">
            <v>ESTERILIZACIÓN</v>
          </cell>
          <cell r="AA11410" t="str">
            <v>CLINICA SANATORIO ALEMAN</v>
          </cell>
        </row>
        <row r="11411">
          <cell r="Z11411" t="str">
            <v>ESTERILIZACIÓN</v>
          </cell>
          <cell r="AA11411" t="str">
            <v>HOSPITAL DE URGENCIA ASISTENCIA PUBLICA DR. ALEJ</v>
          </cell>
        </row>
        <row r="11412">
          <cell r="Z11412" t="str">
            <v>ESTERILIZACIÓN</v>
          </cell>
          <cell r="AA11412" t="str">
            <v>HOSPITAL CLINICO DE LA FUERZA AEREA FACH GRAL DR RAUL YAZIGI JAUREGUI</v>
          </cell>
        </row>
        <row r="11413">
          <cell r="Z11413" t="str">
            <v>ESTERILIZACIÓN</v>
          </cell>
          <cell r="AA11413" t="str">
            <v>HOSPITAL CLINICO SAN BORJA-ARRIARAN</v>
          </cell>
        </row>
        <row r="11414">
          <cell r="Z11414" t="str">
            <v>ESTERILIZACIÓN</v>
          </cell>
          <cell r="AA11414" t="str">
            <v>HOSPITAL SAN JOSÉ</v>
          </cell>
        </row>
        <row r="11415">
          <cell r="Z11415" t="str">
            <v>ESTERILIZACIÓN</v>
          </cell>
        </row>
        <row r="11416">
          <cell r="Z11416" t="str">
            <v>ESTERILIZACIÓN</v>
          </cell>
          <cell r="AA11416" t="str">
            <v>CESFAM ARRAU MENDEZ PARRAL</v>
          </cell>
        </row>
        <row r="11417">
          <cell r="Z11417" t="str">
            <v>ESTERILIZACIÓN</v>
          </cell>
          <cell r="AA11417" t="str">
            <v>CESFAM YERBAS BUENAS</v>
          </cell>
        </row>
        <row r="11418">
          <cell r="Z11418" t="str">
            <v>ESTERILIZACIÓN</v>
          </cell>
        </row>
        <row r="11419">
          <cell r="Z11419" t="str">
            <v>ESTERILIZACIÓN</v>
          </cell>
          <cell r="AA11419" t="str">
            <v>CESFAM EL SAUCE COQUIMBO</v>
          </cell>
        </row>
        <row r="11420">
          <cell r="Z11420" t="str">
            <v>ESTERILIZACIÓN</v>
          </cell>
          <cell r="AA11420" t="str">
            <v>HOSPITAL LA LIGUA</v>
          </cell>
        </row>
        <row r="11421">
          <cell r="Z11421" t="str">
            <v>ESTERILIZACIÓN</v>
          </cell>
          <cell r="AA11421" t="str">
            <v>I MUNICIPALIDAD DE VICUÑA</v>
          </cell>
        </row>
        <row r="11422">
          <cell r="Z11422" t="str">
            <v>ESTERILIZACIÓN</v>
          </cell>
          <cell r="AA11422" t="str">
            <v>HOSPITAL DE PURRANQUE</v>
          </cell>
        </row>
        <row r="11423">
          <cell r="Z11423" t="str">
            <v>ESTERILIZACIÓN</v>
          </cell>
          <cell r="AA11423" t="str">
            <v>SERV DE SALUD BÍO BÍO - HOSPITAL DE HUEPIL</v>
          </cell>
        </row>
        <row r="11424">
          <cell r="Z11424" t="str">
            <v>ESTERILIZACIÓN</v>
          </cell>
          <cell r="AA11424" t="str">
            <v>HOSPITAL DE SANTA BARBARA</v>
          </cell>
        </row>
        <row r="11425">
          <cell r="Z11425" t="str">
            <v>ESTERILIZACIÓN</v>
          </cell>
          <cell r="AA11425" t="str">
            <v>HOSPITAL DE YUMBEL</v>
          </cell>
        </row>
        <row r="11426">
          <cell r="Z11426" t="str">
            <v>ESTERILIZACIÓN</v>
          </cell>
          <cell r="AA11426" t="str">
            <v>HOSPITAL NACIMIENTO</v>
          </cell>
        </row>
        <row r="11427">
          <cell r="Z11427" t="str">
            <v>ESTERILIZACIÓN</v>
          </cell>
          <cell r="AA11427" t="str">
            <v>CESFAM RENGO</v>
          </cell>
        </row>
        <row r="11428">
          <cell r="Z11428" t="str">
            <v>ESTERILIZACIÓN</v>
          </cell>
        </row>
        <row r="11429">
          <cell r="Z11429" t="str">
            <v>ESTERILIZACIÓN</v>
          </cell>
          <cell r="AA11429" t="str">
            <v>ILUSTRE MUNICIPALIDAD DE LOS ALAMOS - DEPTO. SALUD</v>
          </cell>
        </row>
        <row r="11430">
          <cell r="Z11430" t="str">
            <v>ESTERILIZACIÓN</v>
          </cell>
          <cell r="AA11430" t="str">
            <v>SERVICIO DE SALUD OSORNO</v>
          </cell>
        </row>
        <row r="11431">
          <cell r="Z11431" t="str">
            <v>ESTERILIZACIÓN</v>
          </cell>
          <cell r="AA11431" t="str">
            <v>HOSPITAL DE PURRANQUE</v>
          </cell>
        </row>
        <row r="11432">
          <cell r="Z11432" t="str">
            <v>ESTERILIZACIÓN</v>
          </cell>
        </row>
        <row r="11433">
          <cell r="Z11433" t="str">
            <v>ESTERILIZACIÓN</v>
          </cell>
          <cell r="AA11433" t="str">
            <v>HOSPITAL DE TRAIGUEN</v>
          </cell>
        </row>
        <row r="11434">
          <cell r="Z11434" t="str">
            <v>ESTERILIZACIÓN</v>
          </cell>
          <cell r="AA11434" t="str">
            <v>HOSPITAL CLINICO DE LA FUERZA AEREA FACH GRAL DR RAUL YAZIGI JAUREGUI</v>
          </cell>
        </row>
        <row r="11435">
          <cell r="Z11435" t="str">
            <v>ESTERILIZACIÓN</v>
          </cell>
          <cell r="AA11435" t="str">
            <v>HOSPITAL SAN JOSÉ</v>
          </cell>
        </row>
        <row r="11436">
          <cell r="Z11436" t="str">
            <v>ESTERILIZACIÓN</v>
          </cell>
          <cell r="AA11436" t="str">
            <v>HOSPITAL DE PUERTO OCTAY</v>
          </cell>
        </row>
        <row r="11437">
          <cell r="Z11437" t="str">
            <v>ESTERILIZACIÓN</v>
          </cell>
          <cell r="AA11437" t="str">
            <v>HOSPITAL DE PUERTO OCTAY</v>
          </cell>
        </row>
        <row r="11438">
          <cell r="Z11438" t="str">
            <v>ESTERILIZACIÓN</v>
          </cell>
          <cell r="AA11438" t="str">
            <v>HOSPITAL DE PUERTO OCTAY</v>
          </cell>
        </row>
        <row r="11439">
          <cell r="Z11439" t="str">
            <v>ENDOSCOPÍA</v>
          </cell>
          <cell r="AA11439" t="str">
            <v>HOSPITAL DE PUERTO MONTT</v>
          </cell>
        </row>
        <row r="11440">
          <cell r="Z11440" t="str">
            <v>ENDOSCOPÍA</v>
          </cell>
          <cell r="AA11440" t="str">
            <v>HOSPITAL DE PUERTO MONTT</v>
          </cell>
        </row>
        <row r="11441">
          <cell r="Z11441" t="str">
            <v>ENDOSCOPÍA</v>
          </cell>
          <cell r="AA11441" t="str">
            <v>HOSPITAL DE PUERTO MONTT</v>
          </cell>
        </row>
        <row r="11442">
          <cell r="Z11442" t="str">
            <v>ENDOSCOPÍA</v>
          </cell>
        </row>
        <row r="11443">
          <cell r="Z11443" t="str">
            <v>ENDOSCOPÍA</v>
          </cell>
        </row>
        <row r="11444">
          <cell r="Z11444" t="str">
            <v>ENDOSCOPÍA</v>
          </cell>
        </row>
        <row r="11445">
          <cell r="Z11445" t="str">
            <v>DENTAL</v>
          </cell>
        </row>
        <row r="11446">
          <cell r="Z11446" t="str">
            <v>DENTAL</v>
          </cell>
        </row>
        <row r="11447">
          <cell r="Z11447" t="str">
            <v>MOBILIARIO CLINICO</v>
          </cell>
          <cell r="AA11447" t="str">
            <v>HOSPITAL DE ILLAPEL</v>
          </cell>
        </row>
        <row r="11448">
          <cell r="Z11448" t="str">
            <v>ENDOSCOPÍA</v>
          </cell>
        </row>
        <row r="11449">
          <cell r="Z11449" t="str">
            <v>ENDOSCOPÍA</v>
          </cell>
          <cell r="AA11449" t="str">
            <v>HOSPITAL DE PUERTO MONTT</v>
          </cell>
        </row>
        <row r="11450">
          <cell r="Z11450" t="str">
            <v>ENDOSCOPÍA</v>
          </cell>
          <cell r="AA11450" t="str">
            <v>GEMCO GENERAL MACHINERY S.A.</v>
          </cell>
        </row>
        <row r="11451">
          <cell r="Z11451" t="str">
            <v>ENDOSCOPÍA</v>
          </cell>
        </row>
        <row r="11452">
          <cell r="Z11452" t="str">
            <v>ENDOSCOPÍA</v>
          </cell>
          <cell r="AA11452" t="str">
            <v>GEMCO GENERAL MACHINERY S.A.</v>
          </cell>
        </row>
        <row r="11453">
          <cell r="Z11453" t="str">
            <v>ENDOSCOPÍA</v>
          </cell>
        </row>
        <row r="11454">
          <cell r="Z11454" t="str">
            <v>ENDOSCOPÍA</v>
          </cell>
          <cell r="AA11454" t="str">
            <v>HOSPITAL DE PUERTO AYSEN</v>
          </cell>
        </row>
        <row r="11455">
          <cell r="Z11455" t="str">
            <v>ENDOSCOPÍA</v>
          </cell>
          <cell r="AA11455" t="str">
            <v>CLINICA LAS CONDES S.A.</v>
          </cell>
        </row>
        <row r="11456">
          <cell r="Z11456" t="str">
            <v>ENDOSCOPÍA</v>
          </cell>
        </row>
        <row r="11457">
          <cell r="Z11457" t="str">
            <v>ENDOSCOPÍA</v>
          </cell>
        </row>
        <row r="11458">
          <cell r="Z11458" t="str">
            <v>ENDOSCOPÍA</v>
          </cell>
          <cell r="AA11458" t="str">
            <v>GEMCO GENERAL MACHINERY S.A.</v>
          </cell>
        </row>
        <row r="11459">
          <cell r="Z11459" t="str">
            <v>ENDOSCOPÍA</v>
          </cell>
          <cell r="AA11459" t="str">
            <v>GEMCO GENERAL MACHINERY S.A.</v>
          </cell>
        </row>
        <row r="11460">
          <cell r="Z11460" t="str">
            <v>ENDOSCOPÍA</v>
          </cell>
        </row>
        <row r="11461">
          <cell r="Z11461" t="str">
            <v>DENTAL</v>
          </cell>
          <cell r="AA11461" t="str">
            <v>HOSPITAL SAN JUAN DE DIOS</v>
          </cell>
        </row>
        <row r="11462">
          <cell r="Z11462" t="str">
            <v>DENTAL</v>
          </cell>
          <cell r="AA11462" t="str">
            <v>CESFAM SAN VICENTE TALCAHUANO</v>
          </cell>
        </row>
        <row r="11463">
          <cell r="Z11463" t="str">
            <v>DENTAL</v>
          </cell>
        </row>
        <row r="11464">
          <cell r="Z11464" t="str">
            <v>DENTAL</v>
          </cell>
          <cell r="AA11464" t="str">
            <v>HOSPITAL BARROS LUCO TRUDEAU</v>
          </cell>
        </row>
        <row r="11465">
          <cell r="Z11465" t="str">
            <v>DENTAL</v>
          </cell>
          <cell r="AA11465" t="str">
            <v>HOSPITAL BARROS LUCO TRUDEAU</v>
          </cell>
        </row>
        <row r="11466">
          <cell r="Z11466" t="str">
            <v>DENTAL</v>
          </cell>
          <cell r="AA11466" t="str">
            <v>HOSPITAL DR. GUSTAVO FRICKE</v>
          </cell>
        </row>
        <row r="11467">
          <cell r="Z11467" t="str">
            <v>DENTAL</v>
          </cell>
          <cell r="AA11467" t="str">
            <v>HOSPITAL DR. GUSTAVO FRICKE</v>
          </cell>
        </row>
        <row r="11468">
          <cell r="Z11468" t="str">
            <v>DENTAL</v>
          </cell>
          <cell r="AA11468" t="str">
            <v>HOSPITAL DR. GUSTAVO FRICKE</v>
          </cell>
        </row>
        <row r="11469">
          <cell r="Z11469" t="str">
            <v>DENTAL</v>
          </cell>
          <cell r="AA11469" t="str">
            <v>HOSPITAL DR. GUSTAVO FRICKE</v>
          </cell>
        </row>
        <row r="11470">
          <cell r="Z11470" t="str">
            <v>DENTAL</v>
          </cell>
          <cell r="AA11470" t="str">
            <v>HOSPITAL DR. GUSTAVO FRICKE</v>
          </cell>
        </row>
        <row r="11471">
          <cell r="Z11471" t="str">
            <v>DENTAL</v>
          </cell>
          <cell r="AA11471" t="str">
            <v>HOSPITAL DR. GUSTAVO FRICKE</v>
          </cell>
        </row>
        <row r="11472">
          <cell r="Z11472" t="str">
            <v>DENTAL</v>
          </cell>
          <cell r="AA11472" t="str">
            <v>HOSPITAL DR. GUSTAVO FRICKE</v>
          </cell>
        </row>
        <row r="11473">
          <cell r="Z11473" t="str">
            <v>DENTAL</v>
          </cell>
          <cell r="AA11473" t="str">
            <v>HOSPITAL DR. GUSTAVO FRICKE</v>
          </cell>
        </row>
        <row r="11474">
          <cell r="Z11474" t="str">
            <v>DENTAL</v>
          </cell>
          <cell r="AA11474" t="str">
            <v>UNIVERSIDAD DE VALPARAISO</v>
          </cell>
        </row>
        <row r="11475">
          <cell r="Z11475" t="str">
            <v>DENTAL</v>
          </cell>
          <cell r="AA11475" t="str">
            <v>HOSPITAL SAN JUAN DE DIOS</v>
          </cell>
        </row>
        <row r="11476">
          <cell r="Z11476" t="str">
            <v>DENTAL</v>
          </cell>
          <cell r="AA11476" t="str">
            <v>HOSPITAL BARROS LUCO TRUDEAU</v>
          </cell>
        </row>
        <row r="11477">
          <cell r="Z11477" t="str">
            <v>DENTAL</v>
          </cell>
          <cell r="AA11477" t="str">
            <v>HOSPITAL DR. GUSTAVO FRICKE</v>
          </cell>
        </row>
        <row r="11478">
          <cell r="Z11478" t="str">
            <v>DENTAL</v>
          </cell>
          <cell r="AA11478" t="str">
            <v>ACHS</v>
          </cell>
        </row>
        <row r="11479">
          <cell r="Z11479" t="str">
            <v>DENTAL</v>
          </cell>
          <cell r="AA11479" t="str">
            <v>HOSPITAL SAN JUAN DE DIOS</v>
          </cell>
        </row>
        <row r="11480">
          <cell r="Z11480" t="str">
            <v>DENTAL</v>
          </cell>
          <cell r="AA11480" t="str">
            <v>HOSPITAL BARROS LUCO TRUDEAU</v>
          </cell>
        </row>
        <row r="11481">
          <cell r="Z11481" t="str">
            <v>DENTAL</v>
          </cell>
          <cell r="AA11481" t="str">
            <v>HOSPITAL BARROS LUCO TRUDEAU</v>
          </cell>
        </row>
        <row r="11482">
          <cell r="Z11482" t="str">
            <v>DENTAL</v>
          </cell>
          <cell r="AA11482" t="str">
            <v>HOSPITAL BARROS LUCO TRUDEAU</v>
          </cell>
        </row>
        <row r="11483">
          <cell r="Z11483" t="str">
            <v>DENTAL</v>
          </cell>
          <cell r="AA11483" t="str">
            <v>HOSPITAL DR. GUSTAVO FRICKE</v>
          </cell>
        </row>
        <row r="11484">
          <cell r="Z11484" t="str">
            <v>DENTAL</v>
          </cell>
          <cell r="AA11484" t="str">
            <v>HOSPITAL DR. GUSTAVO FRICKE</v>
          </cell>
        </row>
        <row r="11485">
          <cell r="Z11485" t="str">
            <v>DENTAL</v>
          </cell>
          <cell r="AA11485" t="str">
            <v>HOSPITAL DR. GUSTAVO FRICKE</v>
          </cell>
        </row>
        <row r="11486">
          <cell r="Z11486" t="str">
            <v>DENTAL</v>
          </cell>
          <cell r="AA11486" t="str">
            <v>HOSPITAL DR. GUSTAVO FRICKE</v>
          </cell>
        </row>
        <row r="11487">
          <cell r="Z11487" t="str">
            <v>DENTAL</v>
          </cell>
          <cell r="AA11487" t="str">
            <v>HOSPITAL DR. GUSTAVO FRICKE</v>
          </cell>
        </row>
        <row r="11488">
          <cell r="Z11488" t="str">
            <v>DENTAL</v>
          </cell>
        </row>
        <row r="11489">
          <cell r="Z11489" t="str">
            <v>DENTAL</v>
          </cell>
          <cell r="AA11489" t="str">
            <v>DIPRECA FONDO HOSPITAL</v>
          </cell>
        </row>
        <row r="11490">
          <cell r="Z11490" t="str">
            <v>DENTAL</v>
          </cell>
          <cell r="AA11490" t="str">
            <v>NORDEN</v>
          </cell>
        </row>
        <row r="11491">
          <cell r="Z11491" t="str">
            <v>DENTAL</v>
          </cell>
          <cell r="AA11491" t="str">
            <v>DIPRECA FONDO HOSPITAL</v>
          </cell>
        </row>
        <row r="11492">
          <cell r="Z11492" t="str">
            <v>DENTAL</v>
          </cell>
          <cell r="AA11492" t="str">
            <v>NORDEN</v>
          </cell>
        </row>
        <row r="11493">
          <cell r="Z11493" t="str">
            <v>DENTAL</v>
          </cell>
          <cell r="AA11493" t="str">
            <v>CENTRO NORDEN AGUSTINAS 640</v>
          </cell>
        </row>
        <row r="11494">
          <cell r="Z11494" t="str">
            <v>DENTAL</v>
          </cell>
        </row>
        <row r="11495">
          <cell r="Z11495" t="str">
            <v>DENTAL</v>
          </cell>
          <cell r="AA11495" t="str">
            <v>LA ARAUCANA SALUD S.A.</v>
          </cell>
        </row>
        <row r="11496">
          <cell r="Z11496" t="str">
            <v>DENTAL</v>
          </cell>
          <cell r="AA11496" t="str">
            <v>LA ARAUCANA SALUD S.A.</v>
          </cell>
        </row>
        <row r="11497">
          <cell r="Z11497" t="str">
            <v>DENTAL</v>
          </cell>
        </row>
        <row r="11498">
          <cell r="Z11498" t="str">
            <v>DENTAL</v>
          </cell>
          <cell r="AA11498" t="str">
            <v>LA ARAUCANA SALUD S.A.</v>
          </cell>
        </row>
        <row r="11499">
          <cell r="Z11499" t="str">
            <v>DENTAL</v>
          </cell>
          <cell r="AA11499" t="str">
            <v>SOCIEDAD CONCESIONARIA METROPOLITANA DE SALUD S.A.</v>
          </cell>
        </row>
        <row r="11500">
          <cell r="Z11500" t="str">
            <v>DENTAL</v>
          </cell>
          <cell r="AA11500" t="str">
            <v>SOCIEDAD CONCESIONARIA METROPOLITANA DE SALUD S.A.</v>
          </cell>
        </row>
        <row r="11501">
          <cell r="Z11501" t="str">
            <v>DENTAL</v>
          </cell>
          <cell r="AA11501" t="str">
            <v>SOCIEDAD CONCESIONARIA METROPOLITANA DE SALUD S.A.</v>
          </cell>
        </row>
        <row r="11502">
          <cell r="Z11502" t="str">
            <v>DENTAL</v>
          </cell>
          <cell r="AA11502" t="str">
            <v>SOCIEDAD CONCESIONARIA METROPOLITANA DE SALUD S.A.</v>
          </cell>
        </row>
        <row r="11503">
          <cell r="Z11503" t="str">
            <v>DENTAL</v>
          </cell>
          <cell r="AA11503" t="str">
            <v>SOCIEDAD CONCESIONARIA METROPOLITANA DE SALUD S.A.</v>
          </cell>
        </row>
        <row r="11504">
          <cell r="Z11504" t="str">
            <v>DENTAL</v>
          </cell>
          <cell r="AA11504" t="str">
            <v>SOCIEDAD CONCESIONARIA METROPOLITANA DE SALUD S.A.</v>
          </cell>
        </row>
        <row r="11505">
          <cell r="Z11505" t="str">
            <v>DENTAL</v>
          </cell>
          <cell r="AA11505" t="str">
            <v>SOCIEDAD CONCESIONARIA METROPOLITANA DE SALUD S.A.</v>
          </cell>
        </row>
        <row r="11506">
          <cell r="Z11506" t="str">
            <v>DENTAL</v>
          </cell>
          <cell r="AA11506" t="str">
            <v>SOCIEDAD CONCESIONARIA METROPOLITANA DE SALUD S.A.</v>
          </cell>
        </row>
        <row r="11507">
          <cell r="Z11507" t="str">
            <v>DENTAL</v>
          </cell>
          <cell r="AA11507" t="str">
            <v>SOCIEDAD CONCESIONARIA METROPOLITANA DE SALUD S.A.</v>
          </cell>
        </row>
        <row r="11508">
          <cell r="Z11508" t="str">
            <v>DENTAL</v>
          </cell>
          <cell r="AA11508" t="str">
            <v>SOCIEDAD CONCESIONARIA METROPOLITANA DE SALUD S.A.</v>
          </cell>
        </row>
        <row r="11509">
          <cell r="Z11509" t="str">
            <v>DENTAL</v>
          </cell>
          <cell r="AA11509" t="str">
            <v>SOCIEDAD CONCESIONARIA METROPOLITANA DE SALUD S.A.</v>
          </cell>
        </row>
        <row r="11510">
          <cell r="Z11510" t="str">
            <v>DENTAL</v>
          </cell>
          <cell r="AA11510" t="str">
            <v>SOCIEDAD CONCESIONARIA METROPOLITANA DE SALUD S.A.</v>
          </cell>
        </row>
        <row r="11511">
          <cell r="Z11511" t="str">
            <v>DENTAL</v>
          </cell>
          <cell r="AA11511" t="str">
            <v>SOCIEDAD CONCESIONARIA METROPOLITANA DE SALUD S.A.</v>
          </cell>
        </row>
        <row r="11512">
          <cell r="Z11512" t="str">
            <v>DENTAL</v>
          </cell>
          <cell r="AA11512" t="str">
            <v>SOCIEDAD CONCESIONARIA METROPOLITANA DE SALUD S.A.</v>
          </cell>
        </row>
        <row r="11513">
          <cell r="Z11513" t="str">
            <v>DENTAL</v>
          </cell>
          <cell r="AA11513" t="str">
            <v>SOCIEDAD CONCESIONARIA METROPOLITANA DE SALUD S.A.</v>
          </cell>
        </row>
        <row r="11514">
          <cell r="Z11514" t="str">
            <v>DENTAL</v>
          </cell>
          <cell r="AA11514" t="str">
            <v>SOCIEDAD CONCESIONARIA METROPOLITANA DE SALUD S.A.</v>
          </cell>
        </row>
        <row r="11515">
          <cell r="Z11515" t="str">
            <v>DENTAL</v>
          </cell>
          <cell r="AA11515" t="str">
            <v>SOCIEDAD CONCESIONARIA METROPOLITANA DE SALUD S.A.</v>
          </cell>
        </row>
        <row r="11516">
          <cell r="Z11516" t="str">
            <v>DENTAL</v>
          </cell>
          <cell r="AA11516" t="str">
            <v>SOCIEDAD CONCESIONARIA METROPOLITANA DE SALUD S.A.</v>
          </cell>
        </row>
        <row r="11517">
          <cell r="Z11517" t="str">
            <v>DENTAL</v>
          </cell>
          <cell r="AA11517" t="str">
            <v>SOCIEDAD CONCESIONARIA METROPOLITANA DE SALUD S.A.</v>
          </cell>
        </row>
        <row r="11518">
          <cell r="Z11518" t="str">
            <v>DENTAL</v>
          </cell>
          <cell r="AA11518" t="str">
            <v>SOCIEDAD CONCESIONARIA METROPOLITANA DE SALUD S.A.</v>
          </cell>
        </row>
        <row r="11519">
          <cell r="Z11519" t="str">
            <v>DENTAL</v>
          </cell>
          <cell r="AA11519" t="str">
            <v>SOCIEDAD CONCESIONARIA METROPOLITANA DE SALUD S.A.</v>
          </cell>
        </row>
        <row r="11520">
          <cell r="Z11520" t="str">
            <v>DENTAL</v>
          </cell>
          <cell r="AA11520" t="str">
            <v>SOCIEDAD CONCESIONARIA METROPOLITANA DE SALUD S.A.</v>
          </cell>
        </row>
        <row r="11521">
          <cell r="Z11521" t="str">
            <v>DENTAL</v>
          </cell>
          <cell r="AA11521" t="str">
            <v>SOCIEDAD CONCESIONARIA METROPOLITANA DE SALUD S.A.</v>
          </cell>
        </row>
        <row r="11522">
          <cell r="Z11522" t="str">
            <v>DENTAL</v>
          </cell>
          <cell r="AA11522" t="str">
            <v>SOCIEDAD CONCESIONARIA METROPOLITANA DE SALUD S.A.</v>
          </cell>
        </row>
        <row r="11523">
          <cell r="Z11523" t="str">
            <v>DENTAL</v>
          </cell>
          <cell r="AA11523" t="str">
            <v>SOCIEDAD CONCESIONARIA METROPOLITANA DE SALUD S.A.</v>
          </cell>
        </row>
        <row r="11524">
          <cell r="Z11524" t="str">
            <v>DENTAL</v>
          </cell>
          <cell r="AA11524" t="str">
            <v>SOCIEDAD CONCESIONARIA METROPOLITANA DE SALUD S.A.</v>
          </cell>
        </row>
        <row r="11525">
          <cell r="Z11525" t="str">
            <v>DENTAL</v>
          </cell>
          <cell r="AA11525" t="str">
            <v>INGELSERVICE</v>
          </cell>
        </row>
        <row r="11526">
          <cell r="Z11526" t="str">
            <v>DENTAL</v>
          </cell>
          <cell r="AA11526" t="str">
            <v>SOCIEDAD CONCESIONARIA METROPOLITANA DE SALUD S.A.</v>
          </cell>
        </row>
        <row r="11527">
          <cell r="Z11527" t="str">
            <v>DENTAL</v>
          </cell>
          <cell r="AA11527" t="str">
            <v>SOCIEDAD CONCESIONARIA METROPOLITANA DE SALUD S.A.</v>
          </cell>
        </row>
        <row r="11528">
          <cell r="Z11528" t="str">
            <v>DENTAL</v>
          </cell>
          <cell r="AA11528" t="str">
            <v>INGELSERVICE</v>
          </cell>
        </row>
        <row r="11529">
          <cell r="Z11529" t="str">
            <v>DENTAL</v>
          </cell>
          <cell r="AA11529" t="str">
            <v>INGELSERVICE</v>
          </cell>
        </row>
        <row r="11530">
          <cell r="Z11530" t="str">
            <v>ESTERILIZACIÓN</v>
          </cell>
        </row>
        <row r="11531">
          <cell r="Z11531" t="str">
            <v>DENTAL</v>
          </cell>
        </row>
        <row r="11532">
          <cell r="Z11532" t="str">
            <v>DENTAL</v>
          </cell>
        </row>
        <row r="11533">
          <cell r="Z11533" t="str">
            <v>DENTAL</v>
          </cell>
        </row>
        <row r="11534">
          <cell r="Z11534" t="str">
            <v>DENTAL</v>
          </cell>
        </row>
        <row r="11535">
          <cell r="Z11535" t="str">
            <v>DENTAL</v>
          </cell>
        </row>
        <row r="11536">
          <cell r="Z11536" t="str">
            <v>DENTAL</v>
          </cell>
        </row>
        <row r="11537">
          <cell r="Z11537" t="str">
            <v>DENTAL</v>
          </cell>
        </row>
        <row r="11538">
          <cell r="Z11538" t="str">
            <v>DENTAL</v>
          </cell>
          <cell r="AA11538" t="str">
            <v>HOSPITAL REGIONAL DE ANTOFAGASTA</v>
          </cell>
        </row>
        <row r="11539">
          <cell r="Z11539" t="str">
            <v>DENTAL</v>
          </cell>
          <cell r="AA11539" t="str">
            <v>CESFAM LORETO DE COLTAUCO</v>
          </cell>
        </row>
        <row r="11540">
          <cell r="Z11540" t="str">
            <v>DENTAL</v>
          </cell>
        </row>
        <row r="11541">
          <cell r="Z11541" t="str">
            <v>DENTAL</v>
          </cell>
        </row>
        <row r="11542">
          <cell r="Z11542" t="str">
            <v>DENTAL</v>
          </cell>
        </row>
        <row r="11543">
          <cell r="Z11543" t="str">
            <v>DENTAL</v>
          </cell>
        </row>
        <row r="11544">
          <cell r="Z11544" t="str">
            <v>DENTAL</v>
          </cell>
        </row>
        <row r="11545">
          <cell r="Z11545" t="str">
            <v>DENTAL</v>
          </cell>
        </row>
        <row r="11546">
          <cell r="Z11546" t="str">
            <v>DENTAL</v>
          </cell>
        </row>
        <row r="11547">
          <cell r="Z11547" t="str">
            <v>DENTAL</v>
          </cell>
        </row>
        <row r="11548">
          <cell r="Z11548" t="str">
            <v>DENTAL</v>
          </cell>
          <cell r="AA11548" t="str">
            <v>CESFAM RIO CLARO</v>
          </cell>
        </row>
        <row r="11549">
          <cell r="Z11549" t="str">
            <v>DENTAL</v>
          </cell>
        </row>
        <row r="11550">
          <cell r="Z11550" t="str">
            <v>DENTAL</v>
          </cell>
        </row>
        <row r="11551">
          <cell r="Z11551" t="str">
            <v>DENTAL</v>
          </cell>
          <cell r="AA11551" t="str">
            <v>POSTA LIMAHUIDA</v>
          </cell>
        </row>
        <row r="11552">
          <cell r="Z11552" t="str">
            <v>DENTAL</v>
          </cell>
        </row>
        <row r="11553">
          <cell r="Z11553" t="str">
            <v>DENTAL</v>
          </cell>
        </row>
        <row r="11554">
          <cell r="Z11554" t="str">
            <v>DENTAL</v>
          </cell>
          <cell r="AA11554" t="str">
            <v>SERVICIO DE SALUD DEL MAULE</v>
          </cell>
        </row>
        <row r="11555">
          <cell r="Z11555" t="str">
            <v>DENTAL</v>
          </cell>
        </row>
        <row r="11556">
          <cell r="Z11556" t="str">
            <v>DENTAL</v>
          </cell>
        </row>
        <row r="11557">
          <cell r="Z11557" t="str">
            <v>DENTAL</v>
          </cell>
          <cell r="AA11557" t="str">
            <v>CESFAM VIOLETA PARRA (PUDAHUEL)</v>
          </cell>
        </row>
        <row r="11558">
          <cell r="Z11558" t="str">
            <v>DENTAL</v>
          </cell>
          <cell r="AA11558" t="str">
            <v>SERVICIO DE SALUD DEL MAULE</v>
          </cell>
        </row>
        <row r="11559">
          <cell r="Z11559" t="str">
            <v>DENTAL</v>
          </cell>
          <cell r="AA11559" t="str">
            <v>ODONTOLOGIA PROVIDENCIA SPA</v>
          </cell>
        </row>
        <row r="11560">
          <cell r="Z11560" t="str">
            <v>DENTAL</v>
          </cell>
        </row>
        <row r="11561">
          <cell r="Z11561" t="str">
            <v>DENTAL</v>
          </cell>
        </row>
        <row r="11562">
          <cell r="Z11562" t="str">
            <v>DENTAL</v>
          </cell>
        </row>
        <row r="11563">
          <cell r="Z11563" t="str">
            <v>DENTAL</v>
          </cell>
        </row>
        <row r="11564">
          <cell r="Z11564" t="str">
            <v>DENTAL</v>
          </cell>
        </row>
        <row r="11565">
          <cell r="Z11565" t="str">
            <v>DENTAL</v>
          </cell>
        </row>
        <row r="11566">
          <cell r="Z11566" t="str">
            <v>DENTAL</v>
          </cell>
        </row>
        <row r="11567">
          <cell r="Z11567" t="str">
            <v>DENTAL</v>
          </cell>
          <cell r="AA11567" t="str">
            <v>CLINICA MOVIL CENTINELA</v>
          </cell>
        </row>
        <row r="11568">
          <cell r="Z11568" t="str">
            <v>DENTAL</v>
          </cell>
          <cell r="AA11568" t="str">
            <v>CLINICA MOVIL CENTINELA</v>
          </cell>
        </row>
        <row r="11569">
          <cell r="Z11569" t="str">
            <v>DENTAL</v>
          </cell>
          <cell r="AA11569" t="str">
            <v>CESFAM NAVIDAD</v>
          </cell>
        </row>
        <row r="11570">
          <cell r="Z11570" t="str">
            <v>DENTAL</v>
          </cell>
        </row>
        <row r="11571">
          <cell r="Z11571" t="str">
            <v>DENTAL</v>
          </cell>
        </row>
        <row r="11572">
          <cell r="Z11572" t="str">
            <v>DENTAL</v>
          </cell>
          <cell r="AA11572" t="str">
            <v>CESFAM COLBUN</v>
          </cell>
        </row>
        <row r="11573">
          <cell r="Z11573" t="str">
            <v>DENTAL</v>
          </cell>
        </row>
        <row r="11574">
          <cell r="Z11574" t="str">
            <v>DENTAL</v>
          </cell>
        </row>
        <row r="11575">
          <cell r="Z11575" t="str">
            <v>DENTAL</v>
          </cell>
          <cell r="AA11575" t="str">
            <v>CESFAM VICTOR CASTRO</v>
          </cell>
        </row>
        <row r="11576">
          <cell r="Z11576" t="str">
            <v>DENTAL</v>
          </cell>
          <cell r="AA11576" t="str">
            <v>HOSPITAL DE CABILDO</v>
          </cell>
        </row>
        <row r="11577">
          <cell r="Z11577" t="str">
            <v>DENTAL</v>
          </cell>
          <cell r="AA11577" t="str">
            <v>HOSPITAL DE LANCO</v>
          </cell>
        </row>
        <row r="11578">
          <cell r="Z11578" t="str">
            <v>DENTAL</v>
          </cell>
          <cell r="AA11578" t="str">
            <v>CESFAM PENCAHUE</v>
          </cell>
        </row>
        <row r="11579">
          <cell r="Z11579" t="str">
            <v>DENTAL</v>
          </cell>
          <cell r="AA11579" t="str">
            <v>POLICENTER</v>
          </cell>
        </row>
        <row r="11580">
          <cell r="Z11580" t="str">
            <v>DENTAL</v>
          </cell>
        </row>
        <row r="11581">
          <cell r="Z11581" t="str">
            <v>DENTAL</v>
          </cell>
          <cell r="AA11581" t="str">
            <v>POLICENTER</v>
          </cell>
        </row>
        <row r="11582">
          <cell r="Z11582" t="str">
            <v>DENTAL</v>
          </cell>
        </row>
        <row r="11583">
          <cell r="Z11583" t="str">
            <v>DENTAL</v>
          </cell>
          <cell r="AA11583" t="str">
            <v>POLICENTER</v>
          </cell>
        </row>
        <row r="11584">
          <cell r="Z11584" t="str">
            <v>DENTAL</v>
          </cell>
        </row>
        <row r="11585">
          <cell r="Z11585" t="str">
            <v>DENTAL</v>
          </cell>
        </row>
        <row r="11586">
          <cell r="Z11586" t="str">
            <v>DENTAL</v>
          </cell>
          <cell r="AA11586" t="str">
            <v>CLINICA MOVIL CENTINELA</v>
          </cell>
        </row>
        <row r="11587">
          <cell r="Z11587" t="str">
            <v>DENTAL</v>
          </cell>
        </row>
        <row r="11588">
          <cell r="Z11588" t="str">
            <v>DENTAL</v>
          </cell>
          <cell r="AA11588" t="str">
            <v>CLINICA MOVIL CENTINELA</v>
          </cell>
        </row>
        <row r="11589">
          <cell r="Z11589" t="str">
            <v>DENTAL</v>
          </cell>
        </row>
        <row r="11590">
          <cell r="Z11590" t="str">
            <v>DENTAL</v>
          </cell>
        </row>
        <row r="11591">
          <cell r="Z11591" t="str">
            <v>DENTAL</v>
          </cell>
          <cell r="AA11591" t="str">
            <v>CLINICA MOVIL CENTINELA</v>
          </cell>
        </row>
        <row r="11592">
          <cell r="Z11592" t="str">
            <v>DENTAL</v>
          </cell>
        </row>
        <row r="11593">
          <cell r="Z11593" t="str">
            <v>DENTAL</v>
          </cell>
        </row>
        <row r="11594">
          <cell r="Z11594" t="str">
            <v>DENTAL</v>
          </cell>
        </row>
        <row r="11595">
          <cell r="Z11595" t="str">
            <v>DENTAL</v>
          </cell>
        </row>
        <row r="11596">
          <cell r="Z11596" t="str">
            <v>DENTAL</v>
          </cell>
        </row>
        <row r="11597">
          <cell r="Z11597" t="str">
            <v>DENTAL</v>
          </cell>
          <cell r="AA11597" t="str">
            <v>CESFAM YERBAS BUENAS</v>
          </cell>
        </row>
        <row r="11598">
          <cell r="Z11598" t="str">
            <v>DENTAL</v>
          </cell>
        </row>
        <row r="11599">
          <cell r="Z11599" t="str">
            <v>DENTAL</v>
          </cell>
        </row>
        <row r="11600">
          <cell r="Z11600" t="str">
            <v>DENTAL</v>
          </cell>
          <cell r="AA11600" t="str">
            <v>CESFAM VICTOR CASTRO</v>
          </cell>
        </row>
        <row r="11601">
          <cell r="Z11601" t="str">
            <v>DENTAL</v>
          </cell>
        </row>
        <row r="11602">
          <cell r="Z11602" t="str">
            <v>DENTAL</v>
          </cell>
          <cell r="AA11602" t="str">
            <v>CESFAM RENGO</v>
          </cell>
        </row>
        <row r="11603">
          <cell r="Z11603" t="str">
            <v>DENTAL</v>
          </cell>
        </row>
        <row r="11604">
          <cell r="Z11604" t="str">
            <v>DENTAL</v>
          </cell>
          <cell r="AA11604" t="str">
            <v>IMPORTADORA, COMERCIALIZADORA Y DA</v>
          </cell>
        </row>
        <row r="11605">
          <cell r="Z11605" t="str">
            <v>DENTAL</v>
          </cell>
        </row>
        <row r="11606">
          <cell r="Z11606" t="str">
            <v>DENTAL</v>
          </cell>
        </row>
        <row r="11607">
          <cell r="Z11607" t="str">
            <v>DENTAL</v>
          </cell>
        </row>
        <row r="11608">
          <cell r="Z11608" t="str">
            <v>DENTAL</v>
          </cell>
          <cell r="AA11608" t="str">
            <v>CESFAM YANEQUEN NEGRETE</v>
          </cell>
        </row>
        <row r="11609">
          <cell r="Z11609" t="str">
            <v>DENTAL</v>
          </cell>
        </row>
        <row r="11610">
          <cell r="Z11610" t="str">
            <v>DENTAL</v>
          </cell>
          <cell r="AA11610" t="str">
            <v>CESFAM PICA</v>
          </cell>
        </row>
        <row r="11611">
          <cell r="Z11611" t="str">
            <v>DENTAL</v>
          </cell>
          <cell r="AA11611" t="str">
            <v>CESFAM PICA</v>
          </cell>
        </row>
        <row r="11612">
          <cell r="Z11612" t="str">
            <v>DENTAL</v>
          </cell>
        </row>
        <row r="11613">
          <cell r="Z11613" t="str">
            <v>DENTAL</v>
          </cell>
        </row>
        <row r="11614">
          <cell r="Z11614" t="str">
            <v>DENTAL</v>
          </cell>
          <cell r="AA11614" t="str">
            <v>CESFAM SOL DE SEPTIEMBRE</v>
          </cell>
        </row>
        <row r="11615">
          <cell r="Z11615" t="str">
            <v>DENTAL</v>
          </cell>
          <cell r="AA11615" t="str">
            <v>CESFAM LONGAVI</v>
          </cell>
        </row>
        <row r="11616">
          <cell r="Z11616" t="str">
            <v>DENTAL</v>
          </cell>
        </row>
        <row r="11617">
          <cell r="Z11617" t="str">
            <v>DENTAL</v>
          </cell>
          <cell r="AA11617" t="str">
            <v>CESFAM COLBUN</v>
          </cell>
        </row>
        <row r="11618">
          <cell r="Z11618" t="str">
            <v>DENTAL</v>
          </cell>
        </row>
        <row r="11619">
          <cell r="Z11619" t="str">
            <v>DENTAL</v>
          </cell>
        </row>
        <row r="11620">
          <cell r="Z11620" t="str">
            <v>DENTAL</v>
          </cell>
        </row>
        <row r="11621">
          <cell r="Z11621" t="str">
            <v>DENTAL</v>
          </cell>
          <cell r="AA11621" t="str">
            <v>HOSPITAL LA LIGUA</v>
          </cell>
        </row>
        <row r="11622">
          <cell r="Z11622" t="str">
            <v>DENTAL</v>
          </cell>
        </row>
        <row r="11623">
          <cell r="Z11623" t="str">
            <v>DENTAL</v>
          </cell>
        </row>
        <row r="11624">
          <cell r="Z11624" t="str">
            <v>DENTAL</v>
          </cell>
        </row>
        <row r="11625">
          <cell r="Z11625" t="str">
            <v>DENTAL</v>
          </cell>
          <cell r="AA11625" t="str">
            <v>CESFAM TUCAPEL</v>
          </cell>
        </row>
        <row r="11626">
          <cell r="Z11626" t="str">
            <v>DENTAL</v>
          </cell>
          <cell r="AA11626" t="str">
            <v>CESFAM  DICHATO</v>
          </cell>
        </row>
        <row r="11627">
          <cell r="Z11627" t="str">
            <v>DENTAL</v>
          </cell>
          <cell r="AA11627" t="str">
            <v>CECOSF CERRO ESTANQUE DE TOME</v>
          </cell>
        </row>
        <row r="11628">
          <cell r="Z11628" t="str">
            <v>DENTAL</v>
          </cell>
          <cell r="AA11628" t="str">
            <v>CECOSF CERRO ESTANQUE DE TOME</v>
          </cell>
        </row>
        <row r="11629">
          <cell r="Z11629" t="str">
            <v>DENTAL</v>
          </cell>
          <cell r="AA11629" t="str">
            <v xml:space="preserve">CESFAM CONSTITUCIÓN </v>
          </cell>
        </row>
        <row r="11630">
          <cell r="Z11630" t="str">
            <v>DENTAL</v>
          </cell>
          <cell r="AA11630" t="str">
            <v>CLINICA MOVIL CENTINELA</v>
          </cell>
        </row>
        <row r="11631">
          <cell r="Z11631" t="str">
            <v>DENTAL</v>
          </cell>
          <cell r="AA11631" t="str">
            <v>CLINICA MOVIL CENTINELA</v>
          </cell>
        </row>
        <row r="11632">
          <cell r="Z11632" t="str">
            <v>DENTAL</v>
          </cell>
          <cell r="AA11632" t="str">
            <v>CLINICA MOVIL CENTINELA</v>
          </cell>
        </row>
        <row r="11633">
          <cell r="Z11633" t="str">
            <v>DENTAL</v>
          </cell>
          <cell r="AA11633" t="str">
            <v>I.MUNICIPALIDAD DE LA UNION</v>
          </cell>
        </row>
        <row r="11634">
          <cell r="Z11634" t="str">
            <v>DENTAL</v>
          </cell>
          <cell r="AA11634" t="str">
            <v>SERVICIO DE SALUD METROPOLITANO SUR</v>
          </cell>
        </row>
        <row r="11635">
          <cell r="Z11635" t="str">
            <v>DENTAL</v>
          </cell>
          <cell r="AA11635" t="str">
            <v>CESFAM SAN VICENTE TALCAHUANO</v>
          </cell>
        </row>
        <row r="11636">
          <cell r="Z11636" t="str">
            <v>DENTAL</v>
          </cell>
          <cell r="AA11636" t="str">
            <v>CESFAM SAN FELIPE DEL REAL</v>
          </cell>
        </row>
        <row r="11637">
          <cell r="Z11637" t="str">
            <v>DENTAL</v>
          </cell>
        </row>
        <row r="11638">
          <cell r="Z11638" t="str">
            <v>DENTAL</v>
          </cell>
        </row>
        <row r="11639">
          <cell r="Z11639" t="str">
            <v>DENTAL</v>
          </cell>
        </row>
        <row r="11640">
          <cell r="Z11640" t="str">
            <v>DENTAL</v>
          </cell>
          <cell r="AA11640" t="str">
            <v xml:space="preserve">HOSPITAL SAN CAMILO  </v>
          </cell>
        </row>
        <row r="11641">
          <cell r="Z11641" t="str">
            <v>DENTAL</v>
          </cell>
          <cell r="AA11641" t="str">
            <v>CLINICA MOVIL CENTINELA</v>
          </cell>
        </row>
        <row r="11642">
          <cell r="Z11642" t="str">
            <v>DENTAL</v>
          </cell>
          <cell r="AA11642" t="str">
            <v>CLINICA MOVIL CENTINELA</v>
          </cell>
        </row>
        <row r="11643">
          <cell r="Z11643" t="str">
            <v>DENTAL</v>
          </cell>
          <cell r="AA11643" t="str">
            <v>DR. CLAUDIO ARROYO</v>
          </cell>
        </row>
        <row r="11644">
          <cell r="Z11644" t="str">
            <v>DENTAL</v>
          </cell>
        </row>
        <row r="11645">
          <cell r="Z11645" t="str">
            <v>DENTAL</v>
          </cell>
          <cell r="AA11645" t="str">
            <v>I.MUNICIPALIDAD DE LA UNION</v>
          </cell>
        </row>
        <row r="11646">
          <cell r="Z11646" t="str">
            <v>DENTAL</v>
          </cell>
          <cell r="AA11646" t="str">
            <v>CLINICA MOVIL CENTINELA</v>
          </cell>
        </row>
        <row r="11647">
          <cell r="Z11647" t="str">
            <v>DENTAL</v>
          </cell>
          <cell r="AA11647" t="str">
            <v>SERVICIO NACIONAL DE SALUD HOSPITAL DE LOTA</v>
          </cell>
        </row>
        <row r="11648">
          <cell r="Z11648" t="str">
            <v>DENTAL</v>
          </cell>
        </row>
        <row r="11649">
          <cell r="Z11649" t="str">
            <v>DENTAL</v>
          </cell>
        </row>
        <row r="11650">
          <cell r="Z11650" t="str">
            <v>DENTAL</v>
          </cell>
        </row>
        <row r="11651">
          <cell r="Z11651" t="str">
            <v>DENTAL</v>
          </cell>
        </row>
        <row r="11652">
          <cell r="Z11652" t="str">
            <v>DENTAL</v>
          </cell>
        </row>
        <row r="11653">
          <cell r="Z11653" t="str">
            <v>DENTAL</v>
          </cell>
        </row>
        <row r="11654">
          <cell r="Z11654" t="str">
            <v>DENTAL</v>
          </cell>
        </row>
        <row r="11655">
          <cell r="Z11655" t="str">
            <v>DENTAL</v>
          </cell>
        </row>
        <row r="11656">
          <cell r="Z11656" t="str">
            <v>DENTAL</v>
          </cell>
          <cell r="AA11656" t="str">
            <v>CESFAM MARTA UGARTE QUILICURA</v>
          </cell>
        </row>
        <row r="11657">
          <cell r="Z11657" t="str">
            <v>DENTAL</v>
          </cell>
          <cell r="AA11657" t="str">
            <v>CESFAM MARTA UGARTE QUILICURA</v>
          </cell>
        </row>
        <row r="11658">
          <cell r="Z11658" t="str">
            <v>DENTAL</v>
          </cell>
          <cell r="AA11658" t="str">
            <v>INTEGRAMEDICA PUENTE ALTO</v>
          </cell>
        </row>
        <row r="11659">
          <cell r="Z11659" t="str">
            <v>DENTAL</v>
          </cell>
          <cell r="AA11659" t="str">
            <v>INTEGRAMEDICA PLAZA SUR</v>
          </cell>
        </row>
        <row r="11660">
          <cell r="Z11660" t="str">
            <v>DENTAL</v>
          </cell>
          <cell r="AA11660" t="str">
            <v>INTEGRAMEDICA TOBALABA</v>
          </cell>
        </row>
        <row r="11661">
          <cell r="Z11661" t="str">
            <v>DENTAL</v>
          </cell>
          <cell r="AA11661" t="str">
            <v>INTEGRAMEDICA S.A (Las Condes)</v>
          </cell>
        </row>
        <row r="11662">
          <cell r="Z11662" t="str">
            <v>DENTAL</v>
          </cell>
          <cell r="AA11662" t="str">
            <v>INTEGRAMEDICA SANTA LUCIA.</v>
          </cell>
        </row>
        <row r="11663">
          <cell r="Z11663" t="str">
            <v>DENTAL</v>
          </cell>
          <cell r="AA11663" t="str">
            <v>INTEGRAMEDICA SANTA LUCIA.</v>
          </cell>
        </row>
        <row r="11664">
          <cell r="Z11664" t="str">
            <v>DENTAL</v>
          </cell>
          <cell r="AA11664" t="str">
            <v>INTEGRAMEDICA MAIPU</v>
          </cell>
        </row>
        <row r="11665">
          <cell r="Z11665" t="str">
            <v>DENTAL</v>
          </cell>
          <cell r="AA11665" t="str">
            <v>INTEGRAMEDICA BIO BIO</v>
          </cell>
        </row>
        <row r="11666">
          <cell r="Z11666" t="str">
            <v>DENTAL</v>
          </cell>
          <cell r="AA11666" t="str">
            <v>INTEGRAMEDICA BIO BIO</v>
          </cell>
        </row>
        <row r="11667">
          <cell r="Z11667" t="str">
            <v>DENTAL</v>
          </cell>
          <cell r="AA11667" t="str">
            <v>INTEGRAMEDICA BANDERA</v>
          </cell>
        </row>
        <row r="11668">
          <cell r="Z11668" t="str">
            <v>DENTAL</v>
          </cell>
          <cell r="AA11668" t="str">
            <v>INTEGRAMEDICA PLAZA SUR</v>
          </cell>
        </row>
        <row r="11669">
          <cell r="Z11669" t="str">
            <v>DENTAL</v>
          </cell>
          <cell r="AA11669" t="str">
            <v>INTEGRAMEDICA TALCA</v>
          </cell>
        </row>
        <row r="11670">
          <cell r="Z11670" t="str">
            <v>DENTAL</v>
          </cell>
          <cell r="AA11670" t="str">
            <v>INTEGRAMEDICA TALCA</v>
          </cell>
        </row>
        <row r="11671">
          <cell r="Z11671" t="str">
            <v>DENTAL</v>
          </cell>
          <cell r="AA11671" t="str">
            <v>INTEGRAMEDICA MAIPU</v>
          </cell>
        </row>
        <row r="11672">
          <cell r="Z11672" t="str">
            <v>DENTAL</v>
          </cell>
          <cell r="AA11672" t="str">
            <v>CESFAM SAN FELIPE DEL REAL</v>
          </cell>
        </row>
        <row r="11673">
          <cell r="Z11673" t="str">
            <v>DENTAL</v>
          </cell>
        </row>
        <row r="11674">
          <cell r="Z11674" t="str">
            <v>DENTAL</v>
          </cell>
        </row>
        <row r="11675">
          <cell r="Z11675" t="str">
            <v>DENTAL</v>
          </cell>
          <cell r="AA11675" t="str">
            <v>CESFAM RENGO</v>
          </cell>
        </row>
        <row r="11676">
          <cell r="Z11676" t="str">
            <v>DENTAL</v>
          </cell>
        </row>
        <row r="11677">
          <cell r="Z11677" t="str">
            <v>DENTAL</v>
          </cell>
          <cell r="AA11677" t="str">
            <v>GOBIERNO REGIONAL LIBERTADOR BDO. O'HIGGINS</v>
          </cell>
        </row>
        <row r="11678">
          <cell r="Z11678" t="str">
            <v>DENTAL</v>
          </cell>
        </row>
        <row r="11679">
          <cell r="Z11679" t="str">
            <v>DENTAL</v>
          </cell>
          <cell r="AA11679" t="str">
            <v>CESFAM NORPONIENTE DE CALAMA</v>
          </cell>
        </row>
        <row r="11680">
          <cell r="Z11680" t="str">
            <v>DENTAL</v>
          </cell>
        </row>
        <row r="11681">
          <cell r="Z11681" t="str">
            <v>DENTAL</v>
          </cell>
        </row>
        <row r="11682">
          <cell r="Z11682" t="str">
            <v>DENTAL</v>
          </cell>
        </row>
        <row r="11683">
          <cell r="Z11683" t="str">
            <v>DENTAL</v>
          </cell>
        </row>
        <row r="11684">
          <cell r="Z11684" t="str">
            <v>DENTAL</v>
          </cell>
        </row>
        <row r="11685">
          <cell r="Z11685" t="str">
            <v>DENTAL</v>
          </cell>
        </row>
        <row r="11686">
          <cell r="Z11686" t="str">
            <v>DENTAL</v>
          </cell>
          <cell r="AA11686" t="str">
            <v>INTEGRAMEDICA S.A (Las Condes)</v>
          </cell>
        </row>
        <row r="11687">
          <cell r="Z11687" t="str">
            <v>DENTAL</v>
          </cell>
        </row>
        <row r="11688">
          <cell r="Z11688" t="str">
            <v>DENTAL</v>
          </cell>
          <cell r="AA11688" t="str">
            <v>HOSPITAL BASE DE LINARES</v>
          </cell>
        </row>
        <row r="11689">
          <cell r="Z11689" t="str">
            <v>DENTAL</v>
          </cell>
        </row>
        <row r="11690">
          <cell r="Z11690" t="str">
            <v>DENTAL</v>
          </cell>
        </row>
        <row r="11691">
          <cell r="Z11691" t="str">
            <v>DENTAL</v>
          </cell>
          <cell r="AA11691" t="str">
            <v>HOSPITAL DR. GUSTAVO FRICKE</v>
          </cell>
        </row>
        <row r="11692">
          <cell r="Z11692" t="str">
            <v>DENTAL</v>
          </cell>
        </row>
        <row r="11693">
          <cell r="Z11693" t="str">
            <v>DENTAL</v>
          </cell>
        </row>
        <row r="11694">
          <cell r="Z11694" t="str">
            <v>DENTAL</v>
          </cell>
        </row>
        <row r="11695">
          <cell r="Z11695" t="str">
            <v>DENTAL</v>
          </cell>
          <cell r="AA11695" t="str">
            <v>ODONTOLOGIA PROVIDENCIA SPA</v>
          </cell>
        </row>
        <row r="11696">
          <cell r="Z11696" t="str">
            <v>DENTAL</v>
          </cell>
        </row>
        <row r="11697">
          <cell r="Z11697" t="str">
            <v>DENTAL</v>
          </cell>
        </row>
        <row r="11698">
          <cell r="Z11698" t="str">
            <v>DENTAL</v>
          </cell>
        </row>
        <row r="11699">
          <cell r="Z11699" t="str">
            <v>DENTAL</v>
          </cell>
        </row>
        <row r="11700">
          <cell r="Z11700" t="str">
            <v>DENTAL</v>
          </cell>
          <cell r="AA11700" t="str">
            <v>INTEGRAMEDICA S.A (Las Condes)</v>
          </cell>
        </row>
        <row r="11701">
          <cell r="Z11701" t="str">
            <v>DENTAL</v>
          </cell>
          <cell r="AA11701" t="str">
            <v>INTEGRAMEDICA S.A (Las Condes)</v>
          </cell>
        </row>
        <row r="11702">
          <cell r="Z11702" t="str">
            <v>DENTAL</v>
          </cell>
          <cell r="AA11702" t="str">
            <v>INTEGRAMEDICA PLAZA OESTE</v>
          </cell>
        </row>
        <row r="11703">
          <cell r="Z11703" t="str">
            <v>DENTAL</v>
          </cell>
          <cell r="AA11703" t="str">
            <v>INTEGRAMEDICA PLAZA OESTE</v>
          </cell>
        </row>
        <row r="11704">
          <cell r="Z11704" t="str">
            <v>DENTAL</v>
          </cell>
        </row>
        <row r="11705">
          <cell r="Z11705" t="str">
            <v>DENTAL</v>
          </cell>
          <cell r="AA11705" t="str">
            <v>INTEGRAMEDICA PLAZA EGAÑA</v>
          </cell>
        </row>
        <row r="11706">
          <cell r="Z11706" t="str">
            <v>DENTAL</v>
          </cell>
          <cell r="AA11706" t="str">
            <v>INTEGRAMEDICA PLAZA EGAÑA</v>
          </cell>
        </row>
        <row r="11707">
          <cell r="Z11707" t="str">
            <v>DENTAL</v>
          </cell>
          <cell r="AA11707" t="str">
            <v>INTEGRAMEDICA BANDERA</v>
          </cell>
        </row>
        <row r="11708">
          <cell r="Z11708" t="str">
            <v>DENTAL</v>
          </cell>
        </row>
        <row r="11709">
          <cell r="Z11709" t="str">
            <v>DENTAL</v>
          </cell>
          <cell r="AA11709" t="str">
            <v>CESFAM LAS TORRES</v>
          </cell>
        </row>
        <row r="11710">
          <cell r="Z11710" t="str">
            <v>DENTAL</v>
          </cell>
        </row>
        <row r="11711">
          <cell r="Z11711" t="str">
            <v>DENTAL</v>
          </cell>
        </row>
        <row r="11712">
          <cell r="Z11712" t="str">
            <v>DENTAL</v>
          </cell>
          <cell r="AA11712" t="str">
            <v>CESFAM VICTOR CASTRO</v>
          </cell>
        </row>
        <row r="11713">
          <cell r="Z11713" t="str">
            <v>DENTAL</v>
          </cell>
        </row>
        <row r="11714">
          <cell r="Z11714" t="str">
            <v>DENTAL</v>
          </cell>
        </row>
        <row r="11715">
          <cell r="Z11715" t="str">
            <v>DENTAL</v>
          </cell>
          <cell r="AA11715" t="str">
            <v>HOSPITAL DE SANTA BARBARA</v>
          </cell>
        </row>
        <row r="11716">
          <cell r="Z11716" t="str">
            <v>DENTAL</v>
          </cell>
          <cell r="AA11716" t="str">
            <v>HOSPITAL DE YUMBEL</v>
          </cell>
        </row>
        <row r="11717">
          <cell r="Z11717" t="str">
            <v>DENTAL</v>
          </cell>
          <cell r="AA11717" t="str">
            <v>HOSPITAL DE MULCHEN</v>
          </cell>
        </row>
        <row r="11718">
          <cell r="Z11718" t="str">
            <v>DENTAL</v>
          </cell>
        </row>
        <row r="11719">
          <cell r="Z11719" t="str">
            <v>DENTAL</v>
          </cell>
          <cell r="AA11719" t="str">
            <v>CESFAM VICTOR CASTRO</v>
          </cell>
        </row>
        <row r="11720">
          <cell r="Z11720" t="str">
            <v>DENTAL</v>
          </cell>
          <cell r="AA11720" t="str">
            <v>HOSPITAL NACIMIENTO</v>
          </cell>
        </row>
        <row r="11721">
          <cell r="Z11721" t="str">
            <v>DENTAL</v>
          </cell>
        </row>
        <row r="11722">
          <cell r="Z11722" t="str">
            <v>DENTAL</v>
          </cell>
        </row>
        <row r="11723">
          <cell r="Z11723" t="str">
            <v>DENTAL</v>
          </cell>
        </row>
        <row r="11724">
          <cell r="Z11724" t="str">
            <v>DENTAL</v>
          </cell>
          <cell r="AA11724" t="str">
            <v>CESFAM MARTA UGARTE QUILICURA</v>
          </cell>
        </row>
        <row r="11725">
          <cell r="Z11725" t="str">
            <v>DENTAL</v>
          </cell>
          <cell r="AA11725" t="str">
            <v>HOSPITAL VICTOR RIOS RUIZ</v>
          </cell>
        </row>
        <row r="11726">
          <cell r="Z11726" t="str">
            <v>DENTAL</v>
          </cell>
          <cell r="AA11726" t="str">
            <v>INTEGRAMEDICA VIÑA DEL MAR</v>
          </cell>
        </row>
        <row r="11727">
          <cell r="Z11727" t="str">
            <v>DENTAL</v>
          </cell>
          <cell r="AA11727" t="str">
            <v>INTEGRAMEDICA VESPUCIO</v>
          </cell>
        </row>
        <row r="11728">
          <cell r="Z11728" t="str">
            <v>DENTAL</v>
          </cell>
        </row>
        <row r="11729">
          <cell r="Z11729" t="str">
            <v>DENTAL</v>
          </cell>
        </row>
        <row r="11730">
          <cell r="Z11730" t="str">
            <v>DENTAL</v>
          </cell>
          <cell r="AA11730" t="str">
            <v>CESFAM PENCAHUE</v>
          </cell>
        </row>
        <row r="11731">
          <cell r="Z11731" t="str">
            <v>DENTAL</v>
          </cell>
        </row>
        <row r="11732">
          <cell r="Z11732" t="str">
            <v>DENTAL</v>
          </cell>
        </row>
        <row r="11733">
          <cell r="Z11733" t="str">
            <v>DENTAL</v>
          </cell>
        </row>
        <row r="11734">
          <cell r="Z11734" t="str">
            <v>DENTAL</v>
          </cell>
          <cell r="AA11734" t="str">
            <v>CESFAM LLOLLEO</v>
          </cell>
        </row>
        <row r="11735">
          <cell r="Z11735" t="str">
            <v>DENTAL</v>
          </cell>
        </row>
        <row r="11736">
          <cell r="Z11736" t="str">
            <v>DENTAL</v>
          </cell>
        </row>
        <row r="11737">
          <cell r="Z11737" t="str">
            <v>DENTAL</v>
          </cell>
        </row>
        <row r="11738">
          <cell r="Z11738" t="str">
            <v>DENTAL</v>
          </cell>
          <cell r="AA11738" t="str">
            <v>INTEGRAMEDICA MAIPU</v>
          </cell>
        </row>
        <row r="11739">
          <cell r="Z11739" t="str">
            <v>DENTAL</v>
          </cell>
          <cell r="AA11739" t="str">
            <v>POLICENTER</v>
          </cell>
        </row>
        <row r="11740">
          <cell r="Z11740" t="str">
            <v>DENTAL</v>
          </cell>
        </row>
        <row r="11741">
          <cell r="Z11741" t="str">
            <v>DENTAL</v>
          </cell>
        </row>
        <row r="11742">
          <cell r="Z11742" t="str">
            <v>DENTAL</v>
          </cell>
        </row>
        <row r="11743">
          <cell r="Z11743" t="str">
            <v>DENTAL</v>
          </cell>
        </row>
        <row r="11744">
          <cell r="Z11744" t="str">
            <v>DENTAL</v>
          </cell>
        </row>
        <row r="11745">
          <cell r="Z11745" t="str">
            <v>DENTAL</v>
          </cell>
        </row>
        <row r="11746">
          <cell r="Z11746" t="str">
            <v>DENTAL</v>
          </cell>
        </row>
        <row r="11747">
          <cell r="Z11747" t="str">
            <v>DENTAL</v>
          </cell>
          <cell r="AA11747" t="str">
            <v>INTEGRAMEDICA S.A (Las Condes)</v>
          </cell>
        </row>
        <row r="11748">
          <cell r="Z11748" t="str">
            <v>DENTAL</v>
          </cell>
          <cell r="AA11748" t="str">
            <v>CESFAM SANTA TERESA</v>
          </cell>
        </row>
        <row r="11749">
          <cell r="Z11749" t="str">
            <v>DENTAL</v>
          </cell>
          <cell r="AA11749" t="str">
            <v>GEMCO GENERAL MACHINERY S.A.</v>
          </cell>
        </row>
        <row r="11750">
          <cell r="Z11750" t="str">
            <v>DENTAL</v>
          </cell>
          <cell r="AA11750" t="str">
            <v>CESFAM SOL DE SEPTIEMBRE</v>
          </cell>
        </row>
        <row r="11751">
          <cell r="Z11751" t="str">
            <v>DENTAL</v>
          </cell>
        </row>
        <row r="11752">
          <cell r="Z11752" t="str">
            <v>DENTAL</v>
          </cell>
        </row>
        <row r="11753">
          <cell r="Z11753" t="str">
            <v>DENTAL</v>
          </cell>
        </row>
        <row r="11754">
          <cell r="Z11754" t="str">
            <v>DENTAL</v>
          </cell>
        </row>
        <row r="11755">
          <cell r="Z11755" t="str">
            <v>DENTAL</v>
          </cell>
          <cell r="AA11755" t="str">
            <v>SOCIEDAD CONCESIONARIA METROPOLITANA DE SALUD S.A.</v>
          </cell>
        </row>
        <row r="11756">
          <cell r="Z11756" t="str">
            <v>DENTAL</v>
          </cell>
          <cell r="AA11756" t="str">
            <v>SOCIEDAD CONCESIONARIA METROPOLITANA DE SALUD S.A.</v>
          </cell>
        </row>
        <row r="11757">
          <cell r="Z11757" t="str">
            <v>DENTAL</v>
          </cell>
        </row>
        <row r="11758">
          <cell r="Z11758" t="str">
            <v>DENTAL</v>
          </cell>
          <cell r="AA11758" t="str">
            <v>GEMCO GENERAL MACHINERY S.A.</v>
          </cell>
        </row>
        <row r="11759">
          <cell r="Z11759" t="str">
            <v>DENTAL</v>
          </cell>
          <cell r="AA11759" t="str">
            <v>GEMCO GENERAL MACHINERY S.A.</v>
          </cell>
        </row>
        <row r="11760">
          <cell r="Z11760" t="str">
            <v>DENTAL</v>
          </cell>
          <cell r="AA11760" t="str">
            <v>DR. CRISTIAN FUENTES GARCIA</v>
          </cell>
        </row>
        <row r="11761">
          <cell r="Z11761" t="str">
            <v>DENTAL</v>
          </cell>
          <cell r="AA11761" t="str">
            <v>CESFAM CURICO CENTRO</v>
          </cell>
        </row>
        <row r="11762">
          <cell r="Z11762" t="str">
            <v>DENTAL</v>
          </cell>
          <cell r="AA11762" t="str">
            <v>HOSPITAL DE TOME</v>
          </cell>
        </row>
        <row r="11763">
          <cell r="Z11763" t="str">
            <v>DENTAL</v>
          </cell>
        </row>
        <row r="11764">
          <cell r="Z11764" t="str">
            <v>DENTAL</v>
          </cell>
          <cell r="AA11764" t="str">
            <v>CESFAM VIOLETA PARRA (PUDAHUEL)</v>
          </cell>
        </row>
        <row r="11765">
          <cell r="Z11765" t="str">
            <v>DENTAL</v>
          </cell>
        </row>
        <row r="11766">
          <cell r="Z11766" t="str">
            <v>DENTAL</v>
          </cell>
        </row>
        <row r="11767">
          <cell r="Z11767" t="str">
            <v>DENTAL</v>
          </cell>
        </row>
        <row r="11768">
          <cell r="Z11768" t="str">
            <v>DENTAL</v>
          </cell>
        </row>
        <row r="11769">
          <cell r="Z11769" t="str">
            <v>DENTAL</v>
          </cell>
          <cell r="AA11769" t="str">
            <v>DR. FRANCISCO ASTURIAS PEREZ</v>
          </cell>
        </row>
        <row r="11770">
          <cell r="Z11770" t="str">
            <v>DENTAL</v>
          </cell>
          <cell r="AA11770" t="str">
            <v>HOSPITAL CARLOS CISTERNA DE CALAMA</v>
          </cell>
        </row>
        <row r="11771">
          <cell r="Z11771" t="str">
            <v>DENTAL</v>
          </cell>
          <cell r="AA11771" t="str">
            <v>HOSPITAL CARLOS CISTERNA DE CALAMA</v>
          </cell>
        </row>
        <row r="11772">
          <cell r="Z11772" t="str">
            <v>DENTAL</v>
          </cell>
        </row>
        <row r="11773">
          <cell r="Z11773" t="str">
            <v>DENTAL</v>
          </cell>
          <cell r="AA11773" t="str">
            <v>GEMCO GENERAL MACHINERY S.A.</v>
          </cell>
        </row>
        <row r="11774">
          <cell r="Z11774" t="str">
            <v>DENTAL</v>
          </cell>
          <cell r="AA11774" t="str">
            <v>CENTRO ODONTOLOGICO MARITZA SALAS</v>
          </cell>
        </row>
        <row r="11775">
          <cell r="Z11775" t="str">
            <v>DENTAL</v>
          </cell>
        </row>
        <row r="11776">
          <cell r="Z11776" t="str">
            <v>DENTAL</v>
          </cell>
        </row>
        <row r="11777">
          <cell r="Z11777" t="str">
            <v>DENTAL</v>
          </cell>
          <cell r="AA11777" t="str">
            <v>HOSPITAL SANTO TOMAS DE LIMACHE</v>
          </cell>
        </row>
        <row r="11778">
          <cell r="Z11778" t="str">
            <v>DENTAL</v>
          </cell>
        </row>
        <row r="11779">
          <cell r="Z11779" t="str">
            <v>DENTAL</v>
          </cell>
        </row>
        <row r="11780">
          <cell r="Z11780" t="str">
            <v>DENTAL</v>
          </cell>
          <cell r="AA11780" t="str">
            <v>HOSPITAL SANTO TOMAS DE LIMACHE</v>
          </cell>
        </row>
        <row r="11781">
          <cell r="Z11781" t="str">
            <v>DENTAL</v>
          </cell>
          <cell r="AA11781" t="str">
            <v>CESFAM RAUL BRAÑES</v>
          </cell>
        </row>
        <row r="11782">
          <cell r="Z11782" t="str">
            <v>DENTAL</v>
          </cell>
        </row>
        <row r="11783">
          <cell r="Z11783" t="str">
            <v>DENTAL</v>
          </cell>
        </row>
        <row r="11784">
          <cell r="Z11784" t="str">
            <v>DENTAL</v>
          </cell>
        </row>
        <row r="11785">
          <cell r="Z11785" t="str">
            <v>DENTAL</v>
          </cell>
          <cell r="AA11785" t="str">
            <v>HOSPITAL LA LIGUA</v>
          </cell>
        </row>
        <row r="11786">
          <cell r="Z11786" t="str">
            <v>DENTAL</v>
          </cell>
        </row>
        <row r="11787">
          <cell r="Z11787" t="str">
            <v>DENTAL</v>
          </cell>
          <cell r="AA11787" t="str">
            <v>POLICIA DE INVESTIGACIONES ANTOFAGASTA</v>
          </cell>
        </row>
        <row r="11788">
          <cell r="Z11788" t="str">
            <v>DENTAL</v>
          </cell>
        </row>
        <row r="11789">
          <cell r="Z11789" t="str">
            <v>DENTAL</v>
          </cell>
        </row>
        <row r="11790">
          <cell r="Z11790" t="str">
            <v>DENTAL</v>
          </cell>
          <cell r="AA11790" t="str">
            <v>HOSPITAL BASE DE VALDIVIA</v>
          </cell>
        </row>
        <row r="11791">
          <cell r="Z11791" t="str">
            <v>DENTAL</v>
          </cell>
          <cell r="AA11791" t="str">
            <v>SERVICIOS ODONTOLOGICOS BRIDENT LTDA</v>
          </cell>
        </row>
        <row r="11792">
          <cell r="Z11792" t="str">
            <v>DENTAL</v>
          </cell>
          <cell r="AA11792" t="str">
            <v>HOSPITAL ROBERTO DEL RIO</v>
          </cell>
        </row>
        <row r="11793">
          <cell r="Z11793" t="str">
            <v>DENTAL</v>
          </cell>
        </row>
        <row r="11794">
          <cell r="Z11794" t="str">
            <v>DENTAL</v>
          </cell>
        </row>
        <row r="11795">
          <cell r="Z11795" t="str">
            <v>DENTAL</v>
          </cell>
        </row>
        <row r="11796">
          <cell r="Z11796" t="str">
            <v>DENTAL</v>
          </cell>
          <cell r="AA11796" t="str">
            <v>CLINICA MOVIL CENTINELA</v>
          </cell>
        </row>
        <row r="11797">
          <cell r="Z11797" t="str">
            <v>DENTAL</v>
          </cell>
        </row>
        <row r="11798">
          <cell r="Z11798" t="str">
            <v>DENTAL</v>
          </cell>
          <cell r="AA11798" t="str">
            <v>CLINICA MOVIL CENTINELA</v>
          </cell>
        </row>
        <row r="11799">
          <cell r="Z11799" t="str">
            <v>DENTAL</v>
          </cell>
          <cell r="AA11799" t="str">
            <v>CLINICA MOVIL CENTINELA</v>
          </cell>
        </row>
        <row r="11800">
          <cell r="Z11800" t="str">
            <v>DENTAL</v>
          </cell>
          <cell r="AA11800" t="str">
            <v>CLINICA MOVIL CENTINELA</v>
          </cell>
        </row>
        <row r="11801">
          <cell r="Z11801" t="str">
            <v>DENTAL</v>
          </cell>
          <cell r="AA11801" t="str">
            <v>CLINICA MOVIL CENTINELA</v>
          </cell>
        </row>
        <row r="11802">
          <cell r="Z11802" t="str">
            <v>DENTAL</v>
          </cell>
          <cell r="AA11802" t="str">
            <v>CLINICA MOVIL CENTINELA</v>
          </cell>
        </row>
        <row r="11803">
          <cell r="Z11803" t="str">
            <v>DENTAL</v>
          </cell>
          <cell r="AA11803" t="str">
            <v>CLINICA MOVIL CENTINELA</v>
          </cell>
        </row>
        <row r="11804">
          <cell r="Z11804" t="str">
            <v>DENTAL</v>
          </cell>
          <cell r="AA11804" t="str">
            <v>CLINICA MOVIL CENTINELA</v>
          </cell>
        </row>
        <row r="11805">
          <cell r="Z11805" t="str">
            <v>DENTAL</v>
          </cell>
          <cell r="AA11805" t="str">
            <v>CLINICA MOVIL CENTINELA</v>
          </cell>
        </row>
        <row r="11806">
          <cell r="Z11806" t="str">
            <v>DENTAL</v>
          </cell>
          <cell r="AA11806" t="str">
            <v>HOSPITAL NAVAL ALMIRANTE ADRIAZOLA</v>
          </cell>
        </row>
        <row r="11807">
          <cell r="Z11807" t="str">
            <v>DENTAL</v>
          </cell>
        </row>
        <row r="11808">
          <cell r="Z11808" t="str">
            <v>DENTAL</v>
          </cell>
          <cell r="AA11808" t="str">
            <v>CESFAM TALCA</v>
          </cell>
        </row>
        <row r="11809">
          <cell r="Z11809" t="str">
            <v>DENTAL</v>
          </cell>
        </row>
        <row r="11810">
          <cell r="Z11810" t="str">
            <v>DENTAL</v>
          </cell>
        </row>
        <row r="11811">
          <cell r="Z11811" t="str">
            <v>DENTAL</v>
          </cell>
          <cell r="AA11811" t="str">
            <v>HOSPITAL DR. GUSTAVO FRICKE</v>
          </cell>
        </row>
        <row r="11812">
          <cell r="Z11812" t="str">
            <v>DENTAL</v>
          </cell>
          <cell r="AA11812" t="str">
            <v>HOSPITAL CLAUDIO VICUÑA</v>
          </cell>
        </row>
        <row r="11813">
          <cell r="Z11813" t="str">
            <v>DENTAL</v>
          </cell>
          <cell r="AA11813" t="str">
            <v>CESFAM MACHALI</v>
          </cell>
        </row>
        <row r="11814">
          <cell r="Z11814" t="str">
            <v>DENTAL</v>
          </cell>
        </row>
        <row r="11815">
          <cell r="Z11815" t="str">
            <v>DENTAL</v>
          </cell>
          <cell r="AA11815" t="str">
            <v>HOSPITAL DE IQUIQUE</v>
          </cell>
        </row>
        <row r="11816">
          <cell r="Z11816" t="str">
            <v>DENTAL</v>
          </cell>
          <cell r="AA11816" t="str">
            <v>HOSPITAL LOS VILOS</v>
          </cell>
        </row>
        <row r="11817">
          <cell r="Z11817" t="str">
            <v>DENTAL</v>
          </cell>
        </row>
        <row r="11818">
          <cell r="Z11818" t="str">
            <v>DENTAL</v>
          </cell>
          <cell r="AA11818" t="str">
            <v>CAPREDENA</v>
          </cell>
        </row>
        <row r="11819">
          <cell r="Z11819" t="str">
            <v>DENTAL</v>
          </cell>
        </row>
        <row r="11820">
          <cell r="Z11820" t="str">
            <v>DENTAL</v>
          </cell>
          <cell r="AA11820" t="str">
            <v>CESFAM SAN RAFAEL</v>
          </cell>
        </row>
        <row r="11821">
          <cell r="Z11821" t="str">
            <v>DENTAL</v>
          </cell>
        </row>
        <row r="11822">
          <cell r="Z11822" t="str">
            <v>DENTAL</v>
          </cell>
          <cell r="AA11822" t="str">
            <v>CENTRO ODONTOLOGICO MARITZA SALAS</v>
          </cell>
        </row>
        <row r="11823">
          <cell r="Z11823" t="str">
            <v>DENTAL</v>
          </cell>
        </row>
        <row r="11824">
          <cell r="Z11824" t="str">
            <v>DENTAL</v>
          </cell>
        </row>
        <row r="11825">
          <cell r="Z11825" t="str">
            <v>DENTAL</v>
          </cell>
        </row>
        <row r="11826">
          <cell r="Z11826" t="str">
            <v>DENTAL</v>
          </cell>
          <cell r="AA11826" t="str">
            <v>HOSPITAL PENCO -LIRQUEN</v>
          </cell>
        </row>
        <row r="11827">
          <cell r="Z11827" t="str">
            <v>DENTAL</v>
          </cell>
        </row>
        <row r="11828">
          <cell r="Z11828" t="str">
            <v>DENTAL</v>
          </cell>
          <cell r="AA11828" t="str">
            <v xml:space="preserve">CESFAM CONSTITUCIÓN </v>
          </cell>
        </row>
        <row r="11829">
          <cell r="Z11829" t="str">
            <v>DENTAL</v>
          </cell>
          <cell r="AA11829" t="str">
            <v>CECOSF CERRO ESTANQUE DE TOME</v>
          </cell>
        </row>
        <row r="11830">
          <cell r="Z11830" t="str">
            <v>DENTAL</v>
          </cell>
        </row>
        <row r="11831">
          <cell r="Z11831" t="str">
            <v>DENTAL</v>
          </cell>
          <cell r="AA11831" t="str">
            <v>CESFAM LORETO DE COLTAUCO</v>
          </cell>
        </row>
        <row r="11832">
          <cell r="Z11832" t="str">
            <v>DENTAL</v>
          </cell>
        </row>
        <row r="11833">
          <cell r="Z11833" t="str">
            <v>DENTAL</v>
          </cell>
          <cell r="AA11833" t="str">
            <v>CESFAM YERBAS BUENAS</v>
          </cell>
        </row>
        <row r="11834">
          <cell r="Z11834" t="str">
            <v>DENTAL</v>
          </cell>
        </row>
        <row r="11835">
          <cell r="Z11835" t="str">
            <v>DENTAL</v>
          </cell>
          <cell r="AA11835" t="str">
            <v>POLICIA DE INVESTIGACIONES DE CHILE</v>
          </cell>
        </row>
        <row r="11836">
          <cell r="Z11836" t="str">
            <v>DENTAL</v>
          </cell>
        </row>
        <row r="11837">
          <cell r="Z11837" t="str">
            <v>DENTAL</v>
          </cell>
        </row>
        <row r="11838">
          <cell r="Z11838" t="str">
            <v>DENTAL</v>
          </cell>
        </row>
        <row r="11839">
          <cell r="Z11839" t="str">
            <v>DENTAL</v>
          </cell>
        </row>
        <row r="11840">
          <cell r="Z11840" t="str">
            <v>DENTAL</v>
          </cell>
          <cell r="AA11840" t="str">
            <v>UNIVERSIDAD ARTURO PRAT</v>
          </cell>
        </row>
        <row r="11841">
          <cell r="Z11841" t="str">
            <v>DENTAL</v>
          </cell>
          <cell r="AA11841" t="str">
            <v>UNIVERSIDAD ARTURO PRAT</v>
          </cell>
        </row>
        <row r="11842">
          <cell r="Z11842" t="str">
            <v>DENTAL</v>
          </cell>
          <cell r="AA11842" t="str">
            <v>CENTRO ODONTOLOGICO MARITZA SALAS</v>
          </cell>
        </row>
        <row r="11843">
          <cell r="Z11843" t="str">
            <v>DENTAL</v>
          </cell>
          <cell r="AA11843" t="str">
            <v>CESFAM PICA</v>
          </cell>
        </row>
        <row r="11844">
          <cell r="Z11844" t="str">
            <v>DENTAL</v>
          </cell>
        </row>
        <row r="11845">
          <cell r="Z11845" t="str">
            <v>DENTAL</v>
          </cell>
        </row>
        <row r="11846">
          <cell r="Z11846" t="str">
            <v>DENTAL</v>
          </cell>
        </row>
        <row r="11847">
          <cell r="Z11847" t="str">
            <v>DENTAL</v>
          </cell>
          <cell r="AA11847" t="str">
            <v>HOSPITAL DE QUINTEROS</v>
          </cell>
        </row>
        <row r="11848">
          <cell r="Z11848" t="str">
            <v>DENTAL</v>
          </cell>
          <cell r="AA11848" t="str">
            <v>HOSPITAL LA LIGUA</v>
          </cell>
        </row>
        <row r="11849">
          <cell r="Z11849" t="str">
            <v>DENTAL</v>
          </cell>
        </row>
        <row r="11850">
          <cell r="Z11850" t="str">
            <v>DENTAL</v>
          </cell>
          <cell r="AA11850" t="str">
            <v>INTEGRAMEDICA MANQUEHUE</v>
          </cell>
        </row>
        <row r="11851">
          <cell r="Z11851" t="str">
            <v>DENTAL</v>
          </cell>
          <cell r="AA11851" t="str">
            <v>INTEGRAMEDICA MANQUEHUE</v>
          </cell>
        </row>
        <row r="11852">
          <cell r="Z11852" t="str">
            <v>DENTAL</v>
          </cell>
        </row>
        <row r="11853">
          <cell r="Z11853" t="str">
            <v>DENTAL</v>
          </cell>
        </row>
        <row r="11854">
          <cell r="Z11854" t="str">
            <v>DENTAL</v>
          </cell>
        </row>
        <row r="11855">
          <cell r="Z11855" t="str">
            <v>DENTAL</v>
          </cell>
          <cell r="AA11855" t="str">
            <v>POSTA LIMAHUIDA</v>
          </cell>
        </row>
        <row r="11856">
          <cell r="Z11856" t="str">
            <v>DENTAL</v>
          </cell>
        </row>
        <row r="11857">
          <cell r="Z11857" t="str">
            <v>DENTAL</v>
          </cell>
        </row>
        <row r="11858">
          <cell r="Z11858" t="str">
            <v>DENTAL</v>
          </cell>
        </row>
        <row r="11859">
          <cell r="Z11859" t="str">
            <v>DENTAL</v>
          </cell>
          <cell r="AA11859" t="str">
            <v>HOSPITAL DE QUILLOTA</v>
          </cell>
        </row>
        <row r="11860">
          <cell r="Z11860" t="str">
            <v>DENTAL</v>
          </cell>
          <cell r="AA11860" t="str">
            <v>HOSPITAL DE CABILDO</v>
          </cell>
        </row>
        <row r="11861">
          <cell r="Z11861" t="str">
            <v>DENTAL</v>
          </cell>
        </row>
        <row r="11862">
          <cell r="Z11862" t="str">
            <v>DENTAL</v>
          </cell>
          <cell r="AA11862" t="str">
            <v>CESFAM ROMERAL</v>
          </cell>
        </row>
        <row r="11863">
          <cell r="Z11863" t="str">
            <v>DENTAL</v>
          </cell>
        </row>
        <row r="11864">
          <cell r="Z11864" t="str">
            <v>DENTAL</v>
          </cell>
        </row>
        <row r="11865">
          <cell r="Z11865" t="str">
            <v>DENTAL</v>
          </cell>
        </row>
        <row r="11866">
          <cell r="Z11866" t="str">
            <v>DENTAL</v>
          </cell>
        </row>
        <row r="11867">
          <cell r="Z11867" t="str">
            <v>DENTAL</v>
          </cell>
        </row>
        <row r="11868">
          <cell r="Z11868" t="str">
            <v>DENTAL</v>
          </cell>
          <cell r="AA11868" t="str">
            <v>S. SALUD METROPOLITANO SUR ORIENTE</v>
          </cell>
        </row>
        <row r="11869">
          <cell r="Z11869" t="str">
            <v>DENTAL</v>
          </cell>
        </row>
        <row r="11870">
          <cell r="Z11870" t="str">
            <v>DENTAL</v>
          </cell>
        </row>
        <row r="11871">
          <cell r="Z11871" t="str">
            <v>DENTAL</v>
          </cell>
          <cell r="AA11871" t="str">
            <v>CESFAM RIO CLARO</v>
          </cell>
        </row>
        <row r="11872">
          <cell r="Z11872" t="str">
            <v>DENTAL</v>
          </cell>
          <cell r="AA11872" t="str">
            <v>HOSPITAL NUEVO LA FLORIDA-CONCEPCION</v>
          </cell>
        </row>
        <row r="11873">
          <cell r="Z11873" t="str">
            <v>DENTAL</v>
          </cell>
        </row>
        <row r="11874">
          <cell r="Z11874" t="str">
            <v>DENTAL</v>
          </cell>
        </row>
        <row r="11875">
          <cell r="Z11875" t="str">
            <v>DENTAL</v>
          </cell>
        </row>
        <row r="11876">
          <cell r="Z11876" t="str">
            <v>DENTAL</v>
          </cell>
          <cell r="AA11876" t="str">
            <v>I.MUNICIPALIDAD DE LA UNION</v>
          </cell>
        </row>
        <row r="11877">
          <cell r="Z11877" t="str">
            <v>DENTAL</v>
          </cell>
        </row>
        <row r="11878">
          <cell r="Z11878" t="str">
            <v>DENTAL</v>
          </cell>
        </row>
        <row r="11879">
          <cell r="Z11879" t="str">
            <v>DENTAL</v>
          </cell>
        </row>
        <row r="11880">
          <cell r="Z11880" t="str">
            <v>DENTAL</v>
          </cell>
          <cell r="AA11880" t="str">
            <v>I MUNICIPALIDAD DE VICUÑA</v>
          </cell>
        </row>
        <row r="11881">
          <cell r="Z11881" t="str">
            <v>DENTAL</v>
          </cell>
        </row>
        <row r="11882">
          <cell r="Z11882" t="str">
            <v>DENTAL</v>
          </cell>
          <cell r="AA11882" t="str">
            <v>CESFAM EL SAUCE COQUIMBO</v>
          </cell>
        </row>
        <row r="11883">
          <cell r="Z11883" t="str">
            <v>DENTAL</v>
          </cell>
        </row>
        <row r="11884">
          <cell r="Z11884" t="str">
            <v>DENTAL</v>
          </cell>
        </row>
        <row r="11885">
          <cell r="Z11885" t="str">
            <v>DENTAL</v>
          </cell>
        </row>
        <row r="11886">
          <cell r="Z11886" t="str">
            <v>DENTAL</v>
          </cell>
        </row>
        <row r="11887">
          <cell r="Z11887" t="str">
            <v>DENTAL</v>
          </cell>
        </row>
        <row r="11888">
          <cell r="Z11888" t="str">
            <v>DENTAL</v>
          </cell>
          <cell r="AA11888" t="str">
            <v>CECOSF CHUMAQUITO</v>
          </cell>
        </row>
        <row r="11889">
          <cell r="Z11889" t="str">
            <v>DENTAL</v>
          </cell>
          <cell r="AA11889" t="str">
            <v>CESFAM SAN VICENTE TALCAHUANO</v>
          </cell>
        </row>
        <row r="11890">
          <cell r="Z11890" t="str">
            <v>DENTAL</v>
          </cell>
        </row>
        <row r="11891">
          <cell r="Z11891" t="str">
            <v>DENTAL</v>
          </cell>
          <cell r="AA11891" t="str">
            <v>CESFAM NAVIDAD</v>
          </cell>
        </row>
        <row r="11892">
          <cell r="Z11892" t="str">
            <v>DENTAL</v>
          </cell>
        </row>
        <row r="11893">
          <cell r="Z11893" t="str">
            <v>DENTAL</v>
          </cell>
        </row>
        <row r="11894">
          <cell r="Z11894" t="str">
            <v>DENTAL</v>
          </cell>
        </row>
        <row r="11895">
          <cell r="Z11895" t="str">
            <v>DENTAL</v>
          </cell>
        </row>
        <row r="11896">
          <cell r="Z11896" t="str">
            <v>DENTAL</v>
          </cell>
        </row>
        <row r="11897">
          <cell r="Z11897" t="str">
            <v>DENTAL</v>
          </cell>
        </row>
        <row r="11898">
          <cell r="Z11898" t="str">
            <v>DENTAL</v>
          </cell>
        </row>
        <row r="11899">
          <cell r="Z11899" t="str">
            <v>DENTAL</v>
          </cell>
        </row>
        <row r="11900">
          <cell r="Z11900" t="str">
            <v>DENTAL</v>
          </cell>
          <cell r="AA11900" t="str">
            <v>INTEGRAMEDICA ESTACION CENTRAL</v>
          </cell>
        </row>
        <row r="11901">
          <cell r="Z11901" t="str">
            <v>DENTAL</v>
          </cell>
          <cell r="AA11901" t="str">
            <v>CLINICA MOVIL CENTINELA</v>
          </cell>
        </row>
        <row r="11902">
          <cell r="Z11902" t="str">
            <v>DENTAL</v>
          </cell>
        </row>
        <row r="11903">
          <cell r="Z11903" t="str">
            <v>DENTAL</v>
          </cell>
          <cell r="AA11903" t="str">
            <v>CLINICA MOVIL CENTINELA</v>
          </cell>
        </row>
        <row r="11904">
          <cell r="Z11904" t="str">
            <v>DENTAL</v>
          </cell>
          <cell r="AA11904" t="str">
            <v>CESFAM N° 2 RANCAGUA</v>
          </cell>
        </row>
        <row r="11905">
          <cell r="Z11905" t="str">
            <v>DENTAL</v>
          </cell>
        </row>
        <row r="11906">
          <cell r="Z11906" t="str">
            <v>DENTAL</v>
          </cell>
          <cell r="AA11906" t="str">
            <v>CORP. MUNICIPAL DESARROLLO SOCIAL ANTOFAGASTA</v>
          </cell>
        </row>
        <row r="11907">
          <cell r="Z11907" t="str">
            <v>DENTAL</v>
          </cell>
          <cell r="AA11907" t="str">
            <v>CORP. MUNICIPAL DESARROLLO SOCIAL ANTOFAGASTA</v>
          </cell>
        </row>
        <row r="11908">
          <cell r="Z11908" t="str">
            <v>DENTAL</v>
          </cell>
          <cell r="AA11908" t="str">
            <v>S.S VIÑA DEL MAR-QUILLOTA</v>
          </cell>
        </row>
        <row r="11909">
          <cell r="Z11909" t="str">
            <v>DENTAL</v>
          </cell>
          <cell r="AA11909" t="str">
            <v>S.S VIÑA DEL MAR-QUILLOTA</v>
          </cell>
        </row>
        <row r="11910">
          <cell r="Z11910" t="str">
            <v>DENTAL</v>
          </cell>
          <cell r="AA11910" t="str">
            <v>LA ARAUCANA SALUD S.A.</v>
          </cell>
        </row>
        <row r="11911">
          <cell r="Z11911" t="str">
            <v>DENTAL</v>
          </cell>
        </row>
        <row r="11912">
          <cell r="Z11912" t="str">
            <v>DENTAL</v>
          </cell>
          <cell r="AA11912" t="str">
            <v>SERVICIO DE SALUD VALPARAISO SN ANTONIO</v>
          </cell>
        </row>
        <row r="11913">
          <cell r="Z11913" t="str">
            <v>DENTAL</v>
          </cell>
        </row>
        <row r="11914">
          <cell r="Z11914" t="str">
            <v>DENTAL</v>
          </cell>
          <cell r="AA11914" t="str">
            <v>HOSPITAL DR. GUSTAVO FRICKE</v>
          </cell>
        </row>
        <row r="11915">
          <cell r="Z11915" t="str">
            <v>DENTAL</v>
          </cell>
          <cell r="AA11915" t="str">
            <v>HOSPITAL CLAUDIO VICUÑA</v>
          </cell>
        </row>
        <row r="11916">
          <cell r="Z11916" t="str">
            <v>DENTAL</v>
          </cell>
          <cell r="AA11916" t="str">
            <v>CORP. MUNICIPAL DESARROLLO SOCIAL ANTOFAGASTA</v>
          </cell>
        </row>
        <row r="11917">
          <cell r="Z11917" t="str">
            <v>DENTAL</v>
          </cell>
          <cell r="AA11917" t="str">
            <v>CORP. MUNICIPAL DESARROLLO SOCIAL ANTOFAGASTA</v>
          </cell>
        </row>
        <row r="11918">
          <cell r="Z11918" t="str">
            <v>DENTAL</v>
          </cell>
          <cell r="AA11918" t="str">
            <v>HOSPITAL DE IQUIQUE</v>
          </cell>
        </row>
        <row r="11919">
          <cell r="Z11919" t="str">
            <v>DENTAL</v>
          </cell>
          <cell r="AA11919" t="str">
            <v>HOSPITAL LOS VILOS</v>
          </cell>
        </row>
        <row r="11920">
          <cell r="Z11920" t="str">
            <v>DENTAL</v>
          </cell>
          <cell r="AA11920" t="str">
            <v>GEMCO GENERAL MACHINERY S.A.</v>
          </cell>
        </row>
        <row r="11921">
          <cell r="Z11921" t="str">
            <v>DENTAL</v>
          </cell>
          <cell r="AA11921" t="str">
            <v>VICTOR PATRICIO CANALES BURGOS</v>
          </cell>
        </row>
        <row r="11922">
          <cell r="Z11922" t="str">
            <v>DENTAL</v>
          </cell>
          <cell r="AA11922" t="str">
            <v>ODONTOLOGIA GARCIA TOMASSOVICH S.A.</v>
          </cell>
        </row>
        <row r="11923">
          <cell r="Z11923" t="str">
            <v>DENTAL</v>
          </cell>
          <cell r="AA11923" t="str">
            <v>EQUIPOS E INSUMOS MEDICOS LTDA.</v>
          </cell>
        </row>
        <row r="11924">
          <cell r="Z11924" t="str">
            <v>DENTAL</v>
          </cell>
        </row>
        <row r="11925">
          <cell r="Z11925" t="str">
            <v>DENTAL</v>
          </cell>
        </row>
        <row r="11926">
          <cell r="Z11926" t="str">
            <v>DENTAL</v>
          </cell>
        </row>
        <row r="11927">
          <cell r="Z11927" t="str">
            <v>DENTAL</v>
          </cell>
        </row>
        <row r="11928">
          <cell r="Z11928" t="str">
            <v>DENTAL</v>
          </cell>
          <cell r="AA11928" t="str">
            <v>DR. CLAUDIO ARROYO</v>
          </cell>
        </row>
        <row r="11929">
          <cell r="Z11929" t="str">
            <v>DENTAL</v>
          </cell>
          <cell r="AA11929" t="str">
            <v>CESFAM LOMA COLORADA</v>
          </cell>
        </row>
        <row r="11930">
          <cell r="Z11930" t="str">
            <v>DENTAL</v>
          </cell>
          <cell r="AA11930" t="str">
            <v>CESFAM RENGO</v>
          </cell>
        </row>
        <row r="11931">
          <cell r="Z11931" t="str">
            <v>DENTAL</v>
          </cell>
        </row>
        <row r="11932">
          <cell r="Z11932" t="str">
            <v>DENTAL</v>
          </cell>
        </row>
        <row r="11933">
          <cell r="Z11933" t="str">
            <v>DENTAL</v>
          </cell>
        </row>
        <row r="11934">
          <cell r="Z11934" t="str">
            <v>DENTAL</v>
          </cell>
          <cell r="AA11934" t="str">
            <v>CESFAM  DICHATO</v>
          </cell>
        </row>
        <row r="11935">
          <cell r="Z11935" t="str">
            <v>DENTAL</v>
          </cell>
        </row>
        <row r="11936">
          <cell r="Z11936" t="str">
            <v>DENTAL</v>
          </cell>
          <cell r="AA11936" t="str">
            <v>SERVICIO DE SALUD METROPOLITANO CENTRAL</v>
          </cell>
        </row>
        <row r="11937">
          <cell r="Z11937" t="str">
            <v>DENTAL</v>
          </cell>
        </row>
        <row r="11938">
          <cell r="Z11938" t="str">
            <v>DENTAL</v>
          </cell>
          <cell r="AA11938" t="str">
            <v>CESFAM LORETO DE COLTAUCO</v>
          </cell>
        </row>
        <row r="11939">
          <cell r="Z11939" t="str">
            <v>DENTAL</v>
          </cell>
        </row>
        <row r="11940">
          <cell r="Z11940" t="str">
            <v>DENTAL</v>
          </cell>
        </row>
        <row r="11941">
          <cell r="Z11941" t="str">
            <v>DENTAL</v>
          </cell>
          <cell r="AA11941" t="str">
            <v>HOSPITAL DE PARRAL</v>
          </cell>
        </row>
        <row r="11942">
          <cell r="Z11942" t="str">
            <v>DENTAL</v>
          </cell>
          <cell r="AA11942" t="str">
            <v>CLINICA MOVIL CENTINELA</v>
          </cell>
        </row>
        <row r="11943">
          <cell r="Z11943" t="str">
            <v>DENTAL</v>
          </cell>
          <cell r="AA11943" t="str">
            <v>CESFAM TUCAPEL</v>
          </cell>
        </row>
        <row r="11944">
          <cell r="Z11944" t="str">
            <v>DENTAL</v>
          </cell>
        </row>
        <row r="11945">
          <cell r="Z11945" t="str">
            <v>DENTAL</v>
          </cell>
        </row>
        <row r="11946">
          <cell r="Z11946" t="str">
            <v>DENTAL</v>
          </cell>
        </row>
        <row r="11947">
          <cell r="Z11947" t="str">
            <v>DENTAL</v>
          </cell>
        </row>
        <row r="11948">
          <cell r="Z11948" t="str">
            <v>MOBILIARIO CLINICO</v>
          </cell>
        </row>
        <row r="11949">
          <cell r="Z11949" t="str">
            <v>MOBILIARIO CLINICO</v>
          </cell>
          <cell r="AA11949" t="str">
            <v>HOSPITAL VICTOR RIOS RUIZ</v>
          </cell>
        </row>
        <row r="11950">
          <cell r="Z11950" t="str">
            <v>MOBILIARIO CLINICO</v>
          </cell>
        </row>
        <row r="11951">
          <cell r="Z11951" t="str">
            <v>MOBILIARIO CLINICO</v>
          </cell>
        </row>
        <row r="11952">
          <cell r="Z11952" t="str">
            <v>DENTAL</v>
          </cell>
          <cell r="AA11952" t="str">
            <v>SERVICIO DE SALUD CHILOE</v>
          </cell>
        </row>
        <row r="11953">
          <cell r="Z11953" t="str">
            <v>DENTAL</v>
          </cell>
          <cell r="AA11953" t="str">
            <v>HOSPITAL CLAUDIO VICUÑA</v>
          </cell>
        </row>
        <row r="11954">
          <cell r="Z11954" t="str">
            <v>DENTAL</v>
          </cell>
          <cell r="AA11954" t="str">
            <v>SERVICIO DE SALUD METROPOLITANO CENTRAL</v>
          </cell>
        </row>
        <row r="11955">
          <cell r="Z11955" t="str">
            <v>DENTAL</v>
          </cell>
          <cell r="AA11955" t="str">
            <v>HOSPITAL DE CURANILAHUE DR. RAFAEL AVARIA</v>
          </cell>
        </row>
        <row r="11956">
          <cell r="Z11956" t="str">
            <v>DENTAL</v>
          </cell>
          <cell r="AA11956" t="str">
            <v>EXPRO S.A. </v>
          </cell>
        </row>
        <row r="11957">
          <cell r="Z11957" t="str">
            <v>DENTAL</v>
          </cell>
        </row>
        <row r="11958">
          <cell r="Z11958" t="str">
            <v>DENTAL</v>
          </cell>
          <cell r="AA11958" t="str">
            <v>EXPRO S.A. </v>
          </cell>
        </row>
        <row r="11959">
          <cell r="Z11959" t="str">
            <v>DENTAL</v>
          </cell>
          <cell r="AA11959" t="str">
            <v>HOSPITAL SAN JOSÉ</v>
          </cell>
        </row>
        <row r="11960">
          <cell r="Z11960" t="str">
            <v>DENTAL</v>
          </cell>
          <cell r="AA11960" t="str">
            <v>EXPRO S.A. </v>
          </cell>
        </row>
        <row r="11961">
          <cell r="Z11961" t="str">
            <v>DENTAL</v>
          </cell>
        </row>
        <row r="11962">
          <cell r="Z11962" t="str">
            <v>DENTAL</v>
          </cell>
          <cell r="AA11962" t="str">
            <v>HOSPITAL BASE DE LINARES</v>
          </cell>
        </row>
        <row r="11963">
          <cell r="Z11963" t="str">
            <v>DENTAL</v>
          </cell>
          <cell r="AA11963" t="str">
            <v>EXPRO S.A. </v>
          </cell>
        </row>
        <row r="11964">
          <cell r="Z11964" t="str">
            <v>DENTAL</v>
          </cell>
          <cell r="AA11964" t="str">
            <v>INTEGRAMEDICA CENTROS MEDICOS S.A.</v>
          </cell>
        </row>
        <row r="11965">
          <cell r="Z11965" t="str">
            <v>DENTAL</v>
          </cell>
        </row>
        <row r="11966">
          <cell r="Z11966" t="str">
            <v>DENTAL</v>
          </cell>
        </row>
        <row r="11967">
          <cell r="Z11967" t="str">
            <v>DENTAL</v>
          </cell>
          <cell r="AA11967" t="str">
            <v>CESFAM CURICO CENTRO</v>
          </cell>
        </row>
        <row r="11968">
          <cell r="Z11968" t="str">
            <v>DENTAL</v>
          </cell>
        </row>
        <row r="11969">
          <cell r="Z11969" t="str">
            <v>DENTAL</v>
          </cell>
          <cell r="AA11969" t="str">
            <v>EXPRO S.A. </v>
          </cell>
        </row>
        <row r="11970">
          <cell r="Z11970" t="str">
            <v>DENTAL</v>
          </cell>
        </row>
        <row r="11971">
          <cell r="Z11971" t="str">
            <v>DENTAL</v>
          </cell>
        </row>
        <row r="11972">
          <cell r="Z11972" t="str">
            <v>DENTAL</v>
          </cell>
          <cell r="AA11972" t="str">
            <v>HOSPITAL DE PARRAL</v>
          </cell>
        </row>
        <row r="11973">
          <cell r="Z11973" t="str">
            <v>DENTAL</v>
          </cell>
        </row>
        <row r="11974">
          <cell r="Z11974" t="str">
            <v>DENTAL</v>
          </cell>
        </row>
        <row r="11975">
          <cell r="Z11975" t="str">
            <v>DENTAL</v>
          </cell>
          <cell r="AA11975" t="str">
            <v>CRS PEÑALOLEN CORDILLERA ORIENTE </v>
          </cell>
        </row>
        <row r="11976">
          <cell r="Z11976" t="str">
            <v>DENTAL</v>
          </cell>
        </row>
        <row r="11977">
          <cell r="Z11977" t="str">
            <v>DENTAL</v>
          </cell>
          <cell r="AA11977" t="str">
            <v>SERVICIOS CLINICOS DEL DESARROLLO S.A</v>
          </cell>
        </row>
        <row r="11978">
          <cell r="Z11978" t="str">
            <v>DENTAL</v>
          </cell>
          <cell r="AA11978" t="str">
            <v>SERVICIOS CLINICOS DEL DESARROLLO S.A</v>
          </cell>
        </row>
        <row r="11979">
          <cell r="Z11979" t="str">
            <v>DENTAL</v>
          </cell>
          <cell r="AA11979" t="str">
            <v>CESFAM RENGO</v>
          </cell>
        </row>
        <row r="11980">
          <cell r="Z11980" t="str">
            <v>DENTAL</v>
          </cell>
          <cell r="AA11980" t="str">
            <v>INTEGRAMEDICA TOBALABA</v>
          </cell>
        </row>
        <row r="11981">
          <cell r="Z11981" t="str">
            <v>DENTAL</v>
          </cell>
          <cell r="AA11981" t="str">
            <v>I.MUNICIPALIDAD DE CURICO DPTO. SALUD</v>
          </cell>
        </row>
        <row r="11982">
          <cell r="Z11982" t="str">
            <v>DENTAL</v>
          </cell>
          <cell r="AA11982" t="str">
            <v>INTEGRAMEDICA PUENTE ALTO</v>
          </cell>
        </row>
        <row r="11983">
          <cell r="Z11983" t="str">
            <v>DENTAL</v>
          </cell>
          <cell r="AA11983" t="str">
            <v>INTEGRAMEDICA PUENTE ALTO</v>
          </cell>
        </row>
        <row r="11984">
          <cell r="Z11984" t="str">
            <v>DENTAL</v>
          </cell>
          <cell r="AA11984" t="str">
            <v>LA ARAUCANA SALUD S.A.</v>
          </cell>
        </row>
        <row r="11985">
          <cell r="Z11985" t="str">
            <v>DENTAL</v>
          </cell>
        </row>
        <row r="11986">
          <cell r="Z11986" t="str">
            <v>DENTAL</v>
          </cell>
        </row>
        <row r="11987">
          <cell r="Z11987" t="str">
            <v>DENTAL</v>
          </cell>
        </row>
        <row r="11988">
          <cell r="Z11988" t="str">
            <v>DENTAL</v>
          </cell>
          <cell r="AA11988" t="str">
            <v>HOSPITAL CLAUDIO VICUÑA</v>
          </cell>
        </row>
        <row r="11989">
          <cell r="Z11989" t="str">
            <v>DENTAL</v>
          </cell>
          <cell r="AA11989" t="str">
            <v>SERVICIOS CLINICOS DEL DESARROLLO S.A</v>
          </cell>
        </row>
        <row r="11990">
          <cell r="Z11990" t="str">
            <v>DENTAL</v>
          </cell>
          <cell r="AA11990" t="str">
            <v>SERVICIOS CLINICOS DEL DESARROLLO S.A</v>
          </cell>
        </row>
        <row r="11991">
          <cell r="Z11991" t="str">
            <v>DENTAL</v>
          </cell>
          <cell r="AA11991" t="str">
            <v>INTEGRAMEDICA SANTA LUCIA.</v>
          </cell>
        </row>
        <row r="11992">
          <cell r="Z11992" t="str">
            <v>DENTAL</v>
          </cell>
          <cell r="AA11992" t="str">
            <v>INTEGRAMEDICA SANTA LUCIA.</v>
          </cell>
        </row>
        <row r="11993">
          <cell r="Z11993" t="str">
            <v>DENTAL</v>
          </cell>
          <cell r="AA11993" t="str">
            <v>HOSPITAL SAN JOSÉ</v>
          </cell>
        </row>
        <row r="11994">
          <cell r="Z11994" t="str">
            <v>DENTAL</v>
          </cell>
        </row>
        <row r="11995">
          <cell r="Z11995" t="str">
            <v>DENTAL</v>
          </cell>
          <cell r="AA11995" t="str">
            <v>INTEGRAMEDICA SAN MIGUEL</v>
          </cell>
        </row>
        <row r="11996">
          <cell r="Z11996" t="str">
            <v>DENTAL</v>
          </cell>
          <cell r="AA11996" t="str">
            <v>HOSPITAL SAN JOSÉ</v>
          </cell>
        </row>
        <row r="11997">
          <cell r="Z11997" t="str">
            <v>DENTAL</v>
          </cell>
          <cell r="AA11997" t="str">
            <v>INTEGRAMEDICA MAIPU</v>
          </cell>
        </row>
        <row r="11998">
          <cell r="Z11998" t="str">
            <v>DENTAL</v>
          </cell>
          <cell r="AA11998" t="str">
            <v>INTEGRAMEDICA BANDERA</v>
          </cell>
        </row>
        <row r="11999">
          <cell r="Z11999" t="str">
            <v>DENTAL</v>
          </cell>
          <cell r="AA11999" t="str">
            <v>INTEGRAMEDICA BANDERA</v>
          </cell>
        </row>
        <row r="12000">
          <cell r="Z12000" t="str">
            <v>DENTAL</v>
          </cell>
          <cell r="AA12000" t="str">
            <v>GEMCO GENERAL MACHINERY S.A.</v>
          </cell>
        </row>
        <row r="12001">
          <cell r="Z12001" t="str">
            <v>DENTAL</v>
          </cell>
          <cell r="AA12001" t="str">
            <v>GEMCO GENERAL MACHINERY S.A.</v>
          </cell>
        </row>
        <row r="12002">
          <cell r="Z12002" t="str">
            <v>DENTAL</v>
          </cell>
          <cell r="AA12002" t="str">
            <v>GEMCO GENERAL MACHINERY S.A.</v>
          </cell>
        </row>
        <row r="12003">
          <cell r="Z12003" t="str">
            <v>DENTAL</v>
          </cell>
          <cell r="AA12003" t="str">
            <v>GEMCO GENERAL MACHINERY S.A.</v>
          </cell>
        </row>
        <row r="12004">
          <cell r="Z12004" t="str">
            <v>DENTAL</v>
          </cell>
        </row>
        <row r="12005">
          <cell r="Z12005" t="str">
            <v>DENTAL</v>
          </cell>
          <cell r="AA12005" t="str">
            <v>GEMCO GENERAL MACHINERY S.A.</v>
          </cell>
        </row>
        <row r="12006">
          <cell r="Z12006" t="str">
            <v>DENTAL</v>
          </cell>
        </row>
        <row r="12007">
          <cell r="Z12007" t="str">
            <v>DENTAL</v>
          </cell>
          <cell r="AA12007" t="str">
            <v>GEMCO GENERAL MACHINERY S.A.</v>
          </cell>
        </row>
        <row r="12008">
          <cell r="Z12008" t="str">
            <v>DENTAL</v>
          </cell>
          <cell r="AA12008" t="str">
            <v>GEMCO GENERAL MACHINERY S.A.</v>
          </cell>
        </row>
        <row r="12009">
          <cell r="Z12009" t="str">
            <v>DENTAL</v>
          </cell>
          <cell r="AA12009" t="str">
            <v>GEMCO GENERAL MACHINERY S.A.</v>
          </cell>
        </row>
        <row r="12010">
          <cell r="Z12010" t="str">
            <v>DENTAL</v>
          </cell>
          <cell r="AA12010" t="str">
            <v>GEMCO GENERAL MACHINERY S.A.</v>
          </cell>
        </row>
        <row r="12011">
          <cell r="Z12011" t="str">
            <v>DENTAL</v>
          </cell>
        </row>
        <row r="12012">
          <cell r="Z12012" t="str">
            <v>DENTAL</v>
          </cell>
          <cell r="AA12012" t="str">
            <v>INTEGRAMEDICA VESPUCIO</v>
          </cell>
        </row>
        <row r="12013">
          <cell r="Z12013" t="str">
            <v>DENTAL</v>
          </cell>
          <cell r="AA12013" t="str">
            <v>INTEGRAMEDICA MANQUEHUE</v>
          </cell>
        </row>
        <row r="12014">
          <cell r="Z12014" t="str">
            <v>DENTAL</v>
          </cell>
          <cell r="AA12014" t="str">
            <v>INTEGRAMEDICA MANQUEHUE</v>
          </cell>
        </row>
        <row r="12015">
          <cell r="Z12015" t="str">
            <v>DENTAL</v>
          </cell>
          <cell r="AA12015" t="str">
            <v>GEMCO GENERAL MACHINERY S.A.</v>
          </cell>
        </row>
        <row r="12016">
          <cell r="Z12016" t="str">
            <v>DENTAL</v>
          </cell>
          <cell r="AA12016" t="str">
            <v>GEMCO GENERAL MACHINERY S.A.</v>
          </cell>
        </row>
        <row r="12017">
          <cell r="Z12017" t="str">
            <v>DENTAL</v>
          </cell>
          <cell r="AA12017" t="str">
            <v>GEMCO GENERAL MACHINERY S.A.</v>
          </cell>
        </row>
        <row r="12018">
          <cell r="Z12018" t="str">
            <v>DENTAL</v>
          </cell>
          <cell r="AA12018" t="str">
            <v>GEMCO GENERAL MACHINERY S.A.</v>
          </cell>
        </row>
        <row r="12019">
          <cell r="Z12019" t="str">
            <v>DENTAL</v>
          </cell>
          <cell r="AA12019" t="str">
            <v>GEMCO GENERAL MACHINERY S.A.</v>
          </cell>
        </row>
        <row r="12020">
          <cell r="Z12020" t="str">
            <v>DENTAL</v>
          </cell>
          <cell r="AA12020" t="str">
            <v>GEMCO GENERAL MACHINERY S.A.</v>
          </cell>
        </row>
        <row r="12021">
          <cell r="Z12021" t="str">
            <v>DENTAL</v>
          </cell>
          <cell r="AA12021" t="str">
            <v>DIRECCION DE PREVISION DE CARABINEROS D.CHILE</v>
          </cell>
        </row>
        <row r="12022">
          <cell r="Z12022" t="str">
            <v>DENTAL</v>
          </cell>
          <cell r="AA12022" t="str">
            <v>GEMCO GENERAL MACHINERY S.A.</v>
          </cell>
        </row>
        <row r="12023">
          <cell r="Z12023" t="str">
            <v>DENTAL</v>
          </cell>
          <cell r="AA12023" t="str">
            <v>GEMCO GENERAL MACHINERY S.A.</v>
          </cell>
        </row>
        <row r="12024">
          <cell r="Z12024" t="str">
            <v>DENTAL</v>
          </cell>
          <cell r="AA12024" t="str">
            <v>GEMCO GENERAL MACHINERY S.A.</v>
          </cell>
        </row>
        <row r="12025">
          <cell r="Z12025" t="str">
            <v>DENTAL</v>
          </cell>
          <cell r="AA12025" t="str">
            <v>GEMCO GENERAL MACHINERY S.A.</v>
          </cell>
        </row>
        <row r="12026">
          <cell r="Z12026" t="str">
            <v>DENTAL</v>
          </cell>
          <cell r="AA12026" t="str">
            <v>GEMCO GENERAL MACHINERY S.A.</v>
          </cell>
        </row>
        <row r="12027">
          <cell r="Z12027" t="str">
            <v>DENTAL</v>
          </cell>
          <cell r="AA12027" t="str">
            <v>GEMCO GENERAL MACHINERY S.A.</v>
          </cell>
        </row>
        <row r="12028">
          <cell r="Z12028" t="str">
            <v>DENTAL</v>
          </cell>
          <cell r="AA12028" t="str">
            <v>GEMCO GENERAL MACHINERY S.A.</v>
          </cell>
        </row>
        <row r="12029">
          <cell r="Z12029" t="str">
            <v>DENTAL</v>
          </cell>
          <cell r="AA12029" t="str">
            <v>EQUIPOS E INSUMOS MEDICOS LTDA.</v>
          </cell>
        </row>
        <row r="12030">
          <cell r="Z12030" t="str">
            <v>DENTAL</v>
          </cell>
          <cell r="AA12030" t="str">
            <v>GEMCO GENERAL MACHINERY S.A.</v>
          </cell>
        </row>
        <row r="12031">
          <cell r="Z12031" t="str">
            <v>DENTAL</v>
          </cell>
          <cell r="AA12031" t="str">
            <v>GEMCO GENERAL MACHINERY S.A.</v>
          </cell>
        </row>
        <row r="12032">
          <cell r="Z12032" t="str">
            <v>DENTAL</v>
          </cell>
          <cell r="AA12032" t="str">
            <v>GEMCO GENERAL MACHINERY S.A.</v>
          </cell>
        </row>
        <row r="12033">
          <cell r="Z12033" t="str">
            <v>DENTAL</v>
          </cell>
          <cell r="AA12033" t="str">
            <v>UNIVERSIDAD DEL DESARROLLO CONCEPCION</v>
          </cell>
        </row>
        <row r="12034">
          <cell r="Z12034" t="str">
            <v>DENTAL</v>
          </cell>
          <cell r="AA12034" t="str">
            <v>CESFAM FUTRONO</v>
          </cell>
        </row>
        <row r="12035">
          <cell r="Z12035" t="str">
            <v>DENTAL</v>
          </cell>
          <cell r="AA12035" t="str">
            <v>UNIVERSIDAD DEL DESARROLLO CONCEPCION</v>
          </cell>
        </row>
        <row r="12036">
          <cell r="Z12036" t="str">
            <v>DENTAL</v>
          </cell>
          <cell r="AA12036" t="str">
            <v>MEGASALUD S.A.</v>
          </cell>
        </row>
        <row r="12037">
          <cell r="Z12037" t="str">
            <v>DENTAL</v>
          </cell>
        </row>
        <row r="12038">
          <cell r="Z12038" t="str">
            <v>DENTAL</v>
          </cell>
          <cell r="AA12038" t="str">
            <v>CLINICA ORTHODENT</v>
          </cell>
        </row>
        <row r="12039">
          <cell r="Z12039" t="str">
            <v>DENTAL</v>
          </cell>
          <cell r="AA12039" t="str">
            <v>INTEGRAMEDICA PLAZA NORTE</v>
          </cell>
        </row>
        <row r="12040">
          <cell r="Z12040" t="str">
            <v>DENTAL</v>
          </cell>
          <cell r="AA12040" t="str">
            <v>DR. CRISTIAN FUENTES GARCIA</v>
          </cell>
        </row>
        <row r="12041">
          <cell r="Z12041" t="str">
            <v>DENTAL</v>
          </cell>
          <cell r="AA12041" t="str">
            <v>INTEGRAMEDICA MAIPU</v>
          </cell>
        </row>
        <row r="12042">
          <cell r="Z12042" t="str">
            <v>DENTAL</v>
          </cell>
          <cell r="AA12042" t="str">
            <v>INTEGRAMEDICA MAIPU</v>
          </cell>
        </row>
        <row r="12043">
          <cell r="Z12043" t="str">
            <v>DENTAL</v>
          </cell>
          <cell r="AA12043" t="str">
            <v>SERVICIOS CLINICOS DEL DESARROLLO S.A</v>
          </cell>
        </row>
        <row r="12044">
          <cell r="Z12044" t="str">
            <v>DENTAL</v>
          </cell>
        </row>
        <row r="12045">
          <cell r="Z12045" t="str">
            <v>DENTAL</v>
          </cell>
        </row>
        <row r="12046">
          <cell r="Z12046" t="str">
            <v>DENTAL</v>
          </cell>
          <cell r="AA12046" t="str">
            <v>CESFAM CURICO CENTRO</v>
          </cell>
        </row>
        <row r="12047">
          <cell r="Z12047" t="str">
            <v>DENTAL</v>
          </cell>
          <cell r="AA12047" t="str">
            <v>CESFAM ARAUCO</v>
          </cell>
        </row>
        <row r="12048">
          <cell r="Z12048" t="str">
            <v>DENTAL</v>
          </cell>
          <cell r="AA12048" t="str">
            <v>GEMCO GENERAL MACHINERY S.A.</v>
          </cell>
        </row>
        <row r="12049">
          <cell r="Z12049" t="str">
            <v>DENTAL</v>
          </cell>
          <cell r="AA12049" t="str">
            <v>GEMCO GENERAL MACHINERY S.A.</v>
          </cell>
        </row>
        <row r="12050">
          <cell r="Z12050" t="str">
            <v>DENTAL</v>
          </cell>
          <cell r="AA12050" t="str">
            <v>GEMCO GENERAL MACHINERY S.A.</v>
          </cell>
        </row>
        <row r="12051">
          <cell r="Z12051" t="str">
            <v>DENTAL</v>
          </cell>
          <cell r="AA12051" t="str">
            <v>GEMCO GENERAL MACHINERY S.A.</v>
          </cell>
        </row>
        <row r="12052">
          <cell r="Z12052" t="str">
            <v>DENTAL</v>
          </cell>
        </row>
        <row r="12053">
          <cell r="Z12053" t="str">
            <v>DENTAL</v>
          </cell>
          <cell r="AA12053" t="str">
            <v>GEMCO GENERAL MACHINERY S.A.</v>
          </cell>
        </row>
        <row r="12054">
          <cell r="Z12054" t="str">
            <v>DENTAL</v>
          </cell>
          <cell r="AA12054" t="str">
            <v>GEMCO GENERAL MACHINERY S.A.</v>
          </cell>
        </row>
        <row r="12055">
          <cell r="Z12055" t="str">
            <v>DENTAL</v>
          </cell>
          <cell r="AA12055" t="str">
            <v>GEMCO GENERAL MACHINERY S.A.</v>
          </cell>
        </row>
        <row r="12056">
          <cell r="Z12056" t="str">
            <v>DENTAL</v>
          </cell>
          <cell r="AA12056" t="str">
            <v>GEMCO GENERAL MACHINERY S.A.</v>
          </cell>
        </row>
        <row r="12057">
          <cell r="Z12057" t="str">
            <v>DENTAL</v>
          </cell>
        </row>
        <row r="12058">
          <cell r="Z12058" t="str">
            <v>DENTAL</v>
          </cell>
        </row>
        <row r="12059">
          <cell r="Z12059" t="str">
            <v>DENTAL</v>
          </cell>
          <cell r="AA12059" t="str">
            <v>GEMCO GENERAL MACHINERY S.A.</v>
          </cell>
        </row>
        <row r="12060">
          <cell r="Z12060" t="str">
            <v>DENTAL</v>
          </cell>
          <cell r="AA12060" t="str">
            <v>CESFAM SANTA TERESA</v>
          </cell>
        </row>
        <row r="12061">
          <cell r="Z12061" t="str">
            <v>DENTAL</v>
          </cell>
          <cell r="AA12061" t="str">
            <v>GEMCO GENERAL MACHINERY S.A.</v>
          </cell>
        </row>
        <row r="12062">
          <cell r="Z12062" t="str">
            <v>DENTAL</v>
          </cell>
          <cell r="AA12062" t="str">
            <v>GEMCO GENERAL MACHINERY S.A.</v>
          </cell>
        </row>
        <row r="12063">
          <cell r="Z12063" t="str">
            <v>DENTAL</v>
          </cell>
          <cell r="AA12063" t="str">
            <v>HOSPITAL LA SERENA</v>
          </cell>
        </row>
        <row r="12064">
          <cell r="Z12064" t="str">
            <v>DENTAL</v>
          </cell>
          <cell r="AA12064" t="str">
            <v>INTEGRAMEDICA RANCAGUA</v>
          </cell>
        </row>
        <row r="12065">
          <cell r="Z12065" t="str">
            <v>DENTAL</v>
          </cell>
          <cell r="AA12065" t="str">
            <v>HOSPITAL DE PICHILEMU</v>
          </cell>
        </row>
        <row r="12066">
          <cell r="Z12066" t="str">
            <v>DENTAL</v>
          </cell>
          <cell r="AA12066" t="str">
            <v>INTEGRAMEDICA SAN MIGUEL</v>
          </cell>
        </row>
        <row r="12067">
          <cell r="Z12067" t="str">
            <v>DENTAL</v>
          </cell>
          <cell r="AA12067" t="str">
            <v>CENTRO ODONTOLOGICO MARITZA SALAS</v>
          </cell>
        </row>
        <row r="12068">
          <cell r="Z12068" t="str">
            <v>DENTAL</v>
          </cell>
        </row>
        <row r="12069">
          <cell r="Z12069" t="str">
            <v>DENTAL</v>
          </cell>
          <cell r="AA12069" t="str">
            <v>INTEGRAMEDICA TOBALABA</v>
          </cell>
        </row>
        <row r="12070">
          <cell r="Z12070" t="str">
            <v>DENTAL</v>
          </cell>
          <cell r="AA12070" t="str">
            <v>INTEGRAMEDICA TOBALABA</v>
          </cell>
        </row>
        <row r="12071">
          <cell r="Z12071" t="str">
            <v>DENTAL</v>
          </cell>
          <cell r="AA12071" t="str">
            <v>CENTRO ODONTOLOGICO MARITZA SALAS</v>
          </cell>
        </row>
        <row r="12072">
          <cell r="Z12072" t="str">
            <v>DENTAL</v>
          </cell>
          <cell r="AA12072" t="str">
            <v>HOSPITAL DE OVALLE</v>
          </cell>
        </row>
        <row r="12073">
          <cell r="Z12073" t="str">
            <v>DENTAL</v>
          </cell>
          <cell r="AA12073" t="str">
            <v>INTEGRAMEDICA ESTACION CENTRAL</v>
          </cell>
        </row>
        <row r="12074">
          <cell r="Z12074" t="str">
            <v>DENTAL</v>
          </cell>
          <cell r="AA12074" t="str">
            <v>CAPREDENA</v>
          </cell>
        </row>
        <row r="12075">
          <cell r="Z12075" t="str">
            <v>DENTAL</v>
          </cell>
          <cell r="AA12075" t="str">
            <v>INTEGRAMEDICA PLAZA OESTE</v>
          </cell>
        </row>
        <row r="12076">
          <cell r="Z12076" t="str">
            <v>DENTAL</v>
          </cell>
          <cell r="AA12076" t="str">
            <v>INTEGRAMEDICA ESTACION CENTRAL</v>
          </cell>
        </row>
        <row r="12077">
          <cell r="Z12077" t="str">
            <v>DENTAL</v>
          </cell>
          <cell r="AA12077" t="str">
            <v>CENTRO ODONTOLOGICO MARITZA SALAS</v>
          </cell>
        </row>
        <row r="12078">
          <cell r="Z12078" t="str">
            <v>DENTAL</v>
          </cell>
          <cell r="AA12078" t="str">
            <v>INTEGRAMEDICA PLAZA NORTE</v>
          </cell>
        </row>
        <row r="12079">
          <cell r="Z12079" t="str">
            <v>DENTAL</v>
          </cell>
          <cell r="AA12079" t="str">
            <v>INTEGRAMEDICA S.A (Las Condes)</v>
          </cell>
        </row>
        <row r="12080">
          <cell r="Z12080" t="str">
            <v>DENTAL</v>
          </cell>
          <cell r="AA12080" t="str">
            <v>SERVICIOS CLINICOS DEL DESARROLLO S.A</v>
          </cell>
        </row>
        <row r="12081">
          <cell r="Z12081" t="str">
            <v>DENTAL</v>
          </cell>
          <cell r="AA12081" t="str">
            <v>SERVICIOS CLINICOS DEL DESARROLLO S.A</v>
          </cell>
        </row>
        <row r="12082">
          <cell r="Z12082" t="str">
            <v>DENTAL</v>
          </cell>
          <cell r="AA12082" t="str">
            <v>HOSPITAL BASE DE LINARES</v>
          </cell>
        </row>
        <row r="12083">
          <cell r="Z12083" t="str">
            <v>DENTAL</v>
          </cell>
          <cell r="AA12083" t="str">
            <v>COMPLEJO ASISTENCIAL DR.SOTERO DEL RIO</v>
          </cell>
        </row>
        <row r="12084">
          <cell r="Z12084" t="str">
            <v>DENTAL</v>
          </cell>
          <cell r="AA12084" t="str">
            <v>SERVICIOS CLINICOS DEL DESARROLLO S.A</v>
          </cell>
        </row>
        <row r="12085">
          <cell r="Z12085" t="str">
            <v>DENTAL</v>
          </cell>
          <cell r="AA12085" t="str">
            <v>SERVICIOS CLINICOS DEL DESARROLLO S.A</v>
          </cell>
        </row>
        <row r="12086">
          <cell r="Z12086" t="str">
            <v>DENTAL</v>
          </cell>
          <cell r="AA12086" t="str">
            <v>INTEGRAMEDICA ALAMEDA</v>
          </cell>
        </row>
        <row r="12087">
          <cell r="Z12087" t="str">
            <v>DENTAL</v>
          </cell>
          <cell r="AA12087" t="str">
            <v>INTEGRAMEDICA BIO BIO</v>
          </cell>
        </row>
        <row r="12088">
          <cell r="Z12088" t="str">
            <v>DENTAL</v>
          </cell>
          <cell r="AA12088" t="str">
            <v>INTEGRAMEDICA PUENTE ALTO</v>
          </cell>
        </row>
        <row r="12089">
          <cell r="Z12089" t="str">
            <v>DENTAL</v>
          </cell>
          <cell r="AA12089" t="str">
            <v>INTEGRAMEDICA PLAZA SUR</v>
          </cell>
        </row>
        <row r="12090">
          <cell r="Z12090" t="str">
            <v>DENTAL</v>
          </cell>
          <cell r="AA12090" t="str">
            <v>INTEGRAMEDICA TALCA</v>
          </cell>
        </row>
        <row r="12091">
          <cell r="Z12091" t="str">
            <v>DENTAL</v>
          </cell>
          <cell r="AA12091" t="str">
            <v>CRS PEÑALOLEN CORDILLERA ORIENTE </v>
          </cell>
        </row>
        <row r="12092">
          <cell r="Z12092" t="str">
            <v>DENTAL</v>
          </cell>
          <cell r="AA12092" t="str">
            <v>INTEGRAMEDICA ALAMEDA</v>
          </cell>
        </row>
        <row r="12093">
          <cell r="Z12093" t="str">
            <v>DENTAL</v>
          </cell>
          <cell r="AA12093" t="str">
            <v>INTEGRAMEDICA PLAZA OESTE</v>
          </cell>
        </row>
        <row r="12094">
          <cell r="Z12094" t="str">
            <v>DENTAL</v>
          </cell>
        </row>
        <row r="12095">
          <cell r="Z12095" t="str">
            <v>DENTAL</v>
          </cell>
        </row>
        <row r="12096">
          <cell r="Z12096" t="str">
            <v>DENTAL</v>
          </cell>
          <cell r="AA12096" t="str">
            <v>CESFAM ARRAU MENDEZ PARRAL</v>
          </cell>
        </row>
        <row r="12097">
          <cell r="Z12097" t="str">
            <v>MOBILIARIO CLINICO</v>
          </cell>
          <cell r="AA12097" t="str">
            <v>DIPRECA FONDO HOSPITAL</v>
          </cell>
        </row>
        <row r="12098">
          <cell r="Z12098" t="str">
            <v>MOBILIARIO CLINICO</v>
          </cell>
        </row>
        <row r="12099">
          <cell r="Z12099" t="str">
            <v>MOBILIARIO CLINICO</v>
          </cell>
          <cell r="AA12099" t="str">
            <v>HOSPITAL BASE DE VALDIVIA</v>
          </cell>
        </row>
        <row r="12100">
          <cell r="Z12100" t="str">
            <v>MOBILIARIO CLINICO</v>
          </cell>
          <cell r="AA12100" t="str">
            <v>SERVICIOS ODONTOLOGICOS BRIDENT LTDA</v>
          </cell>
        </row>
        <row r="12101">
          <cell r="Z12101" t="str">
            <v>MOBILIARIO CLINICO</v>
          </cell>
          <cell r="AA12101" t="str">
            <v>SERVICIOS ODONTOLOGICOS BRIDENT LTDA</v>
          </cell>
        </row>
        <row r="12102">
          <cell r="Z12102" t="str">
            <v>MOBILIARIO CLINICO</v>
          </cell>
          <cell r="AA12102" t="str">
            <v>DIPRECA FONDO HOSPITAL</v>
          </cell>
        </row>
        <row r="12103">
          <cell r="Z12103" t="str">
            <v>MOBILIARIO CLINICO</v>
          </cell>
        </row>
        <row r="12104">
          <cell r="Z12104" t="str">
            <v>ENDOSCOPÍA</v>
          </cell>
          <cell r="AA12104" t="str">
            <v>ACHS</v>
          </cell>
        </row>
        <row r="12105">
          <cell r="Z12105" t="str">
            <v>ENDOSCOPÍA</v>
          </cell>
          <cell r="AA12105" t="str">
            <v>ACHS</v>
          </cell>
        </row>
        <row r="12106">
          <cell r="Z12106" t="str">
            <v>ENDOSCOPÍA</v>
          </cell>
          <cell r="AA12106" t="str">
            <v>ACHS</v>
          </cell>
        </row>
        <row r="12107">
          <cell r="Z12107" t="str">
            <v>DENTAL</v>
          </cell>
          <cell r="AA12107" t="str">
            <v>HOSPITAL DR. GUSTAVO FRICKE</v>
          </cell>
        </row>
        <row r="12108">
          <cell r="Z12108" t="str">
            <v>DENTAL</v>
          </cell>
        </row>
        <row r="12109">
          <cell r="Z12109" t="str">
            <v>DENTAL</v>
          </cell>
        </row>
        <row r="12110">
          <cell r="Z12110" t="str">
            <v>DENTAL</v>
          </cell>
        </row>
        <row r="12111">
          <cell r="Z12111" t="str">
            <v>DENTAL</v>
          </cell>
        </row>
        <row r="12112">
          <cell r="Z12112" t="str">
            <v>DENTAL</v>
          </cell>
        </row>
        <row r="12113">
          <cell r="Z12113" t="str">
            <v>DENTAL</v>
          </cell>
        </row>
        <row r="12114">
          <cell r="Z12114" t="str">
            <v>DENTAL</v>
          </cell>
        </row>
        <row r="12115">
          <cell r="Z12115" t="str">
            <v>DENTAL</v>
          </cell>
        </row>
        <row r="12116">
          <cell r="Z12116" t="str">
            <v>DENTAL</v>
          </cell>
        </row>
        <row r="12117">
          <cell r="Z12117" t="str">
            <v>DENTAL</v>
          </cell>
        </row>
        <row r="12118">
          <cell r="Z12118" t="str">
            <v>DENTAL</v>
          </cell>
        </row>
        <row r="12119">
          <cell r="Z12119" t="str">
            <v>DENTAL</v>
          </cell>
        </row>
        <row r="12120">
          <cell r="Z12120" t="str">
            <v>DENTAL</v>
          </cell>
        </row>
        <row r="12121">
          <cell r="Z12121" t="str">
            <v>DENTAL</v>
          </cell>
        </row>
        <row r="12122">
          <cell r="Z12122" t="str">
            <v>DENTAL</v>
          </cell>
        </row>
        <row r="12123">
          <cell r="Z12123" t="str">
            <v>DENTAL</v>
          </cell>
        </row>
        <row r="12124">
          <cell r="Z12124" t="str">
            <v>DENTAL</v>
          </cell>
        </row>
        <row r="12125">
          <cell r="Z12125" t="str">
            <v>DENTAL</v>
          </cell>
        </row>
        <row r="12126">
          <cell r="Z12126" t="str">
            <v>DENTAL</v>
          </cell>
        </row>
        <row r="12127">
          <cell r="Z12127" t="str">
            <v>DENTAL</v>
          </cell>
        </row>
        <row r="12128">
          <cell r="Z12128" t="str">
            <v>DENTAL</v>
          </cell>
        </row>
        <row r="12129">
          <cell r="Z12129" t="str">
            <v>DENTAL</v>
          </cell>
        </row>
        <row r="12130">
          <cell r="Z12130" t="str">
            <v>DENTAL</v>
          </cell>
          <cell r="AA12130" t="str">
            <v>HOSPITAL DE TRAIGUEN</v>
          </cell>
        </row>
        <row r="12131">
          <cell r="Z12131" t="str">
            <v>DENTAL</v>
          </cell>
          <cell r="AA12131" t="str">
            <v>CESFAM SAGRADA FAMILIA CURICO</v>
          </cell>
        </row>
        <row r="12132">
          <cell r="Z12132" t="str">
            <v>DENTAL</v>
          </cell>
          <cell r="AA12132" t="str">
            <v>CESFAM SAGRADA FAMILIA CURICO</v>
          </cell>
        </row>
        <row r="12133">
          <cell r="Z12133" t="str">
            <v>DENTAL</v>
          </cell>
          <cell r="AA12133" t="str">
            <v>CESFAM SAGRADA FAMILIA CURICO</v>
          </cell>
        </row>
        <row r="12134">
          <cell r="Z12134" t="str">
            <v>DENTAL</v>
          </cell>
          <cell r="AA12134" t="str">
            <v>CESFAM SAGRADA FAMILIA CURICO</v>
          </cell>
        </row>
        <row r="12135">
          <cell r="Z12135" t="str">
            <v>DENTAL</v>
          </cell>
        </row>
        <row r="12136">
          <cell r="Z12136" t="str">
            <v>DENTAL</v>
          </cell>
          <cell r="AA12136" t="str">
            <v>CESFAM PENCAHUE</v>
          </cell>
        </row>
        <row r="12137">
          <cell r="Z12137" t="str">
            <v>DENTAL</v>
          </cell>
        </row>
        <row r="12138">
          <cell r="Z12138" t="str">
            <v>DENTAL</v>
          </cell>
          <cell r="AA12138" t="str">
            <v>HOSPITAL DE PICHILEMU</v>
          </cell>
        </row>
        <row r="12139">
          <cell r="Z12139" t="str">
            <v>DENTAL</v>
          </cell>
          <cell r="AA12139" t="str">
            <v>HOSPITAL LITUECHE</v>
          </cell>
        </row>
        <row r="12140">
          <cell r="Z12140" t="str">
            <v>DENTAL</v>
          </cell>
          <cell r="AA12140" t="str">
            <v>CESFAM N° 2 RANCAGUA</v>
          </cell>
        </row>
        <row r="12141">
          <cell r="Z12141" t="str">
            <v>DENTAL</v>
          </cell>
          <cell r="AA12141" t="str">
            <v>CESFAM N° 2 RANCAGUA</v>
          </cell>
        </row>
        <row r="12142">
          <cell r="Z12142" t="str">
            <v>DENTAL</v>
          </cell>
          <cell r="AA12142" t="str">
            <v>CESFAM N° 2 RANCAGUA</v>
          </cell>
        </row>
        <row r="12143">
          <cell r="Z12143" t="str">
            <v>DENTAL</v>
          </cell>
          <cell r="AA12143" t="str">
            <v>CESFAM N° 2 RANCAGUA</v>
          </cell>
        </row>
        <row r="12144">
          <cell r="Z12144" t="str">
            <v>DENTAL</v>
          </cell>
          <cell r="AA12144" t="str">
            <v>CESFAM N° 2 RANCAGUA</v>
          </cell>
        </row>
        <row r="12145">
          <cell r="Z12145" t="str">
            <v>DENTAL</v>
          </cell>
          <cell r="AA12145" t="str">
            <v>CESFAM N° 2 RANCAGUA</v>
          </cell>
        </row>
        <row r="12146">
          <cell r="Z12146" t="str">
            <v>DENTAL</v>
          </cell>
          <cell r="AA12146" t="str">
            <v>S.S VIÑA DEL MAR-QUILLOTA</v>
          </cell>
        </row>
        <row r="12147">
          <cell r="Z12147" t="str">
            <v>DENTAL</v>
          </cell>
          <cell r="AA12147" t="str">
            <v>S.S VIÑA DEL MAR-QUILLOTA</v>
          </cell>
        </row>
        <row r="12148">
          <cell r="Z12148" t="str">
            <v>DENTAL</v>
          </cell>
          <cell r="AA12148" t="str">
            <v>S.S VIÑA DEL MAR-QUILLOTA</v>
          </cell>
        </row>
        <row r="12149">
          <cell r="Z12149" t="str">
            <v>DENTAL</v>
          </cell>
          <cell r="AA12149" t="str">
            <v>S.S VIÑA DEL MAR-QUILLOTA</v>
          </cell>
        </row>
        <row r="12150">
          <cell r="Z12150" t="str">
            <v>DENTAL</v>
          </cell>
          <cell r="AA12150" t="str">
            <v>S.S VIÑA DEL MAR-QUILLOTA</v>
          </cell>
        </row>
        <row r="12151">
          <cell r="Z12151" t="str">
            <v>DENTAL</v>
          </cell>
          <cell r="AA12151" t="str">
            <v>S.S VIÑA DEL MAR-QUILLOTA</v>
          </cell>
        </row>
        <row r="12152">
          <cell r="Z12152" t="str">
            <v>DENTAL</v>
          </cell>
          <cell r="AA12152" t="str">
            <v>S.S VIÑA DEL MAR-QUILLOTA</v>
          </cell>
        </row>
        <row r="12153">
          <cell r="Z12153" t="str">
            <v>DENTAL</v>
          </cell>
          <cell r="AA12153" t="str">
            <v>S.S VIÑA DEL MAR-QUILLOTA</v>
          </cell>
        </row>
        <row r="12154">
          <cell r="Z12154" t="str">
            <v>DENTAL</v>
          </cell>
          <cell r="AA12154" t="str">
            <v>COMPLEJO ASISTENCIAL DR.SOTERO DEL RIO</v>
          </cell>
        </row>
        <row r="12155">
          <cell r="Z12155" t="str">
            <v>DENTAL</v>
          </cell>
          <cell r="AA12155" t="str">
            <v>COMPLEJO ASISTENCIAL DR.SOTERO DEL RIO</v>
          </cell>
        </row>
        <row r="12156">
          <cell r="Z12156" t="str">
            <v>DENTAL</v>
          </cell>
          <cell r="AA12156" t="str">
            <v>COMPLEJO ASISTENCIAL DR.SOTERO DEL RIO</v>
          </cell>
        </row>
        <row r="12157">
          <cell r="Z12157" t="str">
            <v>DENTAL</v>
          </cell>
          <cell r="AA12157" t="str">
            <v>COMPLEJO ASISTENCIAL DR.SOTERO DEL RIO</v>
          </cell>
        </row>
        <row r="12158">
          <cell r="Z12158" t="str">
            <v>DENTAL</v>
          </cell>
          <cell r="AA12158" t="str">
            <v>HOSPITAL DE PICHILEMU</v>
          </cell>
        </row>
        <row r="12159">
          <cell r="Z12159" t="str">
            <v>DENTAL</v>
          </cell>
          <cell r="AA12159" t="str">
            <v>CLINICA MOVIL CENTINELA</v>
          </cell>
        </row>
        <row r="12160">
          <cell r="Z12160" t="str">
            <v>DENTAL</v>
          </cell>
          <cell r="AA12160" t="str">
            <v>CLINICA MOVIL CENTINELA</v>
          </cell>
        </row>
        <row r="12161">
          <cell r="Z12161" t="str">
            <v>DENTAL</v>
          </cell>
          <cell r="AA12161" t="str">
            <v>CLINICA MOVIL CENTINELA</v>
          </cell>
        </row>
        <row r="12162">
          <cell r="Z12162" t="str">
            <v>DENTAL</v>
          </cell>
          <cell r="AA12162" t="str">
            <v>CLINICA MOVIL CENTINELA</v>
          </cell>
        </row>
        <row r="12163">
          <cell r="Z12163" t="str">
            <v>DENTAL</v>
          </cell>
          <cell r="AA12163" t="str">
            <v>CLINICA MOVIL CENTINELA</v>
          </cell>
        </row>
        <row r="12164">
          <cell r="Z12164" t="str">
            <v>DENTAL</v>
          </cell>
          <cell r="AA12164" t="str">
            <v>CLINICA MOVIL CENTINELA</v>
          </cell>
        </row>
        <row r="12165">
          <cell r="Z12165" t="str">
            <v>DENTAL</v>
          </cell>
          <cell r="AA12165" t="str">
            <v>CLINICA MOVIL CENTINELA</v>
          </cell>
        </row>
        <row r="12166">
          <cell r="Z12166" t="str">
            <v>DENTAL</v>
          </cell>
          <cell r="AA12166" t="str">
            <v>CLINICA MOVIL CENTINELA</v>
          </cell>
        </row>
        <row r="12167">
          <cell r="Z12167" t="str">
            <v>DENTAL</v>
          </cell>
          <cell r="AA12167" t="str">
            <v>CLINICA MOVIL CENTINELA</v>
          </cell>
        </row>
        <row r="12168">
          <cell r="Z12168" t="str">
            <v>DENTAL</v>
          </cell>
          <cell r="AA12168" t="str">
            <v>CLINICA MOVIL CENTINELA</v>
          </cell>
        </row>
        <row r="12169">
          <cell r="Z12169" t="str">
            <v>DENTAL</v>
          </cell>
          <cell r="AA12169" t="str">
            <v>CLINICA MOVIL CENTINELA</v>
          </cell>
        </row>
        <row r="12170">
          <cell r="Z12170" t="str">
            <v>DENTAL</v>
          </cell>
          <cell r="AA12170" t="str">
            <v>CLINICA MOVIL CENTINELA</v>
          </cell>
        </row>
        <row r="12171">
          <cell r="Z12171" t="str">
            <v>DENTAL</v>
          </cell>
          <cell r="AA12171" t="str">
            <v>CLINICA MOVIL CENTINELA</v>
          </cell>
        </row>
        <row r="12172">
          <cell r="Z12172" t="str">
            <v>DENTAL</v>
          </cell>
          <cell r="AA12172" t="str">
            <v>CLINICA MOVIL CENTINELA</v>
          </cell>
        </row>
        <row r="12173">
          <cell r="Z12173" t="str">
            <v>DENTAL</v>
          </cell>
          <cell r="AA12173" t="str">
            <v>CLINICA MOVIL CENTINELA</v>
          </cell>
        </row>
        <row r="12174">
          <cell r="Z12174" t="str">
            <v>DENTAL</v>
          </cell>
          <cell r="AA12174" t="str">
            <v>CLINICA MOVIL CENTINELA</v>
          </cell>
        </row>
        <row r="12175">
          <cell r="Z12175" t="str">
            <v>DENTAL</v>
          </cell>
          <cell r="AA12175" t="str">
            <v>CLINICA MOVIL CENTINELA</v>
          </cell>
        </row>
        <row r="12176">
          <cell r="Z12176" t="str">
            <v>DENTAL</v>
          </cell>
          <cell r="AA12176" t="str">
            <v>CLINICA MOVIL CENTINELA</v>
          </cell>
        </row>
        <row r="12177">
          <cell r="Z12177" t="str">
            <v>DENTAL</v>
          </cell>
          <cell r="AA12177" t="str">
            <v>CLINICA MOVIL CENTINELA</v>
          </cell>
        </row>
        <row r="12178">
          <cell r="Z12178" t="str">
            <v>DENTAL</v>
          </cell>
          <cell r="AA12178" t="str">
            <v>CLINICA MOVIL CENTINELA</v>
          </cell>
        </row>
        <row r="12179">
          <cell r="Z12179" t="str">
            <v>DENTAL</v>
          </cell>
        </row>
        <row r="12180">
          <cell r="Z12180" t="str">
            <v>DENTAL</v>
          </cell>
          <cell r="AA12180" t="str">
            <v>HOSPITAL NUEVO LA FLORIDA-CONCEPCION</v>
          </cell>
        </row>
        <row r="12181">
          <cell r="Z12181" t="str">
            <v>DENTAL</v>
          </cell>
        </row>
        <row r="12182">
          <cell r="Z12182" t="str">
            <v>DENTAL</v>
          </cell>
        </row>
        <row r="12183">
          <cell r="Z12183" t="str">
            <v>DENTAL</v>
          </cell>
          <cell r="AA12183" t="str">
            <v>HOSPITAL NACIMIENTO</v>
          </cell>
        </row>
        <row r="12184">
          <cell r="Z12184" t="str">
            <v>DENTAL</v>
          </cell>
        </row>
        <row r="12185">
          <cell r="Z12185" t="str">
            <v>DENTAL</v>
          </cell>
          <cell r="AA12185" t="str">
            <v>HOSPITAL DE MULCHEN</v>
          </cell>
        </row>
        <row r="12186">
          <cell r="Z12186" t="str">
            <v>DENTAL</v>
          </cell>
          <cell r="AA12186" t="str">
            <v>UNIVERSIDAD DE LA FRONTERA</v>
          </cell>
        </row>
        <row r="12187">
          <cell r="Z12187" t="str">
            <v>DENTAL</v>
          </cell>
          <cell r="AA12187" t="str">
            <v>I. MUNICIPALIDAD DE OVALLE</v>
          </cell>
        </row>
        <row r="12188">
          <cell r="Z12188" t="str">
            <v>DENTAL</v>
          </cell>
        </row>
        <row r="12189">
          <cell r="Z12189" t="str">
            <v>DENTAL</v>
          </cell>
        </row>
        <row r="12190">
          <cell r="Z12190" t="str">
            <v>DENTAL</v>
          </cell>
        </row>
        <row r="12191">
          <cell r="Z12191" t="str">
            <v>DENTAL</v>
          </cell>
          <cell r="AA12191" t="str">
            <v>CESFAM LLOLLEO</v>
          </cell>
        </row>
        <row r="12192">
          <cell r="Z12192" t="str">
            <v>DENTAL</v>
          </cell>
        </row>
        <row r="12193">
          <cell r="Z12193" t="str">
            <v>DENTAL</v>
          </cell>
          <cell r="AA12193" t="str">
            <v>CESFAM LAS TORRES</v>
          </cell>
        </row>
        <row r="12194">
          <cell r="Z12194" t="str">
            <v>DENTAL</v>
          </cell>
        </row>
        <row r="12195">
          <cell r="Z12195" t="str">
            <v>DENTAL</v>
          </cell>
        </row>
        <row r="12196">
          <cell r="Z12196" t="str">
            <v>DENTAL</v>
          </cell>
        </row>
        <row r="12197">
          <cell r="Z12197" t="str">
            <v>DENTAL</v>
          </cell>
        </row>
        <row r="12198">
          <cell r="Z12198" t="str">
            <v>DENTAL</v>
          </cell>
        </row>
        <row r="12199">
          <cell r="Z12199" t="str">
            <v>DENTAL</v>
          </cell>
        </row>
        <row r="12200">
          <cell r="Z12200" t="str">
            <v>DENTAL</v>
          </cell>
          <cell r="AA12200" t="str">
            <v>DIPRECA FONDO HOSPITAL</v>
          </cell>
        </row>
        <row r="12201">
          <cell r="Z12201" t="str">
            <v>DENTAL</v>
          </cell>
        </row>
        <row r="12202">
          <cell r="Z12202" t="str">
            <v>DENTAL</v>
          </cell>
        </row>
        <row r="12203">
          <cell r="Z12203" t="str">
            <v>ESTERILIZACIÓN</v>
          </cell>
          <cell r="AA12203" t="str">
            <v>HOSPITAL DE CURICO</v>
          </cell>
        </row>
        <row r="12204">
          <cell r="Z12204" t="str">
            <v>ESTERILIZACIÓN</v>
          </cell>
          <cell r="AA12204" t="str">
            <v>HOSPITAL EL CARMEN DR. LUIS VALENTIN FERRADA</v>
          </cell>
        </row>
        <row r="12205">
          <cell r="Z12205" t="str">
            <v>ESTERILIZACIÓN</v>
          </cell>
          <cell r="AA12205" t="str">
            <v>HOSPITAL CARLOS VAN BUREN</v>
          </cell>
        </row>
        <row r="12206">
          <cell r="Z12206" t="str">
            <v>ESTERILIZACIÓN</v>
          </cell>
        </row>
        <row r="12207">
          <cell r="Z12207" t="str">
            <v>ESTERILIZACIÓN</v>
          </cell>
          <cell r="AA12207" t="str">
            <v>HOSPITAL REGIONAL DE ANTOFAGASTA</v>
          </cell>
        </row>
        <row r="12208">
          <cell r="Z12208" t="str">
            <v>ESTERILIZACIÓN</v>
          </cell>
          <cell r="AA12208" t="str">
            <v>HOSPITAL LA SERENA</v>
          </cell>
        </row>
        <row r="12209">
          <cell r="Z12209" t="str">
            <v>ESTERILIZACIÓN</v>
          </cell>
          <cell r="AA12209" t="str">
            <v>HOSPITAL LA SERENA</v>
          </cell>
        </row>
        <row r="12210">
          <cell r="Z12210" t="str">
            <v>ESTERILIZACIÓN</v>
          </cell>
          <cell r="AA12210" t="str">
            <v>HOSPITAL PENCO -LIRQUEN</v>
          </cell>
        </row>
        <row r="12211">
          <cell r="Z12211" t="str">
            <v>ESTERILIZACIÓN</v>
          </cell>
          <cell r="AA12211" t="str">
            <v>HOSPITAL DE ILLAPEL</v>
          </cell>
        </row>
        <row r="12212">
          <cell r="Z12212" t="str">
            <v>ESTERILIZACIÓN</v>
          </cell>
        </row>
        <row r="12213">
          <cell r="Z12213" t="str">
            <v>ESTERILIZACIÓN</v>
          </cell>
        </row>
        <row r="12214">
          <cell r="Z12214" t="str">
            <v>ESTERILIZACIÓN</v>
          </cell>
          <cell r="AA12214" t="str">
            <v>HOSPITAL EXEQUIEL GONZALEZ CORTES</v>
          </cell>
        </row>
        <row r="12215">
          <cell r="Z12215" t="str">
            <v>ESTERILIZACIÓN</v>
          </cell>
          <cell r="AA12215" t="str">
            <v>HOSPITAL EXEQUIEL GONZALEZ CORTES</v>
          </cell>
        </row>
        <row r="12216">
          <cell r="Z12216" t="str">
            <v>ESTERILIZACIÓN</v>
          </cell>
          <cell r="AA12216" t="str">
            <v>HOSPITAL REGIONAL DE ANTOFAGASTA</v>
          </cell>
        </row>
        <row r="12217">
          <cell r="Z12217" t="str">
            <v>ESTERILIZACIÓN</v>
          </cell>
          <cell r="AA12217" t="str">
            <v>HOSPITAL REGIONAL DE ANTOFAGASTA</v>
          </cell>
        </row>
        <row r="12218">
          <cell r="Z12218" t="str">
            <v>ESTERILIZACIÓN</v>
          </cell>
          <cell r="AA12218" t="str">
            <v>HOSPITAL  PITRUFQUEN</v>
          </cell>
        </row>
        <row r="12219">
          <cell r="Z12219" t="str">
            <v>ESTERILIZACIÓN</v>
          </cell>
          <cell r="AA12219" t="str">
            <v>CLINICA SANATORIO ALEMAN</v>
          </cell>
        </row>
        <row r="12220">
          <cell r="Z12220" t="str">
            <v>ESTERILIZACIÓN</v>
          </cell>
          <cell r="AA12220" t="str">
            <v>SOCIEDAD CONCESIONARIA METROPOLITANA DE SALUD S.A.</v>
          </cell>
        </row>
        <row r="12221">
          <cell r="Z12221" t="str">
            <v>ESTERILIZACIÓN</v>
          </cell>
          <cell r="AA12221" t="str">
            <v xml:space="preserve">HOSPITAL SAN CAMILO  </v>
          </cell>
        </row>
        <row r="12222">
          <cell r="Z12222" t="str">
            <v>ESTERILIZACIÓN</v>
          </cell>
          <cell r="AA12222" t="str">
            <v>SOCIEDAD CONCESIONARIA METROPOLITANA DE SALUD S.A.</v>
          </cell>
        </row>
        <row r="12223">
          <cell r="Z12223" t="str">
            <v>ESTERILIZACIÓN</v>
          </cell>
          <cell r="AA12223" t="str">
            <v>HOSPITAL BARROS LUCO TRUDEAU</v>
          </cell>
        </row>
        <row r="12224">
          <cell r="Z12224" t="str">
            <v>ESTERILIZACIÓN</v>
          </cell>
          <cell r="AA12224" t="str">
            <v>HOSPITAL SAN JOSÉ</v>
          </cell>
        </row>
        <row r="12225">
          <cell r="Z12225" t="str">
            <v>ESTERILIZACIÓN</v>
          </cell>
          <cell r="AA12225" t="str">
            <v>HOSPITAL SAN JOSÉ</v>
          </cell>
        </row>
        <row r="12226">
          <cell r="Z12226" t="str">
            <v>ESTERILIZACIÓN</v>
          </cell>
          <cell r="AA12226" t="str">
            <v>HOSPITAL VICTORIA</v>
          </cell>
        </row>
        <row r="12227">
          <cell r="Z12227" t="str">
            <v>ESTERILIZACIÓN</v>
          </cell>
          <cell r="AA12227" t="str">
            <v>HOSPITAL CARLOS VAN BUREN</v>
          </cell>
        </row>
        <row r="12228">
          <cell r="Z12228" t="str">
            <v>ESTERILIZACIÓN</v>
          </cell>
          <cell r="AA12228" t="str">
            <v>HOSPITAL GUILLERMO GRANT BENAVENTE</v>
          </cell>
        </row>
        <row r="12229">
          <cell r="Z12229" t="str">
            <v>ESTERILIZACIÓN</v>
          </cell>
          <cell r="AA12229" t="str">
            <v>HOSPITAL CLINICO SAN BORJA-ARRIARAN</v>
          </cell>
        </row>
        <row r="12230">
          <cell r="Z12230" t="str">
            <v>ESTERILIZACIÓN</v>
          </cell>
          <cell r="AA12230" t="str">
            <v>COMPLEJO ASISTENCIAL DR.SOTERO DEL RIO</v>
          </cell>
        </row>
        <row r="12231">
          <cell r="Z12231" t="str">
            <v>ESTERILIZACIÓN</v>
          </cell>
          <cell r="AA12231" t="str">
            <v>HOSPITAL CLINICO SAN BORJA-ARRIARAN</v>
          </cell>
        </row>
        <row r="12232">
          <cell r="Z12232" t="str">
            <v>ESTERILIZACIÓN</v>
          </cell>
          <cell r="AA12232" t="str">
            <v>HOSPITAL CLINICO SAN BORJA-ARRIARAN</v>
          </cell>
        </row>
        <row r="12233">
          <cell r="Z12233" t="str">
            <v>ESTERILIZACIÓN</v>
          </cell>
          <cell r="AA12233" t="str">
            <v>HOSPITAL BARROS LUCO TRUDEAU</v>
          </cell>
        </row>
        <row r="12234">
          <cell r="Z12234" t="str">
            <v>ESTERILIZACIÓN</v>
          </cell>
          <cell r="AA12234" t="str">
            <v>HOSPITAL DR. LUIS TISNE B.</v>
          </cell>
        </row>
        <row r="12235">
          <cell r="Z12235" t="str">
            <v>ESTERILIZACIÓN</v>
          </cell>
          <cell r="AA12235" t="str">
            <v>HOSPITAL BARROS LUCO TRUDEAU</v>
          </cell>
        </row>
        <row r="12236">
          <cell r="Z12236" t="str">
            <v>ESTERILIZACIÓN</v>
          </cell>
          <cell r="AA12236" t="str">
            <v>HOSPITAL CLINICO SAN BORJA-ARRIARAN</v>
          </cell>
        </row>
        <row r="12237">
          <cell r="Z12237" t="str">
            <v>ESTERILIZACIÓN</v>
          </cell>
          <cell r="AA12237" t="str">
            <v>CE LOS TILOS</v>
          </cell>
        </row>
        <row r="12238">
          <cell r="Z12238" t="str">
            <v>ESTERILIZACIÓN</v>
          </cell>
          <cell r="AA12238" t="str">
            <v>HOSPITAL DR. LUIS TISNE B.</v>
          </cell>
        </row>
        <row r="12239">
          <cell r="Z12239" t="str">
            <v>ESTERILIZACIÓN</v>
          </cell>
          <cell r="AA12239" t="str">
            <v>HOSPITAL CARLOS CISTERNA DE CALAMA</v>
          </cell>
        </row>
        <row r="12240">
          <cell r="Z12240" t="str">
            <v>ESTERILIZACIÓN</v>
          </cell>
          <cell r="AA12240" t="str">
            <v>HOSPITAL COMPLEJO ASISTENCIAL PADRE LAS CASAS</v>
          </cell>
        </row>
        <row r="12241">
          <cell r="Z12241" t="str">
            <v>ESTERILIZACIÓN</v>
          </cell>
          <cell r="AA12241" t="str">
            <v>HOSPITAL DE ANGOL</v>
          </cell>
        </row>
        <row r="12242">
          <cell r="Z12242" t="str">
            <v>ESTERILIZACIÓN</v>
          </cell>
          <cell r="AA12242" t="str">
            <v>HOSPITAL DE CURICO</v>
          </cell>
        </row>
        <row r="12243">
          <cell r="Z12243" t="str">
            <v>ESTERILIZACIÓN</v>
          </cell>
          <cell r="AA12243" t="str">
            <v>HOSPITAL DE QUILPUE</v>
          </cell>
        </row>
        <row r="12244">
          <cell r="Z12244" t="str">
            <v>ESTERILIZACIÓN</v>
          </cell>
          <cell r="AA12244" t="str">
            <v>UC CHRISTUS SERVICIOS AMBULATORIOS SPA</v>
          </cell>
        </row>
        <row r="12245">
          <cell r="Z12245" t="str">
            <v>ESTERILIZACIÓN</v>
          </cell>
          <cell r="AA12245" t="str">
            <v>HOSPITAL ALTO HOSPICIO</v>
          </cell>
        </row>
        <row r="12246">
          <cell r="Z12246" t="str">
            <v>ESTERILIZACIÓN</v>
          </cell>
          <cell r="AA12246" t="str">
            <v>HOSPITAL SAN JUAN DE DIOS</v>
          </cell>
        </row>
        <row r="12247">
          <cell r="Z12247" t="str">
            <v>ESTERILIZACIÓN</v>
          </cell>
          <cell r="AA12247" t="str">
            <v>HOSPITAL GUILLERMO GRANT BENAVENTE</v>
          </cell>
        </row>
        <row r="12248">
          <cell r="Z12248" t="str">
            <v>ESTERILIZACIÓN</v>
          </cell>
          <cell r="AA12248" t="str">
            <v>HOSPITAL GUILLERMO GRANT BENAVENTE</v>
          </cell>
        </row>
        <row r="12249">
          <cell r="Z12249" t="str">
            <v>ESTERILIZACIÓN</v>
          </cell>
          <cell r="AA12249" t="str">
            <v>HOSPITAL GUILLERMO GRANT BENAVENTE</v>
          </cell>
        </row>
        <row r="12250">
          <cell r="Z12250" t="str">
            <v>ESTERILIZACIÓN</v>
          </cell>
          <cell r="AA12250" t="str">
            <v>HOSPITAL DE ANGOL</v>
          </cell>
        </row>
        <row r="12251">
          <cell r="Z12251" t="str">
            <v>ESTERILIZACIÓN</v>
          </cell>
          <cell r="AA12251" t="str">
            <v>HOSPITAL BARROS LUCO TRUDEAU</v>
          </cell>
        </row>
        <row r="12252">
          <cell r="Z12252" t="str">
            <v>ESTERILIZACIÓN</v>
          </cell>
          <cell r="AA12252" t="str">
            <v>INSUMOS Y SERVICIOS MEDICOS S.A.</v>
          </cell>
        </row>
        <row r="12253">
          <cell r="Z12253" t="str">
            <v>ESTERILIZACIÓN</v>
          </cell>
        </row>
        <row r="12254">
          <cell r="Z12254" t="str">
            <v>ESTERILIZACIÓN</v>
          </cell>
        </row>
        <row r="12255">
          <cell r="Z12255" t="str">
            <v>ESTERILIZACIÓN</v>
          </cell>
          <cell r="AA12255" t="str">
            <v>HOSPITAL LAS HIGUERAS</v>
          </cell>
        </row>
        <row r="12256">
          <cell r="Z12256" t="str">
            <v>ESTERILIZACIÓN</v>
          </cell>
        </row>
        <row r="12257">
          <cell r="Z12257" t="str">
            <v>ESTERILIZACIÓN</v>
          </cell>
        </row>
        <row r="12258">
          <cell r="Z12258" t="str">
            <v>ESTERILIZACIÓN</v>
          </cell>
          <cell r="AA12258" t="str">
            <v>HOSPITAL DE SAN CARLOS</v>
          </cell>
        </row>
        <row r="12259">
          <cell r="Z12259" t="str">
            <v>ESTERILIZACIÓN</v>
          </cell>
          <cell r="AA12259" t="str">
            <v>INSUMOS Y SERVICIOS MEDICOS S.A.</v>
          </cell>
        </row>
        <row r="12260">
          <cell r="Z12260" t="str">
            <v>ESTERILIZACIÓN</v>
          </cell>
          <cell r="AA12260" t="str">
            <v>INSUMOS Y SERVICIOS MEDICOS S.A.</v>
          </cell>
        </row>
        <row r="12261">
          <cell r="Z12261" t="str">
            <v>ESTERILIZACIÓN</v>
          </cell>
          <cell r="AA12261" t="str">
            <v>INSUMOS Y SERVICIOS MEDICOS S.A.</v>
          </cell>
        </row>
        <row r="12262">
          <cell r="Z12262" t="str">
            <v>ESTERILIZACIÓN</v>
          </cell>
          <cell r="AA12262" t="str">
            <v>INSUMOS Y SERVICIOS MEDICOS S.A.</v>
          </cell>
        </row>
        <row r="12263">
          <cell r="Z12263" t="str">
            <v>ESTERILIZACIÓN</v>
          </cell>
          <cell r="AA12263" t="str">
            <v>GOBIERNO REGIONAL DE LOS RIOS</v>
          </cell>
        </row>
        <row r="12264">
          <cell r="Z12264" t="str">
            <v>ESTERILIZACIÓN</v>
          </cell>
          <cell r="AA12264" t="str">
            <v>CORP. MUNICIPAL DESARROLLO SOCIAL ANTOFAGASTA</v>
          </cell>
        </row>
        <row r="12265">
          <cell r="Z12265" t="str">
            <v>ESTERILIZACIÓN</v>
          </cell>
        </row>
        <row r="12266">
          <cell r="Z12266" t="str">
            <v>ESTERILIZACIÓN</v>
          </cell>
          <cell r="AA12266" t="str">
            <v>GOBIERNO REGIONAL DE LOS RIOS</v>
          </cell>
        </row>
        <row r="12267">
          <cell r="Z12267" t="str">
            <v>ESTERILIZACIÓN</v>
          </cell>
          <cell r="AA12267" t="str">
            <v>GOBIERNO REGIONAL DE LOS RIOS</v>
          </cell>
        </row>
        <row r="12268">
          <cell r="Z12268" t="str">
            <v>ESTERILIZACIÓN</v>
          </cell>
          <cell r="AA12268" t="str">
            <v>GOBIERNO REGIONAL DE LOS RIOS</v>
          </cell>
        </row>
        <row r="12269">
          <cell r="Z12269" t="str">
            <v>ESTERILIZACIÓN</v>
          </cell>
          <cell r="AA12269" t="str">
            <v>GOBIERNO REGIONAL DE LOS RIOS</v>
          </cell>
        </row>
        <row r="12270">
          <cell r="Z12270" t="str">
            <v>ESTERILIZACIÓN</v>
          </cell>
          <cell r="AA12270" t="str">
            <v>GOBIERNO REGIONAL DE LOS RIOS</v>
          </cell>
        </row>
        <row r="12271">
          <cell r="Z12271" t="str">
            <v>ESTERILIZACIÓN</v>
          </cell>
        </row>
        <row r="12272">
          <cell r="Z12272" t="str">
            <v>ESTERILIZACIÓN</v>
          </cell>
          <cell r="AA12272" t="str">
            <v>GOBIERNO REGIONAL DE LOS RIOS</v>
          </cell>
        </row>
        <row r="12273">
          <cell r="Z12273" t="str">
            <v>ESTERILIZACIÓN</v>
          </cell>
          <cell r="AA12273" t="str">
            <v>HOSPITAL REGIONAL DE ANTOFAGASTA</v>
          </cell>
        </row>
        <row r="12274">
          <cell r="Z12274" t="str">
            <v>ESTERILIZACIÓN</v>
          </cell>
          <cell r="AA12274" t="str">
            <v>I. MUNICIPALIDAD DE OVALLE</v>
          </cell>
        </row>
        <row r="12275">
          <cell r="Z12275" t="str">
            <v>ESTERILIZACIÓN</v>
          </cell>
          <cell r="AA12275" t="str">
            <v>I. MUNICIPALIDAD DE QUILLOTA DPTO. SALUD</v>
          </cell>
        </row>
        <row r="12276">
          <cell r="Z12276" t="str">
            <v>ESTERILIZACIÓN</v>
          </cell>
          <cell r="AA12276" t="str">
            <v>I. MUNICIPALIDAD DE QUILLOTA DPTO. SALUD</v>
          </cell>
        </row>
        <row r="12277">
          <cell r="Z12277" t="str">
            <v>ESTERILIZACIÓN</v>
          </cell>
          <cell r="AA12277" t="str">
            <v>GOBIERNO REGIONAL LIBERTADOR BDO. O'HIGGINS</v>
          </cell>
        </row>
        <row r="12278">
          <cell r="Z12278" t="str">
            <v>ESTERILIZACIÓN</v>
          </cell>
        </row>
        <row r="12279">
          <cell r="Z12279" t="str">
            <v>ESTERILIZACIÓN</v>
          </cell>
        </row>
        <row r="12280">
          <cell r="Z12280" t="str">
            <v>ESTERILIZACIÓN</v>
          </cell>
        </row>
        <row r="12281">
          <cell r="Z12281" t="str">
            <v>ESTERILIZACIÓN</v>
          </cell>
          <cell r="AA12281" t="str">
            <v>LA ARAUCANA SALUD S.A.</v>
          </cell>
        </row>
        <row r="12282">
          <cell r="Z12282" t="str">
            <v>ESTERILIZACIÓN</v>
          </cell>
          <cell r="AA12282" t="str">
            <v>NORDEN</v>
          </cell>
        </row>
        <row r="12283">
          <cell r="Z12283" t="str">
            <v>ESTERILIZACIÓN</v>
          </cell>
          <cell r="AA12283" t="str">
            <v>DIPRECA FONDO HOSPITAL</v>
          </cell>
        </row>
        <row r="12284">
          <cell r="Z12284" t="str">
            <v>ESTERILIZACIÓN</v>
          </cell>
          <cell r="AA12284" t="str">
            <v>GEMCO GENERAL MACHINERY S.A.</v>
          </cell>
        </row>
        <row r="12285">
          <cell r="Z12285" t="str">
            <v>ESTERILIZACIÓN</v>
          </cell>
          <cell r="AA12285" t="str">
            <v>GEMCO GENERAL MACHINERY S.A.</v>
          </cell>
        </row>
        <row r="12286">
          <cell r="Z12286" t="str">
            <v>ESTERILIZACIÓN</v>
          </cell>
          <cell r="AA12286" t="str">
            <v>GEMCO GENERAL MACHINERY S.A.</v>
          </cell>
        </row>
        <row r="12287">
          <cell r="Z12287" t="str">
            <v>ESTERILIZACIÓN</v>
          </cell>
          <cell r="AA12287" t="str">
            <v>GEMCO GENERAL MACHINERY S.A.</v>
          </cell>
        </row>
        <row r="12288">
          <cell r="Z12288" t="str">
            <v>ESTERILIZACIÓN</v>
          </cell>
          <cell r="AA12288" t="str">
            <v>GEMCO GENERAL MACHINERY S.A.</v>
          </cell>
        </row>
        <row r="12289">
          <cell r="Z12289" t="str">
            <v>ESTERILIZACIÓN</v>
          </cell>
          <cell r="AA12289" t="str">
            <v>GEMCO GENERAL MACHINERY S.A.</v>
          </cell>
        </row>
        <row r="12290">
          <cell r="Z12290" t="str">
            <v>ESTERILIZACIÓN</v>
          </cell>
          <cell r="AA12290" t="str">
            <v>GEMCO GENERAL MACHINERY S.A.</v>
          </cell>
        </row>
        <row r="12291">
          <cell r="Z12291" t="str">
            <v>ESTERILIZACIÓN</v>
          </cell>
          <cell r="AA12291" t="str">
            <v>GEMCO GENERAL MACHINERY S.A.</v>
          </cell>
        </row>
        <row r="12292">
          <cell r="Z12292" t="str">
            <v>ESTERILIZACIÓN</v>
          </cell>
          <cell r="AA12292" t="str">
            <v>GEMCO GENERAL MACHINERY S.A.</v>
          </cell>
        </row>
        <row r="12293">
          <cell r="Z12293" t="str">
            <v>ESTERILIZACIÓN</v>
          </cell>
          <cell r="AA12293" t="str">
            <v>GEMCO GENERAL MACHINERY S.A.</v>
          </cell>
        </row>
        <row r="12294">
          <cell r="Z12294" t="str">
            <v>ESTERILIZACIÓN</v>
          </cell>
        </row>
        <row r="12295">
          <cell r="Z12295" t="str">
            <v>ESTERILIZACIÓN</v>
          </cell>
          <cell r="AA12295" t="str">
            <v>CARABINEROS CHILLAN</v>
          </cell>
        </row>
        <row r="12296">
          <cell r="Z12296" t="str">
            <v>ESTERILIZACIÓN</v>
          </cell>
          <cell r="AA12296" t="str">
            <v>DIPRECA FONDO HOSPITAL</v>
          </cell>
        </row>
        <row r="12297">
          <cell r="Z12297" t="str">
            <v>ESTERILIZACIÓN</v>
          </cell>
          <cell r="AA12297" t="str">
            <v>DIPRECA FONDO HOSPITAL</v>
          </cell>
        </row>
        <row r="12298">
          <cell r="Z12298" t="str">
            <v>ESTERILIZACIÓN</v>
          </cell>
        </row>
        <row r="12299">
          <cell r="Z12299" t="str">
            <v>ESTERILIZACIÓN</v>
          </cell>
        </row>
        <row r="12300">
          <cell r="Z12300" t="str">
            <v>ESTERILIZACIÓN</v>
          </cell>
        </row>
        <row r="12301">
          <cell r="Z12301" t="str">
            <v>ESTERILIZACIÓN</v>
          </cell>
          <cell r="AA12301" t="str">
            <v>HOSPITAL BARROS LUCO TRUDEAU</v>
          </cell>
        </row>
        <row r="12302">
          <cell r="Z12302" t="str">
            <v>ESTERILIZACIÓN</v>
          </cell>
          <cell r="AA12302" t="str">
            <v>CESFAM PEDRO PULGAR MELGAREJO</v>
          </cell>
        </row>
        <row r="12303">
          <cell r="Z12303" t="str">
            <v>ESTERILIZACIÓN</v>
          </cell>
          <cell r="AA12303" t="str">
            <v>CESFAM PEDRO PULGAR MELGAREJO</v>
          </cell>
        </row>
        <row r="12304">
          <cell r="Z12304" t="str">
            <v>ESTERILIZACIÓN</v>
          </cell>
          <cell r="AA12304" t="str">
            <v>CESFAM PEDRO PULGAR MELGAREJO</v>
          </cell>
        </row>
        <row r="12305">
          <cell r="Z12305" t="str">
            <v>ESTERILIZACIÓN</v>
          </cell>
          <cell r="AA12305" t="str">
            <v>LABORATORIO CLINICO CENTRAL KOJCHEN Y COMPANIA LIMITADA</v>
          </cell>
        </row>
        <row r="12306">
          <cell r="Z12306" t="str">
            <v>ESTERILIZACIÓN</v>
          </cell>
        </row>
        <row r="12307">
          <cell r="Z12307" t="str">
            <v>ESTERILIZACIÓN</v>
          </cell>
        </row>
        <row r="12308">
          <cell r="Z12308" t="str">
            <v>ESTERILIZACIÓN</v>
          </cell>
          <cell r="AA12308" t="str">
            <v>CESFAM PEDRO PULGAR MELGAREJO</v>
          </cell>
        </row>
        <row r="12309">
          <cell r="Z12309" t="str">
            <v>ESTERILIZACIÓN</v>
          </cell>
          <cell r="AA12309" t="str">
            <v>CESFAM PEDRO PULGAR MELGAREJO</v>
          </cell>
        </row>
        <row r="12310">
          <cell r="Z12310" t="str">
            <v>ESTERILIZACIÓN</v>
          </cell>
          <cell r="AA12310" t="str">
            <v>HOSPITAL DE PURRANQUE</v>
          </cell>
        </row>
        <row r="12311">
          <cell r="Z12311" t="str">
            <v>ESTERILIZACIÓN</v>
          </cell>
          <cell r="AA12311" t="str">
            <v>HOSPITAL DE PURRANQUE</v>
          </cell>
        </row>
        <row r="12312">
          <cell r="Z12312" t="str">
            <v>ESTERILIZACIÓN</v>
          </cell>
          <cell r="AA12312" t="str">
            <v>HOSPITAL DE PURRANQUE</v>
          </cell>
        </row>
        <row r="12313">
          <cell r="Z12313" t="str">
            <v>ESTERILIZACIÓN</v>
          </cell>
          <cell r="AA12313" t="str">
            <v>HOSPITAL DE PURRANQUE</v>
          </cell>
        </row>
        <row r="12314">
          <cell r="Z12314" t="str">
            <v>ESTERILIZACIÓN</v>
          </cell>
          <cell r="AA12314" t="str">
            <v>HOSPITAL DE PURRANQUE</v>
          </cell>
        </row>
        <row r="12315">
          <cell r="Z12315" t="str">
            <v>ESTERILIZACIÓN</v>
          </cell>
          <cell r="AA12315" t="str">
            <v>HOSPITAL DE PURRANQUE</v>
          </cell>
        </row>
        <row r="12316">
          <cell r="Z12316" t="str">
            <v>ESTERILIZACIÓN</v>
          </cell>
          <cell r="AA12316" t="str">
            <v>HOSPITAL DE PURRANQUE</v>
          </cell>
        </row>
        <row r="12317">
          <cell r="Z12317" t="str">
            <v>ESTERILIZACIÓN</v>
          </cell>
          <cell r="AA12317" t="str">
            <v>DIRECCION DE PREVISION DE CARABINEROS D.CHILE</v>
          </cell>
        </row>
        <row r="12318">
          <cell r="Z12318" t="str">
            <v>ESTERILIZACIÓN</v>
          </cell>
          <cell r="AA12318" t="str">
            <v>UNIVERSIDAD ARTURO PRAT</v>
          </cell>
        </row>
        <row r="12319">
          <cell r="Z12319" t="str">
            <v>ESTERILIZACIÓN</v>
          </cell>
        </row>
        <row r="12320">
          <cell r="Z12320" t="str">
            <v>ESTERILIZACIÓN</v>
          </cell>
        </row>
        <row r="12321">
          <cell r="Z12321" t="str">
            <v>ESTERILIZACIÓN</v>
          </cell>
          <cell r="AA12321" t="str">
            <v>CESFAM NORPONIENTE DE CALAMA</v>
          </cell>
        </row>
        <row r="12322">
          <cell r="Z12322" t="str">
            <v>ESTERILIZACIÓN</v>
          </cell>
          <cell r="AA12322" t="str">
            <v>I. MUNICIPALIDAD DE OVALLE</v>
          </cell>
        </row>
        <row r="12323">
          <cell r="Z12323" t="str">
            <v>ESTERILIZACIÓN</v>
          </cell>
          <cell r="AA12323" t="str">
            <v>DIPRECA FONDO HOSPITAL</v>
          </cell>
        </row>
        <row r="12324">
          <cell r="Z12324" t="str">
            <v>ESTERILIZACIÓN</v>
          </cell>
          <cell r="AA12324" t="str">
            <v>DIPRECA FONDO HOSPITAL</v>
          </cell>
        </row>
        <row r="12325">
          <cell r="Z12325" t="str">
            <v>ESTERILIZACIÓN</v>
          </cell>
          <cell r="AA12325" t="str">
            <v>SOCIEDAD CONCESIONARIA METROPOLITANA DE SALUD S.A.</v>
          </cell>
        </row>
        <row r="12326">
          <cell r="Z12326" t="str">
            <v>ESTERILIZACIÓN</v>
          </cell>
          <cell r="AA12326" t="str">
            <v>SOCIEDAD CONCESIONARIA METROPOLITANA DE SALUD S.A.</v>
          </cell>
        </row>
        <row r="12327">
          <cell r="Z12327" t="str">
            <v>ESTERILIZACIÓN</v>
          </cell>
          <cell r="AA12327" t="str">
            <v>SOCIEDAD CONCESIONARIA METROPOLITANA DE SALUD S.A.</v>
          </cell>
        </row>
        <row r="12328">
          <cell r="Z12328" t="str">
            <v>ESTERILIZACIÓN</v>
          </cell>
          <cell r="AA12328" t="str">
            <v>SOCIEDAD CONCESIONARIA METROPOLITANA DE SALUD S.A.</v>
          </cell>
        </row>
        <row r="12329">
          <cell r="Z12329" t="str">
            <v>ESTERILIZACIÓN</v>
          </cell>
          <cell r="AA12329" t="str">
            <v>SOCIEDAD CONCESIONARIA METROPOLITANA DE SALUD S.A.</v>
          </cell>
        </row>
        <row r="12330">
          <cell r="Z12330" t="str">
            <v>ESTERILIZACIÓN</v>
          </cell>
          <cell r="AA12330" t="str">
            <v>SOCIEDAD CONCESIONARIA METROPOLITANA DE SALUD S.A.</v>
          </cell>
        </row>
        <row r="12331">
          <cell r="Z12331" t="str">
            <v>ESTERILIZACIÓN</v>
          </cell>
          <cell r="AA12331" t="str">
            <v>SOCIEDAD CONCESIONARIA METROPOLITANA DE SALUD S.A.</v>
          </cell>
        </row>
        <row r="12332">
          <cell r="Z12332" t="str">
            <v>ESTERILIZACIÓN</v>
          </cell>
          <cell r="AA12332" t="str">
            <v>INSUMOS Y SERVICIOS MEDICOS S.A.</v>
          </cell>
        </row>
        <row r="12333">
          <cell r="Z12333" t="str">
            <v>ESTERILIZACIÓN</v>
          </cell>
          <cell r="AA12333" t="str">
            <v>CENTRO NORDEN AGUSTINAS 640</v>
          </cell>
        </row>
        <row r="12334">
          <cell r="Z12334" t="str">
            <v>ESTERILIZACIÓN</v>
          </cell>
          <cell r="AA12334" t="str">
            <v>CESFAM SOL DE SEPTIEMBRE</v>
          </cell>
        </row>
        <row r="12335">
          <cell r="Z12335" t="str">
            <v>ESTERILIZACIÓN</v>
          </cell>
        </row>
        <row r="12336">
          <cell r="Z12336" t="str">
            <v>ESTERILIZACIÓN</v>
          </cell>
          <cell r="AA12336" t="str">
            <v>GEMCO GENERAL MACHINERY S.A.</v>
          </cell>
        </row>
        <row r="12337">
          <cell r="Z12337" t="str">
            <v>ESTERILIZACIÓN</v>
          </cell>
          <cell r="AA12337" t="str">
            <v>CESFAM COLBUN</v>
          </cell>
        </row>
        <row r="12338">
          <cell r="Z12338" t="str">
            <v>ESTERILIZACIÓN</v>
          </cell>
        </row>
        <row r="12339">
          <cell r="Z12339" t="str">
            <v>ESTERILIZACIÓN</v>
          </cell>
          <cell r="AA12339" t="str">
            <v>GEMCO GENERAL MACHINERY S.A.</v>
          </cell>
        </row>
        <row r="12340">
          <cell r="Z12340" t="str">
            <v>ESTERILIZACIÓN</v>
          </cell>
          <cell r="AA12340" t="str">
            <v>GEMCO GENERAL MACHINERY S.A.</v>
          </cell>
        </row>
        <row r="12341">
          <cell r="Z12341" t="str">
            <v>ESTERILIZACIÓN</v>
          </cell>
        </row>
        <row r="12342">
          <cell r="Z12342" t="str">
            <v>ESTERILIZACIÓN</v>
          </cell>
          <cell r="AA12342" t="str">
            <v>GEMCO GENERAL MACHINERY S.A.</v>
          </cell>
        </row>
        <row r="12343">
          <cell r="Z12343" t="str">
            <v>ESTERILIZACIÓN</v>
          </cell>
          <cell r="AA12343" t="str">
            <v>GEMCO GENERAL MACHINERY S.A.</v>
          </cell>
        </row>
        <row r="12344">
          <cell r="Z12344" t="str">
            <v>ESTERILIZACIÓN</v>
          </cell>
          <cell r="AA12344" t="str">
            <v>GEMCO GENERAL MACHINERY S.A.</v>
          </cell>
        </row>
        <row r="12345">
          <cell r="Z12345" t="str">
            <v>ESTERILIZACIÓN</v>
          </cell>
          <cell r="AA12345" t="str">
            <v>GEMCO GENERAL MACHINERY S.A.</v>
          </cell>
        </row>
        <row r="12346">
          <cell r="Z12346" t="str">
            <v>ESTERILIZACIÓN</v>
          </cell>
          <cell r="AA12346" t="str">
            <v>GEMCO GENERAL MACHINERY S.A.</v>
          </cell>
        </row>
        <row r="12347">
          <cell r="Z12347" t="str">
            <v>ESTERILIZACIÓN</v>
          </cell>
          <cell r="AA12347" t="str">
            <v>GEMCO GENERAL MACHINERY S.A.</v>
          </cell>
        </row>
        <row r="12348">
          <cell r="Z12348" t="str">
            <v>ESTERILIZACIÓN</v>
          </cell>
        </row>
        <row r="12349">
          <cell r="Z12349" t="str">
            <v>ESTERILIZACIÓN</v>
          </cell>
        </row>
        <row r="12350">
          <cell r="Z12350" t="str">
            <v>ESTERILIZACIÓN</v>
          </cell>
          <cell r="AA12350" t="str">
            <v>CESFAM STEGGER</v>
          </cell>
        </row>
        <row r="12351">
          <cell r="Z12351" t="str">
            <v>ESTERILIZACIÓN</v>
          </cell>
          <cell r="AA12351" t="str">
            <v>CESFAM STEGGER</v>
          </cell>
        </row>
        <row r="12352">
          <cell r="Z12352" t="str">
            <v>ESTERILIZACIÓN</v>
          </cell>
          <cell r="AA12352" t="str">
            <v>NORDEN</v>
          </cell>
        </row>
        <row r="12353">
          <cell r="Z12353" t="str">
            <v>ESTERILIZACIÓN</v>
          </cell>
        </row>
        <row r="12354">
          <cell r="Z12354" t="str">
            <v>ESTERILIZACIÓN</v>
          </cell>
          <cell r="AA12354" t="str">
            <v>DR. CLAUDIO ARROYO</v>
          </cell>
        </row>
        <row r="12355">
          <cell r="Z12355" t="str">
            <v>ESTERILIZACIÓN</v>
          </cell>
        </row>
        <row r="12356">
          <cell r="Z12356" t="str">
            <v>ESTERILIZACIÓN</v>
          </cell>
        </row>
        <row r="12357">
          <cell r="Z12357" t="str">
            <v>ESTERILIZACIÓN</v>
          </cell>
        </row>
        <row r="12358">
          <cell r="Z12358" t="str">
            <v>ESTERILIZACIÓN</v>
          </cell>
        </row>
        <row r="12359">
          <cell r="Z12359" t="str">
            <v>ESTERILIZACIÓN</v>
          </cell>
        </row>
        <row r="12360">
          <cell r="Z12360" t="str">
            <v>ESTERILIZACIÓN</v>
          </cell>
          <cell r="AA12360" t="str">
            <v>CLINICA MOVIL CENTINELA</v>
          </cell>
        </row>
        <row r="12361">
          <cell r="Z12361" t="str">
            <v>ESTERILIZACIÓN</v>
          </cell>
          <cell r="AA12361" t="str">
            <v>CLINICA MOVIL CENTINELA</v>
          </cell>
        </row>
        <row r="12362">
          <cell r="Z12362" t="str">
            <v>ESTERILIZACIÓN</v>
          </cell>
          <cell r="AA12362" t="str">
            <v>CLINICA MOVIL CENTINELA</v>
          </cell>
        </row>
        <row r="12363">
          <cell r="Z12363" t="str">
            <v>ESTERILIZACIÓN</v>
          </cell>
          <cell r="AA12363" t="str">
            <v>CLINICA MOVIL CENTINELA</v>
          </cell>
        </row>
        <row r="12364">
          <cell r="Z12364" t="str">
            <v>ESTERILIZACIÓN</v>
          </cell>
          <cell r="AA12364" t="str">
            <v>CLINICA MOVIL CENTINELA</v>
          </cell>
        </row>
        <row r="12365">
          <cell r="Z12365" t="str">
            <v>ESTERILIZACIÓN</v>
          </cell>
          <cell r="AA12365" t="str">
            <v>CLINICA MOVIL CENTINELA</v>
          </cell>
        </row>
        <row r="12366">
          <cell r="Z12366" t="str">
            <v>ESTERILIZACIÓN</v>
          </cell>
          <cell r="AA12366" t="str">
            <v>CLINICA MOVIL CENTINELA</v>
          </cell>
        </row>
        <row r="12367">
          <cell r="Z12367" t="str">
            <v>ESTERILIZACIÓN</v>
          </cell>
          <cell r="AA12367" t="str">
            <v>CLINICA MOVIL CENTINELA</v>
          </cell>
        </row>
        <row r="12368">
          <cell r="Z12368" t="str">
            <v>ESTERILIZACIÓN</v>
          </cell>
          <cell r="AA12368" t="str">
            <v>CLINICA MOVIL CENTINELA</v>
          </cell>
        </row>
        <row r="12369">
          <cell r="Z12369" t="str">
            <v>ESTERILIZACIÓN</v>
          </cell>
          <cell r="AA12369" t="str">
            <v>CLINICA MOVIL CENTINELA</v>
          </cell>
        </row>
        <row r="12370">
          <cell r="Z12370" t="str">
            <v>ESTERILIZACIÓN</v>
          </cell>
          <cell r="AA12370" t="str">
            <v>CLINICA MOVIL CENTINELA</v>
          </cell>
        </row>
        <row r="12371">
          <cell r="Z12371" t="str">
            <v>ESTERILIZACIÓN</v>
          </cell>
          <cell r="AA12371" t="str">
            <v>CLINICA MOVIL CENTINELA</v>
          </cell>
        </row>
        <row r="12372">
          <cell r="Z12372" t="str">
            <v>ESTERILIZACIÓN</v>
          </cell>
          <cell r="AA12372" t="str">
            <v>CLINICA MOVIL CENTINELA</v>
          </cell>
        </row>
        <row r="12373">
          <cell r="Z12373" t="str">
            <v>ESTERILIZACIÓN</v>
          </cell>
          <cell r="AA12373" t="str">
            <v>CLINICA MOVIL CENTINELA</v>
          </cell>
        </row>
        <row r="12374">
          <cell r="Z12374" t="str">
            <v>ESTERILIZACIÓN</v>
          </cell>
          <cell r="AA12374" t="str">
            <v>CLINICA MOVIL CENTINELA</v>
          </cell>
        </row>
        <row r="12375">
          <cell r="Z12375" t="str">
            <v>ESTERILIZACIÓN</v>
          </cell>
          <cell r="AA12375" t="str">
            <v>CLINICA MOVIL CENTINELA</v>
          </cell>
        </row>
        <row r="12376">
          <cell r="Z12376" t="str">
            <v>ESTERILIZACIÓN</v>
          </cell>
          <cell r="AA12376" t="str">
            <v>CLINICA MOVIL CENTINELA</v>
          </cell>
        </row>
        <row r="12377">
          <cell r="Z12377" t="str">
            <v>ESTERILIZACIÓN</v>
          </cell>
        </row>
        <row r="12378">
          <cell r="Z12378" t="str">
            <v>ESTERILIZACIÓN</v>
          </cell>
          <cell r="AA12378" t="str">
            <v>JUNAEB ALTOBIOBIO</v>
          </cell>
        </row>
        <row r="12379">
          <cell r="Z12379" t="str">
            <v>ESTERILIZACIÓN</v>
          </cell>
          <cell r="AA12379" t="str">
            <v>JUNAEB ESCUELA VICTOR DOMINGO SILVA</v>
          </cell>
        </row>
        <row r="12380">
          <cell r="Z12380" t="str">
            <v>ESTERILIZACIÓN</v>
          </cell>
          <cell r="AA12380" t="str">
            <v>JUNAEB MODULO FRUTILLAR</v>
          </cell>
        </row>
        <row r="12381">
          <cell r="Z12381" t="str">
            <v>ESTERILIZACIÓN</v>
          </cell>
          <cell r="AA12381" t="str">
            <v>JUNAEB ESCUELA NUEVA ZELANDIA</v>
          </cell>
        </row>
        <row r="12382">
          <cell r="Z12382" t="str">
            <v>ESTERILIZACIÓN</v>
          </cell>
          <cell r="AA12382" t="str">
            <v>JUNAEB ESCUELA NUEVA ZELANDIA</v>
          </cell>
        </row>
        <row r="12383">
          <cell r="Z12383" t="str">
            <v>ESTERILIZACIÓN</v>
          </cell>
          <cell r="AA12383" t="str">
            <v>CESFAM VICTOR CASTRO</v>
          </cell>
        </row>
        <row r="12384">
          <cell r="Z12384" t="str">
            <v>ESTERILIZACIÓN</v>
          </cell>
        </row>
        <row r="12385">
          <cell r="Z12385" t="str">
            <v>ESTERILIZACIÓN</v>
          </cell>
        </row>
        <row r="12386">
          <cell r="Z12386" t="str">
            <v>ESTERILIZACIÓN</v>
          </cell>
        </row>
        <row r="12387">
          <cell r="Z12387" t="str">
            <v>ESTERILIZACIÓN</v>
          </cell>
        </row>
        <row r="12388">
          <cell r="Z12388" t="str">
            <v>ESTERILIZACIÓN</v>
          </cell>
          <cell r="AA12388" t="str">
            <v>GEMCO GENERAL MACHINERY S.A.</v>
          </cell>
        </row>
        <row r="12389">
          <cell r="Z12389" t="str">
            <v>ESTERILIZACIÓN</v>
          </cell>
        </row>
        <row r="12390">
          <cell r="Z12390" t="str">
            <v>ESTERILIZACIÓN</v>
          </cell>
        </row>
        <row r="12391">
          <cell r="Z12391" t="str">
            <v>ESTERILIZACIÓN</v>
          </cell>
        </row>
        <row r="12392">
          <cell r="Z12392" t="str">
            <v>ESTERILIZACIÓN</v>
          </cell>
          <cell r="AA12392" t="str">
            <v>UNIVERSIDAD DEL DESARROLLO CONCEPCION</v>
          </cell>
        </row>
        <row r="12393">
          <cell r="Z12393" t="str">
            <v>ESTERILIZACIÓN</v>
          </cell>
          <cell r="AA12393" t="str">
            <v>I MUNICIPALIDAD DE VICUÑA</v>
          </cell>
        </row>
        <row r="12394">
          <cell r="Z12394" t="str">
            <v>ESTERILIZACIÓN</v>
          </cell>
        </row>
        <row r="12395">
          <cell r="Z12395" t="str">
            <v>ESTERILIZACIÓN</v>
          </cell>
        </row>
        <row r="12396">
          <cell r="Z12396" t="str">
            <v>ESTERILIZACIÓN</v>
          </cell>
          <cell r="AA12396" t="str">
            <v>GEMCO GENERAL MACHINERY S.A.</v>
          </cell>
        </row>
        <row r="12397">
          <cell r="Z12397" t="str">
            <v>ESTERILIZACIÓN</v>
          </cell>
          <cell r="AA12397" t="str">
            <v>GEMCO GENERAL MACHINERY S.A.</v>
          </cell>
        </row>
        <row r="12398">
          <cell r="Z12398" t="str">
            <v>ESTERILIZACIÓN</v>
          </cell>
        </row>
        <row r="12399">
          <cell r="Z12399" t="str">
            <v>ESTERILIZACIÓN</v>
          </cell>
          <cell r="AA12399" t="str">
            <v>INSUMOS Y SERVICIOS MEDICOS S.A.</v>
          </cell>
        </row>
        <row r="12400">
          <cell r="Z12400" t="str">
            <v>ESTERILIZACIÓN</v>
          </cell>
          <cell r="AA12400" t="str">
            <v>INSUMOS Y SERVICIOS MEDICOS S.A.</v>
          </cell>
        </row>
        <row r="12401">
          <cell r="Z12401" t="str">
            <v>ESTERILIZACIÓN</v>
          </cell>
        </row>
        <row r="12402">
          <cell r="Z12402" t="str">
            <v>ESTERILIZACIÓN</v>
          </cell>
          <cell r="AA12402" t="str">
            <v>INSUMOS Y SERVICIOS MEDICOS S.A.</v>
          </cell>
        </row>
        <row r="12403">
          <cell r="Z12403" t="str">
            <v>ESTERILIZACIÓN</v>
          </cell>
        </row>
        <row r="12404">
          <cell r="Z12404" t="str">
            <v>ESTERILIZACIÓN</v>
          </cell>
          <cell r="AA12404" t="str">
            <v>INSUMOS Y SERVICIOS MEDICOS S.A.</v>
          </cell>
        </row>
        <row r="12405">
          <cell r="Z12405" t="str">
            <v>ESTERILIZACIÓN</v>
          </cell>
          <cell r="AA12405" t="str">
            <v>CONSULTORIO NORTE</v>
          </cell>
        </row>
        <row r="12406">
          <cell r="Z12406" t="str">
            <v>ESTERILIZACIÓN</v>
          </cell>
          <cell r="AA12406" t="str">
            <v>INSUMOS Y SERVICIOS MEDICOS S.A.</v>
          </cell>
        </row>
        <row r="12407">
          <cell r="Z12407" t="str">
            <v>ESTERILIZACIÓN</v>
          </cell>
          <cell r="AA12407" t="str">
            <v>CONSULTORIO NORTE</v>
          </cell>
        </row>
        <row r="12408">
          <cell r="Z12408" t="str">
            <v>ESTERILIZACIÓN</v>
          </cell>
          <cell r="AA12408" t="str">
            <v>INSUMOS Y SERVICIOS MEDICOS S.A.</v>
          </cell>
        </row>
        <row r="12409">
          <cell r="Z12409" t="str">
            <v>ESTERILIZACIÓN</v>
          </cell>
        </row>
        <row r="12410">
          <cell r="Z12410" t="str">
            <v>ESTERILIZACIÓN</v>
          </cell>
        </row>
        <row r="12411">
          <cell r="Z12411" t="str">
            <v>ESTERILIZACIÓN</v>
          </cell>
        </row>
        <row r="12412">
          <cell r="Z12412" t="str">
            <v>ESTERILIZACIÓN</v>
          </cell>
          <cell r="AA12412" t="str">
            <v>HOSPITAL REGIONAL DE ANTOFAGASTA</v>
          </cell>
        </row>
        <row r="12413">
          <cell r="Z12413" t="str">
            <v>ESTERILIZACIÓN</v>
          </cell>
          <cell r="AA12413" t="str">
            <v>HOSPITAL REGIONAL DE ANTOFAGASTA</v>
          </cell>
        </row>
        <row r="12414">
          <cell r="Z12414" t="str">
            <v>ESTERILIZACIÓN</v>
          </cell>
        </row>
        <row r="12415">
          <cell r="Z12415" t="str">
            <v>ESTERILIZACIÓN</v>
          </cell>
          <cell r="AA12415" t="str">
            <v xml:space="preserve">CESFAM CONSTITUCIÓN </v>
          </cell>
        </row>
        <row r="12416">
          <cell r="Z12416" t="str">
            <v>ESTERILIZACIÓN</v>
          </cell>
          <cell r="AA12416" t="str">
            <v>UNIVERSIDAD DE VALPARAISO</v>
          </cell>
        </row>
        <row r="12417">
          <cell r="Z12417" t="str">
            <v>ESTERILIZACIÓN</v>
          </cell>
          <cell r="AA12417" t="str">
            <v>CESFAM RIO CLARO</v>
          </cell>
        </row>
        <row r="12418">
          <cell r="Z12418" t="str">
            <v>ESTERILIZACIÓN</v>
          </cell>
          <cell r="AA12418" t="str">
            <v>HOSPITAL FUTALEUFU</v>
          </cell>
        </row>
        <row r="12419">
          <cell r="Z12419" t="str">
            <v>ESTERILIZACIÓN</v>
          </cell>
          <cell r="AA12419" t="str">
            <v>INSUMOS Y SERVICIOS MEDICOS S.A.</v>
          </cell>
        </row>
        <row r="12420">
          <cell r="Z12420" t="str">
            <v>ESTERILIZACIÓN</v>
          </cell>
          <cell r="AA12420" t="str">
            <v>UNIVERSIDAD DEL DESARROLLO CONCEPCION</v>
          </cell>
        </row>
        <row r="12421">
          <cell r="Z12421" t="str">
            <v>ESTERILIZACIÓN</v>
          </cell>
        </row>
        <row r="12422">
          <cell r="Z12422" t="str">
            <v>ESTERILIZACIÓN</v>
          </cell>
          <cell r="AA12422" t="str">
            <v>INSUMOS Y SERVICIOS MEDICOS S.A.</v>
          </cell>
        </row>
        <row r="12423">
          <cell r="Z12423" t="str">
            <v>ESTERILIZACIÓN</v>
          </cell>
          <cell r="AA12423" t="str">
            <v>UNIVERSIDAD SAN SEBASTIAN</v>
          </cell>
        </row>
        <row r="12424">
          <cell r="Z12424" t="str">
            <v>ESTERILIZACIÓN</v>
          </cell>
          <cell r="AA12424" t="str">
            <v>INSUMOS Y SERVICIOS MEDICOS S.A.</v>
          </cell>
        </row>
        <row r="12425">
          <cell r="Z12425" t="str">
            <v>ESTERILIZACIÓN</v>
          </cell>
          <cell r="AA12425" t="str">
            <v>INSUMOS Y SERVICIOS MEDICOS S.A.</v>
          </cell>
        </row>
        <row r="12426">
          <cell r="Z12426" t="str">
            <v>ESTERILIZACIÓN</v>
          </cell>
        </row>
        <row r="12427">
          <cell r="Z12427" t="str">
            <v>ESTERILIZACIÓN</v>
          </cell>
          <cell r="AA12427" t="str">
            <v>INSTITUTO OFTALMOLÓGICO PUERTA DEL SOL S.A.</v>
          </cell>
        </row>
        <row r="12428">
          <cell r="Z12428" t="str">
            <v>ESTERILIZACIÓN</v>
          </cell>
          <cell r="AA12428" t="str">
            <v>INSUMOS Y SERVICIOS MEDICOS S.A.</v>
          </cell>
        </row>
        <row r="12429">
          <cell r="Z12429" t="str">
            <v>ESTERILIZACIÓN</v>
          </cell>
          <cell r="AA12429" t="str">
            <v>INSUMOS Y SERVICIOS MEDICOS S.A.</v>
          </cell>
        </row>
        <row r="12430">
          <cell r="Z12430" t="str">
            <v>ESTERILIZACIÓN</v>
          </cell>
        </row>
        <row r="12431">
          <cell r="Z12431" t="str">
            <v>ESTERILIZACIÓN</v>
          </cell>
        </row>
        <row r="12432">
          <cell r="Z12432" t="str">
            <v>ESTERILIZACIÓN</v>
          </cell>
          <cell r="AA12432" t="str">
            <v>INSUMOS Y SERVICIOS MEDICOS S.A.</v>
          </cell>
        </row>
        <row r="12433">
          <cell r="Z12433" t="str">
            <v>ESTERILIZACIÓN</v>
          </cell>
        </row>
        <row r="12434">
          <cell r="Z12434" t="str">
            <v>ESTERILIZACIÓN</v>
          </cell>
        </row>
        <row r="12435">
          <cell r="Z12435" t="str">
            <v>ESTERILIZACIÓN</v>
          </cell>
        </row>
        <row r="12436">
          <cell r="Z12436" t="str">
            <v>ESTERILIZACIÓN</v>
          </cell>
        </row>
        <row r="12437">
          <cell r="Z12437" t="str">
            <v>ESTERILIZACIÓN</v>
          </cell>
          <cell r="AA12437" t="str">
            <v>INSUMOS Y SERVICIOS MEDICOS S.A.</v>
          </cell>
        </row>
        <row r="12438">
          <cell r="Z12438" t="str">
            <v>ESTERILIZACIÓN</v>
          </cell>
          <cell r="AA12438" t="str">
            <v>CENTRAL ODONTOLOGICA PRIMERA ZONA NAVAL VIÑA</v>
          </cell>
        </row>
        <row r="12439">
          <cell r="Z12439" t="str">
            <v>ESTERILIZACIÓN</v>
          </cell>
        </row>
        <row r="12440">
          <cell r="Z12440" t="str">
            <v>ESTERILIZACIÓN</v>
          </cell>
          <cell r="AA12440" t="str">
            <v>CLINICA HOGAR BUENA SALUD S.P.A</v>
          </cell>
        </row>
        <row r="12441">
          <cell r="Z12441" t="str">
            <v>ESTERILIZACIÓN</v>
          </cell>
        </row>
        <row r="12442">
          <cell r="Z12442" t="str">
            <v>ESTERILIZACIÓN</v>
          </cell>
        </row>
        <row r="12443">
          <cell r="Z12443" t="str">
            <v>ESTERILIZACIÓN</v>
          </cell>
          <cell r="AA12443" t="str">
            <v>CLINICA WLK SA</v>
          </cell>
        </row>
        <row r="12444">
          <cell r="Z12444" t="str">
            <v>ESTERILIZACIÓN</v>
          </cell>
          <cell r="AA12444" t="str">
            <v>INSUMOS Y SERVICIOS MEDICOS S.A.</v>
          </cell>
        </row>
        <row r="12445">
          <cell r="Z12445" t="str">
            <v>ESTERILIZACIÓN</v>
          </cell>
        </row>
        <row r="12446">
          <cell r="Z12446" t="str">
            <v>ESTERILIZACIÓN</v>
          </cell>
        </row>
        <row r="12447">
          <cell r="Z12447" t="str">
            <v>ESTERILIZACIÓN</v>
          </cell>
          <cell r="AA12447" t="str">
            <v>UNIVERSIDAD DE VALPARAISO</v>
          </cell>
        </row>
        <row r="12448">
          <cell r="Z12448" t="str">
            <v>ESTERILIZACIÓN</v>
          </cell>
          <cell r="AA12448" t="str">
            <v>INSUMOS Y SERVICIOS MEDICOS S.A.</v>
          </cell>
        </row>
        <row r="12449">
          <cell r="Z12449" t="str">
            <v>ESTERILIZACIÓN</v>
          </cell>
          <cell r="AA12449" t="str">
            <v>UNIVERSIDAD DE VALPARAISO</v>
          </cell>
        </row>
        <row r="12450">
          <cell r="Z12450" t="str">
            <v>ESTERILIZACIÓN</v>
          </cell>
          <cell r="AA12450" t="str">
            <v>INSUMOS Y SERVICIOS MEDICOS S.A.</v>
          </cell>
        </row>
        <row r="12451">
          <cell r="Z12451" t="str">
            <v>ESTERILIZACIÓN</v>
          </cell>
          <cell r="AA12451" t="str">
            <v>INSUMOS Y SERVICIOS MEDICOS S.A.</v>
          </cell>
        </row>
        <row r="12452">
          <cell r="Z12452" t="str">
            <v>ESTERILIZACIÓN</v>
          </cell>
          <cell r="AA12452" t="str">
            <v>INSUMOS Y SERVICIOS MEDICOS S.A.</v>
          </cell>
        </row>
        <row r="12453">
          <cell r="Z12453" t="str">
            <v>ESTERILIZACIÓN</v>
          </cell>
          <cell r="AA12453" t="str">
            <v>CESFAM ARRAU MENDEZ PARRAL</v>
          </cell>
        </row>
        <row r="12454">
          <cell r="Z12454" t="str">
            <v>ESTERILIZACIÓN</v>
          </cell>
          <cell r="AA12454" t="str">
            <v>INSUMOS Y SERVICIOS MEDICOS S.A.</v>
          </cell>
        </row>
        <row r="12455">
          <cell r="Z12455" t="str">
            <v>ESTERILIZACIÓN</v>
          </cell>
          <cell r="AA12455" t="str">
            <v>INSUMOS Y SERVICIOS MEDICOS S.A.</v>
          </cell>
        </row>
        <row r="12456">
          <cell r="Z12456" t="str">
            <v>ESTERILIZACIÓN</v>
          </cell>
        </row>
        <row r="12457">
          <cell r="Z12457" t="str">
            <v>ESTERILIZACIÓN</v>
          </cell>
        </row>
        <row r="12458">
          <cell r="Z12458" t="str">
            <v>ESTERILIZACIÓN</v>
          </cell>
          <cell r="AA12458" t="str">
            <v>INSUMOS Y SERVICIOS MEDICOS S.A.</v>
          </cell>
        </row>
        <row r="12459">
          <cell r="Z12459" t="str">
            <v>ESTERILIZACIÓN</v>
          </cell>
          <cell r="AA12459" t="str">
            <v>CESFAM LAS AMERICAS</v>
          </cell>
        </row>
        <row r="12460">
          <cell r="Z12460" t="str">
            <v>ESTERILIZACIÓN</v>
          </cell>
          <cell r="AA12460" t="str">
            <v>UNIVERSIDAD DE VALPARAISO</v>
          </cell>
        </row>
        <row r="12461">
          <cell r="Z12461" t="str">
            <v>ESTERILIZACIÓN</v>
          </cell>
          <cell r="AA12461" t="str">
            <v>UNIVERSIDAD DE VALPARAISO</v>
          </cell>
        </row>
        <row r="12462">
          <cell r="Z12462" t="str">
            <v>ESTERILIZACIÓN</v>
          </cell>
          <cell r="AA12462" t="str">
            <v>UNIVERSIDAD DE LA FRONTERA</v>
          </cell>
        </row>
        <row r="12463">
          <cell r="Z12463" t="str">
            <v>ESTERILIZACIÓN</v>
          </cell>
        </row>
        <row r="12464">
          <cell r="Z12464" t="str">
            <v>ESTERILIZACIÓN</v>
          </cell>
          <cell r="AA12464" t="str">
            <v>UNIVERSIDAD DE VALPARAISO</v>
          </cell>
        </row>
        <row r="12465">
          <cell r="Z12465" t="str">
            <v>ESTERILIZACIÓN</v>
          </cell>
          <cell r="AA12465" t="str">
            <v>UNIVERSIDAD DE LA FRONTERA</v>
          </cell>
        </row>
        <row r="12466">
          <cell r="Z12466" t="str">
            <v>ESTERILIZACIÓN</v>
          </cell>
          <cell r="AA12466" t="str">
            <v>UNIVERSIDAD DE LA FRONTERA</v>
          </cell>
        </row>
        <row r="12467">
          <cell r="Z12467" t="str">
            <v>ESTERILIZACIÓN</v>
          </cell>
        </row>
        <row r="12468">
          <cell r="Z12468" t="str">
            <v>ESTERILIZACIÓN</v>
          </cell>
        </row>
        <row r="12469">
          <cell r="Z12469" t="str">
            <v>ESTERILIZACIÓN</v>
          </cell>
        </row>
        <row r="12470">
          <cell r="Z12470" t="str">
            <v>ESTERILIZACIÓN</v>
          </cell>
        </row>
        <row r="12471">
          <cell r="Z12471" t="str">
            <v>ESTERILIZACIÓN</v>
          </cell>
          <cell r="AA12471" t="str">
            <v>INSUMOS Y SERVICIOS MEDICOS S.A.</v>
          </cell>
        </row>
        <row r="12472">
          <cell r="Z12472" t="str">
            <v>ESTERILIZACIÓN</v>
          </cell>
        </row>
        <row r="12473">
          <cell r="Z12473" t="str">
            <v>ESTERILIZACIÓN</v>
          </cell>
          <cell r="AA12473" t="str">
            <v>GEMCO GENERAL MACHINERY S.A.</v>
          </cell>
        </row>
        <row r="12474">
          <cell r="Z12474" t="str">
            <v>ESTERILIZACIÓN</v>
          </cell>
        </row>
        <row r="12475">
          <cell r="Z12475" t="str">
            <v>ESTERILIZACIÓN</v>
          </cell>
        </row>
        <row r="12476">
          <cell r="Z12476" t="str">
            <v>ESTERILIZACIÓN</v>
          </cell>
        </row>
        <row r="12477">
          <cell r="Z12477" t="str">
            <v>ESTERILIZACIÓN</v>
          </cell>
        </row>
        <row r="12478">
          <cell r="Z12478" t="str">
            <v>ESTERILIZACIÓN</v>
          </cell>
          <cell r="AA12478" t="str">
            <v>INSUMOS Y SERVICIOS MEDICOS S.A.</v>
          </cell>
        </row>
        <row r="12479">
          <cell r="Z12479" t="str">
            <v>ESTERILIZACIÓN</v>
          </cell>
        </row>
        <row r="12480">
          <cell r="Z12480" t="str">
            <v>ESTERILIZACIÓN</v>
          </cell>
        </row>
        <row r="12481">
          <cell r="Z12481" t="str">
            <v>ESTERILIZACIÓN</v>
          </cell>
          <cell r="AA12481" t="str">
            <v>GEMCO GENERAL MACHINERY S.A.</v>
          </cell>
        </row>
        <row r="12482">
          <cell r="Z12482" t="str">
            <v>ESTERILIZACIÓN</v>
          </cell>
        </row>
        <row r="12483">
          <cell r="Z12483" t="str">
            <v>ESTERILIZACIÓN</v>
          </cell>
          <cell r="AA12483" t="str">
            <v>GEMCO GENERAL MACHINERY S.A.</v>
          </cell>
        </row>
        <row r="12484">
          <cell r="Z12484" t="str">
            <v>ESTERILIZACIÓN</v>
          </cell>
          <cell r="AA12484" t="str">
            <v>GEMCO GENERAL MACHINERY S.A.</v>
          </cell>
        </row>
        <row r="12485">
          <cell r="Z12485" t="str">
            <v>ESTERILIZACIÓN</v>
          </cell>
          <cell r="AA12485" t="str">
            <v>GEMCO GENERAL MACHINERY S.A.</v>
          </cell>
        </row>
        <row r="12486">
          <cell r="Z12486" t="str">
            <v>ESTERILIZACIÓN</v>
          </cell>
          <cell r="AA12486" t="str">
            <v>INSUMOS Y SERVICIOS MEDICOS S.A.</v>
          </cell>
        </row>
        <row r="12487">
          <cell r="Z12487" t="str">
            <v>ESTERILIZACIÓN</v>
          </cell>
          <cell r="AA12487" t="str">
            <v>GEMCO GENERAL MACHINERY S.A.</v>
          </cell>
        </row>
        <row r="12488">
          <cell r="Z12488" t="str">
            <v>ESTERILIZACIÓN</v>
          </cell>
        </row>
        <row r="12489">
          <cell r="Z12489" t="str">
            <v>ESTERILIZACIÓN</v>
          </cell>
        </row>
        <row r="12490">
          <cell r="Z12490" t="str">
            <v>ESTERILIZACIÓN</v>
          </cell>
        </row>
        <row r="12491">
          <cell r="Z12491" t="str">
            <v>ESTERILIZACIÓN</v>
          </cell>
        </row>
        <row r="12492">
          <cell r="Z12492" t="str">
            <v>ESTERILIZACIÓN</v>
          </cell>
        </row>
        <row r="12493">
          <cell r="Z12493" t="str">
            <v>ESTERILIZACIÓN</v>
          </cell>
        </row>
        <row r="12494">
          <cell r="Z12494" t="str">
            <v>ESTERILIZACIÓN</v>
          </cell>
        </row>
        <row r="12495">
          <cell r="Z12495" t="str">
            <v>ESTERILIZACIÓN</v>
          </cell>
        </row>
        <row r="12496">
          <cell r="Z12496" t="str">
            <v>ESTERILIZACIÓN</v>
          </cell>
        </row>
        <row r="12497">
          <cell r="Z12497" t="str">
            <v>ESTERILIZACIÓN</v>
          </cell>
        </row>
        <row r="12498">
          <cell r="Z12498" t="str">
            <v>DENTAL</v>
          </cell>
        </row>
        <row r="12499">
          <cell r="Z12499" t="str">
            <v>DENTAL</v>
          </cell>
          <cell r="AA12499" t="str">
            <v>ASMAR</v>
          </cell>
        </row>
        <row r="12500">
          <cell r="Z12500" t="str">
            <v>MOBILIARIO CLINICO</v>
          </cell>
          <cell r="AA12500" t="str">
            <v>SERVICIO DE SALUD ÑUBLE</v>
          </cell>
        </row>
        <row r="12501">
          <cell r="Z12501" t="str">
            <v>MOBILIARIO CLINICO</v>
          </cell>
          <cell r="AA12501" t="str">
            <v>SERVICIO DE SALUD ÑUBLE</v>
          </cell>
        </row>
        <row r="12502">
          <cell r="Z12502" t="str">
            <v>MOBILIARIO CLINICO</v>
          </cell>
        </row>
        <row r="12503">
          <cell r="Z12503" t="str">
            <v>MOBILIARIO CLINICO</v>
          </cell>
          <cell r="AA12503" t="str">
            <v>SOCIEDAD CONCESIONARIA METROPOLITANA DE SALUD S.A.</v>
          </cell>
        </row>
        <row r="12504">
          <cell r="Z12504" t="str">
            <v>MOBILIARIO CLINICO</v>
          </cell>
          <cell r="AA12504" t="str">
            <v>SOCIEDAD CONCESIONARIA METROPOLITANA DE SALUD S.A.</v>
          </cell>
        </row>
        <row r="12505">
          <cell r="Z12505" t="str">
            <v>DENTAL</v>
          </cell>
        </row>
        <row r="12506">
          <cell r="Z12506" t="str">
            <v>DENTAL</v>
          </cell>
        </row>
        <row r="12507">
          <cell r="Z12507" t="str">
            <v>DENTAL</v>
          </cell>
        </row>
        <row r="12508">
          <cell r="Z12508" t="str">
            <v>DENTAL</v>
          </cell>
        </row>
        <row r="12509">
          <cell r="Z12509" t="str">
            <v>DENTAL</v>
          </cell>
        </row>
        <row r="12510">
          <cell r="Z12510" t="str">
            <v>DENTAL</v>
          </cell>
          <cell r="AA12510" t="str">
            <v>HOSPITAL DE URGENCIA ASISTENCIA PUBLICA DR. ALEJ</v>
          </cell>
        </row>
        <row r="12511">
          <cell r="Z12511" t="str">
            <v>DENTAL</v>
          </cell>
        </row>
        <row r="12512">
          <cell r="Z12512" t="str">
            <v>DENTAL</v>
          </cell>
        </row>
        <row r="12513">
          <cell r="Z12513" t="str">
            <v>DENTAL</v>
          </cell>
        </row>
        <row r="12514">
          <cell r="Z12514" t="str">
            <v>DENTAL</v>
          </cell>
          <cell r="AA12514" t="str">
            <v>CESFAM CAROL URZUA</v>
          </cell>
        </row>
        <row r="12515">
          <cell r="Z12515" t="str">
            <v>MOBILIARIO CLINICO</v>
          </cell>
          <cell r="AA12515" t="str">
            <v>GEMCO GENERAL MACHINERY S.A.</v>
          </cell>
        </row>
        <row r="12516">
          <cell r="Z12516" t="str">
            <v>MOBILIARIO CLINICO</v>
          </cell>
          <cell r="AA12516" t="str">
            <v>HOSPITAL VICTOR RIOS RUIZ</v>
          </cell>
        </row>
        <row r="12517">
          <cell r="Z12517" t="str">
            <v>MOBILIARIO CLINICO</v>
          </cell>
          <cell r="AA12517" t="str">
            <v>HOSPITAL VICTOR RIOS RUIZ</v>
          </cell>
        </row>
        <row r="12518">
          <cell r="Z12518" t="str">
            <v>MOBILIARIO CLINICO</v>
          </cell>
          <cell r="AA12518" t="str">
            <v>HOSPITAL VICTOR RIOS RUIZ</v>
          </cell>
        </row>
        <row r="12519">
          <cell r="Z12519" t="str">
            <v>MOBILIARIO CLINICO</v>
          </cell>
          <cell r="AA12519" t="str">
            <v>HOSPITAL VICTOR RIOS RUIZ</v>
          </cell>
        </row>
        <row r="12520">
          <cell r="Z12520" t="str">
            <v>MOBILIARIO CLINICO</v>
          </cell>
          <cell r="AA12520" t="str">
            <v>HOSPITAL VICTOR RIOS RUIZ</v>
          </cell>
        </row>
        <row r="12521">
          <cell r="Z12521" t="str">
            <v>MOBILIARIO CLINICO</v>
          </cell>
          <cell r="AA12521" t="str">
            <v>HOSPITAL VICTOR RIOS RUIZ</v>
          </cell>
        </row>
        <row r="12522">
          <cell r="Z12522" t="str">
            <v>MOBILIARIO CLINICO</v>
          </cell>
          <cell r="AA12522" t="str">
            <v>HOSPITAL VICTOR RIOS RUIZ</v>
          </cell>
        </row>
        <row r="12523">
          <cell r="Z12523" t="str">
            <v>MOBILIARIO CLINICO</v>
          </cell>
          <cell r="AA12523" t="str">
            <v>HOSPITAL VICTOR RIOS RUIZ</v>
          </cell>
        </row>
        <row r="12524">
          <cell r="Z12524" t="str">
            <v>MOBILIARIO CLINICO</v>
          </cell>
          <cell r="AA12524" t="str">
            <v>HOSPITAL VICTOR RIOS RUIZ</v>
          </cell>
        </row>
        <row r="12525">
          <cell r="Z12525" t="str">
            <v>MOBILIARIO CLINICO</v>
          </cell>
          <cell r="AA12525" t="str">
            <v>HOSPITAL VICTOR RIOS RUIZ</v>
          </cell>
        </row>
        <row r="12526">
          <cell r="Z12526" t="str">
            <v>MOBILIARIO CLINICO</v>
          </cell>
          <cell r="AA12526" t="str">
            <v>HOSPITAL VICTOR RIOS RUIZ</v>
          </cell>
        </row>
        <row r="12527">
          <cell r="Z12527" t="str">
            <v>MOBILIARIO CLINICO</v>
          </cell>
          <cell r="AA12527" t="str">
            <v>HOSPITAL VICTOR RIOS RUIZ</v>
          </cell>
        </row>
        <row r="12528">
          <cell r="Z12528" t="str">
            <v>MOBILIARIO CLINICO</v>
          </cell>
          <cell r="AA12528" t="str">
            <v>HOSPITAL VICTOR RIOS RUIZ</v>
          </cell>
        </row>
        <row r="12529">
          <cell r="Z12529" t="str">
            <v>MOBILIARIO CLINICO</v>
          </cell>
          <cell r="AA12529" t="str">
            <v>HOSPITAL VICTOR RIOS RUIZ</v>
          </cell>
        </row>
        <row r="12530">
          <cell r="Z12530" t="str">
            <v>MOBILIARIO CLINICO</v>
          </cell>
          <cell r="AA12530" t="str">
            <v>HOSPITAL VICTOR RIOS RUIZ</v>
          </cell>
        </row>
        <row r="12531">
          <cell r="Z12531" t="str">
            <v>MOBILIARIO CLINICO</v>
          </cell>
          <cell r="AA12531" t="str">
            <v>HOSPITAL VICTOR RIOS RUIZ</v>
          </cell>
        </row>
        <row r="12532">
          <cell r="Z12532" t="str">
            <v>MOBILIARIO CLINICO</v>
          </cell>
          <cell r="AA12532" t="str">
            <v>HOSPITAL VICTOR RIOS RUIZ</v>
          </cell>
        </row>
        <row r="12533">
          <cell r="Z12533" t="str">
            <v>MOBILIARIO CLINICO</v>
          </cell>
          <cell r="AA12533" t="str">
            <v>HOSPITAL VICTOR RIOS RUIZ</v>
          </cell>
        </row>
        <row r="12534">
          <cell r="Z12534" t="str">
            <v>MOBILIARIO CLINICO</v>
          </cell>
          <cell r="AA12534" t="str">
            <v>HOSPITAL VICTOR RIOS RUIZ</v>
          </cell>
        </row>
        <row r="12535">
          <cell r="Z12535" t="str">
            <v>MOBILIARIO CLINICO</v>
          </cell>
          <cell r="AA12535" t="str">
            <v>HOSPITAL VICTOR RIOS RUIZ</v>
          </cell>
        </row>
        <row r="12536">
          <cell r="Z12536" t="str">
            <v>MOBILIARIO CLINICO</v>
          </cell>
          <cell r="AA12536" t="str">
            <v>HOSPITAL VICTOR RIOS RUIZ</v>
          </cell>
        </row>
        <row r="12537">
          <cell r="Z12537" t="str">
            <v>MOBILIARIO CLINICO</v>
          </cell>
          <cell r="AA12537" t="str">
            <v>HOSPITAL VICTOR RIOS RUIZ</v>
          </cell>
        </row>
        <row r="12538">
          <cell r="Z12538" t="str">
            <v>MOBILIARIO CLINICO</v>
          </cell>
          <cell r="AA12538" t="str">
            <v>HOSPITAL VICTOR RIOS RUIZ</v>
          </cell>
        </row>
        <row r="12539">
          <cell r="Z12539" t="str">
            <v>MOBILIARIO CLINICO</v>
          </cell>
          <cell r="AA12539" t="str">
            <v>HOSPITAL VICTOR RIOS RUIZ</v>
          </cell>
        </row>
        <row r="12540">
          <cell r="Z12540" t="str">
            <v>MOBILIARIO CLINICO</v>
          </cell>
          <cell r="AA12540" t="str">
            <v>HOSPITAL VICTOR RIOS RUIZ</v>
          </cell>
        </row>
        <row r="12541">
          <cell r="Z12541" t="str">
            <v>MOBILIARIO CLINICO</v>
          </cell>
          <cell r="AA12541" t="str">
            <v>HOSPITAL VICTOR RIOS RUIZ</v>
          </cell>
        </row>
        <row r="12542">
          <cell r="Z12542" t="str">
            <v>MOBILIARIO CLINICO</v>
          </cell>
          <cell r="AA12542" t="str">
            <v>HOSPITAL VICTOR RIOS RUIZ</v>
          </cell>
        </row>
        <row r="12543">
          <cell r="Z12543" t="str">
            <v>MOBILIARIO CLINICO</v>
          </cell>
          <cell r="AA12543" t="str">
            <v>HOSPITAL VICTOR RIOS RUIZ</v>
          </cell>
        </row>
        <row r="12544">
          <cell r="Z12544" t="str">
            <v>MOBILIARIO CLINICO</v>
          </cell>
          <cell r="AA12544" t="str">
            <v>HOSPITAL VICTOR RIOS RUIZ</v>
          </cell>
        </row>
        <row r="12545">
          <cell r="Z12545" t="str">
            <v>MOBILIARIO CLINICO</v>
          </cell>
          <cell r="AA12545" t="str">
            <v>HOSPITAL VICTOR RIOS RUIZ</v>
          </cell>
        </row>
        <row r="12546">
          <cell r="Z12546" t="str">
            <v>MOBILIARIO CLINICO</v>
          </cell>
          <cell r="AA12546" t="str">
            <v>HOSPITAL VICTOR RIOS RUIZ</v>
          </cell>
        </row>
        <row r="12547">
          <cell r="Z12547" t="str">
            <v>MOBILIARIO CLINICO</v>
          </cell>
          <cell r="AA12547" t="str">
            <v>HOSPITAL VICTOR RIOS RUIZ</v>
          </cell>
        </row>
        <row r="12548">
          <cell r="Z12548" t="str">
            <v>MOBILIARIO CLINICO</v>
          </cell>
          <cell r="AA12548" t="str">
            <v>HOSPITAL DE PUERTO AYSEN</v>
          </cell>
        </row>
        <row r="12549">
          <cell r="Z12549" t="str">
            <v>MOBILIARIO CLINICO</v>
          </cell>
          <cell r="AA12549" t="str">
            <v>HOSPITAL DE PUERTO AYSEN</v>
          </cell>
        </row>
        <row r="12550">
          <cell r="Z12550" t="str">
            <v>MOBILIARIO CLINICO</v>
          </cell>
          <cell r="AA12550" t="str">
            <v>HOSPITAL PENCO -LIRQUEN</v>
          </cell>
        </row>
        <row r="12551">
          <cell r="Z12551" t="str">
            <v>MOBILIARIO CLINICO</v>
          </cell>
          <cell r="AA12551" t="str">
            <v>HOSPITAL PENCO -LIRQUEN</v>
          </cell>
        </row>
        <row r="12552">
          <cell r="Z12552" t="str">
            <v>MOBILIARIO CLINICO</v>
          </cell>
          <cell r="AA12552" t="str">
            <v>HOSPITAL PENCO -LIRQUEN</v>
          </cell>
        </row>
        <row r="12553">
          <cell r="Z12553" t="str">
            <v>MOBILIARIO CLINICO</v>
          </cell>
        </row>
        <row r="12554">
          <cell r="Z12554" t="str">
            <v>MOBILIARIO CLINICO</v>
          </cell>
          <cell r="AA12554" t="str">
            <v>HOSPITAL PENCO -LIRQUEN</v>
          </cell>
        </row>
        <row r="12555">
          <cell r="Z12555" t="str">
            <v>MOBILIARIO CLINICO</v>
          </cell>
        </row>
        <row r="12556">
          <cell r="Z12556" t="str">
            <v>MOBILIARIO CLINICO</v>
          </cell>
          <cell r="AA12556" t="str">
            <v>HOSPITAL PENCO -LIRQUEN</v>
          </cell>
        </row>
        <row r="12557">
          <cell r="Z12557" t="str">
            <v>MOBILIARIO CLINICO</v>
          </cell>
        </row>
        <row r="12558">
          <cell r="Z12558" t="str">
            <v>MOBILIARIO CLINICO</v>
          </cell>
          <cell r="AA12558" t="str">
            <v>CESFAM TUCAPEL</v>
          </cell>
        </row>
        <row r="12559">
          <cell r="Z12559" t="str">
            <v>MOBILIARIO CLINICO</v>
          </cell>
        </row>
        <row r="12560">
          <cell r="Z12560" t="str">
            <v>MOBILIARIO CLINICO</v>
          </cell>
        </row>
        <row r="12561">
          <cell r="Z12561" t="str">
            <v>ESTERILIZACIÓN</v>
          </cell>
        </row>
        <row r="12562">
          <cell r="Z12562" t="str">
            <v>REAS</v>
          </cell>
        </row>
        <row r="12563">
          <cell r="Z12563" t="str">
            <v>DENTAL</v>
          </cell>
        </row>
        <row r="12564">
          <cell r="Z12564" t="str">
            <v>ENDOSCOPÍA</v>
          </cell>
        </row>
        <row r="12565">
          <cell r="Z12565" t="str">
            <v>DENTAL</v>
          </cell>
        </row>
        <row r="12566">
          <cell r="Z12566" t="str">
            <v>ESTERILIZACIÓN</v>
          </cell>
        </row>
        <row r="12567">
          <cell r="Z12567" t="str">
            <v>OTRO</v>
          </cell>
        </row>
        <row r="12568">
          <cell r="Z12568" t="str">
            <v>DENTAL</v>
          </cell>
          <cell r="AA12568" t="str">
            <v>INTEGRAMEDICA ALAMEDA</v>
          </cell>
        </row>
        <row r="12569">
          <cell r="Z12569" t="str">
            <v>DENTAL</v>
          </cell>
        </row>
        <row r="12570">
          <cell r="Z12570" t="str">
            <v>DENTAL</v>
          </cell>
          <cell r="AA12570" t="str">
            <v>MUNICIPALIDAD DE VITACURA</v>
          </cell>
        </row>
        <row r="12571">
          <cell r="Z12571" t="str">
            <v>DENTAL</v>
          </cell>
          <cell r="AA12571" t="str">
            <v>MUNICIPALIDAD DE VITACURA</v>
          </cell>
        </row>
        <row r="12572">
          <cell r="Z12572" t="str">
            <v>DENTAL</v>
          </cell>
          <cell r="AA12572" t="str">
            <v>MUNICIPALIDAD DE VITACURA</v>
          </cell>
        </row>
        <row r="12573">
          <cell r="Z12573" t="str">
            <v>DENTAL</v>
          </cell>
          <cell r="AA12573" t="str">
            <v>MUNICIPALIDAD DE VITACURA</v>
          </cell>
        </row>
        <row r="12574">
          <cell r="Z12574" t="str">
            <v>DENTAL</v>
          </cell>
          <cell r="AA12574" t="str">
            <v>MUNICIPALIDAD DE VITACURA</v>
          </cell>
        </row>
        <row r="12575">
          <cell r="Z12575" t="str">
            <v>DENTAL</v>
          </cell>
          <cell r="AA12575" t="str">
            <v>MUNICIPALIDAD DE VITACURA</v>
          </cell>
        </row>
        <row r="12576">
          <cell r="Z12576" t="str">
            <v>DENTAL</v>
          </cell>
          <cell r="AA12576" t="str">
            <v>GEMCO GENERAL MACHINERY S.A.</v>
          </cell>
        </row>
        <row r="12577">
          <cell r="Z12577" t="str">
            <v>DENTAL</v>
          </cell>
          <cell r="AA12577" t="str">
            <v>INTEGRAMEDICA PLAZA NORTE</v>
          </cell>
        </row>
        <row r="12578">
          <cell r="Z12578" t="str">
            <v>DENTAL</v>
          </cell>
          <cell r="AA12578" t="str">
            <v>INTEGRAMEDICA PLAZA NORTE</v>
          </cell>
        </row>
        <row r="12579">
          <cell r="Z12579" t="str">
            <v>DENTAL</v>
          </cell>
          <cell r="AA12579" t="str">
            <v>INTEGRAMEDICA PLAZA NORTE</v>
          </cell>
        </row>
        <row r="12580">
          <cell r="Z12580" t="str">
            <v>DENTAL</v>
          </cell>
          <cell r="AA12580" t="str">
            <v>INTEGRAMEDICA PLAZA NORTE</v>
          </cell>
        </row>
        <row r="12581">
          <cell r="Z12581" t="str">
            <v>DENTAL</v>
          </cell>
          <cell r="AA12581" t="str">
            <v>INTEGRAMEDICA PLAZA NORTE</v>
          </cell>
        </row>
        <row r="12582">
          <cell r="Z12582" t="str">
            <v>OTRO</v>
          </cell>
        </row>
        <row r="12583">
          <cell r="Z12583" t="str">
            <v>OTRO</v>
          </cell>
        </row>
        <row r="12584">
          <cell r="Z12584" t="str">
            <v>OTRO</v>
          </cell>
        </row>
        <row r="12585">
          <cell r="Z12585" t="str">
            <v>OTRO</v>
          </cell>
        </row>
        <row r="12586">
          <cell r="Z12586" t="str">
            <v>OTRO</v>
          </cell>
        </row>
        <row r="12587">
          <cell r="Z12587" t="str">
            <v>OTRO</v>
          </cell>
        </row>
        <row r="12588">
          <cell r="Z12588" t="str">
            <v>OTRO</v>
          </cell>
        </row>
        <row r="12589">
          <cell r="Z12589" t="str">
            <v>ESTERILIZACIÓN</v>
          </cell>
          <cell r="AA12589" t="str">
            <v>SERVICIO DE SALUD MAGALLANES</v>
          </cell>
        </row>
        <row r="12590">
          <cell r="Z12590" t="str">
            <v>ENDOSCOPÍA</v>
          </cell>
        </row>
        <row r="12591">
          <cell r="Z12591" t="str">
            <v>OTRO</v>
          </cell>
        </row>
        <row r="12592">
          <cell r="Z12592" t="str">
            <v>ENDOSCOPÍA</v>
          </cell>
          <cell r="AA12592" t="str">
            <v>GEMCO GENERAL MACHINERY S.A.</v>
          </cell>
        </row>
        <row r="12593">
          <cell r="Z12593" t="str">
            <v>ENDOSCOPÍA</v>
          </cell>
          <cell r="AA12593" t="str">
            <v>SOCIEDAD CONCESIONARIA METROPOLITANA DE SALUD S.A.</v>
          </cell>
        </row>
        <row r="12594">
          <cell r="Z12594" t="str">
            <v>ENDOSCOPÍA</v>
          </cell>
          <cell r="AA12594" t="str">
            <v>HOSPITAL DEL SALVADOR</v>
          </cell>
        </row>
        <row r="12595">
          <cell r="Z12595" t="str">
            <v>ENDOSCOPÍA</v>
          </cell>
          <cell r="AA12595" t="str">
            <v>HOSPITAL DE CASTRO</v>
          </cell>
        </row>
        <row r="12596">
          <cell r="Z12596" t="str">
            <v>ENDOSCOPÍA</v>
          </cell>
          <cell r="AA12596" t="str">
            <v>HOSPITAL DE CASTRO</v>
          </cell>
        </row>
        <row r="12597">
          <cell r="Z12597" t="str">
            <v>ENDOSCOPÍA</v>
          </cell>
          <cell r="AA12597" t="str">
            <v>PONTIFICIA UNIVERSIDAD CATOLICA DE CHILE</v>
          </cell>
        </row>
        <row r="12598">
          <cell r="Z12598" t="str">
            <v>ENDOSCOPÍA</v>
          </cell>
          <cell r="AA12598" t="str">
            <v>HOSPITAL DE PUERTO MONTT</v>
          </cell>
        </row>
        <row r="12599">
          <cell r="Z12599" t="str">
            <v>REAS</v>
          </cell>
        </row>
        <row r="12600">
          <cell r="Z12600" t="str">
            <v>DENTAL</v>
          </cell>
        </row>
        <row r="12601">
          <cell r="Z12601" t="str">
            <v>DENTAL</v>
          </cell>
          <cell r="AA12601" t="str">
            <v>CESFAM THOMAS FENTON</v>
          </cell>
        </row>
        <row r="12602">
          <cell r="Z12602" t="str">
            <v>DENTAL</v>
          </cell>
          <cell r="AA12602" t="str">
            <v>CESFAM THOMAS FENTON</v>
          </cell>
        </row>
        <row r="12603">
          <cell r="Z12603" t="str">
            <v>DENTAL</v>
          </cell>
        </row>
        <row r="12604">
          <cell r="Z12604" t="str">
            <v>DENTAL</v>
          </cell>
        </row>
        <row r="12605">
          <cell r="Z12605" t="str">
            <v>DENTAL</v>
          </cell>
          <cell r="AA12605" t="str">
            <v>GEMCO GENERAL MACHINERY S.A.</v>
          </cell>
        </row>
        <row r="12606">
          <cell r="Z12606" t="str">
            <v>DENTAL</v>
          </cell>
          <cell r="AA12606" t="str">
            <v>CESFAM LORETO DE COLTAUCO</v>
          </cell>
        </row>
        <row r="12607">
          <cell r="Z12607" t="str">
            <v>DENTAL</v>
          </cell>
        </row>
        <row r="12608">
          <cell r="Z12608" t="str">
            <v>DENTAL</v>
          </cell>
        </row>
        <row r="12609">
          <cell r="Z12609" t="str">
            <v>DENTAL</v>
          </cell>
        </row>
        <row r="12610">
          <cell r="Z12610" t="str">
            <v>DENTAL</v>
          </cell>
        </row>
        <row r="12611">
          <cell r="Z12611" t="str">
            <v>DENTAL</v>
          </cell>
        </row>
        <row r="12612">
          <cell r="Z12612" t="str">
            <v>DENTAL</v>
          </cell>
        </row>
        <row r="12613">
          <cell r="Z12613" t="str">
            <v>DENTAL</v>
          </cell>
        </row>
        <row r="12614">
          <cell r="Z12614" t="str">
            <v>DENTAL</v>
          </cell>
        </row>
        <row r="12615">
          <cell r="Z12615" t="str">
            <v>DENTAL</v>
          </cell>
          <cell r="AA12615" t="str">
            <v>SALUD POR CHILE LIMITADA</v>
          </cell>
        </row>
        <row r="12616">
          <cell r="Z12616" t="str">
            <v>DENTAL</v>
          </cell>
          <cell r="AA12616" t="str">
            <v>SALUD POR CHILE LIMITADA</v>
          </cell>
        </row>
        <row r="12617">
          <cell r="Z12617" t="str">
            <v>DENTAL</v>
          </cell>
          <cell r="AA12617" t="str">
            <v>SALUD POR CHILE LIMITADA</v>
          </cell>
        </row>
        <row r="12618">
          <cell r="Z12618" t="str">
            <v>DENTAL</v>
          </cell>
          <cell r="AA12618" t="str">
            <v>SALUD POR CHILE LIMITADA</v>
          </cell>
        </row>
        <row r="12619">
          <cell r="Z12619" t="str">
            <v>DENTAL</v>
          </cell>
        </row>
        <row r="12620">
          <cell r="Z12620" t="str">
            <v>DENTAL</v>
          </cell>
          <cell r="AA12620" t="str">
            <v>SALUD POR CHILE LIMITADA</v>
          </cell>
        </row>
        <row r="12621">
          <cell r="Z12621" t="str">
            <v>DENTAL</v>
          </cell>
        </row>
        <row r="12622">
          <cell r="Z12622" t="str">
            <v>DENTAL</v>
          </cell>
          <cell r="AA12622" t="str">
            <v>SALUD POR CHILE LIMITADA</v>
          </cell>
        </row>
        <row r="12623">
          <cell r="Z12623" t="str">
            <v>DENTAL</v>
          </cell>
          <cell r="AA12623" t="str">
            <v>CLINICA MUC SPA</v>
          </cell>
        </row>
        <row r="12624">
          <cell r="Z12624" t="str">
            <v>DENTAL</v>
          </cell>
          <cell r="AA12624" t="str">
            <v>NORDEN NEW YORK</v>
          </cell>
        </row>
        <row r="12625">
          <cell r="Z12625" t="str">
            <v>DENTAL</v>
          </cell>
          <cell r="AA12625" t="str">
            <v>NORDEN NEW YORK</v>
          </cell>
        </row>
        <row r="12626">
          <cell r="Z12626" t="str">
            <v>DENTAL</v>
          </cell>
        </row>
        <row r="12627">
          <cell r="Z12627" t="str">
            <v>DENTAL</v>
          </cell>
        </row>
        <row r="12628">
          <cell r="Z12628" t="str">
            <v>DENTAL</v>
          </cell>
          <cell r="AA12628" t="str">
            <v>NORDEN  SEDE PEÑALOLEN</v>
          </cell>
        </row>
        <row r="12629">
          <cell r="Z12629" t="str">
            <v>DENTAL</v>
          </cell>
        </row>
        <row r="12630">
          <cell r="Z12630" t="str">
            <v>DENTAL</v>
          </cell>
          <cell r="AA12630" t="str">
            <v>NORDEN  SEDE PEÑALOLEN</v>
          </cell>
        </row>
        <row r="12631">
          <cell r="Z12631" t="str">
            <v>DENTAL</v>
          </cell>
        </row>
        <row r="12632">
          <cell r="Z12632" t="str">
            <v>DENTAL</v>
          </cell>
          <cell r="AA12632" t="str">
            <v>NORDEN NEW YORK</v>
          </cell>
        </row>
        <row r="12633">
          <cell r="Z12633" t="str">
            <v>DENTAL</v>
          </cell>
          <cell r="AA12633" t="str">
            <v>NORDEN NEW YORK</v>
          </cell>
        </row>
        <row r="12634">
          <cell r="Z12634" t="str">
            <v>DENTAL</v>
          </cell>
          <cell r="AA12634" t="str">
            <v>NORDEN  SEDE PEÑALOLEN</v>
          </cell>
        </row>
        <row r="12635">
          <cell r="Z12635" t="str">
            <v>DENTAL</v>
          </cell>
        </row>
        <row r="12636">
          <cell r="Z12636" t="str">
            <v>DENTAL</v>
          </cell>
          <cell r="AA12636" t="str">
            <v>SOCIEDAD CONCESIONARIA METROPOLITANA DE SALUD S.A.</v>
          </cell>
        </row>
        <row r="12637">
          <cell r="Z12637" t="str">
            <v>DENTAL</v>
          </cell>
          <cell r="AA12637" t="str">
            <v>SOCIEDAD CONCESIONARIA METROPOLITANA DE SALUD S.A.</v>
          </cell>
        </row>
        <row r="12638">
          <cell r="Z12638" t="str">
            <v>DENTAL</v>
          </cell>
          <cell r="AA12638" t="str">
            <v>SOCIEDAD CONCESIONARIA METROPOLITANA DE SALUD S.A.</v>
          </cell>
        </row>
        <row r="12639">
          <cell r="Z12639" t="str">
            <v>DENTAL</v>
          </cell>
          <cell r="AA12639" t="str">
            <v>SOCIEDAD CONCESIONARIA METROPOLITANA DE SALUD S.A.</v>
          </cell>
        </row>
        <row r="12640">
          <cell r="Z12640" t="str">
            <v>DENTAL</v>
          </cell>
          <cell r="AA12640" t="str">
            <v>SOCIEDAD CONCESIONARIA METROPOLITANA DE SALUD S.A.</v>
          </cell>
        </row>
        <row r="12641">
          <cell r="Z12641" t="str">
            <v>DENTAL</v>
          </cell>
          <cell r="AA12641" t="str">
            <v>SOCIEDAD CONCESIONARIA METROPOLITANA DE SALUD S.A.</v>
          </cell>
        </row>
        <row r="12642">
          <cell r="Z12642" t="str">
            <v>DENTAL</v>
          </cell>
          <cell r="AA12642" t="str">
            <v>SOCIEDAD CONCESIONARIA METROPOLITANA DE SALUD S.A.</v>
          </cell>
        </row>
        <row r="12643">
          <cell r="Z12643" t="str">
            <v>DENTAL</v>
          </cell>
          <cell r="AA12643" t="str">
            <v>SOCIEDAD CONCESIONARIA METROPOLITANA DE SALUD S.A.</v>
          </cell>
        </row>
        <row r="12644">
          <cell r="Z12644" t="str">
            <v>DENTAL</v>
          </cell>
          <cell r="AA12644" t="str">
            <v>SOCIEDAD CONCESIONARIA METROPOLITANA DE SALUD S.A.</v>
          </cell>
        </row>
        <row r="12645">
          <cell r="Z12645" t="str">
            <v>DENTAL</v>
          </cell>
        </row>
        <row r="12646">
          <cell r="Z12646" t="str">
            <v>DENTAL</v>
          </cell>
        </row>
        <row r="12647">
          <cell r="Z12647" t="str">
            <v>DENTAL</v>
          </cell>
        </row>
        <row r="12648">
          <cell r="Z12648" t="str">
            <v>DENTAL</v>
          </cell>
        </row>
        <row r="12649">
          <cell r="Z12649" t="str">
            <v>DENTAL</v>
          </cell>
          <cell r="AA12649" t="str">
            <v>DIAGNORAD ANTOFAGASTA</v>
          </cell>
        </row>
        <row r="12650">
          <cell r="Z12650" t="str">
            <v>DENTAL</v>
          </cell>
          <cell r="AA12650" t="str">
            <v>DIAGNORAD ANTOFAGASTA</v>
          </cell>
        </row>
        <row r="12651">
          <cell r="Z12651" t="str">
            <v>DENTAL</v>
          </cell>
        </row>
        <row r="12652">
          <cell r="Z12652" t="str">
            <v>DENTAL</v>
          </cell>
        </row>
        <row r="12653">
          <cell r="Z12653" t="str">
            <v>DENTAL</v>
          </cell>
        </row>
        <row r="12654">
          <cell r="Z12654" t="str">
            <v>DENTAL</v>
          </cell>
        </row>
        <row r="12655">
          <cell r="Z12655" t="str">
            <v>DENTAL</v>
          </cell>
        </row>
        <row r="12656">
          <cell r="Z12656" t="str">
            <v>DENTAL</v>
          </cell>
        </row>
        <row r="12657">
          <cell r="Z12657" t="str">
            <v>DENTAL</v>
          </cell>
        </row>
        <row r="12658">
          <cell r="Z12658" t="str">
            <v>DENTAL</v>
          </cell>
        </row>
        <row r="12659">
          <cell r="Z12659" t="str">
            <v>DENTAL</v>
          </cell>
          <cell r="AA12659" t="str">
            <v>HOSPITAL DE QUINTEROS</v>
          </cell>
        </row>
        <row r="12660">
          <cell r="Z12660" t="str">
            <v>DENTAL</v>
          </cell>
        </row>
        <row r="12661">
          <cell r="Z12661" t="str">
            <v>DENTAL</v>
          </cell>
        </row>
        <row r="12662">
          <cell r="Z12662" t="str">
            <v>DENTAL</v>
          </cell>
          <cell r="AA12662" t="str">
            <v>HOSPITAL LAS HIGUERAS</v>
          </cell>
        </row>
        <row r="12663">
          <cell r="Z12663" t="str">
            <v>DENTAL</v>
          </cell>
        </row>
        <row r="12664">
          <cell r="Z12664" t="str">
            <v>DENTAL</v>
          </cell>
        </row>
        <row r="12665">
          <cell r="Z12665" t="str">
            <v>DENTAL</v>
          </cell>
        </row>
        <row r="12666">
          <cell r="Z12666" t="str">
            <v>DENTAL</v>
          </cell>
        </row>
        <row r="12667">
          <cell r="Z12667" t="str">
            <v>DENTAL</v>
          </cell>
        </row>
        <row r="12668">
          <cell r="Z12668" t="str">
            <v>DENTAL</v>
          </cell>
        </row>
        <row r="12669">
          <cell r="Z12669" t="str">
            <v>DENTAL</v>
          </cell>
        </row>
        <row r="12670">
          <cell r="Z12670" t="str">
            <v>DENTAL</v>
          </cell>
        </row>
        <row r="12671">
          <cell r="Z12671" t="str">
            <v>DENTAL</v>
          </cell>
          <cell r="AA12671" t="str">
            <v>CESFAM SAN VICENTE TALCAHUANO</v>
          </cell>
        </row>
        <row r="12672">
          <cell r="Z12672" t="str">
            <v>DENTAL</v>
          </cell>
          <cell r="AA12672" t="str">
            <v>COMPLEJO ASISTENCIAL DR.SOTERO DEL RIO</v>
          </cell>
        </row>
        <row r="12673">
          <cell r="Z12673" t="str">
            <v>DENTAL</v>
          </cell>
          <cell r="AA12673" t="str">
            <v>CESFAM SAN VICENTE TALCAHUANO</v>
          </cell>
        </row>
        <row r="12674">
          <cell r="Z12674" t="str">
            <v>DENTAL</v>
          </cell>
        </row>
        <row r="12675">
          <cell r="Z12675" t="str">
            <v>DENTAL</v>
          </cell>
        </row>
        <row r="12676">
          <cell r="Z12676" t="str">
            <v>DENTAL</v>
          </cell>
          <cell r="AA12676" t="str">
            <v>CLINICA MOVIL CENTINELA</v>
          </cell>
        </row>
        <row r="12677">
          <cell r="Z12677" t="str">
            <v>DENTAL</v>
          </cell>
        </row>
        <row r="12678">
          <cell r="Z12678" t="str">
            <v>DENTAL</v>
          </cell>
          <cell r="AA12678" t="str">
            <v>CESFAM THOMAS FENTON</v>
          </cell>
        </row>
        <row r="12679">
          <cell r="Z12679" t="str">
            <v>DENTAL</v>
          </cell>
        </row>
        <row r="12680">
          <cell r="Z12680" t="str">
            <v>DENTAL</v>
          </cell>
          <cell r="AA12680" t="str">
            <v>HOSPITAL EXEQUIEL GONZALEZ CORTES</v>
          </cell>
        </row>
        <row r="12681">
          <cell r="Z12681" t="str">
            <v>DENTAL</v>
          </cell>
          <cell r="AA12681" t="str">
            <v>HOSPITAL EXEQUIEL GONZALEZ CORTES</v>
          </cell>
        </row>
        <row r="12682">
          <cell r="Z12682" t="str">
            <v>DENTAL</v>
          </cell>
          <cell r="AA12682" t="str">
            <v>ASMAR</v>
          </cell>
        </row>
        <row r="12683">
          <cell r="Z12683" t="str">
            <v>DENTAL</v>
          </cell>
          <cell r="AA12683" t="str">
            <v>ASMAR</v>
          </cell>
        </row>
        <row r="12684">
          <cell r="Z12684" t="str">
            <v>DENTAL</v>
          </cell>
          <cell r="AA12684" t="str">
            <v>ASMAR</v>
          </cell>
        </row>
        <row r="12685">
          <cell r="Z12685" t="str">
            <v>DENTAL</v>
          </cell>
          <cell r="AA12685" t="str">
            <v>ASMAR</v>
          </cell>
        </row>
        <row r="12686">
          <cell r="Z12686" t="str">
            <v>DENTAL</v>
          </cell>
        </row>
        <row r="12687">
          <cell r="Z12687" t="str">
            <v>DENTAL</v>
          </cell>
          <cell r="AA12687" t="str">
            <v>CECOSF EDUARDO FREI</v>
          </cell>
        </row>
        <row r="12688">
          <cell r="Z12688" t="str">
            <v>DENTAL</v>
          </cell>
          <cell r="AA12688" t="str">
            <v>INSTITUTO DE SALUD PUBLICA</v>
          </cell>
        </row>
        <row r="12689">
          <cell r="Z12689" t="str">
            <v>DENTAL</v>
          </cell>
        </row>
        <row r="12690">
          <cell r="Z12690" t="str">
            <v>DENTAL</v>
          </cell>
        </row>
        <row r="12691">
          <cell r="Z12691" t="str">
            <v>DENTAL</v>
          </cell>
          <cell r="AA12691" t="str">
            <v>HOSPITAL EXEQUIEL GONZALEZ CORTES</v>
          </cell>
        </row>
        <row r="12692">
          <cell r="Z12692" t="str">
            <v>DENTAL</v>
          </cell>
          <cell r="AA12692" t="str">
            <v>INTEGRAMEDICA PLAZA SUR</v>
          </cell>
        </row>
        <row r="12693">
          <cell r="Z12693" t="str">
            <v>DENTAL</v>
          </cell>
          <cell r="AA12693" t="str">
            <v>INTEGRAMEDICA S.A (Las Condes)</v>
          </cell>
        </row>
        <row r="12694">
          <cell r="Z12694" t="str">
            <v>DENTAL</v>
          </cell>
          <cell r="AA12694" t="str">
            <v>CESFAM RENGO</v>
          </cell>
        </row>
        <row r="12695">
          <cell r="Z12695" t="str">
            <v>DENTAL</v>
          </cell>
          <cell r="AA12695" t="str">
            <v>HOSPITAL DE COYHAIQUE</v>
          </cell>
        </row>
        <row r="12696">
          <cell r="Z12696" t="str">
            <v>DENTAL</v>
          </cell>
          <cell r="AA12696" t="str">
            <v>SOCIEDAD CONCESIONARIA METROPOLITANA DE SALUD S.A.</v>
          </cell>
        </row>
        <row r="12697">
          <cell r="Z12697" t="str">
            <v>DENTAL</v>
          </cell>
          <cell r="AA12697" t="str">
            <v>SOCIEDAD CONCESIONARIA METROPOLITANA DE SALUD S.A.</v>
          </cell>
        </row>
        <row r="12698">
          <cell r="Z12698" t="str">
            <v>DENTAL</v>
          </cell>
          <cell r="AA12698" t="str">
            <v>SOCIEDAD CONCESIONARIA METROPOLITANA DE SALUD S.A.</v>
          </cell>
        </row>
        <row r="12699">
          <cell r="Z12699" t="str">
            <v>DENTAL</v>
          </cell>
          <cell r="AA12699" t="str">
            <v>SOCIEDAD CONCESIONARIA METROPOLITANA DE SALUD S.A.</v>
          </cell>
        </row>
        <row r="12700">
          <cell r="Z12700" t="str">
            <v>DENTAL</v>
          </cell>
          <cell r="AA12700" t="str">
            <v>SOCIEDAD CONCESIONARIA METROPOLITANA DE SALUD S.A.</v>
          </cell>
        </row>
        <row r="12701">
          <cell r="Z12701" t="str">
            <v>DENTAL</v>
          </cell>
          <cell r="AA12701" t="str">
            <v>SOCIEDAD CONCESIONARIA METROPOLITANA DE SALUD S.A.</v>
          </cell>
        </row>
        <row r="12702">
          <cell r="Z12702" t="str">
            <v>DENTAL</v>
          </cell>
          <cell r="AA12702" t="str">
            <v>SOCIEDAD CONCESIONARIA METROPOLITANA DE SALUD S.A.</v>
          </cell>
        </row>
        <row r="12703">
          <cell r="Z12703" t="str">
            <v>DENTAL</v>
          </cell>
          <cell r="AA12703" t="str">
            <v>SOCIEDAD CONCESIONARIA METROPOLITANA DE SALUD S.A.</v>
          </cell>
        </row>
        <row r="12704">
          <cell r="Z12704" t="str">
            <v>DENTAL</v>
          </cell>
          <cell r="AA12704" t="str">
            <v>INGELSERVICE</v>
          </cell>
        </row>
        <row r="12705">
          <cell r="Z12705" t="str">
            <v>DENTAL</v>
          </cell>
        </row>
        <row r="12706">
          <cell r="Z12706" t="str">
            <v>DENTAL</v>
          </cell>
          <cell r="AA12706" t="str">
            <v>INGELSERVICE</v>
          </cell>
        </row>
        <row r="12707">
          <cell r="Z12707" t="str">
            <v>DENTAL</v>
          </cell>
        </row>
        <row r="12708">
          <cell r="Z12708" t="str">
            <v>DENTAL</v>
          </cell>
          <cell r="AA12708" t="str">
            <v>SOCIEDAD CONCESIONARIA METROPOLITANA DE SALUD S.A.</v>
          </cell>
        </row>
        <row r="12709">
          <cell r="Z12709" t="str">
            <v>DENTAL</v>
          </cell>
          <cell r="AA12709" t="str">
            <v>SOCIEDAD CONCESIONARIA METROPOLITANA DE SALUD S.A.</v>
          </cell>
        </row>
        <row r="12710">
          <cell r="Z12710" t="str">
            <v>DENTAL</v>
          </cell>
          <cell r="AA12710" t="str">
            <v>SOCIEDAD CONCESIONARIA METROPOLITANA DE SALUD S.A.</v>
          </cell>
        </row>
        <row r="12711">
          <cell r="Z12711" t="str">
            <v>DENTAL</v>
          </cell>
          <cell r="AA12711" t="str">
            <v>SOCIEDAD CONCESIONARIA METROPOLITANA DE SALUD S.A.</v>
          </cell>
        </row>
        <row r="12712">
          <cell r="Z12712" t="str">
            <v>DENTAL</v>
          </cell>
          <cell r="AA12712" t="str">
            <v>LA ARAUCANA SALUD S.A.</v>
          </cell>
        </row>
        <row r="12713">
          <cell r="Z12713" t="str">
            <v>DENTAL</v>
          </cell>
          <cell r="AA12713" t="str">
            <v>SOCIEDAD CONCESIONARIA METROPOLITANA DE SALUD S.A.</v>
          </cell>
        </row>
        <row r="12714">
          <cell r="Z12714" t="str">
            <v>DENTAL</v>
          </cell>
          <cell r="AA12714" t="str">
            <v>SOCIEDAD CONCESIONARIA METROPOLITANA DE SALUD S.A.</v>
          </cell>
        </row>
        <row r="12715">
          <cell r="Z12715" t="str">
            <v>DENTAL</v>
          </cell>
          <cell r="AA12715" t="str">
            <v>SOCIEDAD CONCESIONARIA METROPOLITANA DE SALUD S.A.</v>
          </cell>
        </row>
        <row r="12716">
          <cell r="Z12716" t="str">
            <v>DENTAL</v>
          </cell>
          <cell r="AA12716" t="str">
            <v>SOCIEDAD CONCESIONARIA METROPOLITANA DE SALUD S.A.</v>
          </cell>
        </row>
        <row r="12717">
          <cell r="Z12717" t="str">
            <v>DENTAL</v>
          </cell>
          <cell r="AA12717" t="str">
            <v>SOCIEDAD CONCESIONARIA METROPOLITANA DE SALUD S.A.</v>
          </cell>
        </row>
        <row r="12718">
          <cell r="Z12718" t="str">
            <v>DENTAL</v>
          </cell>
          <cell r="AA12718" t="str">
            <v>SOCIEDAD CONCESIONARIA METROPOLITANA DE SALUD S.A.</v>
          </cell>
        </row>
        <row r="12719">
          <cell r="Z12719" t="str">
            <v>DENTAL</v>
          </cell>
          <cell r="AA12719" t="str">
            <v>SOCIEDAD CONCESIONARIA METROPOLITANA DE SALUD S.A.</v>
          </cell>
        </row>
        <row r="12720">
          <cell r="Z12720" t="str">
            <v>DENTAL</v>
          </cell>
        </row>
        <row r="12721">
          <cell r="Z12721" t="str">
            <v>DENTAL</v>
          </cell>
          <cell r="AA12721" t="str">
            <v>SOCIEDAD CONCESIONARIA METROPOLITANA DE SALUD S.A.</v>
          </cell>
        </row>
        <row r="12722">
          <cell r="Z12722" t="str">
            <v>DENTAL</v>
          </cell>
          <cell r="AA12722" t="str">
            <v>SOCIEDAD CONCESIONARIA METROPOLITANA DE SALUD S.A.</v>
          </cell>
        </row>
        <row r="12723">
          <cell r="Z12723" t="str">
            <v>DENTAL</v>
          </cell>
          <cell r="AA12723" t="str">
            <v>SOCIEDAD CONCESIONARIA METROPOLITANA DE SALUD S.A.</v>
          </cell>
        </row>
        <row r="12724">
          <cell r="Z12724" t="str">
            <v>DENTAL</v>
          </cell>
          <cell r="AA12724" t="str">
            <v>SOCIEDAD CONCESIONARIA METROPOLITANA DE SALUD S.A.</v>
          </cell>
        </row>
        <row r="12725">
          <cell r="Z12725" t="str">
            <v>DENTAL</v>
          </cell>
          <cell r="AA12725" t="str">
            <v>SOCIEDAD CONCESIONARIA METROPOLITANA DE SALUD S.A.</v>
          </cell>
        </row>
        <row r="12726">
          <cell r="Z12726" t="str">
            <v>DENTAL</v>
          </cell>
          <cell r="AA12726" t="str">
            <v>SOCIEDAD CONCESIONARIA METROPOLITANA DE SALUD S.A.</v>
          </cell>
        </row>
        <row r="12727">
          <cell r="Z12727" t="str">
            <v>DENTAL</v>
          </cell>
          <cell r="AA12727" t="str">
            <v>SOCIEDAD CONCESIONARIA METROPOLITANA DE SALUD S.A.</v>
          </cell>
        </row>
        <row r="12728">
          <cell r="Z12728" t="str">
            <v>DENTAL</v>
          </cell>
          <cell r="AA12728" t="str">
            <v>SOCIEDAD CONCESIONARIA METROPOLITANA DE SALUD S.A.</v>
          </cell>
        </row>
        <row r="12729">
          <cell r="Z12729" t="str">
            <v>DENTAL</v>
          </cell>
          <cell r="AA12729" t="str">
            <v>SOCIEDAD CONCESIONARIA METROPOLITANA DE SALUD S.A.</v>
          </cell>
        </row>
        <row r="12730">
          <cell r="Z12730" t="str">
            <v>DENTAL</v>
          </cell>
          <cell r="AA12730" t="str">
            <v>HOSPITAL DE COYHAIQUE</v>
          </cell>
        </row>
        <row r="12731">
          <cell r="Z12731" t="str">
            <v>DENTAL</v>
          </cell>
          <cell r="AA12731" t="str">
            <v>CLINICA ESTORIL</v>
          </cell>
        </row>
        <row r="12732">
          <cell r="Z12732" t="str">
            <v>DENTAL</v>
          </cell>
        </row>
        <row r="12733">
          <cell r="Z12733" t="str">
            <v>DENTAL</v>
          </cell>
        </row>
        <row r="12734">
          <cell r="Z12734" t="str">
            <v>DENTAL</v>
          </cell>
        </row>
        <row r="12735">
          <cell r="Z12735" t="str">
            <v>DENTAL</v>
          </cell>
        </row>
        <row r="12736">
          <cell r="Z12736" t="str">
            <v>DENTAL</v>
          </cell>
        </row>
        <row r="12737">
          <cell r="Z12737" t="str">
            <v>DENTAL</v>
          </cell>
        </row>
        <row r="12738">
          <cell r="Z12738" t="str">
            <v>DENTAL</v>
          </cell>
        </row>
        <row r="12739">
          <cell r="Z12739" t="str">
            <v>DENTAL</v>
          </cell>
        </row>
        <row r="12740">
          <cell r="Z12740" t="str">
            <v>ESTERILIZACIÓN</v>
          </cell>
          <cell r="AA12740" t="str">
            <v>DIPRECA FONDO HOSPITAL</v>
          </cell>
        </row>
        <row r="12741">
          <cell r="Z12741" t="str">
            <v>DENTAL</v>
          </cell>
        </row>
        <row r="12742">
          <cell r="Z12742" t="str">
            <v>DENTAL</v>
          </cell>
          <cell r="AA12742" t="str">
            <v>I. MUNICIPALIDAD DE LA CISTERNA</v>
          </cell>
        </row>
        <row r="12743">
          <cell r="Z12743" t="str">
            <v>DENTAL</v>
          </cell>
          <cell r="AA12743" t="str">
            <v>SOCIEDAD CONCESIONARIA METROPOLITANA DE SALUD S.A.</v>
          </cell>
        </row>
        <row r="12744">
          <cell r="Z12744" t="str">
            <v>DENTAL</v>
          </cell>
          <cell r="AA12744" t="str">
            <v>SOCIEDAD CONCESIONARIA METROPOLITANA DE SALUD S.A.</v>
          </cell>
        </row>
        <row r="12745">
          <cell r="Z12745" t="str">
            <v>DENTAL</v>
          </cell>
          <cell r="AA12745" t="str">
            <v>SOCIEDAD CONCESIONARIA METROPOLITANA DE SALUD S.A.</v>
          </cell>
        </row>
        <row r="12746">
          <cell r="Z12746" t="str">
            <v>DENTAL</v>
          </cell>
          <cell r="AA12746" t="str">
            <v>SOCIEDAD CONCESIONARIA METROPOLITANA DE SALUD S.A.</v>
          </cell>
        </row>
        <row r="12747">
          <cell r="Z12747" t="str">
            <v>DENTAL</v>
          </cell>
          <cell r="AA12747" t="str">
            <v>SOCIEDAD CONCESIONARIA METROPOLITANA DE SALUD S.A.</v>
          </cell>
        </row>
        <row r="12748">
          <cell r="Z12748" t="str">
            <v>DENTAL</v>
          </cell>
          <cell r="AA12748" t="str">
            <v>SOCIEDAD CONCESIONARIA METROPOLITANA DE SALUD S.A.</v>
          </cell>
        </row>
        <row r="12749">
          <cell r="Z12749" t="str">
            <v>DENTAL</v>
          </cell>
        </row>
        <row r="12750">
          <cell r="Z12750" t="str">
            <v>DENTAL</v>
          </cell>
          <cell r="AA12750" t="str">
            <v>JUNAEB ESCUELA NUEVA ZELANDIA</v>
          </cell>
        </row>
        <row r="12751">
          <cell r="Z12751" t="str">
            <v>DENTAL</v>
          </cell>
          <cell r="AA12751" t="str">
            <v>JUNAEB ESCUELA VICTOR DOMINGO SILVA</v>
          </cell>
        </row>
        <row r="12752">
          <cell r="Z12752" t="str">
            <v>DENTAL</v>
          </cell>
          <cell r="AA12752" t="str">
            <v>JUNAEB MODULO FRUTILLAR</v>
          </cell>
        </row>
        <row r="12753">
          <cell r="Z12753" t="str">
            <v>DENTAL</v>
          </cell>
          <cell r="AA12753" t="str">
            <v>JUNAEB ESCUELA NUEVA ZELANDIA</v>
          </cell>
        </row>
        <row r="12754">
          <cell r="Z12754" t="str">
            <v>DENTAL</v>
          </cell>
          <cell r="AA12754" t="str">
            <v>JUNAEB ALTOBIOBIO</v>
          </cell>
        </row>
        <row r="12755">
          <cell r="Z12755" t="str">
            <v>DENTAL</v>
          </cell>
          <cell r="AA12755" t="str">
            <v>JUNAEB ESCUELA NUEVA ZELANDIA</v>
          </cell>
        </row>
        <row r="12756">
          <cell r="Z12756" t="str">
            <v>DENTAL</v>
          </cell>
          <cell r="AA12756" t="str">
            <v>POSTA LIMAHUIDA</v>
          </cell>
        </row>
        <row r="12757">
          <cell r="Z12757" t="str">
            <v>DENTAL</v>
          </cell>
        </row>
        <row r="12758">
          <cell r="Z12758" t="str">
            <v>DENTAL</v>
          </cell>
          <cell r="AA12758" t="str">
            <v>CESFAM FUTRONO</v>
          </cell>
        </row>
        <row r="12759">
          <cell r="Z12759" t="str">
            <v>DENTAL</v>
          </cell>
          <cell r="AA12759" t="str">
            <v>CESFAM FUTRONO</v>
          </cell>
        </row>
        <row r="12760">
          <cell r="Z12760" t="str">
            <v>DENTAL</v>
          </cell>
          <cell r="AA12760" t="str">
            <v>CESFAM FUTRONO</v>
          </cell>
        </row>
        <row r="12761">
          <cell r="Z12761" t="str">
            <v>DENTAL</v>
          </cell>
          <cell r="AA12761" t="str">
            <v>HOSPITAL DE PURRANQUE</v>
          </cell>
        </row>
        <row r="12762">
          <cell r="Z12762" t="str">
            <v>DENTAL</v>
          </cell>
          <cell r="AA12762" t="str">
            <v>HOSPITAL DE PURRANQUE</v>
          </cell>
        </row>
        <row r="12763">
          <cell r="Z12763" t="str">
            <v>DENTAL</v>
          </cell>
          <cell r="AA12763" t="str">
            <v>HOSPITAL DE PURRANQUE</v>
          </cell>
        </row>
        <row r="12764">
          <cell r="Z12764" t="str">
            <v>DENTAL</v>
          </cell>
          <cell r="AA12764" t="str">
            <v>HOSPITAL DE PURRANQUE</v>
          </cell>
        </row>
        <row r="12765">
          <cell r="Z12765" t="str">
            <v>DENTAL</v>
          </cell>
          <cell r="AA12765" t="str">
            <v>COMPLEJO ASISTENCIAL DR.SOTERO DEL RIO</v>
          </cell>
        </row>
        <row r="12766">
          <cell r="Z12766" t="str">
            <v>DENTAL</v>
          </cell>
          <cell r="AA12766" t="str">
            <v>COMPLEJO ASISTENCIAL DR.SOTERO DEL RIO</v>
          </cell>
        </row>
        <row r="12767">
          <cell r="Z12767" t="str">
            <v>DENTAL</v>
          </cell>
          <cell r="AA12767" t="str">
            <v>COMPLEJO ASISTENCIAL DR.SOTERO DEL RIO</v>
          </cell>
        </row>
        <row r="12768">
          <cell r="Z12768" t="str">
            <v>DENTAL</v>
          </cell>
          <cell r="AA12768" t="str">
            <v>COMPLEJO ASISTENCIAL DR.SOTERO DEL RIO</v>
          </cell>
        </row>
        <row r="12769">
          <cell r="Z12769" t="str">
            <v>DENTAL</v>
          </cell>
          <cell r="AA12769" t="str">
            <v>I.MUNICIPALIDAD DE CURICO DPTO. SALUD</v>
          </cell>
        </row>
        <row r="12770">
          <cell r="Z12770" t="str">
            <v>DENTAL</v>
          </cell>
          <cell r="AA12770" t="str">
            <v>I.MUNICIPALIDAD DE CURICO DPTO. SALUD</v>
          </cell>
        </row>
        <row r="12771">
          <cell r="Z12771" t="str">
            <v>DENTAL</v>
          </cell>
        </row>
        <row r="12772">
          <cell r="Z12772" t="str">
            <v>DENTAL</v>
          </cell>
          <cell r="AA12772" t="str">
            <v>INGENIERIA Y CONSTRUCCION COPAYAPU LIMITADA</v>
          </cell>
        </row>
        <row r="12773">
          <cell r="Z12773" t="str">
            <v>DENTAL</v>
          </cell>
          <cell r="AA12773" t="str">
            <v>SERVICIO DE SALUD CONCEPCION</v>
          </cell>
        </row>
        <row r="12774">
          <cell r="Z12774" t="str">
            <v>DENTAL</v>
          </cell>
          <cell r="AA12774" t="str">
            <v>INGENIERIA Y CONSTRUCCION COPAYAPU LIMITADA</v>
          </cell>
        </row>
        <row r="12775">
          <cell r="Z12775" t="str">
            <v>DENTAL</v>
          </cell>
        </row>
        <row r="12776">
          <cell r="Z12776" t="str">
            <v>DENTAL</v>
          </cell>
          <cell r="AA12776" t="str">
            <v>SERVICIO DE SALUD CONCEPCION</v>
          </cell>
        </row>
        <row r="12777">
          <cell r="Z12777" t="str">
            <v>DENTAL</v>
          </cell>
        </row>
        <row r="12778">
          <cell r="Z12778" t="str">
            <v>DENTAL</v>
          </cell>
          <cell r="AA12778" t="str">
            <v>INTEGRAMEDICA TOBALABA</v>
          </cell>
        </row>
        <row r="12779">
          <cell r="Z12779" t="str">
            <v>DENTAL</v>
          </cell>
        </row>
        <row r="12780">
          <cell r="Z12780" t="str">
            <v>DENTAL</v>
          </cell>
          <cell r="AA12780" t="str">
            <v>HOSPITAL CLAUDIO VICUÑA</v>
          </cell>
        </row>
        <row r="12781">
          <cell r="Z12781" t="str">
            <v>DENTAL</v>
          </cell>
        </row>
        <row r="12782">
          <cell r="Z12782" t="str">
            <v>DENTAL</v>
          </cell>
          <cell r="AA12782" t="str">
            <v>LA ARAUCANA PUERTO MONTT</v>
          </cell>
        </row>
        <row r="12783">
          <cell r="Z12783" t="str">
            <v>DENTAL</v>
          </cell>
          <cell r="AA12783" t="str">
            <v>GEMCO GENERAL MACHINERY S.A.</v>
          </cell>
        </row>
        <row r="12784">
          <cell r="Z12784" t="str">
            <v>DENTAL</v>
          </cell>
          <cell r="AA12784" t="str">
            <v>LA ARAUCANA PUERTO MONTT</v>
          </cell>
        </row>
        <row r="12785">
          <cell r="Z12785" t="str">
            <v>DENTAL</v>
          </cell>
        </row>
        <row r="12786">
          <cell r="Z12786" t="str">
            <v>DENTAL</v>
          </cell>
          <cell r="AA12786" t="str">
            <v>GEMCO GENERAL MACHINERY S.A.</v>
          </cell>
        </row>
        <row r="12787">
          <cell r="Z12787" t="str">
            <v>DENTAL</v>
          </cell>
          <cell r="AA12787" t="str">
            <v>EQUIPOS E INSUMOS MEDICOS LTDA.</v>
          </cell>
        </row>
        <row r="12788">
          <cell r="Z12788" t="str">
            <v>DENTAL</v>
          </cell>
          <cell r="AA12788" t="str">
            <v>GEMCO GENERAL MACHINERY S.A.</v>
          </cell>
        </row>
        <row r="12789">
          <cell r="Z12789" t="str">
            <v>DENTAL</v>
          </cell>
          <cell r="AA12789" t="str">
            <v>LA ARAUCANA SALUD  SAN ANTONIO</v>
          </cell>
        </row>
        <row r="12790">
          <cell r="Z12790" t="str">
            <v>DENTAL</v>
          </cell>
          <cell r="AA12790" t="str">
            <v>LA ARAUCANA OSORNO</v>
          </cell>
        </row>
        <row r="12791">
          <cell r="Z12791" t="str">
            <v>DENTAL</v>
          </cell>
          <cell r="AA12791" t="str">
            <v>LA ARAUCANA PUERTO MONTT</v>
          </cell>
        </row>
        <row r="12792">
          <cell r="Z12792" t="str">
            <v>DENTAL</v>
          </cell>
          <cell r="AA12792" t="str">
            <v>LA ARAUCANA PUERTO MONTT</v>
          </cell>
        </row>
        <row r="12793">
          <cell r="Z12793" t="str">
            <v>DENTAL</v>
          </cell>
          <cell r="AA12793" t="str">
            <v>LA ARAUCANA OSORNO</v>
          </cell>
        </row>
        <row r="12794">
          <cell r="Z12794" t="str">
            <v>DENTAL</v>
          </cell>
          <cell r="AA12794" t="str">
            <v>LA ARAUCANA OSORNO</v>
          </cell>
        </row>
        <row r="12795">
          <cell r="Z12795" t="str">
            <v>DENTAL</v>
          </cell>
          <cell r="AA12795" t="str">
            <v>GEMCO GENERAL MACHINERY S.A.</v>
          </cell>
        </row>
        <row r="12796">
          <cell r="Z12796" t="str">
            <v>DENTAL</v>
          </cell>
          <cell r="AA12796" t="str">
            <v>EQUIPOS E INSUMOS MEDICOS LTDA.</v>
          </cell>
        </row>
        <row r="12797">
          <cell r="Z12797" t="str">
            <v>DENTAL</v>
          </cell>
        </row>
        <row r="12798">
          <cell r="Z12798" t="str">
            <v>DENTAL</v>
          </cell>
          <cell r="AA12798" t="str">
            <v>GEMCO GENERAL MACHINERY S.A.</v>
          </cell>
        </row>
        <row r="12799">
          <cell r="Z12799" t="str">
            <v>DENTAL</v>
          </cell>
          <cell r="AA12799" t="str">
            <v>GEMCO GENERAL MACHINERY S.A.</v>
          </cell>
        </row>
        <row r="12800">
          <cell r="Z12800" t="str">
            <v>DENTAL</v>
          </cell>
          <cell r="AA12800" t="str">
            <v>GEMCO GENERAL MACHINERY S.A.</v>
          </cell>
        </row>
        <row r="12801">
          <cell r="Z12801" t="str">
            <v>DENTAL</v>
          </cell>
          <cell r="AA12801" t="str">
            <v>DR. CRISTIAN FUENTES GARCIA</v>
          </cell>
        </row>
        <row r="12802">
          <cell r="Z12802" t="str">
            <v>DENTAL</v>
          </cell>
          <cell r="AA12802" t="str">
            <v>GEMCO GENERAL MACHINERY S.A.</v>
          </cell>
        </row>
        <row r="12803">
          <cell r="Z12803" t="str">
            <v>DENTAL</v>
          </cell>
          <cell r="AA12803" t="str">
            <v>GEMCO GENERAL MACHINERY S.A.</v>
          </cell>
        </row>
        <row r="12804">
          <cell r="Z12804" t="str">
            <v>DENTAL</v>
          </cell>
          <cell r="AA12804" t="str">
            <v>GEMCO GENERAL MACHINERY S.A.</v>
          </cell>
        </row>
        <row r="12805">
          <cell r="Z12805" t="str">
            <v>DENTAL</v>
          </cell>
          <cell r="AA12805" t="str">
            <v>GEMCO GENERAL MACHINERY S.A.</v>
          </cell>
        </row>
        <row r="12806">
          <cell r="Z12806" t="str">
            <v>DENTAL</v>
          </cell>
          <cell r="AA12806" t="str">
            <v>GEMCO GENERAL MACHINERY S.A.</v>
          </cell>
        </row>
        <row r="12807">
          <cell r="Z12807" t="str">
            <v>DENTAL</v>
          </cell>
          <cell r="AA12807" t="str">
            <v>GEMCO GENERAL MACHINERY S.A.</v>
          </cell>
        </row>
        <row r="12808">
          <cell r="Z12808" t="str">
            <v>DENTAL</v>
          </cell>
          <cell r="AA12808" t="str">
            <v>GEMCO GENERAL MACHINERY S.A.</v>
          </cell>
        </row>
        <row r="12809">
          <cell r="Z12809" t="str">
            <v>DENTAL</v>
          </cell>
          <cell r="AA12809" t="str">
            <v>LA ARAUCANA OSORNO</v>
          </cell>
        </row>
        <row r="12810">
          <cell r="Z12810" t="str">
            <v>DENTAL</v>
          </cell>
          <cell r="AA12810" t="str">
            <v>GEMCO GENERAL MACHINERY S.A.</v>
          </cell>
        </row>
        <row r="12811">
          <cell r="Z12811" t="str">
            <v>DENTAL</v>
          </cell>
          <cell r="AA12811" t="str">
            <v>GEMCO GENERAL MACHINERY S.A.</v>
          </cell>
        </row>
        <row r="12812">
          <cell r="Z12812" t="str">
            <v>DENTAL</v>
          </cell>
          <cell r="AA12812" t="str">
            <v>GEMCO GENERAL MACHINERY S.A.</v>
          </cell>
        </row>
        <row r="12813">
          <cell r="Z12813" t="str">
            <v>DENTAL</v>
          </cell>
          <cell r="AA12813" t="str">
            <v>GEMCO GENERAL MACHINERY S.A.</v>
          </cell>
        </row>
        <row r="12814">
          <cell r="Z12814" t="str">
            <v>DENTAL</v>
          </cell>
          <cell r="AA12814" t="str">
            <v>LA ARAUCANA OSORNO</v>
          </cell>
        </row>
        <row r="12815">
          <cell r="Z12815" t="str">
            <v>DENTAL</v>
          </cell>
          <cell r="AA12815" t="str">
            <v>GEMCO GENERAL MACHINERY S.A.</v>
          </cell>
        </row>
        <row r="12816">
          <cell r="Z12816" t="str">
            <v>DENTAL</v>
          </cell>
          <cell r="AA12816" t="str">
            <v>GEMCO GENERAL MACHINERY S.A.</v>
          </cell>
        </row>
        <row r="12817">
          <cell r="Z12817" t="str">
            <v>DENTAL</v>
          </cell>
        </row>
        <row r="12818">
          <cell r="Z12818" t="str">
            <v>DENTAL</v>
          </cell>
          <cell r="AA12818" t="str">
            <v>CESFAM SANTA TERESA</v>
          </cell>
        </row>
        <row r="12819">
          <cell r="Z12819" t="str">
            <v>DENTAL</v>
          </cell>
          <cell r="AA12819" t="str">
            <v>CESFAM SANTA TERESA</v>
          </cell>
        </row>
        <row r="12820">
          <cell r="Z12820" t="str">
            <v>DENTAL</v>
          </cell>
          <cell r="AA12820" t="str">
            <v>CESFAM SANTA TERESA</v>
          </cell>
        </row>
        <row r="12821">
          <cell r="Z12821" t="str">
            <v>DENTAL</v>
          </cell>
          <cell r="AA12821" t="str">
            <v>CESFAM SANTA TERESA</v>
          </cell>
        </row>
        <row r="12822">
          <cell r="Z12822" t="str">
            <v>DENTAL</v>
          </cell>
          <cell r="AA12822" t="str">
            <v>CESFAM SANTA TERESA</v>
          </cell>
        </row>
        <row r="12823">
          <cell r="Z12823" t="str">
            <v>DENTAL</v>
          </cell>
          <cell r="AA12823" t="str">
            <v>CESFAM SANTA TERESA</v>
          </cell>
        </row>
        <row r="12824">
          <cell r="Z12824" t="str">
            <v>DENTAL</v>
          </cell>
        </row>
        <row r="12825">
          <cell r="Z12825" t="str">
            <v>DENTAL</v>
          </cell>
        </row>
        <row r="12826">
          <cell r="Z12826" t="str">
            <v>DENTAL</v>
          </cell>
          <cell r="AA12826" t="str">
            <v>COMPLEJO ASISTENCIAL DR.SOTERO DEL RIO</v>
          </cell>
        </row>
        <row r="12827">
          <cell r="Z12827" t="str">
            <v>DENTAL</v>
          </cell>
        </row>
        <row r="12828">
          <cell r="Z12828" t="str">
            <v>DENTAL</v>
          </cell>
        </row>
        <row r="12829">
          <cell r="Z12829" t="str">
            <v>DENTAL</v>
          </cell>
        </row>
        <row r="12830">
          <cell r="Z12830" t="str">
            <v>DENTAL</v>
          </cell>
        </row>
        <row r="12831">
          <cell r="Z12831" t="str">
            <v>DENTAL</v>
          </cell>
        </row>
        <row r="12832">
          <cell r="Z12832" t="str">
            <v>DENTAL</v>
          </cell>
        </row>
        <row r="12833">
          <cell r="Z12833" t="str">
            <v>DENTAL</v>
          </cell>
        </row>
        <row r="12834">
          <cell r="Z12834" t="str">
            <v>DENTAL</v>
          </cell>
          <cell r="AA12834" t="str">
            <v>CESFAM GOMEZ CARREÑO</v>
          </cell>
        </row>
        <row r="12835">
          <cell r="Z12835" t="str">
            <v>DENTAL</v>
          </cell>
        </row>
        <row r="12836">
          <cell r="Z12836" t="str">
            <v>DENTAL</v>
          </cell>
        </row>
        <row r="12837">
          <cell r="Z12837" t="str">
            <v>DENTAL</v>
          </cell>
        </row>
        <row r="12838">
          <cell r="Z12838" t="str">
            <v>DENTAL</v>
          </cell>
          <cell r="AA12838" t="str">
            <v>CESFAM GOMEZ CARREÑO</v>
          </cell>
        </row>
        <row r="12839">
          <cell r="Z12839" t="str">
            <v>DENTAL</v>
          </cell>
          <cell r="AA12839" t="str">
            <v>CESFAM GOMEZ CARREÑO</v>
          </cell>
        </row>
        <row r="12840">
          <cell r="Z12840" t="str">
            <v>DENTAL</v>
          </cell>
          <cell r="AA12840" t="str">
            <v>CESFAM GOMEZ CARREÑO</v>
          </cell>
        </row>
        <row r="12841">
          <cell r="Z12841" t="str">
            <v>DENTAL</v>
          </cell>
          <cell r="AA12841" t="str">
            <v>CESFAM CARLOS TRUPP TALCA</v>
          </cell>
        </row>
        <row r="12842">
          <cell r="Z12842" t="str">
            <v>DENTAL</v>
          </cell>
        </row>
        <row r="12843">
          <cell r="Z12843" t="str">
            <v>DENTAL</v>
          </cell>
          <cell r="AA12843" t="str">
            <v>GEMCO GENERAL MACHINERY S.A.</v>
          </cell>
        </row>
        <row r="12844">
          <cell r="Z12844" t="str">
            <v>DENTAL</v>
          </cell>
          <cell r="AA12844" t="str">
            <v>CESFAM GOMEZ CARREÑO</v>
          </cell>
        </row>
        <row r="12845">
          <cell r="Z12845" t="str">
            <v>DENTAL</v>
          </cell>
          <cell r="AA12845" t="str">
            <v>CESFAM SANTA TERESA</v>
          </cell>
        </row>
        <row r="12846">
          <cell r="Z12846" t="str">
            <v>DENTAL</v>
          </cell>
          <cell r="AA12846" t="str">
            <v>LA ARAUCANA SALUD S.A.</v>
          </cell>
        </row>
        <row r="12847">
          <cell r="Z12847" t="str">
            <v>DENTAL</v>
          </cell>
          <cell r="AA12847" t="str">
            <v>LA ARAUCANA SALUD S.A.</v>
          </cell>
        </row>
        <row r="12848">
          <cell r="Z12848" t="str">
            <v>DENTAL</v>
          </cell>
          <cell r="AA12848" t="str">
            <v>LA ARAUCANA SALUD S.A.</v>
          </cell>
        </row>
        <row r="12849">
          <cell r="Z12849" t="str">
            <v>DENTAL</v>
          </cell>
          <cell r="AA12849" t="str">
            <v>LA ARAUCANA SALUD S.A.</v>
          </cell>
        </row>
        <row r="12850">
          <cell r="Z12850" t="str">
            <v>DENTAL</v>
          </cell>
          <cell r="AA12850" t="str">
            <v>LA ARAUCANA SALUD S.A.</v>
          </cell>
        </row>
        <row r="12851">
          <cell r="Z12851" t="str">
            <v>DENTAL</v>
          </cell>
          <cell r="AA12851" t="str">
            <v>LA ARAUCANA SALUD S.A.</v>
          </cell>
        </row>
        <row r="12852">
          <cell r="Z12852" t="str">
            <v>DENTAL</v>
          </cell>
          <cell r="AA12852" t="str">
            <v>LA ARAUCANA SALUD S.A.</v>
          </cell>
        </row>
        <row r="12853">
          <cell r="Z12853" t="str">
            <v>DENTAL</v>
          </cell>
          <cell r="AA12853" t="str">
            <v>LA ARAUCANA SALUD S.A.</v>
          </cell>
        </row>
        <row r="12854">
          <cell r="Z12854" t="str">
            <v>DENTAL</v>
          </cell>
        </row>
        <row r="12855">
          <cell r="Z12855" t="str">
            <v>DENTAL</v>
          </cell>
          <cell r="AA12855" t="str">
            <v>HOSPITAL DE ANGOL</v>
          </cell>
        </row>
        <row r="12856">
          <cell r="Z12856" t="str">
            <v>DENTAL</v>
          </cell>
          <cell r="AA12856" t="str">
            <v>LA ARAUCANA SALUD S.A.</v>
          </cell>
        </row>
        <row r="12857">
          <cell r="Z12857" t="str">
            <v>DENTAL</v>
          </cell>
        </row>
        <row r="12858">
          <cell r="Z12858" t="str">
            <v>DENTAL</v>
          </cell>
        </row>
        <row r="12859">
          <cell r="Z12859" t="str">
            <v>DENTAL</v>
          </cell>
          <cell r="AA12859" t="str">
            <v>HOSPITAL DE HUASCO</v>
          </cell>
        </row>
        <row r="12860">
          <cell r="Z12860" t="str">
            <v>DENTAL</v>
          </cell>
        </row>
        <row r="12861">
          <cell r="Z12861" t="str">
            <v>DENTAL</v>
          </cell>
          <cell r="AA12861" t="str">
            <v>I.MUNICIPALIDAD DE CURICO DPTO. SALUD</v>
          </cell>
        </row>
        <row r="12862">
          <cell r="Z12862" t="str">
            <v>DENTAL</v>
          </cell>
          <cell r="AA12862" t="str">
            <v>I.MUNICIPALIDAD DE CURICO DPTO. SALUD</v>
          </cell>
        </row>
        <row r="12863">
          <cell r="Z12863" t="str">
            <v>DENTAL</v>
          </cell>
          <cell r="AA12863" t="str">
            <v>I.MUNICIPALIDAD DE CURICO DPTO. SALUD</v>
          </cell>
        </row>
        <row r="12864">
          <cell r="Z12864" t="str">
            <v>DENTAL</v>
          </cell>
        </row>
        <row r="12865">
          <cell r="Z12865" t="str">
            <v>DENTAL</v>
          </cell>
        </row>
        <row r="12866">
          <cell r="Z12866" t="str">
            <v>DENTAL</v>
          </cell>
        </row>
        <row r="12867">
          <cell r="Z12867" t="str">
            <v>DENTAL</v>
          </cell>
        </row>
        <row r="12868">
          <cell r="Z12868" t="str">
            <v>DENTAL</v>
          </cell>
          <cell r="AA12868" t="str">
            <v>CECOSF EDUARDO FREI</v>
          </cell>
        </row>
        <row r="12869">
          <cell r="Z12869" t="str">
            <v>DENTAL</v>
          </cell>
          <cell r="AA12869" t="str">
            <v>S. SALUD METROPOLITANO SUR ORIENTE</v>
          </cell>
        </row>
        <row r="12870">
          <cell r="Z12870" t="str">
            <v>DENTAL</v>
          </cell>
          <cell r="AA12870" t="str">
            <v>COMPLEJO ASISTENCIAL DR.SOTERO DEL RIO</v>
          </cell>
        </row>
        <row r="12871">
          <cell r="Z12871" t="str">
            <v>DENTAL</v>
          </cell>
          <cell r="AA12871" t="str">
            <v>GOBIERNO REGIONAL LIBERTADOR BDO. O'HIGGINS</v>
          </cell>
        </row>
        <row r="12872">
          <cell r="Z12872" t="str">
            <v>DENTAL</v>
          </cell>
          <cell r="AA12872" t="str">
            <v>GENDARMERIA DE CHILE</v>
          </cell>
        </row>
        <row r="12873">
          <cell r="Z12873" t="str">
            <v>DENTAL</v>
          </cell>
          <cell r="AA12873" t="str">
            <v>SERVICIO DE SALUD METROPOLITANO CENTRAL</v>
          </cell>
        </row>
        <row r="12874">
          <cell r="Z12874" t="str">
            <v>DENTAL</v>
          </cell>
          <cell r="AA12874" t="str">
            <v>S. SALUD METROPOLITANO SUR ORIENTE</v>
          </cell>
        </row>
        <row r="12875">
          <cell r="Z12875" t="str">
            <v>DENTAL</v>
          </cell>
          <cell r="AA12875" t="str">
            <v>I. MUNICIPALIDAD DE LINARES</v>
          </cell>
        </row>
        <row r="12876">
          <cell r="Z12876" t="str">
            <v>DENTAL</v>
          </cell>
        </row>
        <row r="12877">
          <cell r="Z12877" t="str">
            <v>DENTAL</v>
          </cell>
          <cell r="AA12877" t="str">
            <v>SERVICIO DE SALUD METROPOLITANO CENTRAL</v>
          </cell>
        </row>
        <row r="12878">
          <cell r="Z12878" t="str">
            <v>DENTAL</v>
          </cell>
        </row>
        <row r="12879">
          <cell r="Z12879" t="str">
            <v>DENTAL</v>
          </cell>
          <cell r="AA12879" t="str">
            <v>GENDARMERIA DE CHILE</v>
          </cell>
        </row>
        <row r="12880">
          <cell r="Z12880" t="str">
            <v>DENTAL</v>
          </cell>
          <cell r="AA12880" t="str">
            <v>GOBIERNO REGIONAL LIBERTADOR BDO. O'HIGGINS</v>
          </cell>
        </row>
        <row r="12881">
          <cell r="Z12881" t="str">
            <v>DENTAL</v>
          </cell>
          <cell r="AA12881" t="str">
            <v>SERVICIO DE SALUD DEL MAULE</v>
          </cell>
        </row>
        <row r="12882">
          <cell r="Z12882" t="str">
            <v>DENTAL</v>
          </cell>
          <cell r="AA12882" t="str">
            <v>GOBIERNO REGIONAL LIBERTADOR BDO. O'HIGGINS</v>
          </cell>
        </row>
        <row r="12883">
          <cell r="Z12883" t="str">
            <v>DENTAL</v>
          </cell>
          <cell r="AA12883" t="str">
            <v>SERVICIO DE SALUD DEL MAULE</v>
          </cell>
        </row>
        <row r="12884">
          <cell r="Z12884" t="str">
            <v>DENTAL</v>
          </cell>
          <cell r="AA12884" t="str">
            <v>GENDARMERIA DE CHILE</v>
          </cell>
        </row>
        <row r="12885">
          <cell r="Z12885" t="str">
            <v>DENTAL</v>
          </cell>
          <cell r="AA12885" t="str">
            <v>GENDARMERIA DE CHILE</v>
          </cell>
        </row>
        <row r="12886">
          <cell r="Z12886" t="str">
            <v>DENTAL</v>
          </cell>
          <cell r="AA12886" t="str">
            <v>GEMCO GENERAL MACHINERY S.A.</v>
          </cell>
        </row>
        <row r="12887">
          <cell r="Z12887" t="str">
            <v>DENTAL</v>
          </cell>
          <cell r="AA12887" t="str">
            <v>GEMCO GENERAL MACHINERY S.A.</v>
          </cell>
        </row>
        <row r="12888">
          <cell r="Z12888" t="str">
            <v>DENTAL</v>
          </cell>
          <cell r="AA12888" t="str">
            <v>GEMCO GENERAL MACHINERY S.A.</v>
          </cell>
        </row>
        <row r="12889">
          <cell r="Z12889" t="str">
            <v>DENTAL</v>
          </cell>
          <cell r="AA12889" t="str">
            <v>GEMCO GENERAL MACHINERY S.A.</v>
          </cell>
        </row>
        <row r="12890">
          <cell r="Z12890" t="str">
            <v>DENTAL</v>
          </cell>
          <cell r="AA12890" t="str">
            <v>GEMCO GENERAL MACHINERY S.A.</v>
          </cell>
        </row>
        <row r="12891">
          <cell r="Z12891" t="str">
            <v>DENTAL</v>
          </cell>
          <cell r="AA12891" t="str">
            <v>GEMCO GENERAL MACHINERY S.A.</v>
          </cell>
        </row>
        <row r="12892">
          <cell r="Z12892" t="str">
            <v>DENTAL</v>
          </cell>
          <cell r="AA12892" t="str">
            <v>GEMCO GENERAL MACHINERY S.A.</v>
          </cell>
        </row>
        <row r="12893">
          <cell r="Z12893" t="str">
            <v>DENTAL</v>
          </cell>
          <cell r="AA12893" t="str">
            <v>GEMCO GENERAL MACHINERY S.A.</v>
          </cell>
        </row>
        <row r="12894">
          <cell r="Z12894" t="str">
            <v>DENTAL</v>
          </cell>
          <cell r="AA12894" t="str">
            <v>GEMCO GENERAL MACHINERY S.A.</v>
          </cell>
        </row>
        <row r="12895">
          <cell r="Z12895" t="str">
            <v>DENTAL</v>
          </cell>
          <cell r="AA12895" t="str">
            <v>GEMCO GENERAL MACHINERY S.A.</v>
          </cell>
        </row>
        <row r="12896">
          <cell r="Z12896" t="str">
            <v>DENTAL</v>
          </cell>
          <cell r="AA12896" t="str">
            <v>GEMCO GENERAL MACHINERY S.A.</v>
          </cell>
        </row>
        <row r="12897">
          <cell r="Z12897" t="str">
            <v>DENTAL</v>
          </cell>
          <cell r="AA12897" t="str">
            <v>GEMCO GENERAL MACHINERY S.A.</v>
          </cell>
        </row>
        <row r="12898">
          <cell r="Z12898" t="str">
            <v>DENTAL</v>
          </cell>
          <cell r="AA12898" t="str">
            <v>GEMCO GENERAL MACHINERY S.A.</v>
          </cell>
        </row>
        <row r="12899">
          <cell r="Z12899" t="str">
            <v>DENTAL</v>
          </cell>
          <cell r="AA12899" t="str">
            <v>GEMCO GENERAL MACHINERY S.A.</v>
          </cell>
        </row>
        <row r="12900">
          <cell r="Z12900" t="str">
            <v>DENTAL</v>
          </cell>
          <cell r="AA12900" t="str">
            <v>GEMCO GENERAL MACHINERY S.A.</v>
          </cell>
        </row>
        <row r="12901">
          <cell r="Z12901" t="str">
            <v>DENTAL</v>
          </cell>
          <cell r="AA12901" t="str">
            <v>GEMCO GENERAL MACHINERY S.A.</v>
          </cell>
        </row>
        <row r="12902">
          <cell r="Z12902" t="str">
            <v>DENTAL</v>
          </cell>
          <cell r="AA12902" t="str">
            <v>GEMCO GENERAL MACHINERY S.A.</v>
          </cell>
        </row>
        <row r="12903">
          <cell r="Z12903" t="str">
            <v>DENTAL</v>
          </cell>
          <cell r="AA12903" t="str">
            <v>GEMCO GENERAL MACHINERY S.A.</v>
          </cell>
        </row>
        <row r="12904">
          <cell r="Z12904" t="str">
            <v>DENTAL</v>
          </cell>
          <cell r="AA12904" t="str">
            <v>GEMCO GENERAL MACHINERY S.A.</v>
          </cell>
        </row>
        <row r="12905">
          <cell r="Z12905" t="str">
            <v>DENTAL</v>
          </cell>
          <cell r="AA12905" t="str">
            <v>GEMCO GENERAL MACHINERY S.A.</v>
          </cell>
        </row>
        <row r="12906">
          <cell r="Z12906" t="str">
            <v>DENTAL</v>
          </cell>
          <cell r="AA12906" t="str">
            <v>GEMCO GENERAL MACHINERY S.A.</v>
          </cell>
        </row>
        <row r="12907">
          <cell r="Z12907" t="str">
            <v>DENTAL</v>
          </cell>
        </row>
        <row r="12908">
          <cell r="Z12908" t="str">
            <v>DENTAL</v>
          </cell>
        </row>
        <row r="12909">
          <cell r="Z12909" t="str">
            <v>DENTAL</v>
          </cell>
          <cell r="AA12909" t="str">
            <v>SERVICIO DE SALUD METROPOLITANO CENTRAL</v>
          </cell>
        </row>
        <row r="12910">
          <cell r="Z12910" t="str">
            <v>DENTAL</v>
          </cell>
          <cell r="AA12910" t="str">
            <v>CESFAM RENGO</v>
          </cell>
        </row>
        <row r="12911">
          <cell r="Z12911" t="str">
            <v>DENTAL</v>
          </cell>
          <cell r="AA12911" t="str">
            <v>CESFAM RENGO</v>
          </cell>
        </row>
        <row r="12912">
          <cell r="Z12912" t="str">
            <v>DENTAL</v>
          </cell>
          <cell r="AA12912" t="str">
            <v>CESFAM RENGO</v>
          </cell>
        </row>
        <row r="12913">
          <cell r="Z12913" t="str">
            <v>DENTAL</v>
          </cell>
          <cell r="AA12913" t="str">
            <v>GOBIERNO REGIONAL LIBERTADOR BDO. O'HIGGINS</v>
          </cell>
        </row>
        <row r="12914">
          <cell r="Z12914" t="str">
            <v>DENTAL</v>
          </cell>
          <cell r="AA12914" t="str">
            <v>SERVICIO SALUD O'HIGGINS</v>
          </cell>
        </row>
        <row r="12915">
          <cell r="Z12915" t="str">
            <v>DENTAL</v>
          </cell>
        </row>
        <row r="12916">
          <cell r="Z12916" t="str">
            <v>DENTAL</v>
          </cell>
          <cell r="AA12916" t="str">
            <v>SERVICIOS ODONTOLOGICOS BRIDENT LTDA</v>
          </cell>
        </row>
        <row r="12917">
          <cell r="Z12917" t="str">
            <v>DENTAL</v>
          </cell>
          <cell r="AA12917" t="str">
            <v>HOSPITAL ROBERTO DEL RIO</v>
          </cell>
        </row>
        <row r="12918">
          <cell r="Z12918" t="str">
            <v>DENTAL</v>
          </cell>
          <cell r="AA12918" t="str">
            <v>GEMCO GENERAL MACHINERY S.A.</v>
          </cell>
        </row>
        <row r="12919">
          <cell r="Z12919" t="str">
            <v>DENTAL</v>
          </cell>
        </row>
        <row r="12920">
          <cell r="Z12920" t="str">
            <v>DENTAL</v>
          </cell>
          <cell r="AA12920" t="str">
            <v>SERVICIO SALUD O'HIGGINS</v>
          </cell>
        </row>
        <row r="12921">
          <cell r="Z12921" t="str">
            <v>DENTAL</v>
          </cell>
          <cell r="AA12921" t="str">
            <v>HOSPITAL ROBERTO DEL RIO</v>
          </cell>
        </row>
        <row r="12922">
          <cell r="Z12922" t="str">
            <v>DENTAL</v>
          </cell>
        </row>
        <row r="12923">
          <cell r="Z12923" t="str">
            <v>DENTAL</v>
          </cell>
          <cell r="AA12923" t="str">
            <v>CESFAM COLBUN</v>
          </cell>
        </row>
        <row r="12924">
          <cell r="Z12924" t="str">
            <v>DENTAL</v>
          </cell>
          <cell r="AA12924" t="str">
            <v>INTEGRAMEDICA BANDERA</v>
          </cell>
        </row>
        <row r="12925">
          <cell r="Z12925" t="str">
            <v>INCARDIA</v>
          </cell>
          <cell r="AA12925" t="str">
            <v>GEMCO GENERAL MACHINERY S.A.</v>
          </cell>
        </row>
        <row r="12926">
          <cell r="Z12926" t="str">
            <v>INCARDIA</v>
          </cell>
          <cell r="AA12926" t="str">
            <v>GEMCO GENERAL MACHINERY S.A.</v>
          </cell>
        </row>
        <row r="12927">
          <cell r="Z12927" t="str">
            <v>DENTAL</v>
          </cell>
          <cell r="AA12927" t="str">
            <v>GEMCO GENERAL MACHINERY S.A.</v>
          </cell>
        </row>
        <row r="12928">
          <cell r="Z12928" t="str">
            <v>DENTAL</v>
          </cell>
          <cell r="AA12928" t="str">
            <v>UNIVERSIDAD SAN SEBASTIAN</v>
          </cell>
        </row>
        <row r="12929">
          <cell r="Z12929" t="str">
            <v>DENTAL</v>
          </cell>
          <cell r="AA12929" t="str">
            <v>HOSPITAL SANTO TOMAS DE LIMACHE</v>
          </cell>
        </row>
        <row r="12930">
          <cell r="Z12930" t="str">
            <v>DENTAL</v>
          </cell>
          <cell r="AA12930" t="str">
            <v>HOSPITAL DE QUILLOTA</v>
          </cell>
        </row>
        <row r="12931">
          <cell r="Z12931" t="str">
            <v>DENTAL</v>
          </cell>
        </row>
        <row r="12932">
          <cell r="Z12932" t="str">
            <v>DENTAL</v>
          </cell>
        </row>
        <row r="12933">
          <cell r="Z12933" t="str">
            <v>DENTAL</v>
          </cell>
          <cell r="AA12933" t="str">
            <v>CENTRO REFERENCIAL DE SALUD DR SALVADOR ALLENDE GO</v>
          </cell>
        </row>
        <row r="12934">
          <cell r="Z12934" t="str">
            <v>DENTAL</v>
          </cell>
          <cell r="AA12934" t="str">
            <v>CENTRO REFERENCIAL DE SALUD DR SALVADOR ALLENDE GO</v>
          </cell>
        </row>
        <row r="12935">
          <cell r="Z12935" t="str">
            <v>DENTAL</v>
          </cell>
          <cell r="AA12935" t="str">
            <v>CENTRO REFERENCIAL DE SALUD DR SALVADOR ALLENDE GO</v>
          </cell>
        </row>
        <row r="12936">
          <cell r="Z12936" t="str">
            <v>DENTAL</v>
          </cell>
          <cell r="AA12936" t="str">
            <v>CENTRO REFERENCIAL DE SALUD DR SALVADOR ALLENDE GO</v>
          </cell>
        </row>
        <row r="12937">
          <cell r="Z12937" t="str">
            <v>DENTAL</v>
          </cell>
          <cell r="AA12937" t="str">
            <v>CENTRO REFERENCIAL DE SALUD DR SALVADOR ALLENDE GO</v>
          </cell>
        </row>
        <row r="12938">
          <cell r="Z12938" t="str">
            <v>DENTAL</v>
          </cell>
          <cell r="AA12938" t="str">
            <v>CENTRO REFERENCIAL DE SALUD DR SALVADOR ALLENDE GO</v>
          </cell>
        </row>
        <row r="12939">
          <cell r="Z12939" t="str">
            <v>DENTAL</v>
          </cell>
          <cell r="AA12939" t="str">
            <v>CLINICA MOVIL CENTINELA</v>
          </cell>
        </row>
        <row r="12940">
          <cell r="Z12940" t="str">
            <v>DENTAL</v>
          </cell>
          <cell r="AA12940" t="str">
            <v>CLINICA MOVIL CENTINELA</v>
          </cell>
        </row>
        <row r="12941">
          <cell r="Z12941" t="str">
            <v>DENTAL</v>
          </cell>
          <cell r="AA12941" t="str">
            <v>CLINICA MOVIL CENTINELA</v>
          </cell>
        </row>
        <row r="12942">
          <cell r="Z12942" t="str">
            <v>DENTAL</v>
          </cell>
          <cell r="AA12942" t="str">
            <v>CLINICA MOVIL CENTINELA</v>
          </cell>
        </row>
        <row r="12943">
          <cell r="Z12943" t="str">
            <v>DENTAL</v>
          </cell>
          <cell r="AA12943" t="str">
            <v>CLINICA MOVIL CENTINELA</v>
          </cell>
        </row>
        <row r="12944">
          <cell r="Z12944" t="str">
            <v>DENTAL</v>
          </cell>
          <cell r="AA12944" t="str">
            <v>CLINICA MOVIL CENTINELA</v>
          </cell>
        </row>
        <row r="12945">
          <cell r="Z12945" t="str">
            <v>DENTAL</v>
          </cell>
          <cell r="AA12945" t="str">
            <v>CLINICA MOVIL CENTINELA</v>
          </cell>
        </row>
        <row r="12946">
          <cell r="Z12946" t="str">
            <v>DENTAL</v>
          </cell>
          <cell r="AA12946" t="str">
            <v>CLINICA MOVIL CENTINELA</v>
          </cell>
        </row>
        <row r="12947">
          <cell r="Z12947" t="str">
            <v>DENTAL</v>
          </cell>
          <cell r="AA12947" t="str">
            <v>CLINICA MOVIL CENTINELA</v>
          </cell>
        </row>
        <row r="12948">
          <cell r="Z12948" t="str">
            <v>DENTAL</v>
          </cell>
          <cell r="AA12948" t="str">
            <v>CLINICA MOVIL CENTINELA</v>
          </cell>
        </row>
        <row r="12949">
          <cell r="Z12949" t="str">
            <v>DENTAL</v>
          </cell>
          <cell r="AA12949" t="str">
            <v>CLINICA MOVIL CENTINELA</v>
          </cell>
        </row>
        <row r="12950">
          <cell r="Z12950" t="str">
            <v>DENTAL</v>
          </cell>
          <cell r="AA12950" t="str">
            <v>CLINICA MOVIL CENTINELA</v>
          </cell>
        </row>
        <row r="12951">
          <cell r="Z12951" t="str">
            <v>DENTAL</v>
          </cell>
          <cell r="AA12951" t="str">
            <v>CLINICA MOVIL CENTINELA</v>
          </cell>
        </row>
        <row r="12952">
          <cell r="Z12952" t="str">
            <v>DENTAL</v>
          </cell>
          <cell r="AA12952" t="str">
            <v>CLINICA MOVIL CENTINELA</v>
          </cell>
        </row>
        <row r="12953">
          <cell r="Z12953" t="str">
            <v>DENTAL</v>
          </cell>
          <cell r="AA12953" t="str">
            <v>CLINICA MOVIL CENTINELA</v>
          </cell>
        </row>
        <row r="12954">
          <cell r="Z12954" t="str">
            <v>DENTAL</v>
          </cell>
          <cell r="AA12954" t="str">
            <v>CLINICA MOVIL CENTINELA</v>
          </cell>
        </row>
        <row r="12955">
          <cell r="Z12955" t="str">
            <v>DENTAL</v>
          </cell>
          <cell r="AA12955" t="str">
            <v>CLINICA MOVIL CENTINELA</v>
          </cell>
        </row>
        <row r="12956">
          <cell r="Z12956" t="str">
            <v>DENTAL</v>
          </cell>
          <cell r="AA12956" t="str">
            <v>CLINICA MOVIL CENTINELA</v>
          </cell>
        </row>
        <row r="12957">
          <cell r="Z12957" t="str">
            <v>DENTAL</v>
          </cell>
          <cell r="AA12957" t="str">
            <v>CLINICA MOVIL CENTINELA</v>
          </cell>
        </row>
        <row r="12958">
          <cell r="Z12958" t="str">
            <v>ENDOSCOPÍA</v>
          </cell>
        </row>
        <row r="12959">
          <cell r="Z12959" t="str">
            <v>ENDOSCOPÍA</v>
          </cell>
        </row>
        <row r="12960">
          <cell r="Z12960" t="str">
            <v>ENDOSCOPÍA</v>
          </cell>
          <cell r="AA12960" t="str">
            <v>HOSPITAL DE PUERTO MONTT</v>
          </cell>
        </row>
        <row r="12961">
          <cell r="Z12961" t="str">
            <v>ENDOSCOPÍA</v>
          </cell>
          <cell r="AA12961" t="str">
            <v>HOSPITAL DE PUERTO MONTT</v>
          </cell>
        </row>
        <row r="12962">
          <cell r="Z12962" t="str">
            <v>ENDOSCOPÍA</v>
          </cell>
          <cell r="AA12962" t="str">
            <v>HOSPITAL DE PUERTO MONTT</v>
          </cell>
        </row>
        <row r="12963">
          <cell r="Z12963" t="str">
            <v>ENDOSCOPÍA</v>
          </cell>
          <cell r="AA12963" t="str">
            <v>HOSPITAL DE PUERTO MONTT</v>
          </cell>
        </row>
        <row r="12964">
          <cell r="Z12964" t="str">
            <v>ENDOSCOPÍA</v>
          </cell>
          <cell r="AA12964" t="str">
            <v>HOSPITAL DE PUERTO MONTT</v>
          </cell>
        </row>
        <row r="12965">
          <cell r="Z12965" t="str">
            <v>ENDOSCOPÍA</v>
          </cell>
          <cell r="AA12965" t="str">
            <v>HOSPITAL DE PUERTO MONTT</v>
          </cell>
        </row>
        <row r="12966">
          <cell r="Z12966" t="str">
            <v>ENDOSCOPÍA</v>
          </cell>
        </row>
        <row r="12967">
          <cell r="Z12967" t="str">
            <v>ENDOSCOPÍA</v>
          </cell>
          <cell r="AA12967" t="str">
            <v>HOSPITAL DE PUERTO MONTT</v>
          </cell>
        </row>
        <row r="12968">
          <cell r="Z12968" t="str">
            <v>DENTAL</v>
          </cell>
          <cell r="AA12968" t="str">
            <v>GEMCO GENERAL MACHINERY S.A.</v>
          </cell>
        </row>
        <row r="12969">
          <cell r="Z12969" t="str">
            <v>DENTAL</v>
          </cell>
          <cell r="AA12969" t="str">
            <v>GEMCO GENERAL MACHINERY S.A.</v>
          </cell>
        </row>
        <row r="12970">
          <cell r="Z12970" t="str">
            <v>DENTAL</v>
          </cell>
          <cell r="AA12970" t="str">
            <v>GEMCO GENERAL MACHINERY S.A.</v>
          </cell>
        </row>
        <row r="12971">
          <cell r="Z12971" t="str">
            <v>DENTAL</v>
          </cell>
          <cell r="AA12971" t="str">
            <v>GEMCO GENERAL MACHINERY S.A.</v>
          </cell>
        </row>
        <row r="12972">
          <cell r="Z12972" t="str">
            <v>DENTAL</v>
          </cell>
          <cell r="AA12972" t="str">
            <v>SERVICIO DE SALUD DEL MAULE</v>
          </cell>
        </row>
        <row r="12973">
          <cell r="Z12973" t="str">
            <v>DENTAL</v>
          </cell>
          <cell r="AA12973" t="str">
            <v>SERVICIO DE SALUD DEL MAULE</v>
          </cell>
        </row>
        <row r="12974">
          <cell r="Z12974" t="str">
            <v>DENTAL</v>
          </cell>
          <cell r="AA12974" t="str">
            <v>SERVICIO DE SALUD DEL MAULE</v>
          </cell>
        </row>
        <row r="12975">
          <cell r="Z12975" t="str">
            <v>DENTAL</v>
          </cell>
          <cell r="AA12975" t="str">
            <v>SERVICIO DE SALUD DEL MAULE</v>
          </cell>
        </row>
        <row r="12976">
          <cell r="Z12976" t="str">
            <v>DENTAL</v>
          </cell>
          <cell r="AA12976" t="str">
            <v>SERVICIO DE SALUD DEL MAULE</v>
          </cell>
        </row>
        <row r="12977">
          <cell r="Z12977" t="str">
            <v>DENTAL</v>
          </cell>
          <cell r="AA12977" t="str">
            <v>SERVICIO DE SALUD DEL MAULE</v>
          </cell>
        </row>
        <row r="12978">
          <cell r="Z12978" t="str">
            <v>DENTAL</v>
          </cell>
          <cell r="AA12978" t="str">
            <v>SERVICIO DE SALUD DEL MAULE</v>
          </cell>
        </row>
        <row r="12979">
          <cell r="Z12979" t="str">
            <v>DENTAL</v>
          </cell>
          <cell r="AA12979" t="str">
            <v>CRS PEÑALOLEN CORDILLERA ORIENTE </v>
          </cell>
        </row>
        <row r="12980">
          <cell r="Z12980" t="str">
            <v>DENTAL</v>
          </cell>
          <cell r="AA12980" t="str">
            <v>CRS PEÑALOLEN CORDILLERA ORIENTE </v>
          </cell>
        </row>
        <row r="12981">
          <cell r="Z12981" t="str">
            <v>DENTAL</v>
          </cell>
          <cell r="AA12981" t="str">
            <v>SERVICIO DE SALUD TALCAHUANO</v>
          </cell>
        </row>
        <row r="12982">
          <cell r="Z12982" t="str">
            <v>DENTAL</v>
          </cell>
          <cell r="AA12982" t="str">
            <v>CRS PEÑALOLEN CORDILLERA ORIENTE </v>
          </cell>
        </row>
        <row r="12983">
          <cell r="Z12983" t="str">
            <v>DENTAL</v>
          </cell>
          <cell r="AA12983" t="str">
            <v>CRS PEÑALOLEN CORDILLERA ORIENTE </v>
          </cell>
        </row>
        <row r="12984">
          <cell r="Z12984" t="str">
            <v>DENTAL</v>
          </cell>
          <cell r="AA12984" t="str">
            <v>SERVICIO DE SALUD TALCAHUANO</v>
          </cell>
        </row>
        <row r="12985">
          <cell r="Z12985" t="str">
            <v>DENTAL</v>
          </cell>
          <cell r="AA12985" t="str">
            <v>CRS PEÑALOLEN CORDILLERA ORIENTE </v>
          </cell>
        </row>
        <row r="12986">
          <cell r="Z12986" t="str">
            <v>DENTAL</v>
          </cell>
          <cell r="AA12986" t="str">
            <v>CRS PEÑALOLEN CORDILLERA ORIENTE </v>
          </cell>
        </row>
        <row r="12987">
          <cell r="Z12987" t="str">
            <v>DENTAL</v>
          </cell>
          <cell r="AA12987" t="str">
            <v>CRS PEÑALOLEN CORDILLERA ORIENTE </v>
          </cell>
        </row>
        <row r="12988">
          <cell r="Z12988" t="str">
            <v>DENTAL</v>
          </cell>
          <cell r="AA12988" t="str">
            <v>CRS PEÑALOLEN CORDILLERA ORIENTE </v>
          </cell>
        </row>
        <row r="12989">
          <cell r="Z12989" t="str">
            <v>DENTAL</v>
          </cell>
          <cell r="AA12989" t="str">
            <v>S. SALUD METROPOLITANO SUR ORIENTE</v>
          </cell>
        </row>
        <row r="12990">
          <cell r="Z12990" t="str">
            <v>DENTAL</v>
          </cell>
          <cell r="AA12990" t="str">
            <v>S. SALUD METROPOLITANO SUR ORIENTE</v>
          </cell>
        </row>
        <row r="12991">
          <cell r="Z12991" t="str">
            <v>DENTAL</v>
          </cell>
          <cell r="AA12991" t="str">
            <v>S. SALUD METROPOLITANO SUR ORIENTE</v>
          </cell>
        </row>
        <row r="12992">
          <cell r="Z12992" t="str">
            <v>DENTAL</v>
          </cell>
          <cell r="AA12992" t="str">
            <v>INTEGRAMEDICA CENTROS MEDICOS S.A.</v>
          </cell>
        </row>
        <row r="12993">
          <cell r="Z12993" t="str">
            <v>DENTAL</v>
          </cell>
          <cell r="AA12993" t="str">
            <v>INTEGRAMEDICA CENTROS MEDICOS S.A.</v>
          </cell>
        </row>
        <row r="12994">
          <cell r="Z12994" t="str">
            <v>DENTAL</v>
          </cell>
          <cell r="AA12994" t="str">
            <v>SERVICIO DE SALUD METROPOLITANO CENTRAL</v>
          </cell>
        </row>
        <row r="12995">
          <cell r="Z12995" t="str">
            <v>DENTAL</v>
          </cell>
          <cell r="AA12995" t="str">
            <v>GOBIERNO REGIONAL LIBERTADOR BDO. O'HIGGINS</v>
          </cell>
        </row>
        <row r="12996">
          <cell r="Z12996" t="str">
            <v>DENTAL</v>
          </cell>
          <cell r="AA12996" t="str">
            <v>GOBIERNO REGIONAL LIBERTADOR BDO. O'HIGGINS</v>
          </cell>
        </row>
        <row r="12997">
          <cell r="Z12997" t="str">
            <v>DENTAL</v>
          </cell>
          <cell r="AA12997" t="str">
            <v>SERVICIO DE SALUD METROPOLITANO CENTRAL</v>
          </cell>
        </row>
        <row r="12998">
          <cell r="Z12998" t="str">
            <v>DENTAL</v>
          </cell>
          <cell r="AA12998" t="str">
            <v>SERVICIO DE SALUD CONCEPCION</v>
          </cell>
        </row>
        <row r="12999">
          <cell r="Z12999" t="str">
            <v>DENTAL</v>
          </cell>
          <cell r="AA12999" t="str">
            <v>SERVICIO DE SALUD METROPOLITANO CENTRAL</v>
          </cell>
        </row>
        <row r="13000">
          <cell r="Z13000" t="str">
            <v>DENTAL</v>
          </cell>
          <cell r="AA13000" t="str">
            <v>SERVICIO DE SALUD CONCEPCION</v>
          </cell>
        </row>
        <row r="13001">
          <cell r="Z13001" t="str">
            <v>DENTAL</v>
          </cell>
          <cell r="AA13001" t="str">
            <v>GOBIERNO REGIONAL LIBERTADOR BDO. O'HIGGINS</v>
          </cell>
        </row>
        <row r="13002">
          <cell r="Z13002" t="str">
            <v>DENTAL</v>
          </cell>
        </row>
        <row r="13003">
          <cell r="Z13003" t="str">
            <v>DENTAL</v>
          </cell>
          <cell r="AA13003" t="str">
            <v>GOBIERNO REGIONAL LIBERTADOR BDO. O'HIGGINS</v>
          </cell>
        </row>
        <row r="13004">
          <cell r="Z13004" t="str">
            <v>DENTAL</v>
          </cell>
          <cell r="AA13004" t="str">
            <v>SERVICIO DE SALUD TALCAHUANO</v>
          </cell>
        </row>
        <row r="13005">
          <cell r="Z13005" t="str">
            <v>DENTAL</v>
          </cell>
          <cell r="AA13005" t="str">
            <v>SERVICIO DE SALUD TALCAHUANO</v>
          </cell>
        </row>
        <row r="13006">
          <cell r="Z13006" t="str">
            <v>DENTAL</v>
          </cell>
          <cell r="AA13006" t="str">
            <v>SERVICIO DE SALUD TALCAHUANO</v>
          </cell>
        </row>
        <row r="13007">
          <cell r="Z13007" t="str">
            <v>DENTAL</v>
          </cell>
          <cell r="AA13007" t="str">
            <v>SERVICIO DE SALUD METROPOLITANO CENTRAL</v>
          </cell>
        </row>
        <row r="13008">
          <cell r="Z13008" t="str">
            <v>DENTAL</v>
          </cell>
          <cell r="AA13008" t="str">
            <v>CRS PEÑALOLEN CORDILLERA ORIENTE </v>
          </cell>
        </row>
        <row r="13009">
          <cell r="Z13009" t="str">
            <v>DENTAL</v>
          </cell>
          <cell r="AA13009" t="str">
            <v>LA ARAUCANA SALUD S.A.</v>
          </cell>
        </row>
        <row r="13010">
          <cell r="Z13010" t="str">
            <v>DENTAL</v>
          </cell>
          <cell r="AA13010" t="str">
            <v>LA ARAUCANA SALUD S.A.</v>
          </cell>
        </row>
        <row r="13011">
          <cell r="Z13011" t="str">
            <v>DENTAL</v>
          </cell>
          <cell r="AA13011" t="str">
            <v>SERVICIO DE SALUD DEL MAULE</v>
          </cell>
        </row>
        <row r="13012">
          <cell r="Z13012" t="str">
            <v>DENTAL</v>
          </cell>
          <cell r="AA13012" t="str">
            <v>SERVICIO DE SALUD DEL MAULE</v>
          </cell>
        </row>
        <row r="13013">
          <cell r="Z13013" t="str">
            <v>DENTAL</v>
          </cell>
          <cell r="AA13013" t="str">
            <v>SERVICIO DE SALUD DEL MAULE</v>
          </cell>
        </row>
        <row r="13014">
          <cell r="Z13014" t="str">
            <v>DENTAL</v>
          </cell>
          <cell r="AA13014" t="str">
            <v>SERVICIO DE SALUD DEL MAULE</v>
          </cell>
        </row>
        <row r="13015">
          <cell r="Z13015" t="str">
            <v>DENTAL</v>
          </cell>
          <cell r="AA13015" t="str">
            <v>SERVICIO DE SALUD DEL MAULE</v>
          </cell>
        </row>
        <row r="13016">
          <cell r="Z13016" t="str">
            <v>DENTAL</v>
          </cell>
          <cell r="AA13016" t="str">
            <v>SERVICIO DE SALUD DEL MAULE</v>
          </cell>
        </row>
        <row r="13017">
          <cell r="Z13017" t="str">
            <v>DENTAL</v>
          </cell>
          <cell r="AA13017" t="str">
            <v>SERVICIO DE SALUD DEL MAULE</v>
          </cell>
        </row>
        <row r="13018">
          <cell r="Z13018" t="str">
            <v>DENTAL</v>
          </cell>
          <cell r="AA13018" t="str">
            <v>SERVICIO DE SALUD DEL MAULE</v>
          </cell>
        </row>
        <row r="13019">
          <cell r="Z13019" t="str">
            <v>DENTAL</v>
          </cell>
          <cell r="AA13019" t="str">
            <v>SERVICIO DE SALUD DEL MAULE</v>
          </cell>
        </row>
        <row r="13020">
          <cell r="Z13020" t="str">
            <v>DENTAL</v>
          </cell>
          <cell r="AA13020" t="str">
            <v>SERVICIO DE SALUD DEL MAULE</v>
          </cell>
        </row>
        <row r="13021">
          <cell r="Z13021" t="str">
            <v>DENTAL</v>
          </cell>
          <cell r="AA13021" t="str">
            <v>SERVICIO DE SALUD DEL MAULE</v>
          </cell>
        </row>
        <row r="13022">
          <cell r="Z13022" t="str">
            <v>DENTAL</v>
          </cell>
        </row>
        <row r="13023">
          <cell r="Z13023" t="str">
            <v>DENTAL</v>
          </cell>
        </row>
        <row r="13024">
          <cell r="Z13024" t="str">
            <v>DENTAL</v>
          </cell>
          <cell r="AA13024" t="str">
            <v>HOSPITAL DE QUILPUE</v>
          </cell>
        </row>
        <row r="13025">
          <cell r="Z13025" t="str">
            <v>DENTAL</v>
          </cell>
          <cell r="AA13025" t="str">
            <v>HOSPITAL DE QUILPUE</v>
          </cell>
        </row>
        <row r="13026">
          <cell r="Z13026" t="str">
            <v>DENTAL</v>
          </cell>
          <cell r="AA13026" t="str">
            <v>HOSPITAL DE QUILPUE</v>
          </cell>
        </row>
        <row r="13027">
          <cell r="Z13027" t="str">
            <v>DENTAL</v>
          </cell>
          <cell r="AA13027" t="str">
            <v>HOSPITAL DE QUILPUE</v>
          </cell>
        </row>
        <row r="13028">
          <cell r="Z13028" t="str">
            <v>DENTAL</v>
          </cell>
          <cell r="AA13028" t="str">
            <v>SERVICIO DE SALUD DEL MAULE</v>
          </cell>
        </row>
        <row r="13029">
          <cell r="Z13029" t="str">
            <v>DENTAL</v>
          </cell>
          <cell r="AA13029" t="str">
            <v>SERVICIO DE SALUD DEL MAULE</v>
          </cell>
        </row>
        <row r="13030">
          <cell r="Z13030" t="str">
            <v>DENTAL</v>
          </cell>
          <cell r="AA13030" t="str">
            <v>SERVICIO DE SALUD DEL MAULE</v>
          </cell>
        </row>
        <row r="13031">
          <cell r="Z13031" t="str">
            <v>DENTAL</v>
          </cell>
          <cell r="AA13031" t="str">
            <v>SERVICIO DE SALUD DEL MAULE</v>
          </cell>
        </row>
        <row r="13032">
          <cell r="Z13032" t="str">
            <v>DENTAL</v>
          </cell>
          <cell r="AA13032" t="str">
            <v>SERVICIO DE SALUD DEL MAULE</v>
          </cell>
        </row>
        <row r="13033">
          <cell r="Z13033" t="str">
            <v>DENTAL</v>
          </cell>
          <cell r="AA13033" t="str">
            <v>SERVICIO SALUD O'HIGGINS</v>
          </cell>
        </row>
        <row r="13034">
          <cell r="Z13034" t="str">
            <v>DENTAL</v>
          </cell>
          <cell r="AA13034" t="str">
            <v>SERVICIO SALUD O'HIGGINS</v>
          </cell>
        </row>
        <row r="13035">
          <cell r="Z13035" t="str">
            <v>DENTAL</v>
          </cell>
          <cell r="AA13035" t="str">
            <v>SERVICIO SALUD O'HIGGINS</v>
          </cell>
        </row>
        <row r="13036">
          <cell r="Z13036" t="str">
            <v>DENTAL</v>
          </cell>
          <cell r="AA13036" t="str">
            <v>SERVICIO SALUD O'HIGGINS</v>
          </cell>
        </row>
        <row r="13037">
          <cell r="Z13037" t="str">
            <v>DENTAL</v>
          </cell>
          <cell r="AA13037" t="str">
            <v>HOSPITAL DR. GUSTAVO FRICKE</v>
          </cell>
        </row>
        <row r="13038">
          <cell r="Z13038" t="str">
            <v>DENTAL</v>
          </cell>
          <cell r="AA13038" t="str">
            <v>HOSPITAL DR. GUSTAVO FRICKE</v>
          </cell>
        </row>
        <row r="13039">
          <cell r="Z13039" t="str">
            <v>DENTAL</v>
          </cell>
          <cell r="AA13039" t="str">
            <v>HOSPITAL DR. GUSTAVO FRICKE</v>
          </cell>
        </row>
        <row r="13040">
          <cell r="Z13040" t="str">
            <v>DENTAL</v>
          </cell>
        </row>
        <row r="13041">
          <cell r="Z13041" t="str">
            <v>DENTAL</v>
          </cell>
          <cell r="AA13041" t="str">
            <v>SERVICIO DE SALUD VALPARAISO SN ANTONIO</v>
          </cell>
        </row>
        <row r="13042">
          <cell r="Z13042" t="str">
            <v>DENTAL</v>
          </cell>
          <cell r="AA13042" t="str">
            <v>SERVICIO DE SALUD VALPARAISO SN ANTONIO</v>
          </cell>
        </row>
        <row r="13043">
          <cell r="Z13043" t="str">
            <v>DENTAL</v>
          </cell>
          <cell r="AA13043" t="str">
            <v>SERVICIO DE SALUD VALPARAISO SN ANTONIO</v>
          </cell>
        </row>
        <row r="13044">
          <cell r="Z13044" t="str">
            <v>DENTAL</v>
          </cell>
          <cell r="AA13044" t="str">
            <v>SERVICIO DE SALUD VALPARAISO SN ANTONIO</v>
          </cell>
        </row>
        <row r="13045">
          <cell r="Z13045" t="str">
            <v>DENTAL</v>
          </cell>
          <cell r="AA13045" t="str">
            <v>SERVICIO DE SALUD VALPARAISO SN ANTONIO</v>
          </cell>
        </row>
        <row r="13046">
          <cell r="Z13046" t="str">
            <v>DENTAL</v>
          </cell>
          <cell r="AA13046" t="str">
            <v>SERVICIO DE SALUD VALPARAISO SN ANTONIO</v>
          </cell>
        </row>
        <row r="13047">
          <cell r="Z13047" t="str">
            <v>DENTAL</v>
          </cell>
          <cell r="AA13047" t="str">
            <v>SERVICIO DE SALUD VALPARAISO SN ANTONIO</v>
          </cell>
        </row>
        <row r="13048">
          <cell r="Z13048" t="str">
            <v>DENTAL</v>
          </cell>
          <cell r="AA13048" t="str">
            <v>HOSPITAL CARLOS VAN BUREN</v>
          </cell>
        </row>
        <row r="13049">
          <cell r="Z13049" t="str">
            <v>DENTAL</v>
          </cell>
          <cell r="AA13049" t="str">
            <v>HOSPITAL REGIONAL DE ANTOFAGASTA</v>
          </cell>
        </row>
        <row r="13050">
          <cell r="Z13050" t="str">
            <v>DENTAL</v>
          </cell>
          <cell r="AA13050" t="str">
            <v>HOSPITAL REGIONAL DE ANTOFAGASTA</v>
          </cell>
        </row>
        <row r="13051">
          <cell r="Z13051" t="str">
            <v>DENTAL</v>
          </cell>
          <cell r="AA13051" t="str">
            <v>HOSPITAL REGIONAL DE ANTOFAGASTA</v>
          </cell>
        </row>
        <row r="13052">
          <cell r="Z13052" t="str">
            <v>DENTAL</v>
          </cell>
          <cell r="AA13052" t="str">
            <v>SERVICIO DE SALUD RELONCAVI</v>
          </cell>
        </row>
        <row r="13053">
          <cell r="Z13053" t="str">
            <v>DENTAL</v>
          </cell>
          <cell r="AA13053" t="str">
            <v>SERVICIO DE SALUD RELONCAVI</v>
          </cell>
        </row>
        <row r="13054">
          <cell r="Z13054" t="str">
            <v>DENTAL</v>
          </cell>
          <cell r="AA13054" t="str">
            <v>SERVICIO DE SALUD RELONCAVI</v>
          </cell>
        </row>
        <row r="13055">
          <cell r="Z13055" t="str">
            <v>DENTAL</v>
          </cell>
          <cell r="AA13055" t="str">
            <v>INGENIERIA Y CONSTRUCCION COPAYAPU LIMITADA</v>
          </cell>
        </row>
        <row r="13056">
          <cell r="Z13056" t="str">
            <v>DENTAL</v>
          </cell>
          <cell r="AA13056" t="str">
            <v>INGENIERIA Y CONSTRUCCION COPAYAPU LIMITADA</v>
          </cell>
        </row>
        <row r="13057">
          <cell r="Z13057" t="str">
            <v>DENTAL</v>
          </cell>
          <cell r="AA13057" t="str">
            <v>JUNAEB ESCUELA NUEVA ZELANDIA</v>
          </cell>
        </row>
        <row r="13058">
          <cell r="Z13058" t="str">
            <v>DENTAL</v>
          </cell>
          <cell r="AA13058" t="str">
            <v>JUNAEB MODULO FRUTILLAR</v>
          </cell>
        </row>
        <row r="13059">
          <cell r="Z13059" t="str">
            <v>DENTAL</v>
          </cell>
          <cell r="AA13059" t="str">
            <v>JUNAEB ESCUELA NUEVA ZELANDIA</v>
          </cell>
        </row>
        <row r="13060">
          <cell r="Z13060" t="str">
            <v>DENTAL</v>
          </cell>
          <cell r="AA13060" t="str">
            <v>JUNAEB ESCUELA NUEVA ZELANDIA</v>
          </cell>
        </row>
        <row r="13061">
          <cell r="Z13061" t="str">
            <v>DENTAL</v>
          </cell>
          <cell r="AA13061" t="str">
            <v>JUNAEB ESCUELA VICTOR DOMINGO SILVA</v>
          </cell>
        </row>
        <row r="13062">
          <cell r="Z13062" t="str">
            <v>DENTAL</v>
          </cell>
          <cell r="AA13062" t="str">
            <v>JUNAEB ALTOBIOBIO</v>
          </cell>
        </row>
        <row r="13063">
          <cell r="Z13063" t="str">
            <v>DENTAL</v>
          </cell>
          <cell r="AA13063" t="str">
            <v>UNIVERSIDAD DE VALPARAISO</v>
          </cell>
        </row>
        <row r="13064">
          <cell r="Z13064" t="str">
            <v>OTRO</v>
          </cell>
        </row>
        <row r="13065">
          <cell r="Z13065" t="str">
            <v>ESTERILIZACIÓN</v>
          </cell>
        </row>
        <row r="13066">
          <cell r="Z13066" t="str">
            <v>MOBILIARIO CLINICO</v>
          </cell>
          <cell r="AA13066" t="str">
            <v>PONTIFICIA UNIVERSIDAD CATOLICA DE CHILE</v>
          </cell>
        </row>
        <row r="13067">
          <cell r="Z13067" t="str">
            <v>MOBILIARIO CLINICO</v>
          </cell>
          <cell r="AA13067" t="str">
            <v>PONTIFICIA UNIVERSIDAD CATOLICA DE CHILE</v>
          </cell>
        </row>
        <row r="13068">
          <cell r="Z13068" t="str">
            <v>MOBILIARIO CLINICO</v>
          </cell>
        </row>
        <row r="13069">
          <cell r="Z13069" t="str">
            <v>MOBILIARIO CLINICO</v>
          </cell>
        </row>
        <row r="13070">
          <cell r="Z13070" t="str">
            <v>MOBILIARIO CLINICO</v>
          </cell>
        </row>
        <row r="13071">
          <cell r="Z13071" t="str">
            <v>MOBILIARIO CLINICO</v>
          </cell>
        </row>
        <row r="13072">
          <cell r="Z13072" t="str">
            <v>MOBILIARIO CLINICO</v>
          </cell>
        </row>
        <row r="13073">
          <cell r="Z13073" t="str">
            <v>MOBILIARIO CLINICO</v>
          </cell>
        </row>
        <row r="13074">
          <cell r="Z13074" t="str">
            <v>MOBILIARIO CLINICO</v>
          </cell>
        </row>
        <row r="13075">
          <cell r="Z13075" t="str">
            <v>MOBILIARIO CLINICO</v>
          </cell>
          <cell r="AA13075" t="str">
            <v>IMPORTADORA, COMERCIALIZADORA Y DA</v>
          </cell>
        </row>
        <row r="13076">
          <cell r="Z13076" t="str">
            <v>MOBILIARIO CLINICO</v>
          </cell>
          <cell r="AA13076" t="str">
            <v>IMPORTADORA, COMERCIALIZADORA Y DA</v>
          </cell>
        </row>
        <row r="13077">
          <cell r="Z13077" t="str">
            <v>MOBILIARIO CLINICO</v>
          </cell>
          <cell r="AA13077" t="str">
            <v>IMPORTADORA, COMERCIALIZADORA Y DA</v>
          </cell>
        </row>
        <row r="13078">
          <cell r="Z13078" t="str">
            <v>MOBILIARIO CLINICO</v>
          </cell>
          <cell r="AA13078" t="str">
            <v>IMPORTADORA, COMERCIALIZADORA Y DA</v>
          </cell>
        </row>
        <row r="13079">
          <cell r="Z13079" t="str">
            <v>MOBILIARIO CLINICO</v>
          </cell>
          <cell r="AA13079" t="str">
            <v>IMPORTADORA, COMERCIALIZADORA Y DA</v>
          </cell>
        </row>
        <row r="13080">
          <cell r="Z13080" t="str">
            <v>MOBILIARIO CLINICO</v>
          </cell>
          <cell r="AA13080" t="str">
            <v>IMPORTADORA, COMERCIALIZADORA Y DA</v>
          </cell>
        </row>
        <row r="13081">
          <cell r="Z13081" t="str">
            <v>MOBILIARIO CLINICO</v>
          </cell>
          <cell r="AA13081" t="str">
            <v>IMPORTADORA, COMERCIALIZADORA Y DA</v>
          </cell>
        </row>
        <row r="13082">
          <cell r="Z13082" t="str">
            <v>MOBILIARIO CLINICO</v>
          </cell>
          <cell r="AA13082" t="str">
            <v>IMPORTADORA, COMERCIALIZADORA Y DA</v>
          </cell>
        </row>
        <row r="13083">
          <cell r="Z13083" t="str">
            <v>MOBILIARIO CLINICO</v>
          </cell>
          <cell r="AA13083" t="str">
            <v>IMPORTADORA, COMERCIALIZADORA Y DA</v>
          </cell>
        </row>
        <row r="13084">
          <cell r="Z13084" t="str">
            <v>MOBILIARIO CLINICO</v>
          </cell>
          <cell r="AA13084" t="str">
            <v>IMPORTADORA, COMERCIALIZADORA Y DA</v>
          </cell>
        </row>
        <row r="13085">
          <cell r="Z13085" t="str">
            <v>MOBILIARIO CLINICO</v>
          </cell>
          <cell r="AA13085" t="str">
            <v>IMPORTADORA, COMERCIALIZADORA Y DA</v>
          </cell>
        </row>
        <row r="13086">
          <cell r="Z13086" t="str">
            <v>MOBILIARIO CLINICO</v>
          </cell>
          <cell r="AA13086" t="str">
            <v>IMPORTADORA, COMERCIALIZADORA Y DA</v>
          </cell>
        </row>
        <row r="13087">
          <cell r="Z13087" t="str">
            <v>MOBILIARIO CLINICO</v>
          </cell>
          <cell r="AA13087" t="str">
            <v>IMPORTADORA, COMERCIALIZADORA Y DA</v>
          </cell>
        </row>
        <row r="13088">
          <cell r="Z13088" t="str">
            <v>MOBILIARIO CLINICO</v>
          </cell>
          <cell r="AA13088" t="str">
            <v>IMPORTADORA, COMERCIALIZADORA Y DA</v>
          </cell>
        </row>
        <row r="13089">
          <cell r="Z13089" t="str">
            <v>MOBILIARIO CLINICO</v>
          </cell>
          <cell r="AA13089" t="str">
            <v>IMPORTADORA, COMERCIALIZADORA Y DA</v>
          </cell>
        </row>
        <row r="13090">
          <cell r="Z13090" t="str">
            <v>MOBILIARIO CLINICO</v>
          </cell>
          <cell r="AA13090" t="str">
            <v>IMPORTADORA, COMERCIALIZADORA Y DA</v>
          </cell>
        </row>
        <row r="13091">
          <cell r="Z13091" t="str">
            <v>MOBILIARIO CLINICO</v>
          </cell>
          <cell r="AA13091" t="str">
            <v>IMPORTADORA, COMERCIALIZADORA Y DA</v>
          </cell>
        </row>
        <row r="13092">
          <cell r="Z13092" t="str">
            <v>MOBILIARIO CLINICO</v>
          </cell>
          <cell r="AA13092" t="str">
            <v>IMPORTADORA, COMERCIALIZADORA Y DA</v>
          </cell>
        </row>
        <row r="13093">
          <cell r="Z13093" t="str">
            <v>MOBILIARIO CLINICO</v>
          </cell>
          <cell r="AA13093" t="str">
            <v>IMPORTADORA, COMERCIALIZADORA Y DA</v>
          </cell>
        </row>
        <row r="13094">
          <cell r="Z13094" t="str">
            <v>MOBILIARIO CLINICO</v>
          </cell>
          <cell r="AA13094" t="str">
            <v>HOSPITAL DEL PROFESOR</v>
          </cell>
        </row>
        <row r="13095">
          <cell r="Z13095" t="str">
            <v>MOBILIARIO CLINICO</v>
          </cell>
          <cell r="AA13095" t="str">
            <v>HOSPITAL DEL PROFESOR</v>
          </cell>
        </row>
        <row r="13096">
          <cell r="Z13096" t="str">
            <v>MOBILIARIO CLINICO</v>
          </cell>
          <cell r="AA13096" t="str">
            <v>HOSPITAL DEL PROFESOR</v>
          </cell>
        </row>
        <row r="13097">
          <cell r="Z13097" t="str">
            <v>MOBILIARIO CLINICO</v>
          </cell>
          <cell r="AA13097" t="str">
            <v>HOSPITAL DEL PROFESOR</v>
          </cell>
        </row>
        <row r="13098">
          <cell r="Z13098" t="str">
            <v>MOBILIARIO CLINICO</v>
          </cell>
          <cell r="AA13098" t="str">
            <v>HOSPITAL DEL PROFESOR</v>
          </cell>
        </row>
        <row r="13099">
          <cell r="Z13099" t="str">
            <v>MOBILIARIO CLINICO</v>
          </cell>
          <cell r="AA13099" t="str">
            <v>HOSPITAL DEL PROFESOR</v>
          </cell>
        </row>
        <row r="13100">
          <cell r="Z13100" t="str">
            <v>MOBILIARIO CLINICO</v>
          </cell>
          <cell r="AA13100" t="str">
            <v>HOSPITAL DE LA FLORIDA</v>
          </cell>
        </row>
        <row r="13101">
          <cell r="Z13101" t="str">
            <v>MOBILIARIO CLINICO</v>
          </cell>
        </row>
        <row r="13102">
          <cell r="Z13102" t="str">
            <v>MOBILIARIO CLINICO</v>
          </cell>
          <cell r="AA13102" t="str">
            <v>HOSPITAL DE LA FLORIDA</v>
          </cell>
        </row>
        <row r="13103">
          <cell r="Z13103" t="str">
            <v>MOBILIARIO CLINICO</v>
          </cell>
          <cell r="AA13103" t="str">
            <v>HOSPITAL DE LA FLORIDA</v>
          </cell>
        </row>
        <row r="13104">
          <cell r="Z13104" t="str">
            <v>MOBILIARIO CLINICO</v>
          </cell>
          <cell r="AA13104" t="str">
            <v>HOSPITAL DE LA FLORIDA</v>
          </cell>
        </row>
        <row r="13105">
          <cell r="Z13105" t="str">
            <v>MOBILIARIO CLINICO</v>
          </cell>
          <cell r="AA13105" t="str">
            <v>HOSPITAL DE LA FLORIDA</v>
          </cell>
        </row>
        <row r="13106">
          <cell r="Z13106" t="str">
            <v>MOBILIARIO CLINICO</v>
          </cell>
          <cell r="AA13106" t="str">
            <v>HOSPITAL DE LA FLORIDA</v>
          </cell>
        </row>
        <row r="13107">
          <cell r="Z13107" t="str">
            <v>MOBILIARIO CLINICO</v>
          </cell>
          <cell r="AA13107" t="str">
            <v>HOSPITAL DE LA FLORIDA</v>
          </cell>
        </row>
        <row r="13108">
          <cell r="Z13108" t="str">
            <v>MOBILIARIO CLINICO</v>
          </cell>
          <cell r="AA13108" t="str">
            <v>HOSPITAL DE LA FLORIDA</v>
          </cell>
        </row>
        <row r="13109">
          <cell r="Z13109" t="str">
            <v>MOBILIARIO CLINICO</v>
          </cell>
          <cell r="AA13109" t="str">
            <v>HOSPITAL DE LA FLORIDA</v>
          </cell>
        </row>
        <row r="13110">
          <cell r="Z13110" t="str">
            <v>MOBILIARIO CLINICO</v>
          </cell>
          <cell r="AA13110" t="str">
            <v>HOSPITAL DE LA FLORIDA</v>
          </cell>
        </row>
        <row r="13111">
          <cell r="Z13111" t="str">
            <v>MOBILIARIO CLINICO</v>
          </cell>
          <cell r="AA13111" t="str">
            <v>HOSPITAL DE LA FLORIDA</v>
          </cell>
        </row>
        <row r="13112">
          <cell r="Z13112" t="str">
            <v>MOBILIARIO CLINICO</v>
          </cell>
          <cell r="AA13112" t="str">
            <v>HOSPITAL DE LA FLORIDA</v>
          </cell>
        </row>
        <row r="13113">
          <cell r="Z13113" t="str">
            <v>MOBILIARIO CLINICO</v>
          </cell>
          <cell r="AA13113" t="str">
            <v>HOSPITAL DE LA FLORIDA</v>
          </cell>
        </row>
        <row r="13114">
          <cell r="Z13114" t="str">
            <v>MOBILIARIO CLINICO</v>
          </cell>
          <cell r="AA13114" t="str">
            <v>HOSPITAL DE LA FLORIDA</v>
          </cell>
        </row>
        <row r="13115">
          <cell r="Z13115" t="str">
            <v>MOBILIARIO CLINICO</v>
          </cell>
          <cell r="AA13115" t="str">
            <v>HOSPITAL DE LA FLORIDA</v>
          </cell>
        </row>
        <row r="13116">
          <cell r="Z13116" t="str">
            <v>MOBILIARIO CLINICO</v>
          </cell>
          <cell r="AA13116" t="str">
            <v>HOSPITAL DE LA FLORIDA</v>
          </cell>
        </row>
        <row r="13117">
          <cell r="Z13117" t="str">
            <v>MOBILIARIO CLINICO</v>
          </cell>
          <cell r="AA13117" t="str">
            <v>HOSPITAL DE LA FLORIDA</v>
          </cell>
        </row>
        <row r="13118">
          <cell r="Z13118" t="str">
            <v>MOBILIARIO CLINICO</v>
          </cell>
          <cell r="AA13118" t="str">
            <v>HOSPITAL DE LA FLORIDA</v>
          </cell>
        </row>
        <row r="13119">
          <cell r="Z13119" t="str">
            <v>MOBILIARIO CLINICO</v>
          </cell>
          <cell r="AA13119" t="str">
            <v>HOSPITAL DE LA FLORIDA</v>
          </cell>
        </row>
        <row r="13120">
          <cell r="Z13120" t="str">
            <v>MOBILIARIO CLINICO</v>
          </cell>
          <cell r="AA13120" t="str">
            <v>HOSPITAL DE LA FLORIDA</v>
          </cell>
        </row>
        <row r="13121">
          <cell r="Z13121" t="str">
            <v>MOBILIARIO CLINICO</v>
          </cell>
          <cell r="AA13121" t="str">
            <v>HOSPITAL DE LA FLORIDA</v>
          </cell>
        </row>
        <row r="13122">
          <cell r="Z13122" t="str">
            <v>MOBILIARIO CLINICO</v>
          </cell>
          <cell r="AA13122" t="str">
            <v>HOSPITAL DE LA FLORIDA</v>
          </cell>
        </row>
        <row r="13123">
          <cell r="Z13123" t="str">
            <v>MOBILIARIO CLINICO</v>
          </cell>
          <cell r="AA13123" t="str">
            <v>HOSPITAL DE LA FLORIDA</v>
          </cell>
        </row>
        <row r="13124">
          <cell r="Z13124" t="str">
            <v>MOBILIARIO CLINICO</v>
          </cell>
          <cell r="AA13124" t="str">
            <v>HOSPITAL DE LA FLORIDA</v>
          </cell>
        </row>
        <row r="13125">
          <cell r="Z13125" t="str">
            <v>MOBILIARIO CLINICO</v>
          </cell>
          <cell r="AA13125" t="str">
            <v>HOSPITAL DE LA FLORIDA</v>
          </cell>
        </row>
        <row r="13126">
          <cell r="Z13126" t="str">
            <v>MOBILIARIO CLINICO</v>
          </cell>
          <cell r="AA13126" t="str">
            <v>HOSPITAL DE LA FLORIDA</v>
          </cell>
        </row>
        <row r="13127">
          <cell r="Z13127" t="str">
            <v>MOBILIARIO CLINICO</v>
          </cell>
          <cell r="AA13127" t="str">
            <v>HOSPITAL DE LA FLORIDA</v>
          </cell>
        </row>
        <row r="13128">
          <cell r="Z13128" t="str">
            <v>MOBILIARIO CLINICO</v>
          </cell>
          <cell r="AA13128" t="str">
            <v>HOSPITAL DE LA FLORIDA</v>
          </cell>
        </row>
        <row r="13129">
          <cell r="Z13129" t="str">
            <v>MOBILIARIO CLINICO</v>
          </cell>
          <cell r="AA13129" t="str">
            <v>HOSPITAL DE LA FLORIDA</v>
          </cell>
        </row>
        <row r="13130">
          <cell r="Z13130" t="str">
            <v>MOBILIARIO CLINICO</v>
          </cell>
          <cell r="AA13130" t="str">
            <v>HOSPITAL DE LA FLORIDA</v>
          </cell>
        </row>
        <row r="13131">
          <cell r="Z13131" t="str">
            <v>MOBILIARIO CLINICO</v>
          </cell>
        </row>
        <row r="13132">
          <cell r="Z13132" t="str">
            <v>MOBILIARIO CLINICO</v>
          </cell>
          <cell r="AA13132" t="str">
            <v>HOSPITAL DE LA FLORIDA</v>
          </cell>
        </row>
        <row r="13133">
          <cell r="Z13133" t="str">
            <v>MOBILIARIO CLINICO</v>
          </cell>
          <cell r="AA13133" t="str">
            <v>HOSPITAL DE LA FLORIDA</v>
          </cell>
        </row>
        <row r="13134">
          <cell r="Z13134" t="str">
            <v>MOBILIARIO CLINICO</v>
          </cell>
          <cell r="AA13134" t="str">
            <v>HOSPITAL DE LA FLORIDA</v>
          </cell>
        </row>
        <row r="13135">
          <cell r="Z13135" t="str">
            <v>MOBILIARIO CLINICO</v>
          </cell>
          <cell r="AA13135" t="str">
            <v>HOSPITAL DE LA FLORIDA</v>
          </cell>
        </row>
        <row r="13136">
          <cell r="Z13136" t="str">
            <v>MOBILIARIO CLINICO</v>
          </cell>
          <cell r="AA13136" t="str">
            <v>HOSPITAL DE LA FLORIDA</v>
          </cell>
        </row>
        <row r="13137">
          <cell r="Z13137" t="str">
            <v>MOBILIARIO CLINICO</v>
          </cell>
          <cell r="AA13137" t="str">
            <v>HOSPITAL DE LA FLORIDA</v>
          </cell>
        </row>
        <row r="13138">
          <cell r="Z13138" t="str">
            <v>MOBILIARIO CLINICO</v>
          </cell>
          <cell r="AA13138" t="str">
            <v>HOSPITAL DE LA FLORIDA</v>
          </cell>
        </row>
        <row r="13139">
          <cell r="Z13139" t="str">
            <v>MOBILIARIO CLINICO</v>
          </cell>
          <cell r="AA13139" t="str">
            <v>HOSPITAL DE LA FLORIDA</v>
          </cell>
        </row>
        <row r="13140">
          <cell r="Z13140" t="str">
            <v>MOBILIARIO CLINICO</v>
          </cell>
          <cell r="AA13140" t="str">
            <v>HOSPITAL DE LA FLORIDA</v>
          </cell>
        </row>
        <row r="13141">
          <cell r="Z13141" t="str">
            <v>MOBILIARIO CLINICO</v>
          </cell>
          <cell r="AA13141" t="str">
            <v>HOSPITAL DE LA FLORIDA</v>
          </cell>
        </row>
        <row r="13142">
          <cell r="Z13142" t="str">
            <v>MOBILIARIO CLINICO</v>
          </cell>
          <cell r="AA13142" t="str">
            <v>HOSPITAL DE LA FLORIDA</v>
          </cell>
        </row>
        <row r="13143">
          <cell r="Z13143" t="str">
            <v>MOBILIARIO CLINICO</v>
          </cell>
        </row>
        <row r="13144">
          <cell r="Z13144" t="str">
            <v>MOBILIARIO CLINICO</v>
          </cell>
          <cell r="AA13144" t="str">
            <v>HOSPITAL DE LA FLORIDA</v>
          </cell>
        </row>
        <row r="13145">
          <cell r="Z13145" t="str">
            <v>MOBILIARIO CLINICO</v>
          </cell>
          <cell r="AA13145" t="str">
            <v>HOSPITAL DE LA FLORIDA</v>
          </cell>
        </row>
        <row r="13146">
          <cell r="Z13146" t="str">
            <v>MOBILIARIO CLINICO</v>
          </cell>
          <cell r="AA13146" t="str">
            <v>HOSPITAL DE LA FLORIDA</v>
          </cell>
        </row>
        <row r="13147">
          <cell r="Z13147" t="str">
            <v>MOBILIARIO CLINICO</v>
          </cell>
          <cell r="AA13147" t="str">
            <v>HOSPITAL DE LA FLORIDA</v>
          </cell>
        </row>
        <row r="13148">
          <cell r="Z13148" t="str">
            <v>MOBILIARIO CLINICO</v>
          </cell>
          <cell r="AA13148" t="str">
            <v>HOSPITAL DE LA FLORIDA</v>
          </cell>
        </row>
        <row r="13149">
          <cell r="Z13149" t="str">
            <v>MOBILIARIO CLINICO</v>
          </cell>
          <cell r="AA13149" t="str">
            <v>HOSPITAL DE LA FLORIDA</v>
          </cell>
        </row>
        <row r="13150">
          <cell r="Z13150" t="str">
            <v>MOBILIARIO CLINICO</v>
          </cell>
          <cell r="AA13150" t="str">
            <v>HOSPITAL DE LA FLORIDA</v>
          </cell>
        </row>
        <row r="13151">
          <cell r="Z13151" t="str">
            <v>MOBILIARIO CLINICO</v>
          </cell>
        </row>
        <row r="13152">
          <cell r="Z13152" t="str">
            <v>MOBILIARIO CLINICO</v>
          </cell>
        </row>
        <row r="13153">
          <cell r="Z13153" t="str">
            <v>MOBILIARIO CLINICO</v>
          </cell>
          <cell r="AA13153" t="str">
            <v>HOSPITAL DE LA FLORIDA</v>
          </cell>
        </row>
        <row r="13154">
          <cell r="Z13154" t="str">
            <v>MOBILIARIO CLINICO</v>
          </cell>
        </row>
        <row r="13155">
          <cell r="Z13155" t="str">
            <v>MOBILIARIO CLINICO</v>
          </cell>
        </row>
        <row r="13156">
          <cell r="Z13156" t="str">
            <v>MOBILIARIO CLINICO</v>
          </cell>
        </row>
        <row r="13157">
          <cell r="Z13157" t="str">
            <v>MOBILIARIO CLINICO</v>
          </cell>
        </row>
        <row r="13158">
          <cell r="Z13158" t="str">
            <v>MOBILIARIO CLINICO</v>
          </cell>
        </row>
        <row r="13159">
          <cell r="Z13159" t="str">
            <v>MOBILIARIO CLINICO</v>
          </cell>
        </row>
        <row r="13160">
          <cell r="Z13160" t="str">
            <v>MOBILIARIO CLINICO</v>
          </cell>
        </row>
        <row r="13161">
          <cell r="Z13161" t="str">
            <v>MOBILIARIO CLINICO</v>
          </cell>
        </row>
        <row r="13162">
          <cell r="Z13162" t="str">
            <v>MOBILIARIO CLINICO</v>
          </cell>
        </row>
        <row r="13163">
          <cell r="Z13163" t="str">
            <v>MOBILIARIO CLINICO</v>
          </cell>
        </row>
        <row r="13164">
          <cell r="Z13164" t="str">
            <v>MOBILIARIO CLINICO</v>
          </cell>
        </row>
        <row r="13165">
          <cell r="Z13165" t="str">
            <v>MOBILIARIO CLINICO</v>
          </cell>
        </row>
        <row r="13166">
          <cell r="Z13166" t="str">
            <v>MOBILIARIO CLINICO</v>
          </cell>
        </row>
        <row r="13167">
          <cell r="Z13167" t="str">
            <v>MOBILIARIO CLINICO</v>
          </cell>
        </row>
        <row r="13168">
          <cell r="Z13168" t="str">
            <v>MOBILIARIO CLINICO</v>
          </cell>
        </row>
        <row r="13169">
          <cell r="Z13169" t="str">
            <v>MOBILIARIO CLINICO</v>
          </cell>
        </row>
        <row r="13170">
          <cell r="Z13170" t="str">
            <v>MOBILIARIO CLINICO</v>
          </cell>
        </row>
        <row r="13171">
          <cell r="Z13171" t="str">
            <v>MOBILIARIO CLINICO</v>
          </cell>
        </row>
        <row r="13172">
          <cell r="Z13172" t="str">
            <v>MOBILIARIO CLINICO</v>
          </cell>
        </row>
        <row r="13173">
          <cell r="Z13173" t="str">
            <v>MOBILIARIO CLINICO</v>
          </cell>
        </row>
        <row r="13174">
          <cell r="Z13174" t="str">
            <v>MOBILIARIO CLINICO</v>
          </cell>
        </row>
        <row r="13175">
          <cell r="Z13175" t="str">
            <v>MOBILIARIO CLINICO</v>
          </cell>
        </row>
        <row r="13176">
          <cell r="Z13176" t="str">
            <v>MOBILIARIO CLINICO</v>
          </cell>
        </row>
        <row r="13177">
          <cell r="Z13177" t="str">
            <v>MOBILIARIO CLINICO</v>
          </cell>
        </row>
        <row r="13178">
          <cell r="Z13178" t="str">
            <v>MOBILIARIO CLINICO</v>
          </cell>
        </row>
        <row r="13179">
          <cell r="Z13179" t="str">
            <v>MOBILIARIO CLINICO</v>
          </cell>
        </row>
        <row r="13180">
          <cell r="Z13180" t="str">
            <v>MOBILIARIO CLINICO</v>
          </cell>
        </row>
        <row r="13181">
          <cell r="Z13181" t="str">
            <v>MOBILIARIO CLINICO</v>
          </cell>
        </row>
        <row r="13182">
          <cell r="Z13182" t="str">
            <v>MOBILIARIO CLINICO</v>
          </cell>
        </row>
        <row r="13183">
          <cell r="Z13183" t="str">
            <v>MOBILIARIO CLINICO</v>
          </cell>
        </row>
        <row r="13184">
          <cell r="Z13184" t="str">
            <v>MOBILIARIO CLINICO</v>
          </cell>
        </row>
        <row r="13185">
          <cell r="Z13185" t="str">
            <v>MOBILIARIO CLINICO</v>
          </cell>
        </row>
        <row r="13186">
          <cell r="Z13186" t="str">
            <v>MOBILIARIO CLINICO</v>
          </cell>
        </row>
        <row r="13187">
          <cell r="Z13187" t="str">
            <v>MOBILIARIO CLINICO</v>
          </cell>
        </row>
        <row r="13188">
          <cell r="Z13188" t="str">
            <v>MOBILIARIO CLINICO</v>
          </cell>
        </row>
        <row r="13189">
          <cell r="Z13189" t="str">
            <v>MOBILIARIO CLINICO</v>
          </cell>
        </row>
        <row r="13190">
          <cell r="Z13190" t="str">
            <v>MOBILIARIO CLINICO</v>
          </cell>
        </row>
        <row r="13191">
          <cell r="Z13191" t="str">
            <v>MOBILIARIO CLINICO</v>
          </cell>
        </row>
        <row r="13192">
          <cell r="Z13192" t="str">
            <v>MOBILIARIO CLINICO</v>
          </cell>
        </row>
        <row r="13193">
          <cell r="Z13193" t="str">
            <v>MOBILIARIO CLINICO</v>
          </cell>
        </row>
        <row r="13194">
          <cell r="Z13194" t="str">
            <v>MOBILIARIO CLINICO</v>
          </cell>
        </row>
        <row r="13195">
          <cell r="Z13195" t="str">
            <v>MOBILIARIO CLINICO</v>
          </cell>
        </row>
        <row r="13196">
          <cell r="Z13196" t="str">
            <v>MOBILIARIO CLINICO</v>
          </cell>
        </row>
        <row r="13197">
          <cell r="Z13197" t="str">
            <v>MOBILIARIO CLINICO</v>
          </cell>
        </row>
        <row r="13198">
          <cell r="Z13198" t="str">
            <v>MOBILIARIO CLINICO</v>
          </cell>
        </row>
        <row r="13199">
          <cell r="Z13199" t="str">
            <v>MOBILIARIO CLINICO</v>
          </cell>
        </row>
        <row r="13200">
          <cell r="Z13200" t="str">
            <v>MOBILIARIO CLINICO</v>
          </cell>
        </row>
        <row r="13201">
          <cell r="Z13201" t="str">
            <v>MOBILIARIO CLINICO</v>
          </cell>
        </row>
        <row r="13202">
          <cell r="Z13202" t="str">
            <v>MOBILIARIO CLINICO</v>
          </cell>
        </row>
        <row r="13203">
          <cell r="Z13203" t="str">
            <v>MOBILIARIO CLINICO</v>
          </cell>
        </row>
        <row r="13204">
          <cell r="Z13204" t="str">
            <v>MOBILIARIO CLINICO</v>
          </cell>
        </row>
        <row r="13205">
          <cell r="Z13205" t="str">
            <v>MOBILIARIO CLINICO</v>
          </cell>
        </row>
        <row r="13206">
          <cell r="Z13206" t="str">
            <v>MOBILIARIO CLINICO</v>
          </cell>
        </row>
        <row r="13207">
          <cell r="Z13207" t="str">
            <v>MOBILIARIO CLINICO</v>
          </cell>
        </row>
        <row r="13208">
          <cell r="Z13208" t="str">
            <v>MOBILIARIO CLINICO</v>
          </cell>
        </row>
        <row r="13209">
          <cell r="Z13209" t="str">
            <v>MOBILIARIO CLINICO</v>
          </cell>
        </row>
        <row r="13210">
          <cell r="Z13210" t="str">
            <v>MOBILIARIO CLINICO</v>
          </cell>
        </row>
        <row r="13211">
          <cell r="Z13211" t="str">
            <v>MOBILIARIO CLINICO</v>
          </cell>
        </row>
        <row r="13212">
          <cell r="Z13212" t="str">
            <v>MOBILIARIO CLINICO</v>
          </cell>
        </row>
        <row r="13213">
          <cell r="Z13213" t="str">
            <v>MOBILIARIO CLINICO</v>
          </cell>
        </row>
        <row r="13214">
          <cell r="Z13214" t="str">
            <v>MOBILIARIO CLINICO</v>
          </cell>
        </row>
        <row r="13215">
          <cell r="Z13215" t="str">
            <v>MOBILIARIO CLINICO</v>
          </cell>
        </row>
        <row r="13216">
          <cell r="Z13216" t="str">
            <v>MOBILIARIO CLINICO</v>
          </cell>
        </row>
        <row r="13217">
          <cell r="Z13217" t="str">
            <v>MOBILIARIO CLINICO</v>
          </cell>
        </row>
        <row r="13218">
          <cell r="Z13218" t="str">
            <v>MOBILIARIO CLINICO</v>
          </cell>
        </row>
        <row r="13219">
          <cell r="Z13219" t="str">
            <v>MOBILIARIO CLINICO</v>
          </cell>
        </row>
        <row r="13220">
          <cell r="Z13220" t="str">
            <v>MOBILIARIO CLINICO</v>
          </cell>
        </row>
        <row r="13221">
          <cell r="Z13221" t="str">
            <v>MOBILIARIO CLINICO</v>
          </cell>
        </row>
        <row r="13222">
          <cell r="Z13222" t="str">
            <v>MOBILIARIO CLINICO</v>
          </cell>
        </row>
        <row r="13223">
          <cell r="Z13223" t="str">
            <v>MOBILIARIO CLINICO</v>
          </cell>
        </row>
        <row r="13224">
          <cell r="Z13224" t="str">
            <v>MOBILIARIO CLINICO</v>
          </cell>
        </row>
        <row r="13225">
          <cell r="Z13225" t="str">
            <v>MOBILIARIO CLINICO</v>
          </cell>
        </row>
        <row r="13226">
          <cell r="Z13226" t="str">
            <v>MOBILIARIO CLINICO</v>
          </cell>
        </row>
        <row r="13227">
          <cell r="Z13227" t="str">
            <v>MOBILIARIO CLINICO</v>
          </cell>
        </row>
        <row r="13228">
          <cell r="Z13228" t="str">
            <v>MOBILIARIO CLINICO</v>
          </cell>
        </row>
        <row r="13229">
          <cell r="Z13229" t="str">
            <v>MOBILIARIO CLINICO</v>
          </cell>
        </row>
        <row r="13230">
          <cell r="Z13230" t="str">
            <v>MOBILIARIO CLINICO</v>
          </cell>
        </row>
        <row r="13231">
          <cell r="Z13231" t="str">
            <v>MOBILIARIO CLINICO</v>
          </cell>
        </row>
        <row r="13232">
          <cell r="Z13232" t="str">
            <v>MOBILIARIO CLINICO</v>
          </cell>
        </row>
        <row r="13233">
          <cell r="Z13233" t="str">
            <v>MOBILIARIO CLINICO</v>
          </cell>
        </row>
        <row r="13234">
          <cell r="Z13234" t="str">
            <v>MOBILIARIO CLINICO</v>
          </cell>
        </row>
        <row r="13235">
          <cell r="Z13235" t="str">
            <v>MOBILIARIO CLINICO</v>
          </cell>
        </row>
        <row r="13236">
          <cell r="Z13236" t="str">
            <v>MOBILIARIO CLINICO</v>
          </cell>
        </row>
        <row r="13237">
          <cell r="Z13237" t="str">
            <v>MOBILIARIO CLINICO</v>
          </cell>
        </row>
        <row r="13238">
          <cell r="Z13238" t="str">
            <v>MOBILIARIO CLINICO</v>
          </cell>
        </row>
        <row r="13239">
          <cell r="Z13239" t="str">
            <v>MOBILIARIO CLINICO</v>
          </cell>
          <cell r="AA13239" t="str">
            <v>IMPORTADORA, COMERCIALIZADORA Y DA</v>
          </cell>
        </row>
        <row r="13240">
          <cell r="Z13240" t="str">
            <v>MOBILIARIO CLINICO</v>
          </cell>
          <cell r="AA13240" t="str">
            <v>IMPORTADORA, COMERCIALIZADORA Y DA</v>
          </cell>
        </row>
        <row r="13241">
          <cell r="Z13241" t="str">
            <v>MOBILIARIO CLINICO</v>
          </cell>
          <cell r="AA13241" t="str">
            <v>IMPORTADORA, COMERCIALIZADORA Y DA</v>
          </cell>
        </row>
        <row r="13242">
          <cell r="Z13242" t="str">
            <v>MOBILIARIO CLINICO</v>
          </cell>
          <cell r="AA13242" t="str">
            <v>IMPORTADORA, COMERCIALIZADORA Y DA</v>
          </cell>
        </row>
        <row r="13243">
          <cell r="Z13243" t="str">
            <v>MOBILIARIO CLINICO</v>
          </cell>
          <cell r="AA13243" t="str">
            <v>IMPORTADORA, COMERCIALIZADORA Y DA</v>
          </cell>
        </row>
        <row r="13244">
          <cell r="Z13244" t="str">
            <v>MOBILIARIO CLINICO</v>
          </cell>
          <cell r="AA13244" t="str">
            <v>IMPORTADORA, COMERCIALIZADORA Y DA</v>
          </cell>
        </row>
        <row r="13245">
          <cell r="Z13245" t="str">
            <v>MOBILIARIO CLINICO</v>
          </cell>
          <cell r="AA13245" t="str">
            <v>IMPORTADORA, COMERCIALIZADORA Y DA</v>
          </cell>
        </row>
        <row r="13246">
          <cell r="Z13246" t="str">
            <v>MOBILIARIO CLINICO</v>
          </cell>
          <cell r="AA13246" t="str">
            <v>IMPORTADORA, COMERCIALIZADORA Y DA</v>
          </cell>
        </row>
        <row r="13247">
          <cell r="Z13247" t="str">
            <v>MOBILIARIO CLINICO</v>
          </cell>
          <cell r="AA13247" t="str">
            <v>IMPORTADORA, COMERCIALIZADORA Y DA</v>
          </cell>
        </row>
        <row r="13248">
          <cell r="Z13248" t="str">
            <v>MOBILIARIO CLINICO</v>
          </cell>
          <cell r="AA13248" t="str">
            <v>IMPORTADORA, COMERCIALIZADORA Y DA</v>
          </cell>
        </row>
        <row r="13249">
          <cell r="Z13249" t="str">
            <v>MOBILIARIO CLINICO</v>
          </cell>
          <cell r="AA13249" t="str">
            <v>IMPORTADORA, COMERCIALIZADORA Y DA</v>
          </cell>
        </row>
        <row r="13250">
          <cell r="Z13250" t="str">
            <v>MOBILIARIO CLINICO</v>
          </cell>
          <cell r="AA13250" t="str">
            <v>IMPORTADORA, COMERCIALIZADORA Y DA</v>
          </cell>
        </row>
        <row r="13251">
          <cell r="Z13251" t="str">
            <v>MOBILIARIO CLINICO</v>
          </cell>
          <cell r="AA13251" t="str">
            <v>IMPORTADORA, COMERCIALIZADORA Y DA</v>
          </cell>
        </row>
        <row r="13252">
          <cell r="Z13252" t="str">
            <v>MOBILIARIO CLINICO</v>
          </cell>
          <cell r="AA13252" t="str">
            <v>IMPORTADORA, COMERCIALIZADORA Y DA</v>
          </cell>
        </row>
        <row r="13253">
          <cell r="Z13253" t="str">
            <v>MOBILIARIO CLINICO</v>
          </cell>
          <cell r="AA13253" t="str">
            <v>IMPORTADORA, COMERCIALIZADORA Y DA</v>
          </cell>
        </row>
        <row r="13254">
          <cell r="Z13254" t="str">
            <v>MOBILIARIO CLINICO</v>
          </cell>
          <cell r="AA13254" t="str">
            <v>IMPORTADORA, COMERCIALIZADORA Y DA</v>
          </cell>
        </row>
        <row r="13255">
          <cell r="Z13255" t="str">
            <v>MOBILIARIO CLINICO</v>
          </cell>
          <cell r="AA13255" t="str">
            <v>IMPORTADORA, COMERCIALIZADORA Y DA</v>
          </cell>
        </row>
        <row r="13256">
          <cell r="Z13256" t="str">
            <v>MOBILIARIO CLINICO</v>
          </cell>
          <cell r="AA13256" t="str">
            <v>IMPORTADORA, COMERCIALIZADORA Y DA</v>
          </cell>
        </row>
        <row r="13257">
          <cell r="Z13257" t="str">
            <v>MOBILIARIO CLINICO</v>
          </cell>
          <cell r="AA13257" t="str">
            <v>IMPORTADORA, COMERCIALIZADORA Y DA</v>
          </cell>
        </row>
        <row r="13258">
          <cell r="Z13258" t="str">
            <v>MOBILIARIO CLINICO</v>
          </cell>
          <cell r="AA13258" t="str">
            <v>IMPORTADORA, COMERCIALIZADORA Y DA</v>
          </cell>
        </row>
        <row r="13259">
          <cell r="Z13259" t="str">
            <v>MOBILIARIO CLINICO</v>
          </cell>
          <cell r="AA13259" t="str">
            <v>IMPORTADORA, COMERCIALIZADORA Y DA</v>
          </cell>
        </row>
        <row r="13260">
          <cell r="Z13260" t="str">
            <v>MOBILIARIO CLINICO</v>
          </cell>
          <cell r="AA13260" t="str">
            <v>PONTIFICIA UNIVERSIDAD CATOLICA DE CHILE</v>
          </cell>
        </row>
        <row r="13261">
          <cell r="Z13261" t="str">
            <v>MOBILIARIO CLINICO</v>
          </cell>
          <cell r="AA13261" t="str">
            <v>PONTIFICIA UNIVERSIDAD CATOLICA DE CHILE</v>
          </cell>
        </row>
        <row r="13262">
          <cell r="Z13262" t="str">
            <v>MOBILIARIO CLINICO</v>
          </cell>
          <cell r="AA13262" t="str">
            <v>HOSPITAL DE LA FLORIDA</v>
          </cell>
        </row>
        <row r="13263">
          <cell r="Z13263" t="str">
            <v>MOBILIARIO CLINICO</v>
          </cell>
          <cell r="AA13263" t="str">
            <v>HOSPITAL ROBERTO DEL RIO</v>
          </cell>
        </row>
        <row r="13264">
          <cell r="Z13264" t="str">
            <v>MOBILIARIO CLINICO</v>
          </cell>
          <cell r="AA13264" t="str">
            <v>HOSPITAL ROBERTO DEL RIO</v>
          </cell>
        </row>
        <row r="13265">
          <cell r="Z13265" t="str">
            <v>MOBILIARIO CLINICO</v>
          </cell>
          <cell r="AA13265" t="str">
            <v>HOSPITAL ROBERTO DEL RIO</v>
          </cell>
        </row>
        <row r="13266">
          <cell r="Z13266" t="str">
            <v>MOBILIARIO CLINICO</v>
          </cell>
          <cell r="AA13266" t="str">
            <v>HOSPITAL ROBERTO DEL RIO</v>
          </cell>
        </row>
        <row r="13267">
          <cell r="Z13267" t="str">
            <v>MOBILIARIO CLINICO</v>
          </cell>
          <cell r="AA13267" t="str">
            <v>HOSPITAL ROBERTO DEL RIO</v>
          </cell>
        </row>
        <row r="13268">
          <cell r="Z13268" t="str">
            <v>MOBILIARIO CLINICO</v>
          </cell>
          <cell r="AA13268" t="str">
            <v>HOSPITAL ROBERTO DEL RIO</v>
          </cell>
        </row>
        <row r="13269">
          <cell r="Z13269" t="str">
            <v>MOBILIARIO CLINICO</v>
          </cell>
          <cell r="AA13269" t="str">
            <v>HOSPITAL ROBERTO DEL RIO</v>
          </cell>
        </row>
        <row r="13270">
          <cell r="Z13270" t="str">
            <v>MOBILIARIO CLINICO</v>
          </cell>
          <cell r="AA13270" t="str">
            <v>HOSPITAL ROBERTO DEL RIO</v>
          </cell>
        </row>
        <row r="13271">
          <cell r="Z13271" t="str">
            <v>MOBILIARIO CLINICO</v>
          </cell>
          <cell r="AA13271" t="str">
            <v>HOSPITAL ROBERTO DEL RIO</v>
          </cell>
        </row>
        <row r="13272">
          <cell r="Z13272" t="str">
            <v>MOBILIARIO CLINICO</v>
          </cell>
          <cell r="AA13272" t="str">
            <v>HOSPITAL ROBERTO DEL RIO</v>
          </cell>
        </row>
        <row r="13273">
          <cell r="Z13273" t="str">
            <v>MOBILIARIO CLINICO</v>
          </cell>
          <cell r="AA13273" t="str">
            <v>HOSPITAL ROBERTO DEL RIO</v>
          </cell>
        </row>
        <row r="13274">
          <cell r="Z13274" t="str">
            <v>MOBILIARIO CLINICO</v>
          </cell>
          <cell r="AA13274" t="str">
            <v>HOSPITAL ROBERTO DEL RIO</v>
          </cell>
        </row>
        <row r="13275">
          <cell r="Z13275" t="str">
            <v>MOBILIARIO CLINICO</v>
          </cell>
          <cell r="AA13275" t="str">
            <v>HOSPITAL ROBERTO DEL RIO</v>
          </cell>
        </row>
        <row r="13276">
          <cell r="Z13276" t="str">
            <v>MOBILIARIO CLINICO</v>
          </cell>
          <cell r="AA13276" t="str">
            <v>HOSPITAL ROBERTO DEL RIO</v>
          </cell>
        </row>
        <row r="13277">
          <cell r="Z13277" t="str">
            <v>MOBILIARIO CLINICO</v>
          </cell>
        </row>
        <row r="13278">
          <cell r="Z13278" t="str">
            <v>MOBILIARIO CLINICO</v>
          </cell>
        </row>
        <row r="13279">
          <cell r="Z13279" t="str">
            <v>MOBILIARIO CLINICO</v>
          </cell>
        </row>
        <row r="13280">
          <cell r="Z13280" t="str">
            <v>MOBILIARIO CLINICO</v>
          </cell>
        </row>
        <row r="13281">
          <cell r="Z13281" t="str">
            <v>MOBILIARIO CLINICO</v>
          </cell>
        </row>
        <row r="13282">
          <cell r="Z13282" t="str">
            <v>MOBILIARIO CLINICO</v>
          </cell>
        </row>
        <row r="13283">
          <cell r="Z13283" t="str">
            <v>MOBILIARIO CLINICO</v>
          </cell>
        </row>
        <row r="13284">
          <cell r="Z13284" t="str">
            <v>MOBILIARIO CLINICO</v>
          </cell>
        </row>
        <row r="13285">
          <cell r="Z13285" t="str">
            <v>MOBILIARIO CLINICO</v>
          </cell>
        </row>
        <row r="13286">
          <cell r="Z13286" t="str">
            <v>MOBILIARIO CLINICO</v>
          </cell>
        </row>
        <row r="13287">
          <cell r="Z13287" t="str">
            <v>MOBILIARIO CLINICO</v>
          </cell>
        </row>
        <row r="13288">
          <cell r="Z13288" t="str">
            <v>MOBILIARIO CLINICO</v>
          </cell>
        </row>
        <row r="13289">
          <cell r="Z13289" t="str">
            <v>MOBILIARIO CLINICO</v>
          </cell>
        </row>
        <row r="13290">
          <cell r="Z13290" t="str">
            <v>MOBILIARIO CLINICO</v>
          </cell>
        </row>
        <row r="13291">
          <cell r="Z13291" t="str">
            <v>MOBILIARIO CLINICO</v>
          </cell>
        </row>
        <row r="13292">
          <cell r="Z13292" t="str">
            <v>MOBILIARIO CLINICO</v>
          </cell>
          <cell r="AA13292" t="str">
            <v>PONTIFICIA UNIVERSIDAD CATOLICA DE CHILE</v>
          </cell>
        </row>
        <row r="13293">
          <cell r="Z13293" t="str">
            <v>MOBILIARIO CLINICO</v>
          </cell>
          <cell r="AA13293" t="str">
            <v>PONTIFICIA UNIVERSIDAD CATOLICA DE CHILE</v>
          </cell>
        </row>
        <row r="13294">
          <cell r="Z13294" t="str">
            <v>MOBILIARIO CLINICO</v>
          </cell>
          <cell r="AA13294" t="str">
            <v>PONTIFICIA UNIVERSIDAD CATOLICA DE CHILE</v>
          </cell>
        </row>
        <row r="13295">
          <cell r="Z13295" t="str">
            <v>MOBILIARIO CLINICO</v>
          </cell>
          <cell r="AA13295" t="str">
            <v>PONTIFICIA UNIVERSIDAD CATOLICA DE CHILE</v>
          </cell>
        </row>
        <row r="13296">
          <cell r="Z13296" t="str">
            <v>MOBILIARIO CLINICO</v>
          </cell>
          <cell r="AA13296" t="str">
            <v>PONTIFICIA UNIVERSIDAD CATOLICA DE CHILE</v>
          </cell>
        </row>
        <row r="13297">
          <cell r="Z13297" t="str">
            <v>MOBILIARIO CLINICO</v>
          </cell>
          <cell r="AA13297" t="str">
            <v>PONTIFICIA UNIVERSIDAD CATOLICA DE CHILE</v>
          </cell>
        </row>
        <row r="13298">
          <cell r="Z13298" t="str">
            <v>MOBILIARIO CLINICO</v>
          </cell>
          <cell r="AA13298" t="str">
            <v>PONTIFICIA UNIVERSIDAD CATOLICA DE CHILE</v>
          </cell>
        </row>
        <row r="13299">
          <cell r="Z13299" t="str">
            <v>MOBILIARIO CLINICO</v>
          </cell>
          <cell r="AA13299" t="str">
            <v>PONTIFICIA UNIVERSIDAD CATOLICA DE CHILE</v>
          </cell>
        </row>
        <row r="13300">
          <cell r="Z13300" t="str">
            <v>MOBILIARIO CLINICO</v>
          </cell>
          <cell r="AA13300" t="str">
            <v>PONTIFICIA UNIVERSIDAD CATOLICA DE CHILE</v>
          </cell>
        </row>
        <row r="13301">
          <cell r="Z13301" t="str">
            <v>MOBILIARIO CLINICO</v>
          </cell>
          <cell r="AA13301" t="str">
            <v>PONTIFICIA UNIVERSIDAD CATOLICA DE CHILE</v>
          </cell>
        </row>
        <row r="13302">
          <cell r="Z13302" t="str">
            <v>MOBILIARIO CLINICO</v>
          </cell>
          <cell r="AA13302" t="str">
            <v>PONTIFICIA UNIVERSIDAD CATOLICA DE CHILE</v>
          </cell>
        </row>
        <row r="13303">
          <cell r="Z13303" t="str">
            <v>MOBILIARIO CLINICO</v>
          </cell>
          <cell r="AA13303" t="str">
            <v>PONTIFICIA UNIVERSIDAD CATOLICA DE CHILE</v>
          </cell>
        </row>
        <row r="13304">
          <cell r="Z13304" t="str">
            <v>MOBILIARIO CLINICO</v>
          </cell>
          <cell r="AA13304" t="str">
            <v>PONTIFICIA UNIVERSIDAD CATOLICA DE CHILE</v>
          </cell>
        </row>
        <row r="13305">
          <cell r="Z13305" t="str">
            <v>MOBILIARIO CLINICO</v>
          </cell>
          <cell r="AA13305" t="str">
            <v>PONTIFICIA UNIVERSIDAD CATOLICA DE CHILE</v>
          </cell>
        </row>
        <row r="13306">
          <cell r="Z13306" t="str">
            <v>MOBILIARIO CLINICO</v>
          </cell>
          <cell r="AA13306" t="str">
            <v>PONTIFICIA UNIVERSIDAD CATOLICA DE CHILE</v>
          </cell>
        </row>
        <row r="13307">
          <cell r="Z13307" t="str">
            <v>MOBILIARIO CLINICO</v>
          </cell>
          <cell r="AA13307" t="str">
            <v>PONTIFICIA UNIVERSIDAD CATOLICA DE CHILE</v>
          </cell>
        </row>
        <row r="13308">
          <cell r="Z13308" t="str">
            <v>MOBILIARIO CLINICO</v>
          </cell>
          <cell r="AA13308" t="str">
            <v>PONTIFICIA UNIVERSIDAD CATOLICA DE CHILE</v>
          </cell>
        </row>
        <row r="13309">
          <cell r="Z13309" t="str">
            <v>MOBILIARIO CLINICO</v>
          </cell>
          <cell r="AA13309" t="str">
            <v>PONTIFICIA UNIVERSIDAD CATOLICA DE CHILE</v>
          </cell>
        </row>
        <row r="13310">
          <cell r="Z13310" t="str">
            <v>MOBILIARIO CLINICO</v>
          </cell>
          <cell r="AA13310" t="str">
            <v>PONTIFICIA UNIVERSIDAD CATOLICA DE CHILE</v>
          </cell>
        </row>
        <row r="13311">
          <cell r="Z13311" t="str">
            <v>MOBILIARIO CLINICO</v>
          </cell>
          <cell r="AA13311" t="str">
            <v>PONTIFICIA UNIVERSIDAD CATOLICA DE CHILE</v>
          </cell>
        </row>
        <row r="13312">
          <cell r="Z13312" t="str">
            <v>MOBILIARIO CLINICO</v>
          </cell>
          <cell r="AA13312" t="str">
            <v>PONTIFICIA UNIVERSIDAD CATOLICA DE CHILE</v>
          </cell>
        </row>
        <row r="13313">
          <cell r="Z13313" t="str">
            <v>MOBILIARIO CLINICO</v>
          </cell>
          <cell r="AA13313" t="str">
            <v>PONTIFICIA UNIVERSIDAD CATOLICA DE CHILE</v>
          </cell>
        </row>
        <row r="13314">
          <cell r="Z13314" t="str">
            <v>MOBILIARIO CLINICO</v>
          </cell>
          <cell r="AA13314" t="str">
            <v>PONTIFICIA UNIVERSIDAD CATOLICA DE CHILE</v>
          </cell>
        </row>
        <row r="13315">
          <cell r="Z13315" t="str">
            <v>MOBILIARIO CLINICO</v>
          </cell>
          <cell r="AA13315" t="str">
            <v>PONTIFICIA UNIVERSIDAD CATOLICA DE CHILE</v>
          </cell>
        </row>
        <row r="13316">
          <cell r="Z13316" t="str">
            <v>MOBILIARIO CLINICO</v>
          </cell>
          <cell r="AA13316" t="str">
            <v>PONTIFICIA UNIVERSIDAD CATOLICA DE CHILE</v>
          </cell>
        </row>
        <row r="13317">
          <cell r="Z13317" t="str">
            <v>MOBILIARIO CLINICO</v>
          </cell>
          <cell r="AA13317" t="str">
            <v>PONTIFICIA UNIVERSIDAD CATOLICA DE CHILE</v>
          </cell>
        </row>
        <row r="13318">
          <cell r="Z13318" t="str">
            <v>MOBILIARIO CLINICO</v>
          </cell>
          <cell r="AA13318" t="str">
            <v>PONTIFICIA UNIVERSIDAD CATOLICA DE CHILE</v>
          </cell>
        </row>
        <row r="13319">
          <cell r="Z13319" t="str">
            <v>MOBILIARIO CLINICO</v>
          </cell>
          <cell r="AA13319" t="str">
            <v>PONTIFICIA UNIVERSIDAD CATOLICA DE CHILE</v>
          </cell>
        </row>
        <row r="13320">
          <cell r="Z13320" t="str">
            <v>MOBILIARIO CLINICO</v>
          </cell>
          <cell r="AA13320" t="str">
            <v>PONTIFICIA UNIVERSIDAD CATOLICA DE CHILE</v>
          </cell>
        </row>
        <row r="13321">
          <cell r="Z13321" t="str">
            <v>MOBILIARIO CLINICO</v>
          </cell>
          <cell r="AA13321" t="str">
            <v>PONTIFICIA UNIVERSIDAD CATOLICA DE CHILE</v>
          </cell>
        </row>
        <row r="13322">
          <cell r="Z13322" t="str">
            <v>MOBILIARIO CLINICO</v>
          </cell>
          <cell r="AA13322" t="str">
            <v>PONTIFICIA UNIVERSIDAD CATOLICA DE CHILE</v>
          </cell>
        </row>
        <row r="13323">
          <cell r="Z13323" t="str">
            <v>MOBILIARIO CLINICO</v>
          </cell>
          <cell r="AA13323" t="str">
            <v>PONTIFICIA UNIVERSIDAD CATOLICA DE CHILE</v>
          </cell>
        </row>
        <row r="13324">
          <cell r="Z13324" t="str">
            <v>MOBILIARIO CLINICO</v>
          </cell>
          <cell r="AA13324" t="str">
            <v>PONTIFICIA UNIVERSIDAD CATOLICA DE CHILE</v>
          </cell>
        </row>
        <row r="13325">
          <cell r="Z13325" t="str">
            <v>MOBILIARIO CLINICO</v>
          </cell>
          <cell r="AA13325" t="str">
            <v>PONTIFICIA UNIVERSIDAD CATOLICA DE CHILE</v>
          </cell>
        </row>
        <row r="13326">
          <cell r="Z13326" t="str">
            <v>MOBILIARIO CLINICO</v>
          </cell>
          <cell r="AA13326" t="str">
            <v>PONTIFICIA UNIVERSIDAD CATOLICA DE CHILE</v>
          </cell>
        </row>
        <row r="13327">
          <cell r="Z13327" t="str">
            <v>MOBILIARIO CLINICO</v>
          </cell>
          <cell r="AA13327" t="str">
            <v>PONTIFICIA UNIVERSIDAD CATOLICA DE CHILE</v>
          </cell>
        </row>
        <row r="13328">
          <cell r="Z13328" t="str">
            <v>MOBILIARIO CLINICO</v>
          </cell>
          <cell r="AA13328" t="str">
            <v>PONTIFICIA UNIVERSIDAD CATOLICA DE CHILE</v>
          </cell>
        </row>
        <row r="13329">
          <cell r="Z13329" t="str">
            <v>MOBILIARIO CLINICO</v>
          </cell>
          <cell r="AA13329" t="str">
            <v>PONTIFICIA UNIVERSIDAD CATOLICA DE CHILE</v>
          </cell>
        </row>
        <row r="13330">
          <cell r="Z13330" t="str">
            <v>MOBILIARIO CLINICO</v>
          </cell>
          <cell r="AA13330" t="str">
            <v>PONTIFICIA UNIVERSIDAD CATOLICA DE CHILE</v>
          </cell>
        </row>
        <row r="13331">
          <cell r="Z13331" t="str">
            <v>MOBILIARIO CLINICO</v>
          </cell>
          <cell r="AA13331" t="str">
            <v>PONTIFICIA UNIVERSIDAD CATOLICA DE CHILE</v>
          </cell>
        </row>
        <row r="13332">
          <cell r="Z13332" t="str">
            <v>MOBILIARIO CLINICO</v>
          </cell>
          <cell r="AA13332" t="str">
            <v>PONTIFICIA UNIVERSIDAD CATOLICA DE CHILE</v>
          </cell>
        </row>
        <row r="13333">
          <cell r="Z13333" t="str">
            <v>MOBILIARIO CLINICO</v>
          </cell>
          <cell r="AA13333" t="str">
            <v>PONTIFICIA UNIVERSIDAD CATOLICA DE CHILE</v>
          </cell>
        </row>
        <row r="13334">
          <cell r="Z13334" t="str">
            <v>MOBILIARIO CLINICO</v>
          </cell>
          <cell r="AA13334" t="str">
            <v>PONTIFICIA UNIVERSIDAD CATOLICA DE CHILE</v>
          </cell>
        </row>
        <row r="13335">
          <cell r="Z13335" t="str">
            <v>MOBILIARIO CLINICO</v>
          </cell>
          <cell r="AA13335" t="str">
            <v>PONTIFICIA UNIVERSIDAD CATOLICA DE CHILE</v>
          </cell>
        </row>
        <row r="13336">
          <cell r="Z13336" t="str">
            <v>MOBILIARIO CLINICO</v>
          </cell>
          <cell r="AA13336" t="str">
            <v>PONTIFICIA UNIVERSIDAD CATOLICA DE CHILE</v>
          </cell>
        </row>
        <row r="13337">
          <cell r="Z13337" t="str">
            <v>MOBILIARIO CLINICO</v>
          </cell>
          <cell r="AA13337" t="str">
            <v>PONTIFICIA UNIVERSIDAD CATOLICA DE CHILE</v>
          </cell>
        </row>
        <row r="13338">
          <cell r="Z13338" t="str">
            <v>MOBILIARIO CLINICO</v>
          </cell>
          <cell r="AA13338" t="str">
            <v>PONTIFICIA UNIVERSIDAD CATOLICA DE CHILE</v>
          </cell>
        </row>
        <row r="13339">
          <cell r="Z13339" t="str">
            <v>MOBILIARIO CLINICO</v>
          </cell>
          <cell r="AA13339" t="str">
            <v>PONTIFICIA UNIVERSIDAD CATOLICA DE CHILE</v>
          </cell>
        </row>
        <row r="13340">
          <cell r="Z13340" t="str">
            <v>MOBILIARIO CLINICO</v>
          </cell>
          <cell r="AA13340" t="str">
            <v>PONTIFICIA UNIVERSIDAD CATOLICA DE CHILE</v>
          </cell>
        </row>
        <row r="13341">
          <cell r="Z13341" t="str">
            <v>MOBILIARIO CLINICO</v>
          </cell>
          <cell r="AA13341" t="str">
            <v>PONTIFICIA UNIVERSIDAD CATOLICA DE CHILE</v>
          </cell>
        </row>
        <row r="13342">
          <cell r="Z13342" t="str">
            <v>MOBILIARIO CLINICO</v>
          </cell>
          <cell r="AA13342" t="str">
            <v>PONTIFICIA UNIVERSIDAD CATOLICA DE CHILE</v>
          </cell>
        </row>
        <row r="13343">
          <cell r="Z13343" t="str">
            <v>MOBILIARIO CLINICO</v>
          </cell>
          <cell r="AA13343" t="str">
            <v>PONTIFICIA UNIVERSIDAD CATOLICA DE CHILE</v>
          </cell>
        </row>
        <row r="13344">
          <cell r="Z13344" t="str">
            <v>MOBILIARIO CLINICO</v>
          </cell>
          <cell r="AA13344" t="str">
            <v>PONTIFICIA UNIVERSIDAD CATOLICA DE CHILE</v>
          </cell>
        </row>
        <row r="13345">
          <cell r="Z13345" t="str">
            <v>MOBILIARIO CLINICO</v>
          </cell>
          <cell r="AA13345" t="str">
            <v>PONTIFICIA UNIVERSIDAD CATOLICA DE CHILE</v>
          </cell>
        </row>
        <row r="13346">
          <cell r="Z13346" t="str">
            <v>MOBILIARIO CLINICO</v>
          </cell>
          <cell r="AA13346" t="str">
            <v>PONTIFICIA UNIVERSIDAD CATOLICA DE CHILE</v>
          </cell>
        </row>
        <row r="13347">
          <cell r="Z13347" t="str">
            <v>MOBILIARIO CLINICO</v>
          </cell>
          <cell r="AA13347" t="str">
            <v>PONTIFICIA UNIVERSIDAD CATOLICA DE CHILE</v>
          </cell>
        </row>
        <row r="13348">
          <cell r="Z13348" t="str">
            <v>MOBILIARIO CLINICO</v>
          </cell>
          <cell r="AA13348" t="str">
            <v>PONTIFICIA UNIVERSIDAD CATOLICA DE CHILE</v>
          </cell>
        </row>
        <row r="13349">
          <cell r="Z13349" t="str">
            <v>MOBILIARIO CLINICO</v>
          </cell>
          <cell r="AA13349" t="str">
            <v>PONTIFICIA UNIVERSIDAD CATOLICA DE CHILE</v>
          </cell>
        </row>
        <row r="13350">
          <cell r="Z13350" t="str">
            <v>MOBILIARIO CLINICO</v>
          </cell>
          <cell r="AA13350" t="str">
            <v>PONTIFICIA UNIVERSIDAD CATOLICA DE CHILE</v>
          </cell>
        </row>
        <row r="13351">
          <cell r="Z13351" t="str">
            <v>MOBILIARIO CLINICO</v>
          </cell>
          <cell r="AA13351" t="str">
            <v>PONTIFICIA UNIVERSIDAD CATOLICA DE CHILE</v>
          </cell>
        </row>
        <row r="13352">
          <cell r="Z13352" t="str">
            <v>MOBILIARIO CLINICO</v>
          </cell>
          <cell r="AA13352" t="str">
            <v>PONTIFICIA UNIVERSIDAD CATOLICA DE CHILE</v>
          </cell>
        </row>
        <row r="13353">
          <cell r="Z13353" t="str">
            <v>MOBILIARIO CLINICO</v>
          </cell>
          <cell r="AA13353" t="str">
            <v>PONTIFICIA UNIVERSIDAD CATOLICA DE CHILE</v>
          </cell>
        </row>
        <row r="13354">
          <cell r="Z13354" t="str">
            <v>MOBILIARIO CLINICO</v>
          </cell>
          <cell r="AA13354" t="str">
            <v>PONTIFICIA UNIVERSIDAD CATOLICA DE CHILE</v>
          </cell>
        </row>
        <row r="13355">
          <cell r="Z13355" t="str">
            <v>MOBILIARIO CLINICO</v>
          </cell>
          <cell r="AA13355" t="str">
            <v>PONTIFICIA UNIVERSIDAD CATOLICA DE CHILE</v>
          </cell>
        </row>
        <row r="13356">
          <cell r="Z13356" t="str">
            <v>MOBILIARIO CLINICO</v>
          </cell>
          <cell r="AA13356" t="str">
            <v>PONTIFICIA UNIVERSIDAD CATOLICA DE CHILE</v>
          </cell>
        </row>
        <row r="13357">
          <cell r="Z13357" t="str">
            <v>MOBILIARIO CLINICO</v>
          </cell>
          <cell r="AA13357" t="str">
            <v>PONTIFICIA UNIVERSIDAD CATOLICA DE CHILE</v>
          </cell>
        </row>
        <row r="13358">
          <cell r="Z13358" t="str">
            <v>MOBILIARIO CLINICO</v>
          </cell>
          <cell r="AA13358" t="str">
            <v>PONTIFICIA UNIVERSIDAD CATOLICA DE CHILE</v>
          </cell>
        </row>
        <row r="13359">
          <cell r="Z13359" t="str">
            <v>MOBILIARIO CLINICO</v>
          </cell>
          <cell r="AA13359" t="str">
            <v>PONTIFICIA UNIVERSIDAD CATOLICA DE CHILE</v>
          </cell>
        </row>
        <row r="13360">
          <cell r="Z13360" t="str">
            <v>MOBILIARIO CLINICO</v>
          </cell>
          <cell r="AA13360" t="str">
            <v>PONTIFICIA UNIVERSIDAD CATOLICA DE CHILE</v>
          </cell>
        </row>
        <row r="13361">
          <cell r="Z13361" t="str">
            <v>MOBILIARIO CLINICO</v>
          </cell>
          <cell r="AA13361" t="str">
            <v>PONTIFICIA UNIVERSIDAD CATOLICA DE CHILE</v>
          </cell>
        </row>
        <row r="13362">
          <cell r="Z13362" t="str">
            <v>MOBILIARIO CLINICO</v>
          </cell>
          <cell r="AA13362" t="str">
            <v>PONTIFICIA UNIVERSIDAD CATOLICA DE CHILE</v>
          </cell>
        </row>
        <row r="13363">
          <cell r="Z13363" t="str">
            <v>MOBILIARIO CLINICO</v>
          </cell>
          <cell r="AA13363" t="str">
            <v>PONTIFICIA UNIVERSIDAD CATOLICA DE CHILE</v>
          </cell>
        </row>
        <row r="13364">
          <cell r="Z13364" t="str">
            <v>MOBILIARIO CLINICO</v>
          </cell>
          <cell r="AA13364" t="str">
            <v>PONTIFICIA UNIVERSIDAD CATOLICA DE CHILE</v>
          </cell>
        </row>
        <row r="13365">
          <cell r="Z13365" t="str">
            <v>MOBILIARIO CLINICO</v>
          </cell>
          <cell r="AA13365" t="str">
            <v>PONTIFICIA UNIVERSIDAD CATOLICA DE CHILE</v>
          </cell>
        </row>
        <row r="13366">
          <cell r="Z13366" t="str">
            <v>MOBILIARIO CLINICO</v>
          </cell>
          <cell r="AA13366" t="str">
            <v>PONTIFICIA UNIVERSIDAD CATOLICA DE CHILE</v>
          </cell>
        </row>
        <row r="13367">
          <cell r="Z13367" t="str">
            <v>MOBILIARIO CLINICO</v>
          </cell>
          <cell r="AA13367" t="str">
            <v>PONTIFICIA UNIVERSIDAD CATOLICA DE CHILE</v>
          </cell>
        </row>
        <row r="13368">
          <cell r="Z13368" t="str">
            <v>MOBILIARIO CLINICO</v>
          </cell>
          <cell r="AA13368" t="str">
            <v>PONTIFICIA UNIVERSIDAD CATOLICA DE CHILE</v>
          </cell>
        </row>
        <row r="13369">
          <cell r="Z13369" t="str">
            <v>MOBILIARIO CLINICO</v>
          </cell>
          <cell r="AA13369" t="str">
            <v>PONTIFICIA UNIVERSIDAD CATOLICA DE CHILE</v>
          </cell>
        </row>
        <row r="13370">
          <cell r="Z13370" t="str">
            <v>MOBILIARIO CLINICO</v>
          </cell>
          <cell r="AA13370" t="str">
            <v>PONTIFICIA UNIVERSIDAD CATOLICA DE CHILE</v>
          </cell>
        </row>
        <row r="13371">
          <cell r="Z13371" t="str">
            <v>MOBILIARIO CLINICO</v>
          </cell>
          <cell r="AA13371" t="str">
            <v>PONTIFICIA UNIVERSIDAD CATOLICA DE CHILE</v>
          </cell>
        </row>
        <row r="13372">
          <cell r="Z13372" t="str">
            <v>MOBILIARIO CLINICO</v>
          </cell>
          <cell r="AA13372" t="str">
            <v>PONTIFICIA UNIVERSIDAD CATOLICA DE CHILE</v>
          </cell>
        </row>
        <row r="13373">
          <cell r="Z13373" t="str">
            <v>MOBILIARIO CLINICO</v>
          </cell>
          <cell r="AA13373" t="str">
            <v>PONTIFICIA UNIVERSIDAD CATOLICA DE CHILE</v>
          </cell>
        </row>
        <row r="13374">
          <cell r="Z13374" t="str">
            <v>MOBILIARIO CLINICO</v>
          </cell>
          <cell r="AA13374" t="str">
            <v>PONTIFICIA UNIVERSIDAD CATOLICA DE CHILE</v>
          </cell>
        </row>
        <row r="13375">
          <cell r="Z13375" t="str">
            <v>MOBILIARIO CLINICO</v>
          </cell>
          <cell r="AA13375" t="str">
            <v>PONTIFICIA UNIVERSIDAD CATOLICA DE CHILE</v>
          </cell>
        </row>
        <row r="13376">
          <cell r="Z13376" t="str">
            <v>MOBILIARIO CLINICO</v>
          </cell>
          <cell r="AA13376" t="str">
            <v>PONTIFICIA UNIVERSIDAD CATOLICA DE CHILE</v>
          </cell>
        </row>
        <row r="13377">
          <cell r="Z13377" t="str">
            <v>MOBILIARIO CLINICO</v>
          </cell>
          <cell r="AA13377" t="str">
            <v>PONTIFICIA UNIVERSIDAD CATOLICA DE CHILE</v>
          </cell>
        </row>
        <row r="13378">
          <cell r="Z13378" t="str">
            <v>MOBILIARIO CLINICO</v>
          </cell>
          <cell r="AA13378" t="str">
            <v>PONTIFICIA UNIVERSIDAD CATOLICA DE CHILE</v>
          </cell>
        </row>
        <row r="13379">
          <cell r="Z13379" t="str">
            <v>MOBILIARIO CLINICO</v>
          </cell>
        </row>
        <row r="13380">
          <cell r="Z13380" t="str">
            <v>MOBILIARIO CLINICO</v>
          </cell>
        </row>
        <row r="13381">
          <cell r="Z13381" t="str">
            <v>MOBILIARIO CLINICO</v>
          </cell>
          <cell r="AA13381" t="str">
            <v>HOSPITAL DR. LUIS TISNE B.</v>
          </cell>
        </row>
        <row r="13382">
          <cell r="Z13382" t="str">
            <v>MOBILIARIO CLINICO</v>
          </cell>
          <cell r="AA13382" t="str">
            <v>HOSPITAL DR. LUIS TISNE B.</v>
          </cell>
        </row>
        <row r="13383">
          <cell r="Z13383" t="str">
            <v>MOBILIARIO CLINICO</v>
          </cell>
          <cell r="AA13383" t="str">
            <v>HOSPITAL DR. LUIS TISNE B.</v>
          </cell>
        </row>
        <row r="13384">
          <cell r="Z13384" t="str">
            <v>MOBILIARIO CLINICO</v>
          </cell>
          <cell r="AA13384" t="str">
            <v>HOSPITAL DR. LUIS TISNE B.</v>
          </cell>
        </row>
        <row r="13385">
          <cell r="Z13385" t="str">
            <v>MOBILIARIO CLINICO</v>
          </cell>
          <cell r="AA13385" t="str">
            <v>HOSPITAL DR. LUIS TISNE B.</v>
          </cell>
        </row>
        <row r="13386">
          <cell r="Z13386" t="str">
            <v>MOBILIARIO CLINICO</v>
          </cell>
          <cell r="AA13386" t="str">
            <v>HOSPITAL DR. LUIS TISNE B.</v>
          </cell>
        </row>
        <row r="13387">
          <cell r="Z13387" t="str">
            <v>MOBILIARIO CLINICO</v>
          </cell>
          <cell r="AA13387" t="str">
            <v>HOSPITAL DR. LUIS TISNE B.</v>
          </cell>
        </row>
        <row r="13388">
          <cell r="Z13388" t="str">
            <v>MOBILIARIO CLINICO</v>
          </cell>
          <cell r="AA13388" t="str">
            <v>HOSPITAL DR. LUIS TISNE B.</v>
          </cell>
        </row>
        <row r="13389">
          <cell r="Z13389" t="str">
            <v>MOBILIARIO CLINICO</v>
          </cell>
          <cell r="AA13389" t="str">
            <v>HOSPITAL DR. LUIS TISNE B.</v>
          </cell>
        </row>
        <row r="13390">
          <cell r="Z13390" t="str">
            <v>MOBILIARIO CLINICO</v>
          </cell>
          <cell r="AA13390" t="str">
            <v>HOSPITAL DR. LUIS TISNE B.</v>
          </cell>
        </row>
        <row r="13391">
          <cell r="Z13391" t="str">
            <v>MOBILIARIO CLINICO</v>
          </cell>
          <cell r="AA13391" t="str">
            <v>HOSPITAL DR. LUIS TISNE B.</v>
          </cell>
        </row>
        <row r="13392">
          <cell r="Z13392" t="str">
            <v>MOBILIARIO CLINICO</v>
          </cell>
          <cell r="AA13392" t="str">
            <v>HOSPITAL DR. LUIS TISNE B.</v>
          </cell>
        </row>
        <row r="13393">
          <cell r="Z13393" t="str">
            <v>MOBILIARIO CLINICO</v>
          </cell>
          <cell r="AA13393" t="str">
            <v>HOSPITAL DR. LUIS TISNE B.</v>
          </cell>
        </row>
        <row r="13394">
          <cell r="Z13394" t="str">
            <v>MOBILIARIO CLINICO</v>
          </cell>
          <cell r="AA13394" t="str">
            <v>HOSPITAL DR. LUIS TISNE B.</v>
          </cell>
        </row>
        <row r="13395">
          <cell r="Z13395" t="str">
            <v>MOBILIARIO CLINICO</v>
          </cell>
          <cell r="AA13395" t="str">
            <v>HOSPITAL DR. LUIS TISNE B.</v>
          </cell>
        </row>
        <row r="13396">
          <cell r="Z13396" t="str">
            <v>MOBILIARIO CLINICO</v>
          </cell>
          <cell r="AA13396" t="str">
            <v>HOSPITAL DR. LUIS TISNE B.</v>
          </cell>
        </row>
        <row r="13397">
          <cell r="Z13397" t="str">
            <v>MOBILIARIO CLINICO</v>
          </cell>
          <cell r="AA13397" t="str">
            <v>HOSPITAL DR. LUIS TISNE B.</v>
          </cell>
        </row>
        <row r="13398">
          <cell r="Z13398" t="str">
            <v>MOBILIARIO CLINICO</v>
          </cell>
          <cell r="AA13398" t="str">
            <v>HOSPITAL DR. LUIS TISNE B.</v>
          </cell>
        </row>
        <row r="13399">
          <cell r="Z13399" t="str">
            <v>MOBILIARIO CLINICO</v>
          </cell>
          <cell r="AA13399" t="str">
            <v>HOSPITAL DR. LUIS TISNE B.</v>
          </cell>
        </row>
        <row r="13400">
          <cell r="Z13400" t="str">
            <v>MOBILIARIO CLINICO</v>
          </cell>
          <cell r="AA13400" t="str">
            <v>HOSPITAL DR. LUIS TISNE B.</v>
          </cell>
        </row>
        <row r="13401">
          <cell r="Z13401" t="str">
            <v>MOBILIARIO CLINICO</v>
          </cell>
          <cell r="AA13401" t="str">
            <v>HOSPITAL DR. LUIS TISNE B.</v>
          </cell>
        </row>
        <row r="13402">
          <cell r="Z13402" t="str">
            <v>MOBILIARIO CLINICO</v>
          </cell>
          <cell r="AA13402" t="str">
            <v>HOSPITAL DR. LUIS TISNE B.</v>
          </cell>
        </row>
        <row r="13403">
          <cell r="Z13403" t="str">
            <v>MOBILIARIO CLINICO</v>
          </cell>
          <cell r="AA13403" t="str">
            <v>HOSPITAL DR. LUIS TISNE B.</v>
          </cell>
        </row>
        <row r="13404">
          <cell r="Z13404" t="str">
            <v>MOBILIARIO CLINICO</v>
          </cell>
          <cell r="AA13404" t="str">
            <v>HOSPITAL DR. LUIS TISNE B.</v>
          </cell>
        </row>
        <row r="13405">
          <cell r="Z13405" t="str">
            <v>MOBILIARIO CLINICO</v>
          </cell>
          <cell r="AA13405" t="str">
            <v>HOSPITAL DR. LUIS TISNE B.</v>
          </cell>
        </row>
        <row r="13406">
          <cell r="Z13406" t="str">
            <v>MOBILIARIO CLINICO</v>
          </cell>
          <cell r="AA13406" t="str">
            <v>HOSPITAL DR. LUIS TISNE B.</v>
          </cell>
        </row>
        <row r="13407">
          <cell r="Z13407" t="str">
            <v>MOBILIARIO CLINICO</v>
          </cell>
          <cell r="AA13407" t="str">
            <v>HOSPITAL DR. LUIS TISNE B.</v>
          </cell>
        </row>
        <row r="13408">
          <cell r="Z13408" t="str">
            <v>MOBILIARIO CLINICO</v>
          </cell>
          <cell r="AA13408" t="str">
            <v>HOSPITAL DR. LUIS TISNE B.</v>
          </cell>
        </row>
        <row r="13409">
          <cell r="Z13409" t="str">
            <v>MOBILIARIO CLINICO</v>
          </cell>
          <cell r="AA13409" t="str">
            <v>HOSPITAL DR. LUIS TISNE B.</v>
          </cell>
        </row>
        <row r="13410">
          <cell r="Z13410" t="str">
            <v>MOBILIARIO CLINICO</v>
          </cell>
          <cell r="AA13410" t="str">
            <v>HOSPITAL DR. LUIS TISNE B.</v>
          </cell>
        </row>
        <row r="13411">
          <cell r="Z13411" t="str">
            <v>MOBILIARIO CLINICO</v>
          </cell>
          <cell r="AA13411" t="str">
            <v>HOSPITAL DR. LUIS TISNE B.</v>
          </cell>
        </row>
        <row r="13412">
          <cell r="Z13412" t="str">
            <v>MOBILIARIO CLINICO</v>
          </cell>
          <cell r="AA13412" t="str">
            <v>HOSPITAL DR. LUIS TISNE B.</v>
          </cell>
        </row>
        <row r="13413">
          <cell r="Z13413" t="str">
            <v>MOBILIARIO CLINICO</v>
          </cell>
          <cell r="AA13413" t="str">
            <v>HOSPITAL DR. LUIS TISNE B.</v>
          </cell>
        </row>
        <row r="13414">
          <cell r="Z13414" t="str">
            <v>MOBILIARIO CLINICO</v>
          </cell>
          <cell r="AA13414" t="str">
            <v>HOSPITAL DR. LUIS TISNE B.</v>
          </cell>
        </row>
        <row r="13415">
          <cell r="Z13415" t="str">
            <v>MOBILIARIO CLINICO</v>
          </cell>
          <cell r="AA13415" t="str">
            <v>HOSPITAL DR. LUIS TISNE B.</v>
          </cell>
        </row>
        <row r="13416">
          <cell r="Z13416" t="str">
            <v>MOBILIARIO CLINICO</v>
          </cell>
          <cell r="AA13416" t="str">
            <v>HOSPITAL DR. LUIS TISNE B.</v>
          </cell>
        </row>
        <row r="13417">
          <cell r="Z13417" t="str">
            <v>MOBILIARIO CLINICO</v>
          </cell>
          <cell r="AA13417" t="str">
            <v>HOSPITAL DR. LUIS TISNE B.</v>
          </cell>
        </row>
        <row r="13418">
          <cell r="Z13418" t="str">
            <v>MOBILIARIO CLINICO</v>
          </cell>
          <cell r="AA13418" t="str">
            <v>HOSPITAL DR. LUIS TISNE B.</v>
          </cell>
        </row>
        <row r="13419">
          <cell r="Z13419" t="str">
            <v>MOBILIARIO CLINICO</v>
          </cell>
          <cell r="AA13419" t="str">
            <v>HOSPITAL DR. LUIS TISNE B.</v>
          </cell>
        </row>
        <row r="13420">
          <cell r="Z13420" t="str">
            <v>MOBILIARIO CLINICO</v>
          </cell>
          <cell r="AA13420" t="str">
            <v>HOSPITAL DR. LUIS TISNE B.</v>
          </cell>
        </row>
        <row r="13421">
          <cell r="Z13421" t="str">
            <v>MOBILIARIO CLINICO</v>
          </cell>
          <cell r="AA13421" t="str">
            <v>HOSPITAL DR. LUIS TISNE B.</v>
          </cell>
        </row>
        <row r="13422">
          <cell r="Z13422" t="str">
            <v>MOBILIARIO CLINICO</v>
          </cell>
          <cell r="AA13422" t="str">
            <v>GEMCO GENERAL MACHINERY S.A.</v>
          </cell>
        </row>
        <row r="13423">
          <cell r="Z13423" t="str">
            <v>MOBILIARIO CLINICO</v>
          </cell>
          <cell r="AA13423" t="str">
            <v>GEMCO GENERAL MACHINERY S.A.</v>
          </cell>
        </row>
        <row r="13424">
          <cell r="Z13424" t="str">
            <v>DENTAL</v>
          </cell>
          <cell r="AA13424" t="str">
            <v>GEMCO GENERAL MACHINERY S.A.</v>
          </cell>
        </row>
        <row r="13425">
          <cell r="Z13425" t="str">
            <v>DENTAL</v>
          </cell>
          <cell r="AA13425" t="str">
            <v>GEMCO GENERAL MACHINERY S.A.</v>
          </cell>
        </row>
        <row r="13426">
          <cell r="Z13426" t="str">
            <v>ENDOSCOPÍA</v>
          </cell>
          <cell r="AA13426" t="str">
            <v>CLÍNICA INTERMEDICAL LTDA.</v>
          </cell>
        </row>
        <row r="13427">
          <cell r="Z13427" t="str">
            <v>ENDOSCOPÍA</v>
          </cell>
          <cell r="AA13427" t="str">
            <v>HOSPITAL DE CASTRO</v>
          </cell>
        </row>
        <row r="13428">
          <cell r="Z13428" t="str">
            <v>ENDOSCOPÍA</v>
          </cell>
          <cell r="AA13428" t="str">
            <v>HOSPITAL DE PUERTO MONTT</v>
          </cell>
        </row>
        <row r="13429">
          <cell r="Z13429" t="str">
            <v>ENDOSCOPÍA</v>
          </cell>
        </row>
        <row r="13430">
          <cell r="Z13430" t="str">
            <v>ENDOSCOPÍA</v>
          </cell>
          <cell r="AA13430" t="str">
            <v>HOSPITAL DE PUERTO MONTT</v>
          </cell>
        </row>
        <row r="13431">
          <cell r="Z13431" t="str">
            <v>ENDOSCOPÍA</v>
          </cell>
          <cell r="AA13431" t="str">
            <v>CLINICA LAS CONDES S.A.</v>
          </cell>
        </row>
        <row r="13432">
          <cell r="Z13432" t="str">
            <v>ENDOSCOPÍA</v>
          </cell>
          <cell r="AA13432" t="str">
            <v>CLINICA LAS CONDES S.A.</v>
          </cell>
        </row>
        <row r="13433">
          <cell r="Z13433" t="str">
            <v>ENDOSCOPÍA</v>
          </cell>
          <cell r="AA13433" t="str">
            <v>CLINICA LAS CONDES S.A.</v>
          </cell>
        </row>
        <row r="13434">
          <cell r="Z13434" t="str">
            <v>ENDOSCOPÍA</v>
          </cell>
          <cell r="AA13434" t="str">
            <v>GEMCO GENERAL MACHINERY S.A.</v>
          </cell>
        </row>
        <row r="13435">
          <cell r="Z13435" t="str">
            <v>ENDOSCOPÍA</v>
          </cell>
          <cell r="AA13435" t="str">
            <v>GEMCO GENERAL MACHINERY S.A.</v>
          </cell>
        </row>
        <row r="13436">
          <cell r="Z13436" t="str">
            <v>ENDOSCOPÍA</v>
          </cell>
          <cell r="AA13436" t="str">
            <v>GEMCO GENERAL MACHINERY S.A.</v>
          </cell>
        </row>
        <row r="13437">
          <cell r="Z13437" t="str">
            <v>ENDOSCOPÍA</v>
          </cell>
          <cell r="AA13437" t="str">
            <v>CLINICA MEDS LTDA</v>
          </cell>
        </row>
        <row r="13438">
          <cell r="Z13438" t="str">
            <v>ENDOSCOPÍA</v>
          </cell>
        </row>
        <row r="13439">
          <cell r="Z13439" t="str">
            <v>ENDOSCOPÍA</v>
          </cell>
          <cell r="AA13439" t="str">
            <v>SOCIEDAD CONCESIONARIA METROPOLITANA DE SALUD S.A.</v>
          </cell>
        </row>
        <row r="13440">
          <cell r="Z13440" t="str">
            <v>ENDOSCOPÍA</v>
          </cell>
          <cell r="AA13440" t="str">
            <v>HOSPITAL SAN PABLO DE COQUIMBO</v>
          </cell>
        </row>
        <row r="13441">
          <cell r="Z13441" t="str">
            <v>ENDOSCOPÍA</v>
          </cell>
        </row>
        <row r="13442">
          <cell r="Z13442" t="str">
            <v>ENDOSCOPÍA</v>
          </cell>
          <cell r="AA13442" t="str">
            <v>HOSPITAL DE URGENCIA ASISTENCIA PUBLICA DR. ALEJ</v>
          </cell>
        </row>
        <row r="13443">
          <cell r="Z13443" t="str">
            <v>ENDOSCOPÍA</v>
          </cell>
          <cell r="AA13443" t="str">
            <v>HOSPITAL REGIONAL DE ANTOFAGASTA</v>
          </cell>
        </row>
        <row r="13444">
          <cell r="Z13444" t="str">
            <v>ENDOSCOPÍA</v>
          </cell>
          <cell r="AA13444" t="str">
            <v>CLINICA LAS CONDES S.A.</v>
          </cell>
        </row>
        <row r="13445">
          <cell r="Z13445" t="str">
            <v>ENDOSCOPÍA</v>
          </cell>
          <cell r="AA13445" t="str">
            <v>GEMCO GENERAL MACHINERY S.A.</v>
          </cell>
        </row>
        <row r="13446">
          <cell r="Z13446" t="str">
            <v>ENDOSCOPÍA</v>
          </cell>
          <cell r="AA13446" t="str">
            <v>HOSPITAL SAN PABLO DE COQUIMBO</v>
          </cell>
        </row>
        <row r="13447">
          <cell r="Z13447" t="str">
            <v>ENDOSCOPÍA</v>
          </cell>
          <cell r="AA13447" t="str">
            <v>CLINICA MEDS LTDA</v>
          </cell>
        </row>
        <row r="13448">
          <cell r="Z13448" t="str">
            <v>ENDOSCOPÍA</v>
          </cell>
          <cell r="AA13448" t="str">
            <v>HOSPITAL DE PUERTO MONTT</v>
          </cell>
        </row>
        <row r="13449">
          <cell r="Z13449" t="str">
            <v>ENDOSCOPÍA</v>
          </cell>
        </row>
        <row r="13450">
          <cell r="Z13450" t="str">
            <v>ENDOSCOPÍA</v>
          </cell>
          <cell r="AA13450" t="str">
            <v>HOSPITAL DE URGENCIA ASISTENCIA PUBLICA DR. ALEJ</v>
          </cell>
        </row>
        <row r="13451">
          <cell r="Z13451" t="str">
            <v>ENDOSCOPÍA</v>
          </cell>
          <cell r="AA13451" t="str">
            <v>INSTITUTO NACIONAL DEL TORAX</v>
          </cell>
        </row>
        <row r="13452">
          <cell r="Z13452" t="str">
            <v>ENDOSCOPÍA</v>
          </cell>
          <cell r="AA13452" t="str">
            <v>HOSPITAL GUILLERMO GRANT BENAVENTE</v>
          </cell>
        </row>
        <row r="13453">
          <cell r="Z13453" t="str">
            <v>ENDOSCOPÍA</v>
          </cell>
          <cell r="AA13453" t="str">
            <v>INSTITUTO NACIONAL DEL TORAX</v>
          </cell>
        </row>
        <row r="13454">
          <cell r="Z13454" t="str">
            <v>ENDOSCOPÍA</v>
          </cell>
          <cell r="AA13454" t="str">
            <v>CLINICA LAS CONDES S.A.</v>
          </cell>
        </row>
        <row r="13455">
          <cell r="Z13455" t="str">
            <v>ENDOSCOPÍA</v>
          </cell>
        </row>
        <row r="13456">
          <cell r="Z13456" t="str">
            <v>ENDOSCOPÍA</v>
          </cell>
        </row>
        <row r="13457">
          <cell r="Z13457" t="str">
            <v>ENDOSCOPÍA</v>
          </cell>
          <cell r="AA13457" t="str">
            <v>INGELSERVICE</v>
          </cell>
        </row>
        <row r="13458">
          <cell r="Z13458" t="str">
            <v>ENDOSCOPÍA</v>
          </cell>
          <cell r="AA13458" t="str">
            <v>INSTITUTO NACIONAL DEL TORAX</v>
          </cell>
        </row>
        <row r="13459">
          <cell r="Z13459" t="str">
            <v>ENDOSCOPÍA</v>
          </cell>
          <cell r="AA13459" t="str">
            <v>GEMCO GENERAL MACHINERY S.A.</v>
          </cell>
        </row>
        <row r="13460">
          <cell r="Z13460" t="str">
            <v>ENDOSCOPÍA</v>
          </cell>
          <cell r="AA13460" t="str">
            <v>GEMCO GENERAL MACHINERY S.A.</v>
          </cell>
        </row>
        <row r="13461">
          <cell r="Z13461" t="str">
            <v>ENDOSCOPÍA</v>
          </cell>
          <cell r="AA13461" t="str">
            <v>GEMCO GENERAL MACHINERY S.A.</v>
          </cell>
        </row>
        <row r="13462">
          <cell r="Z13462" t="str">
            <v>ENDOSCOPÍA</v>
          </cell>
        </row>
        <row r="13463">
          <cell r="Z13463" t="str">
            <v>ENDOSCOPÍA</v>
          </cell>
          <cell r="AA13463" t="str">
            <v>CLINICA MEDS LTDA</v>
          </cell>
        </row>
        <row r="13464">
          <cell r="Z13464" t="str">
            <v>ENDOSCOPÍA</v>
          </cell>
        </row>
        <row r="13465">
          <cell r="Z13465" t="str">
            <v>ENDOSCOPÍA</v>
          </cell>
        </row>
        <row r="13466">
          <cell r="Z13466" t="str">
            <v>ENDOSCOPÍA</v>
          </cell>
          <cell r="AA13466" t="str">
            <v>HOSPITAL SAN JUAN DE DIOS</v>
          </cell>
        </row>
        <row r="13467">
          <cell r="Z13467" t="str">
            <v>ENDOSCOPÍA</v>
          </cell>
        </row>
        <row r="13468">
          <cell r="Z13468" t="str">
            <v>ENDOSCOPÍA</v>
          </cell>
          <cell r="AA13468" t="str">
            <v>HOSPITAL DE PUERTO MONTT</v>
          </cell>
        </row>
        <row r="13469">
          <cell r="Z13469" t="str">
            <v>ENDOSCOPÍA</v>
          </cell>
          <cell r="AA13469" t="str">
            <v>UC CHRISTUS SERVICIOS AMBULATORIOS SPA</v>
          </cell>
        </row>
        <row r="13470">
          <cell r="Z13470" t="str">
            <v>ENDOSCOPÍA</v>
          </cell>
          <cell r="AA13470" t="str">
            <v>GEMCO GENERAL MACHINERY S.A.</v>
          </cell>
        </row>
        <row r="13471">
          <cell r="Z13471" t="str">
            <v>ENDOSCOPÍA</v>
          </cell>
          <cell r="AA13471" t="str">
            <v>CLINICA MEDS LTDA</v>
          </cell>
        </row>
        <row r="13472">
          <cell r="Z13472" t="str">
            <v>ENDOSCOPÍA</v>
          </cell>
          <cell r="AA13472" t="str">
            <v>GEMCO GENERAL MACHINERY S.A.</v>
          </cell>
        </row>
        <row r="13473">
          <cell r="Z13473" t="str">
            <v>ENDOSCOPÍA</v>
          </cell>
          <cell r="AA13473" t="str">
            <v>GEMCO GENERAL MACHINERY S.A.</v>
          </cell>
        </row>
        <row r="13474">
          <cell r="Z13474" t="str">
            <v>ENDOSCOPÍA</v>
          </cell>
          <cell r="AA13474" t="str">
            <v>GEMCO GENERAL MACHINERY S.A.</v>
          </cell>
        </row>
        <row r="13475">
          <cell r="Z13475" t="str">
            <v>ENDOSCOPÍA</v>
          </cell>
          <cell r="AA13475" t="str">
            <v>HOSPITAL METROPOLITANO DE SANTIAGO</v>
          </cell>
        </row>
        <row r="13476">
          <cell r="Z13476" t="str">
            <v>ENDOSCOPÍA</v>
          </cell>
          <cell r="AA13476" t="str">
            <v>HOSPITAL DE PUERTO MONTT</v>
          </cell>
        </row>
        <row r="13477">
          <cell r="Z13477" t="str">
            <v>ENDOSCOPÍA</v>
          </cell>
        </row>
        <row r="13478">
          <cell r="Z13478" t="str">
            <v>ENDOSCOPÍA</v>
          </cell>
        </row>
        <row r="13479">
          <cell r="Z13479" t="str">
            <v>ENDOSCOPÍA</v>
          </cell>
          <cell r="AA13479" t="str">
            <v>HOSPITAL REGIONAL DE ANTOFAGASTA</v>
          </cell>
        </row>
        <row r="13480">
          <cell r="Z13480" t="str">
            <v>ENDOSCOPÍA</v>
          </cell>
          <cell r="AA13480" t="str">
            <v>HOSPITAL REGIONAL DE ANTOFAGASTA</v>
          </cell>
        </row>
        <row r="13481">
          <cell r="Z13481" t="str">
            <v>ENDOSCOPÍA</v>
          </cell>
          <cell r="AA13481" t="str">
            <v>HOSPITAL REGIONAL DE ANTOFAGASTA</v>
          </cell>
        </row>
        <row r="13482">
          <cell r="Z13482" t="str">
            <v>ENDOSCOPÍA</v>
          </cell>
        </row>
        <row r="13483">
          <cell r="Z13483" t="str">
            <v>ENDOSCOPÍA</v>
          </cell>
          <cell r="AA13483" t="str">
            <v>HOSPITAL DE PUERTO MONTT</v>
          </cell>
        </row>
        <row r="13484">
          <cell r="Z13484" t="str">
            <v>ENDOSCOPÍA</v>
          </cell>
          <cell r="AA13484" t="str">
            <v>HOSPITAL DE PUERTO MONTT</v>
          </cell>
        </row>
        <row r="13485">
          <cell r="Z13485" t="str">
            <v>ENDOSCOPÍA</v>
          </cell>
          <cell r="AA13485" t="str">
            <v>GEMCO GENERAL MACHINERY S.A.</v>
          </cell>
        </row>
        <row r="13486">
          <cell r="Z13486" t="str">
            <v>ENDOSCOPÍA</v>
          </cell>
          <cell r="AA13486" t="str">
            <v>HOSPITAL DE CASTRO</v>
          </cell>
        </row>
        <row r="13487">
          <cell r="Z13487" t="str">
            <v>ENDOSCOPÍA</v>
          </cell>
          <cell r="AA13487" t="str">
            <v>HOSPITAL DE ILLAPEL</v>
          </cell>
        </row>
        <row r="13488">
          <cell r="Z13488" t="str">
            <v>ENDOSCOPÍA</v>
          </cell>
        </row>
        <row r="13489">
          <cell r="Z13489" t="str">
            <v>ENDOSCOPÍA</v>
          </cell>
          <cell r="AA13489" t="str">
            <v>CENTRO CLINICO SAN BERNARDO</v>
          </cell>
        </row>
        <row r="13490">
          <cell r="Z13490" t="str">
            <v>ENDOSCOPÍA</v>
          </cell>
          <cell r="AA13490" t="str">
            <v>HOSPITAL DE URGENCIA ASISTENCIA PUBLICA DR. ALEJ</v>
          </cell>
        </row>
        <row r="13491">
          <cell r="Z13491" t="str">
            <v>ENDOSCOPÍA</v>
          </cell>
          <cell r="AA13491" t="str">
            <v>HOSPITAL SAN PABLO DE COQUIMBO</v>
          </cell>
        </row>
        <row r="13492">
          <cell r="Z13492" t="str">
            <v>ENDOSCOPÍA</v>
          </cell>
        </row>
        <row r="13493">
          <cell r="Z13493" t="str">
            <v>ENDOSCOPÍA</v>
          </cell>
          <cell r="AA13493" t="str">
            <v>HOSPITAL SAN PABLO DE COQUIMBO</v>
          </cell>
        </row>
        <row r="13494">
          <cell r="Z13494" t="str">
            <v>ENDOSCOPÍA</v>
          </cell>
          <cell r="AA13494" t="str">
            <v>HOSPITAL SAN PABLO DE COQUIMBO</v>
          </cell>
        </row>
        <row r="13495">
          <cell r="Z13495" t="str">
            <v>ENDOSCOPÍA</v>
          </cell>
          <cell r="AA13495" t="str">
            <v>HOSPITAL GUILLERMO GRANT BENAVENTE</v>
          </cell>
        </row>
        <row r="13496">
          <cell r="Z13496" t="str">
            <v>ENDOSCOPÍA</v>
          </cell>
          <cell r="AA13496" t="str">
            <v>CLINICA BIO-BIO S.A.</v>
          </cell>
        </row>
        <row r="13497">
          <cell r="Z13497" t="str">
            <v>ENDOSCOPÍA</v>
          </cell>
          <cell r="AA13497" t="str">
            <v>CLINICA BIO-BIO S.A.</v>
          </cell>
        </row>
        <row r="13498">
          <cell r="Z13498" t="str">
            <v>ENDOSCOPÍA</v>
          </cell>
          <cell r="AA13498" t="str">
            <v>POLICIA DE INVESTIGACIONES DE CHILE</v>
          </cell>
        </row>
        <row r="13499">
          <cell r="Z13499" t="str">
            <v>ENDOSCOPÍA</v>
          </cell>
          <cell r="AA13499" t="str">
            <v>HOSPITAL EDUARDO PEREIRA</v>
          </cell>
        </row>
        <row r="13500">
          <cell r="Z13500" t="str">
            <v>ENDOSCOPÍA</v>
          </cell>
          <cell r="AA13500" t="str">
            <v>HOSPITAL EDUARDO PEREIRA</v>
          </cell>
        </row>
        <row r="13501">
          <cell r="Z13501" t="str">
            <v>ENDOSCOPÍA</v>
          </cell>
        </row>
        <row r="13502">
          <cell r="Z13502" t="str">
            <v>ENDOSCOPÍA</v>
          </cell>
        </row>
        <row r="13503">
          <cell r="Z13503" t="str">
            <v>ENDOSCOPÍA</v>
          </cell>
        </row>
        <row r="13504">
          <cell r="Z13504" t="str">
            <v>ENDOSCOPÍA</v>
          </cell>
          <cell r="AA13504" t="str">
            <v>CLINICA REDMEDICAL</v>
          </cell>
        </row>
        <row r="13505">
          <cell r="Z13505" t="str">
            <v>ENDOSCOPÍA</v>
          </cell>
          <cell r="AA13505" t="str">
            <v>GEMCO GENERAL MACHINERY S.A.</v>
          </cell>
        </row>
        <row r="13506">
          <cell r="Z13506" t="str">
            <v>ENDOSCOPÍA</v>
          </cell>
          <cell r="AA13506" t="str">
            <v>CLÍNICA INTERMEDICAL LTDA.</v>
          </cell>
        </row>
        <row r="13507">
          <cell r="Z13507" t="str">
            <v>ENDOSCOPÍA</v>
          </cell>
          <cell r="AA13507" t="str">
            <v>GEMCO GENERAL MACHINERY S.A.</v>
          </cell>
        </row>
        <row r="13508">
          <cell r="Z13508" t="str">
            <v>ENDOSCOPÍA</v>
          </cell>
          <cell r="AA13508" t="str">
            <v>GEMCO GENERAL MACHINERY S.A.</v>
          </cell>
        </row>
        <row r="13509">
          <cell r="Z13509" t="str">
            <v>ENDOSCOPÍA</v>
          </cell>
          <cell r="AA13509" t="str">
            <v>HOSPITAL CLINICO IST VIÑA DEL MAR</v>
          </cell>
        </row>
        <row r="13510">
          <cell r="Z13510" t="str">
            <v>ENDOSCOPÍA</v>
          </cell>
          <cell r="AA13510" t="str">
            <v>GEMCO GENERAL MACHINERY S.A.</v>
          </cell>
        </row>
        <row r="13511">
          <cell r="Z13511" t="str">
            <v>ENDOSCOPÍA</v>
          </cell>
          <cell r="AA13511" t="str">
            <v>HOSPITAL CLINICO IST VIÑA DEL MAR</v>
          </cell>
        </row>
        <row r="13512">
          <cell r="Z13512" t="str">
            <v>ENDOSCOPÍA</v>
          </cell>
          <cell r="AA13512" t="str">
            <v>HOSPITAL CLINICO IST VIÑA DEL MAR</v>
          </cell>
        </row>
        <row r="13513">
          <cell r="Z13513" t="str">
            <v>ENDOSCOPÍA</v>
          </cell>
          <cell r="AA13513" t="str">
            <v>GEMCO GENERAL MACHINERY S.A.</v>
          </cell>
        </row>
        <row r="13514">
          <cell r="Z13514" t="str">
            <v>ENDOSCOPÍA</v>
          </cell>
        </row>
        <row r="13515">
          <cell r="Z13515" t="str">
            <v>ENDOSCOPÍA</v>
          </cell>
          <cell r="AA13515" t="str">
            <v>GEMCO GENERAL MACHINERY S.A.</v>
          </cell>
        </row>
        <row r="13516">
          <cell r="Z13516" t="str">
            <v>ENDOSCOPÍA</v>
          </cell>
          <cell r="AA13516" t="str">
            <v>GEMCO GENERAL MACHINERY S.A.</v>
          </cell>
        </row>
        <row r="13517">
          <cell r="Z13517" t="str">
            <v>ENDOSCOPÍA</v>
          </cell>
        </row>
        <row r="13518">
          <cell r="Z13518" t="str">
            <v>ENDOSCOPÍA</v>
          </cell>
        </row>
        <row r="13519">
          <cell r="Z13519" t="str">
            <v>ENDOSCOPÍA</v>
          </cell>
        </row>
        <row r="13520">
          <cell r="Z13520" t="str">
            <v>ENDOSCOPÍA</v>
          </cell>
        </row>
        <row r="13521">
          <cell r="Z13521" t="str">
            <v>ENDOSCOPÍA</v>
          </cell>
          <cell r="AA13521" t="str">
            <v>GEMCO GENERAL MACHINERY S.A.</v>
          </cell>
        </row>
        <row r="13522">
          <cell r="Z13522" t="str">
            <v>ENDOSCOPÍA</v>
          </cell>
          <cell r="AA13522" t="str">
            <v>GEMCO GENERAL MACHINERY S.A.</v>
          </cell>
        </row>
        <row r="13523">
          <cell r="Z13523" t="str">
            <v>ENDOSCOPÍA</v>
          </cell>
          <cell r="AA13523" t="str">
            <v>GEMCO GENERAL MACHINERY S.A.</v>
          </cell>
        </row>
        <row r="13524">
          <cell r="Z13524" t="str">
            <v>ENDOSCOPÍA</v>
          </cell>
        </row>
        <row r="13525">
          <cell r="Z13525" t="str">
            <v>ENDOSCOPÍA</v>
          </cell>
          <cell r="AA13525" t="str">
            <v>HOSPITAL DE CASTRO</v>
          </cell>
        </row>
        <row r="13526">
          <cell r="Z13526" t="str">
            <v>ENDOSCOPÍA</v>
          </cell>
        </row>
        <row r="13527">
          <cell r="Z13527" t="str">
            <v>ENDOSCOPÍA</v>
          </cell>
          <cell r="AA13527" t="str">
            <v>GEMCO GENERAL MACHINERY S.A.</v>
          </cell>
        </row>
        <row r="13528">
          <cell r="Z13528" t="str">
            <v>ENDOSCOPÍA</v>
          </cell>
          <cell r="AA13528" t="str">
            <v>GEMCO GENERAL MACHINERY S.A.</v>
          </cell>
        </row>
        <row r="13529">
          <cell r="Z13529" t="str">
            <v>ENDOSCOPÍA</v>
          </cell>
        </row>
        <row r="13530">
          <cell r="Z13530" t="str">
            <v>ENDOSCOPÍA</v>
          </cell>
        </row>
        <row r="13531">
          <cell r="Z13531" t="str">
            <v>ENDOSCOPÍA</v>
          </cell>
          <cell r="AA13531" t="str">
            <v>HOSPITAL DE PUERTO MONTT</v>
          </cell>
        </row>
        <row r="13532">
          <cell r="Z13532" t="str">
            <v>ENDOSCOPÍA</v>
          </cell>
          <cell r="AA13532" t="str">
            <v>GEMCO GENERAL MACHINERY S.A.</v>
          </cell>
        </row>
        <row r="13533">
          <cell r="Z13533" t="str">
            <v>ENDOSCOPÍA</v>
          </cell>
        </row>
        <row r="13534">
          <cell r="Z13534" t="str">
            <v>ENDOSCOPÍA</v>
          </cell>
          <cell r="AA13534" t="str">
            <v>HOSPITAL DE PUERTO MONTT</v>
          </cell>
        </row>
        <row r="13535">
          <cell r="Z13535" t="str">
            <v>ENDOSCOPÍA</v>
          </cell>
          <cell r="AA13535" t="str">
            <v>HOSPITAL DE PUERTO MONTT</v>
          </cell>
        </row>
        <row r="13536">
          <cell r="Z13536" t="str">
            <v>ENDOSCOPÍA</v>
          </cell>
          <cell r="AA13536" t="str">
            <v>HOSPITAL DE PUERTO MONTT</v>
          </cell>
        </row>
        <row r="13537">
          <cell r="Z13537" t="str">
            <v>ENDOSCOPÍA</v>
          </cell>
        </row>
        <row r="13538">
          <cell r="Z13538" t="str">
            <v>ENDOSCOPÍA</v>
          </cell>
          <cell r="AA13538" t="str">
            <v>HOSPITAL DE PUERTO MONTT</v>
          </cell>
        </row>
        <row r="13539">
          <cell r="Z13539" t="str">
            <v>ENDOSCOPÍA</v>
          </cell>
          <cell r="AA13539" t="str">
            <v>GEMCO GENERAL MACHINERY S.A.</v>
          </cell>
        </row>
        <row r="13540">
          <cell r="Z13540" t="str">
            <v>ENDOSCOPÍA</v>
          </cell>
          <cell r="AA13540" t="str">
            <v>GEMCO GENERAL MACHINERY S.A.</v>
          </cell>
        </row>
        <row r="13541">
          <cell r="Z13541" t="str">
            <v>ENDOSCOPÍA</v>
          </cell>
        </row>
        <row r="13542">
          <cell r="Z13542" t="str">
            <v>ENDOSCOPÍA</v>
          </cell>
          <cell r="AA13542" t="str">
            <v>INSTITUTO DE SEGURIDAD DEL TRABAJO</v>
          </cell>
        </row>
        <row r="13543">
          <cell r="Z13543" t="str">
            <v>ENDOSCOPÍA</v>
          </cell>
          <cell r="AA13543" t="str">
            <v>CENTRO CLINICO SAN BERNARDO</v>
          </cell>
        </row>
        <row r="13544">
          <cell r="Z13544" t="str">
            <v>ENDOSCOPÍA</v>
          </cell>
        </row>
        <row r="13545">
          <cell r="Z13545" t="str">
            <v>ENDOSCOPÍA</v>
          </cell>
          <cell r="AA13545" t="str">
            <v>CLINICA REDMEDICAL</v>
          </cell>
        </row>
        <row r="13546">
          <cell r="Z13546" t="str">
            <v>ENDOSCOPÍA</v>
          </cell>
          <cell r="AA13546" t="str">
            <v>GEMCO GENERAL MACHINERY S.A.</v>
          </cell>
        </row>
        <row r="13547">
          <cell r="Z13547" t="str">
            <v>ENDOSCOPÍA</v>
          </cell>
          <cell r="AA13547" t="str">
            <v>GEMCO GENERAL MACHINERY S.A.</v>
          </cell>
        </row>
        <row r="13548">
          <cell r="Z13548" t="str">
            <v>ENDOSCOPÍA</v>
          </cell>
          <cell r="AA13548" t="str">
            <v>HOSPITAL DE URGENCIA ASISTENCIA PUBLICA DR. ALEJ</v>
          </cell>
        </row>
        <row r="13549">
          <cell r="Z13549" t="str">
            <v>ENDOSCOPÍA</v>
          </cell>
        </row>
        <row r="13550">
          <cell r="Z13550" t="str">
            <v>ENDOSCOPÍA</v>
          </cell>
        </row>
        <row r="13551">
          <cell r="Z13551" t="str">
            <v>ENDOSCOPÍA</v>
          </cell>
          <cell r="AA13551" t="str">
            <v>HOSPITAL EDUARDO PEREIRA</v>
          </cell>
        </row>
        <row r="13552">
          <cell r="Z13552" t="str">
            <v>ENDOSCOPÍA</v>
          </cell>
        </row>
        <row r="13553">
          <cell r="Z13553" t="str">
            <v>ENDOSCOPÍA</v>
          </cell>
          <cell r="AA13553" t="str">
            <v>HOSPITAL EDUARDO PEREIRA</v>
          </cell>
        </row>
        <row r="13554">
          <cell r="Z13554" t="str">
            <v>ENDOSCOPÍA</v>
          </cell>
          <cell r="AA13554" t="str">
            <v>HOSPITAL EDUARDO PEREIRA</v>
          </cell>
        </row>
        <row r="13555">
          <cell r="Z13555" t="str">
            <v>ENDOSCOPÍA</v>
          </cell>
          <cell r="AA13555" t="str">
            <v>HOSPITAL EDUARDO PEREIRA</v>
          </cell>
        </row>
        <row r="13556">
          <cell r="Z13556" t="str">
            <v>ENDOSCOPÍA</v>
          </cell>
          <cell r="AA13556" t="str">
            <v>GEMCO GENERAL MACHINERY S.A.</v>
          </cell>
        </row>
        <row r="13557">
          <cell r="Z13557" t="str">
            <v>ENDOSCOPÍA</v>
          </cell>
          <cell r="AA13557" t="str">
            <v>HOSPITAL CARLOS VAN BUREN</v>
          </cell>
        </row>
        <row r="13558">
          <cell r="Z13558" t="str">
            <v>ENDOSCOPÍA</v>
          </cell>
        </row>
        <row r="13559">
          <cell r="Z13559" t="str">
            <v>ENDOSCOPÍA</v>
          </cell>
        </row>
        <row r="13560">
          <cell r="Z13560" t="str">
            <v>ENDOSCOPÍA</v>
          </cell>
          <cell r="AA13560" t="str">
            <v>HOSPITAL DE PUERTO MONTT</v>
          </cell>
        </row>
        <row r="13561">
          <cell r="Z13561" t="str">
            <v>ENDOSCOPÍA</v>
          </cell>
          <cell r="AA13561" t="str">
            <v>HOSPITAL DE PUERTO MONTT</v>
          </cell>
        </row>
        <row r="13562">
          <cell r="Z13562" t="str">
            <v>ENDOSCOPÍA</v>
          </cell>
          <cell r="AA13562" t="str">
            <v>HOSPITAL DE PUERTO MONTT</v>
          </cell>
        </row>
        <row r="13563">
          <cell r="Z13563" t="str">
            <v>ENDOSCOPÍA</v>
          </cell>
          <cell r="AA13563" t="str">
            <v>HOSPITAL DE PUERTO MONTT</v>
          </cell>
        </row>
        <row r="13564">
          <cell r="Z13564" t="str">
            <v>ENDOSCOPÍA</v>
          </cell>
        </row>
        <row r="13565">
          <cell r="Z13565" t="str">
            <v>ENDOSCOPÍA</v>
          </cell>
          <cell r="AA13565" t="str">
            <v>GEMCO GENERAL MACHINERY S.A.</v>
          </cell>
        </row>
        <row r="13566">
          <cell r="Z13566" t="str">
            <v>ENDOSCOPÍA</v>
          </cell>
          <cell r="AA13566" t="str">
            <v>HOSPITAL DE PUERTO MONTT</v>
          </cell>
        </row>
        <row r="13567">
          <cell r="Z13567" t="str">
            <v>ENDOSCOPÍA</v>
          </cell>
          <cell r="AA13567" t="str">
            <v>GEMCO GENERAL MACHINERY S.A.</v>
          </cell>
        </row>
        <row r="13568">
          <cell r="Z13568" t="str">
            <v>ENDOSCOPÍA</v>
          </cell>
          <cell r="AA13568" t="str">
            <v>HOSPITAL REGIONAL DE ANTOFAGASTA</v>
          </cell>
        </row>
        <row r="13569">
          <cell r="Z13569" t="str">
            <v>ENDOSCOPÍA</v>
          </cell>
        </row>
        <row r="13570">
          <cell r="Z13570" t="str">
            <v>ENDOSCOPÍA</v>
          </cell>
        </row>
        <row r="13571">
          <cell r="Z13571" t="str">
            <v>ENDOSCOPÍA</v>
          </cell>
          <cell r="AA13571" t="str">
            <v>INSTITUTO DE SEGURIDAD DEL TRABAJO</v>
          </cell>
        </row>
        <row r="13572">
          <cell r="Z13572" t="str">
            <v>ENDOSCOPÍA</v>
          </cell>
          <cell r="AA13572" t="str">
            <v>CLÍNICA INTERMEDICAL LTDA.</v>
          </cell>
        </row>
        <row r="13573">
          <cell r="Z13573" t="str">
            <v>ENDOSCOPÍA</v>
          </cell>
          <cell r="AA13573" t="str">
            <v>CLÍNICA INTERMEDICAL LTDA.</v>
          </cell>
        </row>
        <row r="13574">
          <cell r="Z13574" t="str">
            <v>ENDOSCOPÍA</v>
          </cell>
          <cell r="AA13574" t="str">
            <v>HOSPITAL DE PUERTO AYSEN</v>
          </cell>
        </row>
        <row r="13575">
          <cell r="Z13575" t="str">
            <v>ENDOSCOPÍA</v>
          </cell>
        </row>
        <row r="13576">
          <cell r="Z13576" t="str">
            <v>ENDOSCOPÍA</v>
          </cell>
          <cell r="AA13576" t="str">
            <v>LABORATORIO CLINICO CENTRAL KOJCHEN Y COMPANIA LIMITADA</v>
          </cell>
        </row>
        <row r="13577">
          <cell r="Z13577" t="str">
            <v>ENDOSCOPÍA</v>
          </cell>
          <cell r="AA13577" t="str">
            <v>POLICIA DE INVESTIGACIONES DE CHILE</v>
          </cell>
        </row>
        <row r="13578">
          <cell r="Z13578" t="str">
            <v>ENDOSCOPÍA</v>
          </cell>
          <cell r="AA13578" t="str">
            <v>HOSPITAL EDUARDO PEREIRA</v>
          </cell>
        </row>
        <row r="13579">
          <cell r="Z13579" t="str">
            <v>ENDOSCOPÍA</v>
          </cell>
        </row>
        <row r="13580">
          <cell r="Z13580" t="str">
            <v>ENDOSCOPÍA</v>
          </cell>
        </row>
        <row r="13581">
          <cell r="Z13581" t="str">
            <v>ENDOSCOPÍA</v>
          </cell>
        </row>
        <row r="13582">
          <cell r="Z13582" t="str">
            <v>ENDOSCOPÍA</v>
          </cell>
        </row>
        <row r="13583">
          <cell r="Z13583" t="str">
            <v>ENDOSCOPÍA</v>
          </cell>
        </row>
        <row r="13584">
          <cell r="Z13584" t="str">
            <v>ENDOSCOPÍA</v>
          </cell>
        </row>
        <row r="13585">
          <cell r="Z13585" t="str">
            <v>ENDOSCOPÍA</v>
          </cell>
          <cell r="AA13585" t="str">
            <v>HOSPITAL DE PUERTO MONTT</v>
          </cell>
        </row>
        <row r="13586">
          <cell r="Z13586" t="str">
            <v>ENDOSCOPÍA</v>
          </cell>
          <cell r="AA13586" t="str">
            <v>HOSPITAL DE PUERTO MONTT</v>
          </cell>
        </row>
        <row r="13587">
          <cell r="Z13587" t="str">
            <v>ENDOSCOPÍA</v>
          </cell>
          <cell r="AA13587" t="str">
            <v>HOSPITAL METROPOLITANO DE SANTIAGO</v>
          </cell>
        </row>
        <row r="13588">
          <cell r="Z13588" t="str">
            <v>ENDOSCOPÍA</v>
          </cell>
        </row>
        <row r="13589">
          <cell r="Z13589" t="str">
            <v>ENDOSCOPÍA</v>
          </cell>
          <cell r="AA13589" t="str">
            <v>HOSPITAL REGIONAL DE ARICA DR. JUAN NOÉ CREVANI</v>
          </cell>
        </row>
        <row r="13590">
          <cell r="Z13590" t="str">
            <v>ENDOSCOPÍA</v>
          </cell>
          <cell r="AA13590" t="str">
            <v>HOSPITAL DE PUERTO AYSEN</v>
          </cell>
        </row>
        <row r="13591">
          <cell r="Z13591" t="str">
            <v>ENDOSCOPÍA</v>
          </cell>
          <cell r="AA13591" t="str">
            <v>HOSPITAL DE PUERTO AYSEN</v>
          </cell>
        </row>
        <row r="13592">
          <cell r="Z13592" t="str">
            <v>ENDOSCOPÍA</v>
          </cell>
          <cell r="AA13592" t="str">
            <v>CENTRO CLINICO SAN BERNARDO</v>
          </cell>
        </row>
        <row r="13593">
          <cell r="Z13593" t="str">
            <v>ENDOSCOPÍA</v>
          </cell>
        </row>
        <row r="13594">
          <cell r="Z13594" t="str">
            <v>ENDOSCOPÍA</v>
          </cell>
          <cell r="AA13594" t="str">
            <v>HOSPITAL CARLOS CISTERNA DE CALAMA</v>
          </cell>
        </row>
        <row r="13595">
          <cell r="Z13595" t="str">
            <v>ENDOSCOPÍA</v>
          </cell>
          <cell r="AA13595" t="str">
            <v>HOSPITAL DE CASTRO</v>
          </cell>
        </row>
        <row r="13596">
          <cell r="Z13596" t="str">
            <v>ENDOSCOPÍA</v>
          </cell>
          <cell r="AA13596" t="str">
            <v>HOSPITAL DE PUERTO MONTT</v>
          </cell>
        </row>
        <row r="13597">
          <cell r="Z13597" t="str">
            <v>ENDOSCOPÍA</v>
          </cell>
          <cell r="AA13597" t="str">
            <v>CENTRO CLINICO SAN BERNARDO</v>
          </cell>
        </row>
        <row r="13598">
          <cell r="Z13598" t="str">
            <v>ENDOSCOPÍA</v>
          </cell>
        </row>
        <row r="13599">
          <cell r="Z13599" t="str">
            <v>ENDOSCOPÍA</v>
          </cell>
        </row>
        <row r="13600">
          <cell r="Z13600" t="str">
            <v>ENDOSCOPÍA</v>
          </cell>
        </row>
        <row r="13601">
          <cell r="Z13601" t="str">
            <v>ENDOSCOPÍA</v>
          </cell>
        </row>
        <row r="13602">
          <cell r="Z13602" t="str">
            <v>ENDOSCOPÍA</v>
          </cell>
          <cell r="AA13602" t="str">
            <v>HOSPITAL SAN PABLO DE COQUIMBO</v>
          </cell>
        </row>
        <row r="13603">
          <cell r="Z13603" t="str">
            <v>ENDOSCOPÍA</v>
          </cell>
          <cell r="AA13603" t="str">
            <v>SERVICIO DE SALUD OSORNO</v>
          </cell>
        </row>
        <row r="13604">
          <cell r="Z13604" t="str">
            <v>ENDOSCOPÍA</v>
          </cell>
          <cell r="AA13604" t="str">
            <v>SERVICIO DE SALUD OSORNO</v>
          </cell>
        </row>
        <row r="13605">
          <cell r="Z13605" t="str">
            <v>ENDOSCOPÍA</v>
          </cell>
        </row>
        <row r="13606">
          <cell r="Z13606" t="str">
            <v>ENDOSCOPÍA</v>
          </cell>
          <cell r="AA13606" t="str">
            <v>GEMCO GENERAL MACHINERY S.A.</v>
          </cell>
        </row>
        <row r="13607">
          <cell r="Z13607" t="str">
            <v>ENDOSCOPÍA</v>
          </cell>
          <cell r="AA13607" t="str">
            <v>HOSPITAL DE CASTRO</v>
          </cell>
        </row>
        <row r="13608">
          <cell r="Z13608" t="str">
            <v>ENDOSCOPÍA</v>
          </cell>
          <cell r="AA13608" t="str">
            <v>HOSPITAL DE PUERTO MONTT</v>
          </cell>
        </row>
        <row r="13609">
          <cell r="Z13609" t="str">
            <v>ENDOSCOPÍA</v>
          </cell>
          <cell r="AA13609" t="str">
            <v>LABORATORIO CLINICO CENTRAL KOJCHEN Y COMPANIA LIMITADA</v>
          </cell>
        </row>
        <row r="13610">
          <cell r="Z13610" t="str">
            <v>ENDOSCOPÍA</v>
          </cell>
          <cell r="AA13610" t="str">
            <v>LABORATORIO CLINICO CENTRAL KOJCHEN Y COMPANIA LIMITADA</v>
          </cell>
        </row>
        <row r="13611">
          <cell r="Z13611" t="str">
            <v>ENDOSCOPÍA</v>
          </cell>
        </row>
        <row r="13612">
          <cell r="Z13612" t="str">
            <v>ENDOSCOPÍA</v>
          </cell>
          <cell r="AA13612" t="str">
            <v>LABORATORIO CLINICO CENTRAL KOJCHEN Y COMPANIA LIMITADA</v>
          </cell>
        </row>
        <row r="13613">
          <cell r="Z13613" t="str">
            <v>ENDOSCOPÍA</v>
          </cell>
          <cell r="AA13613" t="str">
            <v>LABORATORIO CLINICO CENTRAL KOJCHEN Y COMPANIA LIMITADA</v>
          </cell>
        </row>
        <row r="13614">
          <cell r="Z13614" t="str">
            <v>ENDOSCOPÍA</v>
          </cell>
          <cell r="AA13614" t="str">
            <v>HOSPITAL SAN PABLO DE COQUIMBO</v>
          </cell>
        </row>
        <row r="13615">
          <cell r="Z13615" t="str">
            <v>ENDOSCOPÍA</v>
          </cell>
          <cell r="AA13615" t="str">
            <v>LABORATORIO CLINICO CENTRAL KOJCHEN Y COMPANIA LIMITADA</v>
          </cell>
        </row>
        <row r="13616">
          <cell r="Z13616" t="str">
            <v>ENDOSCOPÍA</v>
          </cell>
          <cell r="AA13616" t="str">
            <v>LABORATORIO CLINICO CENTRAL KOJCHEN Y COMPANIA LIMITADA</v>
          </cell>
        </row>
        <row r="13617">
          <cell r="Z13617" t="str">
            <v>ENDOSCOPÍA</v>
          </cell>
        </row>
        <row r="13618">
          <cell r="Z13618" t="str">
            <v>ENDOSCOPÍA</v>
          </cell>
        </row>
        <row r="13619">
          <cell r="Z13619" t="str">
            <v>ENDOSCOPÍA</v>
          </cell>
        </row>
        <row r="13620">
          <cell r="Z13620" t="str">
            <v>ENDOSCOPÍA</v>
          </cell>
        </row>
        <row r="13621">
          <cell r="Z13621" t="str">
            <v>ENDOSCOPÍA</v>
          </cell>
        </row>
        <row r="13622">
          <cell r="Z13622" t="str">
            <v>ENDOSCOPÍA</v>
          </cell>
        </row>
        <row r="13623">
          <cell r="Z13623" t="str">
            <v>ENDOSCOPÍA</v>
          </cell>
          <cell r="AA13623" t="str">
            <v>GEMCO GENERAL MACHINERY S.A.</v>
          </cell>
        </row>
        <row r="13624">
          <cell r="Z13624" t="str">
            <v>ENDOSCOPÍA</v>
          </cell>
          <cell r="AA13624" t="str">
            <v>HOSPITAL DE CASTRO</v>
          </cell>
        </row>
        <row r="13625">
          <cell r="Z13625" t="str">
            <v>ENDOSCOPÍA</v>
          </cell>
        </row>
        <row r="13626">
          <cell r="Z13626" t="str">
            <v>ENDOSCOPÍA</v>
          </cell>
        </row>
        <row r="13627">
          <cell r="Z13627" t="str">
            <v>ENDOSCOPÍA</v>
          </cell>
        </row>
        <row r="13628">
          <cell r="Z13628" t="str">
            <v>ENDOSCOPÍA</v>
          </cell>
        </row>
        <row r="13629">
          <cell r="Z13629" t="str">
            <v>ENDOSCOPÍA</v>
          </cell>
        </row>
        <row r="13630">
          <cell r="Z13630" t="str">
            <v>ENDOSCOPÍA</v>
          </cell>
          <cell r="AA13630" t="str">
            <v>CLÍNICA INTERMEDICAL LTDA.</v>
          </cell>
        </row>
        <row r="13631">
          <cell r="Z13631" t="str">
            <v>ENDOSCOPÍA</v>
          </cell>
          <cell r="AA13631" t="str">
            <v>CLÍNICA INTERMEDICAL LTDA.</v>
          </cell>
        </row>
        <row r="13632">
          <cell r="Z13632" t="str">
            <v>ENDOSCOPÍA</v>
          </cell>
          <cell r="AA13632" t="str">
            <v>GEMCO GENERAL MACHINERY S.A.</v>
          </cell>
        </row>
        <row r="13633">
          <cell r="Z13633" t="str">
            <v>ENDOSCOPÍA</v>
          </cell>
          <cell r="AA13633" t="str">
            <v>GEMCO GENERAL MACHINERY S.A.</v>
          </cell>
        </row>
        <row r="13634">
          <cell r="Z13634" t="str">
            <v>ENDOSCOPÍA</v>
          </cell>
          <cell r="AA13634" t="str">
            <v>CLINICA REDMEDICAL</v>
          </cell>
        </row>
        <row r="13635">
          <cell r="Z13635" t="str">
            <v>ENDOSCOPÍA</v>
          </cell>
          <cell r="AA13635" t="str">
            <v>CLINICA REDMEDICAL</v>
          </cell>
        </row>
        <row r="13636">
          <cell r="Z13636" t="str">
            <v>ENDOSCOPÍA</v>
          </cell>
          <cell r="AA13636" t="str">
            <v>GEMCO GENERAL MACHINERY S.A.</v>
          </cell>
        </row>
        <row r="13637">
          <cell r="Z13637" t="str">
            <v>ENDOSCOPÍA</v>
          </cell>
          <cell r="AA13637" t="str">
            <v>HOSPITAL CLINICO IST VIÑA DEL MAR</v>
          </cell>
        </row>
        <row r="13638">
          <cell r="Z13638" t="str">
            <v>ENDOSCOPÍA</v>
          </cell>
          <cell r="AA13638" t="str">
            <v>HOSPITAL CLINICO IST VIÑA DEL MAR</v>
          </cell>
        </row>
        <row r="13639">
          <cell r="Z13639" t="str">
            <v>ENDOSCOPÍA</v>
          </cell>
        </row>
        <row r="13640">
          <cell r="Z13640" t="str">
            <v>ENDOSCOPÍA</v>
          </cell>
        </row>
        <row r="13641">
          <cell r="Z13641" t="str">
            <v>ENDOSCOPÍA</v>
          </cell>
        </row>
        <row r="13642">
          <cell r="Z13642" t="str">
            <v>ENDOSCOPÍA</v>
          </cell>
        </row>
        <row r="13643">
          <cell r="Z13643" t="str">
            <v>ENDOSCOPÍA</v>
          </cell>
          <cell r="AA13643" t="str">
            <v>HOSPITAL SAN PABLO DE COQUIMBO</v>
          </cell>
        </row>
        <row r="13644">
          <cell r="Z13644" t="str">
            <v>ENDOSCOPÍA</v>
          </cell>
          <cell r="AA13644" t="str">
            <v>HOSPITAL SAN PABLO DE COQUIMBO</v>
          </cell>
        </row>
        <row r="13645">
          <cell r="Z13645" t="str">
            <v>ENDOSCOPÍA</v>
          </cell>
        </row>
        <row r="13646">
          <cell r="Z13646" t="str">
            <v>ENDOSCOPÍA</v>
          </cell>
        </row>
        <row r="13647">
          <cell r="Z13647" t="str">
            <v>ENDOSCOPÍA</v>
          </cell>
        </row>
        <row r="13648">
          <cell r="Z13648" t="str">
            <v>ENDOSCOPÍA</v>
          </cell>
          <cell r="AA13648" t="str">
            <v>GEMCO GENERAL MACHINERY S.A.</v>
          </cell>
        </row>
        <row r="13649">
          <cell r="Z13649" t="str">
            <v>ENDOSCOPÍA</v>
          </cell>
          <cell r="AA13649" t="str">
            <v>GEMCO GENERAL MACHINERY S.A.</v>
          </cell>
        </row>
        <row r="13650">
          <cell r="Z13650" t="str">
            <v>ENDOSCOPÍA</v>
          </cell>
        </row>
        <row r="13651">
          <cell r="Z13651" t="str">
            <v>ENDOSCOPÍA</v>
          </cell>
          <cell r="AA13651" t="str">
            <v>GEMCO GENERAL MACHINERY S.A.</v>
          </cell>
        </row>
        <row r="13652">
          <cell r="Z13652" t="str">
            <v>ENDOSCOPÍA</v>
          </cell>
          <cell r="AA13652" t="str">
            <v>HOSPITAL DE PUERTO MONTT</v>
          </cell>
        </row>
        <row r="13653">
          <cell r="Z13653" t="str">
            <v>ENDOSCOPÍA</v>
          </cell>
          <cell r="AA13653" t="str">
            <v>GEMCO GENERAL MACHINERY S.A.</v>
          </cell>
        </row>
        <row r="13654">
          <cell r="Z13654" t="str">
            <v>ENDOSCOPÍA</v>
          </cell>
          <cell r="AA13654" t="str">
            <v>GEMCO GENERAL MACHINERY S.A.</v>
          </cell>
        </row>
        <row r="13655">
          <cell r="Z13655" t="str">
            <v>ENDOSCOPÍA</v>
          </cell>
        </row>
        <row r="13656">
          <cell r="Z13656" t="str">
            <v>ENDOSCOPÍA</v>
          </cell>
          <cell r="AA13656" t="str">
            <v>HOSPITAL DE PUERTO MONTT</v>
          </cell>
        </row>
        <row r="13657">
          <cell r="Z13657" t="str">
            <v>ENDOSCOPÍA</v>
          </cell>
          <cell r="AA13657" t="str">
            <v>HOSPITAL DE PUERTO MONTT</v>
          </cell>
        </row>
        <row r="13658">
          <cell r="Z13658" t="str">
            <v>ENDOSCOPÍA</v>
          </cell>
          <cell r="AA13658" t="str">
            <v>HOSPITAL DE PUERTO MONTT</v>
          </cell>
        </row>
        <row r="13659">
          <cell r="Z13659" t="str">
            <v>ENDOSCOPÍA</v>
          </cell>
          <cell r="AA13659" t="str">
            <v>HOSPITAL DE PUERTO MONTT</v>
          </cell>
        </row>
        <row r="13660">
          <cell r="Z13660" t="str">
            <v>ENDOSCOPÍA</v>
          </cell>
        </row>
        <row r="13661">
          <cell r="Z13661" t="str">
            <v>ENDOSCOPÍA</v>
          </cell>
          <cell r="AA13661" t="str">
            <v>HOSPITAL DE PUERTO MONTT</v>
          </cell>
        </row>
        <row r="13662">
          <cell r="Z13662" t="str">
            <v>ENDOSCOPÍA</v>
          </cell>
          <cell r="AA13662" t="str">
            <v>HOSPITAL DE PUERTO MONTT</v>
          </cell>
        </row>
        <row r="13663">
          <cell r="Z13663" t="str">
            <v>ENDOSCOPÍA</v>
          </cell>
          <cell r="AA13663" t="str">
            <v>HOSPITAL DE URGENCIA ASISTENCIA PUBLICA DR. ALEJ</v>
          </cell>
        </row>
        <row r="13664">
          <cell r="Z13664" t="str">
            <v>ENDOSCOPÍA</v>
          </cell>
          <cell r="AA13664" t="str">
            <v>HOSPITAL LOS VILOS</v>
          </cell>
        </row>
        <row r="13665">
          <cell r="Z13665" t="str">
            <v>ENDOSCOPÍA</v>
          </cell>
          <cell r="AA13665" t="str">
            <v>HOSPITAL LOS VILOS</v>
          </cell>
        </row>
        <row r="13666">
          <cell r="Z13666" t="str">
            <v>ENDOSCOPÍA</v>
          </cell>
          <cell r="AA13666" t="str">
            <v>GEMCO GENERAL MACHINERY S.A.</v>
          </cell>
        </row>
        <row r="13667">
          <cell r="Z13667" t="str">
            <v>ENDOSCOPÍA</v>
          </cell>
          <cell r="AA13667" t="str">
            <v>GEMCO GENERAL MACHINERY S.A.</v>
          </cell>
        </row>
        <row r="13668">
          <cell r="Z13668" t="str">
            <v>ENDOSCOPÍA</v>
          </cell>
          <cell r="AA13668" t="str">
            <v>GEMCO GENERAL MACHINERY S.A.</v>
          </cell>
        </row>
        <row r="13669">
          <cell r="Z13669" t="str">
            <v>ENDOSCOPÍA</v>
          </cell>
          <cell r="AA13669" t="str">
            <v>GEMCO GENERAL MACHINERY S.A.</v>
          </cell>
        </row>
        <row r="13670">
          <cell r="Z13670" t="str">
            <v>ENDOSCOPÍA</v>
          </cell>
        </row>
        <row r="13671">
          <cell r="Z13671" t="str">
            <v>ENDOSCOPÍA</v>
          </cell>
          <cell r="AA13671" t="str">
            <v>CLINICA ALEMANA DE SANTIAGO S A</v>
          </cell>
        </row>
        <row r="13672">
          <cell r="Z13672" t="str">
            <v>ENDOSCOPÍA</v>
          </cell>
        </row>
        <row r="13673">
          <cell r="Z13673" t="str">
            <v>ENDOSCOPÍA</v>
          </cell>
        </row>
        <row r="13674">
          <cell r="Z13674" t="str">
            <v>ENDOSCOPÍA</v>
          </cell>
          <cell r="AA13674" t="str">
            <v>GEMCO GENERAL MACHINERY S.A.</v>
          </cell>
        </row>
        <row r="13675">
          <cell r="Z13675" t="str">
            <v>ENDOSCOPÍA</v>
          </cell>
          <cell r="AA13675" t="str">
            <v>CLINICA ALEMANA DE SANTIAGO S A</v>
          </cell>
        </row>
        <row r="13676">
          <cell r="Z13676" t="str">
            <v>ENDOSCOPÍA</v>
          </cell>
          <cell r="AA13676" t="str">
            <v>CLINICA ALEMANA DE SANTIAGO S A</v>
          </cell>
        </row>
        <row r="13677">
          <cell r="Z13677" t="str">
            <v>ENDOSCOPÍA</v>
          </cell>
          <cell r="AA13677" t="str">
            <v>CLINICA ALEMANA DE SANTIAGO S A</v>
          </cell>
        </row>
        <row r="13678">
          <cell r="Z13678" t="str">
            <v>ENDOSCOPÍA</v>
          </cell>
          <cell r="AA13678" t="str">
            <v xml:space="preserve">HOSPITAL SAN CAMILO  </v>
          </cell>
        </row>
        <row r="13679">
          <cell r="Z13679" t="str">
            <v>ENDOSCOPÍA</v>
          </cell>
        </row>
        <row r="13680">
          <cell r="Z13680" t="str">
            <v>ENDOSCOPÍA</v>
          </cell>
          <cell r="AA13680" t="str">
            <v>UC CHRISTUS SERVICIOS AMBULATORIOS SPA</v>
          </cell>
        </row>
        <row r="13681">
          <cell r="Z13681" t="str">
            <v>ENDOSCOPÍA</v>
          </cell>
          <cell r="AA13681" t="str">
            <v>UC CHRISTUS SERVICIOS AMBULATORIOS SPA</v>
          </cell>
        </row>
        <row r="13682">
          <cell r="Z13682" t="str">
            <v>ENDOSCOPÍA</v>
          </cell>
          <cell r="AA13682" t="str">
            <v>SOCIEDAD CONCESIONARIA METROPOLITANA DE SALUD S.A.</v>
          </cell>
        </row>
        <row r="13683">
          <cell r="Z13683" t="str">
            <v>ENDOSCOPÍA</v>
          </cell>
        </row>
        <row r="13684">
          <cell r="Z13684" t="str">
            <v>ENDOSCOPÍA</v>
          </cell>
          <cell r="AA13684" t="str">
            <v>PONTIFICIA UNIVERSIDAD CATOLICA DE CHILE</v>
          </cell>
        </row>
        <row r="13685">
          <cell r="Z13685" t="str">
            <v>ENDOSCOPÍA</v>
          </cell>
          <cell r="AA13685" t="str">
            <v>HOSPITAL DEL SALVADOR</v>
          </cell>
        </row>
        <row r="13686">
          <cell r="Z13686" t="str">
            <v>ENDOSCOPÍA</v>
          </cell>
        </row>
        <row r="13687">
          <cell r="Z13687" t="str">
            <v>ENDOSCOPÍA</v>
          </cell>
          <cell r="AA13687" t="str">
            <v>ACHS</v>
          </cell>
        </row>
        <row r="13688">
          <cell r="Z13688" t="str">
            <v>ENDOSCOPÍA</v>
          </cell>
          <cell r="AA13688" t="str">
            <v>PONTIFICIA UNIVERSIDAD CATOLICA DE CHILE</v>
          </cell>
        </row>
        <row r="13689">
          <cell r="Z13689" t="str">
            <v>ENDOSCOPÍA</v>
          </cell>
          <cell r="AA13689" t="str">
            <v>GEMCO GENERAL MACHINERY S.A.</v>
          </cell>
        </row>
        <row r="13690">
          <cell r="Z13690" t="str">
            <v>ENDOSCOPÍA</v>
          </cell>
          <cell r="AA13690" t="str">
            <v>SOCIEDAD CONCESIONARIA METROPOLITANA DE SALUD S.A.</v>
          </cell>
        </row>
        <row r="13691">
          <cell r="Z13691" t="str">
            <v>ENDOSCOPÍA</v>
          </cell>
        </row>
        <row r="13692">
          <cell r="Z13692" t="str">
            <v>ENDOSCOPÍA</v>
          </cell>
          <cell r="AA13692" t="str">
            <v>PONTIFICIA UNIVERSIDAD CATOLICA DE CHILE</v>
          </cell>
        </row>
        <row r="13693">
          <cell r="Z13693" t="str">
            <v>ENDOSCOPÍA</v>
          </cell>
          <cell r="AA13693" t="str">
            <v>GEMCO GENERAL MACHINERY S.A.</v>
          </cell>
        </row>
        <row r="13694">
          <cell r="Z13694" t="str">
            <v>ENDOSCOPÍA</v>
          </cell>
          <cell r="AA13694" t="str">
            <v>GEMCO GENERAL MACHINERY S.A.</v>
          </cell>
        </row>
        <row r="13695">
          <cell r="Z13695" t="str">
            <v>ENDOSCOPÍA</v>
          </cell>
          <cell r="AA13695" t="str">
            <v>HOSPITAL DE PUERTO AYSEN</v>
          </cell>
        </row>
        <row r="13696">
          <cell r="Z13696" t="str">
            <v>ENDOSCOPÍA</v>
          </cell>
          <cell r="AA13696" t="str">
            <v>HOSPITAL DE ILLAPEL</v>
          </cell>
        </row>
        <row r="13697">
          <cell r="Z13697" t="str">
            <v>ENDOSCOPÍA</v>
          </cell>
          <cell r="AA13697" t="str">
            <v>INSTITUTO DE SEGURIDAD DEL TRABAJO</v>
          </cell>
        </row>
        <row r="13698">
          <cell r="Z13698" t="str">
            <v>ENDOSCOPÍA</v>
          </cell>
          <cell r="AA13698" t="str">
            <v>CENTRO CLINICO SAN BERNARDO</v>
          </cell>
        </row>
        <row r="13699">
          <cell r="Z13699" t="str">
            <v>ENDOSCOPÍA</v>
          </cell>
          <cell r="AA13699" t="str">
            <v>LABORATORIO CLINICO CENTRAL KOJCHEN Y COMPANIA LIMITADA</v>
          </cell>
        </row>
        <row r="13700">
          <cell r="Z13700" t="str">
            <v>ENDOSCOPÍA</v>
          </cell>
          <cell r="AA13700" t="str">
            <v>CLINICA BIO-BIO S.A.</v>
          </cell>
        </row>
        <row r="13701">
          <cell r="Z13701" t="str">
            <v>ENDOSCOPÍA</v>
          </cell>
          <cell r="AA13701" t="str">
            <v>CLINICA BIO-BIO S.A.</v>
          </cell>
        </row>
        <row r="13702">
          <cell r="Z13702" t="str">
            <v>ENDOSCOPÍA</v>
          </cell>
          <cell r="AA13702" t="str">
            <v>HOSPITAL SAN PABLO DE COQUIMBO</v>
          </cell>
        </row>
        <row r="13703">
          <cell r="Z13703" t="str">
            <v>ENDOSCOPÍA</v>
          </cell>
          <cell r="AA13703" t="str">
            <v>HOSPITAL DE CASTRO</v>
          </cell>
        </row>
        <row r="13704">
          <cell r="Z13704" t="str">
            <v>ENDOSCOPÍA</v>
          </cell>
          <cell r="AA13704" t="str">
            <v>HOSPITAL METROPOLITANO DE SANTIAGO</v>
          </cell>
        </row>
        <row r="13705">
          <cell r="Z13705" t="str">
            <v>ENDOSCOPÍA</v>
          </cell>
          <cell r="AA13705" t="str">
            <v>HOSPITAL SAN PABLO DE COQUIMBO</v>
          </cell>
        </row>
        <row r="13706">
          <cell r="Z13706" t="str">
            <v>ENDOSCOPÍA</v>
          </cell>
          <cell r="AA13706" t="str">
            <v>HOSPITAL SAN PABLO DE COQUIMBO</v>
          </cell>
        </row>
        <row r="13707">
          <cell r="Z13707" t="str">
            <v>ENDOSCOPÍA</v>
          </cell>
          <cell r="AA13707" t="str">
            <v>HOSPITAL SAN PABLO DE COQUIMBO</v>
          </cell>
        </row>
        <row r="13708">
          <cell r="Z13708" t="str">
            <v>ENDOSCOPÍA</v>
          </cell>
          <cell r="AA13708" t="str">
            <v>HOSPITAL SAN PABLO DE COQUIMBO</v>
          </cell>
        </row>
        <row r="13709">
          <cell r="Z13709" t="str">
            <v>ENDOSCOPÍA</v>
          </cell>
          <cell r="AA13709" t="str">
            <v>GEMCO GENERAL MACHINERY S.A.</v>
          </cell>
        </row>
        <row r="13710">
          <cell r="Z13710" t="str">
            <v>ENDOSCOPÍA</v>
          </cell>
          <cell r="AA13710" t="str">
            <v>HOSPITAL DE LAUTARO</v>
          </cell>
        </row>
        <row r="13711">
          <cell r="Z13711" t="str">
            <v>ENDOSCOPÍA</v>
          </cell>
          <cell r="AA13711" t="str">
            <v>GEMCO GENERAL MACHINERY S.A.</v>
          </cell>
        </row>
        <row r="13712">
          <cell r="Z13712" t="str">
            <v>ENDOSCOPÍA</v>
          </cell>
          <cell r="AA13712" t="str">
            <v>GEMCO GENERAL MACHINERY S.A.</v>
          </cell>
        </row>
        <row r="13713">
          <cell r="Z13713" t="str">
            <v>ENDOSCOPÍA</v>
          </cell>
          <cell r="AA13713" t="str">
            <v>HOSPITAL LOS VILOS</v>
          </cell>
        </row>
        <row r="13714">
          <cell r="Z13714" t="str">
            <v>ENDOSCOPÍA</v>
          </cell>
        </row>
        <row r="13715">
          <cell r="Z13715" t="str">
            <v>ENDOSCOPÍA</v>
          </cell>
        </row>
        <row r="13716">
          <cell r="Z13716" t="str">
            <v>ENDOSCOPÍA</v>
          </cell>
        </row>
        <row r="13717">
          <cell r="Z13717" t="str">
            <v>ENDOSCOPÍA</v>
          </cell>
          <cell r="AA13717" t="str">
            <v>POLICIA DE INVESTIGACIONES DE CHILE</v>
          </cell>
        </row>
        <row r="13718">
          <cell r="Z13718" t="str">
            <v>ENDOSCOPÍA</v>
          </cell>
          <cell r="AA13718" t="str">
            <v>HOSPITAL EDUARDO PEREIRA</v>
          </cell>
        </row>
        <row r="13719">
          <cell r="Z13719" t="str">
            <v>ENDOSCOPÍA</v>
          </cell>
          <cell r="AA13719" t="str">
            <v>HOSPITAL DE CASTRO</v>
          </cell>
        </row>
        <row r="13720">
          <cell r="Z13720" t="str">
            <v>ENDOSCOPÍA</v>
          </cell>
          <cell r="AA13720" t="str">
            <v>HOSPITAL EDUARDO PEREIRA</v>
          </cell>
        </row>
        <row r="13721">
          <cell r="Z13721" t="str">
            <v>ENDOSCOPÍA</v>
          </cell>
          <cell r="AA13721" t="str">
            <v>HOSPITAL DE ILLAPEL</v>
          </cell>
        </row>
        <row r="13722">
          <cell r="Z13722" t="str">
            <v>ENDOSCOPÍA</v>
          </cell>
        </row>
        <row r="13723">
          <cell r="Z13723" t="str">
            <v>ENDOSCOPÍA</v>
          </cell>
          <cell r="AA13723" t="str">
            <v>HOSPITAL CARLOS CISTERNA DE CALAMA</v>
          </cell>
        </row>
        <row r="13724">
          <cell r="Z13724" t="str">
            <v>ENDOSCOPÍA</v>
          </cell>
        </row>
        <row r="13725">
          <cell r="Z13725" t="str">
            <v>ENDOSCOPÍA</v>
          </cell>
          <cell r="AA13725" t="str">
            <v>HOSPITAL DE URGENCIA ASISTENCIA PUBLICA DR. ALEJ</v>
          </cell>
        </row>
        <row r="13726">
          <cell r="Z13726" t="str">
            <v>ENDOSCOPÍA</v>
          </cell>
          <cell r="AA13726" t="str">
            <v>HOSPITAL DEL SALVADOR</v>
          </cell>
        </row>
        <row r="13727">
          <cell r="Z13727" t="str">
            <v>ENDOSCOPÍA</v>
          </cell>
        </row>
        <row r="13728">
          <cell r="Z13728" t="str">
            <v>ENDOSCOPÍA</v>
          </cell>
          <cell r="AA13728" t="str">
            <v>CLÍNICA INTERMEDICAL LTDA.</v>
          </cell>
        </row>
        <row r="13729">
          <cell r="Z13729" t="str">
            <v>ENDOSCOPÍA</v>
          </cell>
          <cell r="AA13729" t="str">
            <v>HOSPITAL SAN PABLO DE COQUIMBO</v>
          </cell>
        </row>
        <row r="13730">
          <cell r="Z13730" t="str">
            <v>ENDOSCOPÍA</v>
          </cell>
          <cell r="AA13730" t="str">
            <v>HOSPITAL SAN PABLO DE COQUIMBO</v>
          </cell>
        </row>
        <row r="13731">
          <cell r="Z13731" t="str">
            <v>ENDOSCOPÍA</v>
          </cell>
          <cell r="AA13731" t="str">
            <v>CLINICA REDMEDICAL</v>
          </cell>
        </row>
        <row r="13732">
          <cell r="Z13732" t="str">
            <v>ENDOSCOPÍA</v>
          </cell>
          <cell r="AA13732" t="str">
            <v>GEMCO GENERAL MACHINERY S.A.</v>
          </cell>
        </row>
        <row r="13733">
          <cell r="Z13733" t="str">
            <v>ENDOSCOPÍA</v>
          </cell>
        </row>
        <row r="13734">
          <cell r="Z13734" t="str">
            <v>ENDOSCOPÍA</v>
          </cell>
          <cell r="AA13734" t="str">
            <v>GEMCO GENERAL MACHINERY S.A.</v>
          </cell>
        </row>
        <row r="13735">
          <cell r="Z13735" t="str">
            <v>ENDOSCOPÍA</v>
          </cell>
          <cell r="AA13735" t="str">
            <v>HOSPITAL CLINICO IST VIÑA DEL MAR</v>
          </cell>
        </row>
        <row r="13736">
          <cell r="Z13736" t="str">
            <v>ENDOSCOPÍA</v>
          </cell>
        </row>
        <row r="13737">
          <cell r="Z13737" t="str">
            <v>ENDOSCOPÍA</v>
          </cell>
          <cell r="AA13737" t="str">
            <v>ACHS</v>
          </cell>
        </row>
        <row r="13738">
          <cell r="Z13738" t="str">
            <v>ENDOSCOPÍA</v>
          </cell>
        </row>
        <row r="13739">
          <cell r="Z13739" t="str">
            <v>ENDOSCOPÍA</v>
          </cell>
          <cell r="AA13739" t="str">
            <v>SOCIEDAD CONCESIONARIA METROPOLITANA DE SALUD S.A.</v>
          </cell>
        </row>
        <row r="13740">
          <cell r="Z13740" t="str">
            <v>ENDOSCOPÍA</v>
          </cell>
          <cell r="AA13740" t="str">
            <v>HOSPITAL DE PUERTO MONTT</v>
          </cell>
        </row>
        <row r="13741">
          <cell r="Z13741" t="str">
            <v>ENDOSCOPÍA</v>
          </cell>
          <cell r="AA13741" t="str">
            <v>HOSPITAL DE PUERTO MONTT</v>
          </cell>
        </row>
        <row r="13742">
          <cell r="Z13742" t="str">
            <v>ENDOSCOPÍA</v>
          </cell>
          <cell r="AA13742" t="str">
            <v>HOSPITAL DE PUERTO MONTT</v>
          </cell>
        </row>
        <row r="13743">
          <cell r="Z13743" t="str">
            <v>ENDOSCOPÍA</v>
          </cell>
          <cell r="AA13743" t="str">
            <v>HOSPITAL DE PUERTO MONTT</v>
          </cell>
        </row>
        <row r="13744">
          <cell r="Z13744" t="str">
            <v>ENDOSCOPÍA</v>
          </cell>
          <cell r="AA13744" t="str">
            <v>HOSPITAL DE PUERTO MONTT</v>
          </cell>
        </row>
        <row r="13745">
          <cell r="Z13745" t="str">
            <v>ENDOSCOPÍA</v>
          </cell>
        </row>
        <row r="13746">
          <cell r="Z13746" t="str">
            <v>ENDOSCOPÍA</v>
          </cell>
        </row>
        <row r="13747">
          <cell r="Z13747" t="str">
            <v>ENDOSCOPÍA</v>
          </cell>
        </row>
        <row r="13748">
          <cell r="Z13748" t="str">
            <v>ENDOSCOPÍA</v>
          </cell>
          <cell r="AA13748" t="str">
            <v>GEMCO GENERAL MACHINERY S.A.</v>
          </cell>
        </row>
        <row r="13749">
          <cell r="Z13749" t="str">
            <v>ENDOSCOPÍA</v>
          </cell>
          <cell r="AA13749" t="str">
            <v>HOSPITAL DE URGENCIA ASISTENCIA PUBLICA DR. ALEJ</v>
          </cell>
        </row>
        <row r="13750">
          <cell r="Z13750" t="str">
            <v>ENDOSCOPÍA</v>
          </cell>
          <cell r="AA13750" t="str">
            <v>HOSPITAL METROPOLITANO DE SANTIAGO</v>
          </cell>
        </row>
        <row r="13751">
          <cell r="Z13751" t="str">
            <v>ENDOSCOPÍA</v>
          </cell>
          <cell r="AA13751" t="str">
            <v>HOSPITAL METROPOLITANO DE SANTIAGO</v>
          </cell>
        </row>
        <row r="13752">
          <cell r="Z13752" t="str">
            <v>ESTERILIZACIÓN</v>
          </cell>
          <cell r="AA13752" t="str">
            <v>CORP MUNICIPAL DE EDUCACION Y SERVICIOS RAMON FREIRE</v>
          </cell>
        </row>
        <row r="13753">
          <cell r="Z13753" t="str">
            <v>ESTERILIZACIÓN</v>
          </cell>
          <cell r="AA13753" t="str">
            <v>CORP MUNICIPAL DE EDUCACION Y SERVICIOS RAMON FREIRE</v>
          </cell>
        </row>
        <row r="13754">
          <cell r="Z13754" t="str">
            <v>ESTERILIZACIÓN</v>
          </cell>
          <cell r="AA13754" t="str">
            <v>CLÍNICA ANDES SALUD PUERTO MONTT S.A.</v>
          </cell>
        </row>
        <row r="13755">
          <cell r="Z13755" t="str">
            <v>ESTERILIZACIÓN</v>
          </cell>
          <cell r="AA13755" t="str">
            <v>CLÍNICA ANDES SALUD PUERTO MONTT S.A.</v>
          </cell>
        </row>
        <row r="13756">
          <cell r="Z13756" t="str">
            <v>ESTERILIZACIÓN</v>
          </cell>
          <cell r="AA13756" t="str">
            <v>CLÍNICA ANDES SALUD PUERTO MONTT S.A.</v>
          </cell>
        </row>
        <row r="13757">
          <cell r="Z13757" t="str">
            <v>ESTERILIZACIÓN</v>
          </cell>
          <cell r="AA13757" t="str">
            <v>CLÍNICA ANDES SALUD PUERTO MONTT S.A.</v>
          </cell>
        </row>
        <row r="13758">
          <cell r="Z13758" t="str">
            <v>ESTERILIZACIÓN</v>
          </cell>
          <cell r="AA13758" t="str">
            <v>CLÍNICA ANDES SALUD PUERTO MONTT S.A.</v>
          </cell>
        </row>
        <row r="13759">
          <cell r="Z13759" t="str">
            <v>ESTERILIZACIÓN</v>
          </cell>
          <cell r="AA13759" t="str">
            <v>CLÍNICA ANDES SALUD PUERTO MONTT S.A.</v>
          </cell>
        </row>
        <row r="13760">
          <cell r="Z13760" t="str">
            <v>ESTERILIZACIÓN</v>
          </cell>
          <cell r="AA13760" t="str">
            <v>CLÍNICA ANDES SALUD PUERTO MONTT S.A.</v>
          </cell>
        </row>
        <row r="13761">
          <cell r="Z13761" t="str">
            <v>ESTERILIZACIÓN</v>
          </cell>
          <cell r="AA13761" t="str">
            <v>CLÍNICA ANDES SALUD PUERTO MONTT S.A.</v>
          </cell>
        </row>
        <row r="13762">
          <cell r="Z13762" t="str">
            <v>ESTERILIZACIÓN</v>
          </cell>
          <cell r="AA13762" t="str">
            <v>CLÍNICA ANDES SALUD PUERTO MONTT S.A.</v>
          </cell>
        </row>
        <row r="13763">
          <cell r="Z13763" t="str">
            <v>ESTERILIZACIÓN</v>
          </cell>
          <cell r="AA13763" t="str">
            <v>CLÍNICA ANDES SALUD PUERTO MONTT S.A.</v>
          </cell>
        </row>
        <row r="13764">
          <cell r="Z13764" t="str">
            <v>ESTERILIZACIÓN</v>
          </cell>
          <cell r="AA13764" t="str">
            <v>CLÍNICA ANDES SALUD PUERTO MONTT S.A.</v>
          </cell>
        </row>
        <row r="13765">
          <cell r="Z13765" t="str">
            <v>ESTERILIZACIÓN</v>
          </cell>
          <cell r="AA13765" t="str">
            <v>CLÍNICA ANDES SALUD PUERTO MONTT S.A.</v>
          </cell>
        </row>
      </sheetData>
      <sheetData sheetId="10">
        <row r="1">
          <cell r="T1" t="str">
            <v>Total Linea Venta</v>
          </cell>
          <cell r="AX1" t="str">
            <v>Tipo_vf</v>
          </cell>
          <cell r="AY1" t="str">
            <v>Nombre Facturación</v>
          </cell>
        </row>
        <row r="2">
          <cell r="T2">
            <v>302770</v>
          </cell>
          <cell r="AX2" t="str">
            <v>Preventivo</v>
          </cell>
          <cell r="AY2" t="str">
            <v>CLINICA REÑACA</v>
          </cell>
        </row>
        <row r="3">
          <cell r="T3">
            <v>19825</v>
          </cell>
          <cell r="AX3" t="str">
            <v>Correctivo</v>
          </cell>
          <cell r="AY3" t="str">
            <v>INSUMOS Y SERVICIOS MEDICOS S.A.</v>
          </cell>
        </row>
        <row r="4">
          <cell r="T4">
            <v>61335</v>
          </cell>
          <cell r="AX4" t="str">
            <v>Correctivo</v>
          </cell>
          <cell r="AY4" t="str">
            <v>INSUMOS Y SERVICIOS MEDICOS S.A.</v>
          </cell>
        </row>
        <row r="5">
          <cell r="T5">
            <v>174613</v>
          </cell>
          <cell r="AX5" t="str">
            <v>Correctivo</v>
          </cell>
          <cell r="AY5" t="str">
            <v>REDLASER CONCEPCION SPA</v>
          </cell>
        </row>
        <row r="6">
          <cell r="T6">
            <v>6274800</v>
          </cell>
          <cell r="AX6" t="str">
            <v>Correctivo</v>
          </cell>
          <cell r="AY6" t="str">
            <v>HOSPITAL SAN LUIS BUIN</v>
          </cell>
        </row>
        <row r="7">
          <cell r="T7">
            <v>6234772</v>
          </cell>
          <cell r="AX7" t="str">
            <v>Correctivo</v>
          </cell>
          <cell r="AY7" t="str">
            <v>HOSPITAL VICTORIA</v>
          </cell>
        </row>
        <row r="8">
          <cell r="T8">
            <v>3801912</v>
          </cell>
          <cell r="AX8" t="str">
            <v>Correctivo</v>
          </cell>
          <cell r="AY8" t="str">
            <v>HOSPITAL EXEQUIEL GONZALEZ CORTES</v>
          </cell>
        </row>
        <row r="9">
          <cell r="T9">
            <v>6234772</v>
          </cell>
          <cell r="AX9" t="str">
            <v>Correctivo</v>
          </cell>
          <cell r="AY9" t="str">
            <v>HOSPITAL VICTORIA</v>
          </cell>
        </row>
        <row r="10">
          <cell r="T10">
            <v>60570</v>
          </cell>
          <cell r="AX10" t="str">
            <v>Correctivo</v>
          </cell>
          <cell r="AY10" t="str">
            <v>HOSPITAL REGIONAL DE ARICA DR. JUAN NOÉ CREVANI</v>
          </cell>
        </row>
        <row r="11">
          <cell r="T11">
            <v>5475</v>
          </cell>
          <cell r="AX11" t="str">
            <v>Correctivo</v>
          </cell>
          <cell r="AY11" t="str">
            <v>INSUMOS Y SERVICIOS MEDICOS S.A.</v>
          </cell>
        </row>
        <row r="12">
          <cell r="T12">
            <v>4380</v>
          </cell>
          <cell r="AX12" t="str">
            <v>Correctivo</v>
          </cell>
          <cell r="AY12" t="str">
            <v>HOSPITAL CARLOS VAN BUREN</v>
          </cell>
        </row>
        <row r="13">
          <cell r="T13">
            <v>6084</v>
          </cell>
          <cell r="AX13" t="str">
            <v>Correctivo</v>
          </cell>
          <cell r="AY13" t="str">
            <v>SOCIEDAD CONCESIONARIA METROPOLITANA DE SALUD S.A.</v>
          </cell>
        </row>
        <row r="14">
          <cell r="T14">
            <v>12810</v>
          </cell>
          <cell r="AX14" t="str">
            <v>Correctivo</v>
          </cell>
          <cell r="AY14" t="str">
            <v>INSUMOS Y SERVICIOS MEDICOS S.A.</v>
          </cell>
        </row>
        <row r="15">
          <cell r="T15">
            <v>230776</v>
          </cell>
          <cell r="AX15" t="str">
            <v>Correctivo</v>
          </cell>
          <cell r="AY15" t="str">
            <v>HOSPITAL REGIONAL DE ARICA DR. JUAN NOÉ CREVANI</v>
          </cell>
        </row>
        <row r="16">
          <cell r="T16">
            <v>24798</v>
          </cell>
          <cell r="AX16" t="str">
            <v>Correctivo</v>
          </cell>
          <cell r="AY16" t="str">
            <v>HOSPITAL REGIONAL DE ARICA DR. JUAN NOÉ CREVANI</v>
          </cell>
        </row>
        <row r="17">
          <cell r="T17">
            <v>250000</v>
          </cell>
          <cell r="AX17" t="str">
            <v>Correctivo</v>
          </cell>
          <cell r="AY17">
            <v>0</v>
          </cell>
        </row>
        <row r="18">
          <cell r="T18">
            <v>3240</v>
          </cell>
          <cell r="AX18" t="str">
            <v>Correctivo</v>
          </cell>
          <cell r="AY18" t="str">
            <v>HOSPITAL EXEQUIEL GONZALEZ CORTES</v>
          </cell>
        </row>
        <row r="19">
          <cell r="T19">
            <v>138375</v>
          </cell>
          <cell r="AX19" t="str">
            <v>Correctivo</v>
          </cell>
          <cell r="AY19" t="str">
            <v>HOSPITAL COMPLEJO ASISTENCIAL PADRE LAS CASAS</v>
          </cell>
        </row>
        <row r="20">
          <cell r="T20">
            <v>398848</v>
          </cell>
          <cell r="AX20" t="str">
            <v>Correctivo</v>
          </cell>
          <cell r="AY20" t="str">
            <v>JOHNSON &amp; JOHNSON DE CHILE S.A.</v>
          </cell>
        </row>
        <row r="21">
          <cell r="T21">
            <v>413888</v>
          </cell>
          <cell r="AX21" t="str">
            <v>Correctivo</v>
          </cell>
          <cell r="AY21" t="str">
            <v>HOSPITAL COMPLEJO ASISTENCIAL PADRE LAS CASAS</v>
          </cell>
        </row>
        <row r="22">
          <cell r="T22">
            <v>414848</v>
          </cell>
          <cell r="AX22" t="str">
            <v>Correctivo</v>
          </cell>
          <cell r="AY22" t="str">
            <v>JOHNSON &amp; JOHNSON DE CHILE S.A.</v>
          </cell>
        </row>
        <row r="23">
          <cell r="T23">
            <v>1475168</v>
          </cell>
          <cell r="AX23" t="str">
            <v>Correctivo</v>
          </cell>
          <cell r="AY23" t="str">
            <v>INSUMOS Y SERVICIOS MEDICOS S.A.</v>
          </cell>
        </row>
        <row r="24">
          <cell r="T24">
            <v>1475168</v>
          </cell>
          <cell r="AX24" t="str">
            <v>Correctivo</v>
          </cell>
          <cell r="AY24" t="str">
            <v>INSUMOS Y SERVICIOS MEDICOS S.A.</v>
          </cell>
        </row>
        <row r="25">
          <cell r="T25">
            <v>3236625</v>
          </cell>
          <cell r="AX25" t="str">
            <v>Correctivo</v>
          </cell>
          <cell r="AY25" t="str">
            <v>SERVICIO DE SALUD OSORNO</v>
          </cell>
        </row>
        <row r="26">
          <cell r="T26">
            <v>16486</v>
          </cell>
          <cell r="AX26" t="str">
            <v>Correctivo</v>
          </cell>
          <cell r="AY26" t="str">
            <v>SOCIEDAD CONCESIONARIA METROPOLITANA DE SALUD S.A.</v>
          </cell>
        </row>
        <row r="27">
          <cell r="T27">
            <v>60139</v>
          </cell>
          <cell r="AX27" t="str">
            <v>Correctivo</v>
          </cell>
          <cell r="AY27" t="str">
            <v>INSUMOS Y SERVICIOS MEDICOS S.A.</v>
          </cell>
        </row>
        <row r="28">
          <cell r="T28">
            <v>4838400</v>
          </cell>
          <cell r="AX28" t="str">
            <v>Correctivo</v>
          </cell>
          <cell r="AY28" t="str">
            <v>JOHNSON &amp; JOHNSON DE CHILE S.A.</v>
          </cell>
        </row>
        <row r="29">
          <cell r="T29">
            <v>213018</v>
          </cell>
          <cell r="AX29" t="str">
            <v>Correctivo</v>
          </cell>
          <cell r="AY29" t="str">
            <v>JOHNSON &amp; JOHNSON DE CHILE S.A.</v>
          </cell>
        </row>
        <row r="30">
          <cell r="T30">
            <v>100698</v>
          </cell>
          <cell r="AX30" t="str">
            <v>Correctivo</v>
          </cell>
          <cell r="AY30" t="str">
            <v>HOSPITAL BARROS LUCO TRUDEAU</v>
          </cell>
        </row>
        <row r="31">
          <cell r="T31">
            <v>276000</v>
          </cell>
          <cell r="AX31" t="str">
            <v>Correctivo</v>
          </cell>
          <cell r="AY31" t="str">
            <v>INSTITUTO DE DIAGNOSTICO S.A.</v>
          </cell>
        </row>
        <row r="32">
          <cell r="T32">
            <v>132000</v>
          </cell>
          <cell r="AX32" t="str">
            <v>Correctivo</v>
          </cell>
          <cell r="AY32" t="str">
            <v>HOSPITAL DE URGENCIA ASISTENCIA PUBLICA DR. ALEJ</v>
          </cell>
        </row>
        <row r="33">
          <cell r="T33">
            <v>16922</v>
          </cell>
          <cell r="AX33" t="str">
            <v>Correctivo</v>
          </cell>
          <cell r="AY33" t="str">
            <v>INSUMOS Y SERVICIOS MEDICOS S.A.</v>
          </cell>
        </row>
        <row r="34">
          <cell r="T34">
            <v>3224385</v>
          </cell>
          <cell r="AX34" t="str">
            <v>Correctivo</v>
          </cell>
          <cell r="AY34" t="str">
            <v>CLINICA ALEMANA DE SANTIAGO S A</v>
          </cell>
        </row>
        <row r="35">
          <cell r="T35">
            <v>2079000</v>
          </cell>
          <cell r="AX35" t="str">
            <v>Correctivo</v>
          </cell>
          <cell r="AY35" t="str">
            <v>UC CHRISTUS SERVICIOS AMBULATORIOS SPA</v>
          </cell>
        </row>
        <row r="36">
          <cell r="T36">
            <v>895106</v>
          </cell>
          <cell r="AX36" t="str">
            <v>Correctivo</v>
          </cell>
          <cell r="AY36" t="str">
            <v>CENTRO DE OFTALMOLOGIA DR.DAVID BITRAN S.A.</v>
          </cell>
        </row>
        <row r="37">
          <cell r="T37">
            <v>2851993</v>
          </cell>
          <cell r="AX37" t="str">
            <v>Correctivo</v>
          </cell>
          <cell r="AY37">
            <v>0</v>
          </cell>
        </row>
        <row r="38">
          <cell r="T38">
            <v>774461</v>
          </cell>
          <cell r="AX38" t="str">
            <v>Correctivo</v>
          </cell>
          <cell r="AY38" t="str">
            <v>HOSPITAL MILITAR DE SANTIAGO</v>
          </cell>
        </row>
        <row r="39">
          <cell r="T39">
            <v>631019</v>
          </cell>
          <cell r="AX39" t="str">
            <v>Correctivo</v>
          </cell>
          <cell r="AY39" t="str">
            <v>HOSPITAL DR. HERNAN HENRIQUEZ ARAVENA</v>
          </cell>
        </row>
        <row r="40">
          <cell r="T40">
            <v>631019</v>
          </cell>
          <cell r="AX40" t="str">
            <v>Correctivo</v>
          </cell>
          <cell r="AY40" t="str">
            <v>HOSPITAL DR. HERNAN HENRIQUEZ ARAVENA</v>
          </cell>
        </row>
        <row r="41">
          <cell r="T41">
            <v>3440994</v>
          </cell>
          <cell r="AX41" t="str">
            <v>Correctivo</v>
          </cell>
          <cell r="AY41" t="str">
            <v>HOSPITAL DEL SALVADOR</v>
          </cell>
        </row>
        <row r="42">
          <cell r="T42">
            <v>773890</v>
          </cell>
          <cell r="AX42" t="str">
            <v>Correctivo</v>
          </cell>
          <cell r="AY42" t="str">
            <v>HOSPITAL MILITAR DE SANTIAGO</v>
          </cell>
        </row>
        <row r="43">
          <cell r="T43">
            <v>3440994</v>
          </cell>
          <cell r="AX43" t="str">
            <v>Correctivo</v>
          </cell>
          <cell r="AY43" t="str">
            <v>HOSPITAL DEL SALVADOR</v>
          </cell>
        </row>
        <row r="44">
          <cell r="T44">
            <v>608025</v>
          </cell>
          <cell r="AX44" t="str">
            <v>Correctivo</v>
          </cell>
          <cell r="AY44" t="str">
            <v>HOSPITAL LUIS CALVO MACKENNA</v>
          </cell>
        </row>
        <row r="45">
          <cell r="T45">
            <v>1725884</v>
          </cell>
          <cell r="AX45" t="str">
            <v>Correctivo</v>
          </cell>
          <cell r="AY45" t="str">
            <v>HOSPITAL METROPOLITANO DE SANTIAGO</v>
          </cell>
        </row>
        <row r="46">
          <cell r="T46">
            <v>1733356</v>
          </cell>
          <cell r="AX46" t="str">
            <v>Correctivo</v>
          </cell>
          <cell r="AY46" t="str">
            <v>HOSPITAL METROPOLITANO DE SANTIAGO</v>
          </cell>
        </row>
        <row r="47">
          <cell r="T47">
            <v>780754</v>
          </cell>
          <cell r="AX47" t="str">
            <v>Correctivo</v>
          </cell>
          <cell r="AY47" t="str">
            <v>HOSPITAL MILITAR DE SANTIAGO</v>
          </cell>
        </row>
        <row r="48">
          <cell r="T48">
            <v>294185</v>
          </cell>
          <cell r="AX48" t="str">
            <v>Correctivo</v>
          </cell>
          <cell r="AY48" t="str">
            <v>CORPORACION DE AYUDA AL NIÑO QUEMADO</v>
          </cell>
        </row>
        <row r="49">
          <cell r="T49">
            <v>416566</v>
          </cell>
          <cell r="AX49" t="str">
            <v>Correctivo</v>
          </cell>
          <cell r="AY49" t="str">
            <v>SOCIEDAD CMA-COSTANERA S.A.</v>
          </cell>
        </row>
        <row r="50">
          <cell r="T50">
            <v>917856</v>
          </cell>
          <cell r="AX50" t="str">
            <v>Correctivo</v>
          </cell>
          <cell r="AY50" t="str">
            <v>UNIVERSIDAD FINIS TERRAE</v>
          </cell>
        </row>
        <row r="51">
          <cell r="T51">
            <v>5491448</v>
          </cell>
          <cell r="AX51" t="str">
            <v>Correctivo</v>
          </cell>
          <cell r="AY51" t="str">
            <v>INSUMOS Y SERVICIOS MEDICOS S.A.</v>
          </cell>
        </row>
        <row r="52">
          <cell r="T52">
            <v>451083</v>
          </cell>
          <cell r="AX52" t="str">
            <v>Correctivo</v>
          </cell>
          <cell r="AY52" t="str">
            <v>SERVICIOS CLINICOS DEL DESARROLLO S.A</v>
          </cell>
        </row>
        <row r="53">
          <cell r="T53">
            <v>1204423</v>
          </cell>
          <cell r="AX53" t="str">
            <v>Correctivo</v>
          </cell>
          <cell r="AY53" t="str">
            <v>HOSPITAL DE PURRANQUE</v>
          </cell>
        </row>
        <row r="54">
          <cell r="T54">
            <v>1204423</v>
          </cell>
          <cell r="AX54" t="str">
            <v>Correctivo</v>
          </cell>
          <cell r="AY54" t="str">
            <v>HOSPITAL DE PURRANQUE</v>
          </cell>
        </row>
        <row r="55">
          <cell r="T55">
            <v>6630219</v>
          </cell>
          <cell r="AX55" t="str">
            <v>Correctivo</v>
          </cell>
          <cell r="AY55" t="str">
            <v>HOSPITAL DE PUERTO AYSEN</v>
          </cell>
        </row>
        <row r="56">
          <cell r="T56">
            <v>21132269</v>
          </cell>
          <cell r="AX56" t="str">
            <v>Correctivo</v>
          </cell>
          <cell r="AY56" t="str">
            <v>SOCIEDAD CONCESIONARIA METROPOLITANA DE SALUD S.A.</v>
          </cell>
        </row>
        <row r="57">
          <cell r="T57">
            <v>793369</v>
          </cell>
          <cell r="AX57" t="str">
            <v>Correctivo</v>
          </cell>
          <cell r="AY57" t="str">
            <v>CLINICA WLK SA</v>
          </cell>
        </row>
        <row r="58">
          <cell r="T58">
            <v>631019</v>
          </cell>
          <cell r="AX58" t="str">
            <v>Correctivo</v>
          </cell>
          <cell r="AY58" t="str">
            <v>HOSPITAL DR. HERNAN HENRIQUEZ ARAVENA</v>
          </cell>
        </row>
        <row r="59">
          <cell r="T59">
            <v>631019</v>
          </cell>
          <cell r="AX59" t="str">
            <v>Correctivo</v>
          </cell>
          <cell r="AY59" t="str">
            <v>HOSPITAL DR. HERNAN HENRIQUEZ ARAVENA</v>
          </cell>
        </row>
        <row r="60">
          <cell r="T60">
            <v>631019</v>
          </cell>
          <cell r="AX60" t="str">
            <v>Correctivo</v>
          </cell>
          <cell r="AY60" t="str">
            <v>HOSPITAL DR. HERNAN HENRIQUEZ ARAVENA</v>
          </cell>
        </row>
        <row r="61">
          <cell r="T61">
            <v>626810</v>
          </cell>
          <cell r="AX61" t="str">
            <v>Correctivo</v>
          </cell>
          <cell r="AY61" t="str">
            <v>CESFAM MIRAFLORES</v>
          </cell>
        </row>
        <row r="62">
          <cell r="T62">
            <v>273399</v>
          </cell>
          <cell r="AX62" t="str">
            <v>Correctivo</v>
          </cell>
          <cell r="AY62" t="str">
            <v>INSTITUTO OFTALMOLÓGICO PUERTA DEL SOL S.A.</v>
          </cell>
        </row>
        <row r="63">
          <cell r="T63">
            <v>631019</v>
          </cell>
          <cell r="AX63" t="str">
            <v>Correctivo</v>
          </cell>
          <cell r="AY63" t="str">
            <v>HOSPITAL DR. HERNAN HENRIQUEZ ARAVENA</v>
          </cell>
        </row>
        <row r="64">
          <cell r="T64">
            <v>21205372</v>
          </cell>
          <cell r="AX64" t="str">
            <v>Correctivo</v>
          </cell>
          <cell r="AY64" t="str">
            <v>SOCIEDAD CONCESIONARIA METROPOLITANA DE SALUD S.A.</v>
          </cell>
        </row>
        <row r="65">
          <cell r="T65">
            <v>608025</v>
          </cell>
          <cell r="AX65" t="str">
            <v>Correctivo</v>
          </cell>
          <cell r="AY65" t="str">
            <v>HOSPITAL LUIS CALVO MACKENNA</v>
          </cell>
        </row>
        <row r="66">
          <cell r="T66">
            <v>294405</v>
          </cell>
          <cell r="AX66" t="str">
            <v>Preventivo</v>
          </cell>
          <cell r="AY66" t="str">
            <v>CORPORACION DE AYUDA AL NIÑO QUEMADO</v>
          </cell>
        </row>
        <row r="67">
          <cell r="T67">
            <v>6618282</v>
          </cell>
          <cell r="AX67" t="str">
            <v>Preventivo</v>
          </cell>
          <cell r="AY67" t="str">
            <v>HOSPITAL DE PUERTO AYSEN</v>
          </cell>
        </row>
        <row r="68">
          <cell r="T68">
            <v>21155096</v>
          </cell>
          <cell r="AX68" t="str">
            <v>Preventivo</v>
          </cell>
          <cell r="AY68" t="str">
            <v>SOCIEDAD CONCESIONARIA METROPOLITANA DE SALUD S.A.</v>
          </cell>
        </row>
        <row r="69">
          <cell r="T69">
            <v>2217018</v>
          </cell>
          <cell r="AX69" t="str">
            <v>Preventivo</v>
          </cell>
          <cell r="AY69" t="str">
            <v>ILUSTRE MUNICIPALIDAD DE LOS ALAMOS - DEPTO. SALUD</v>
          </cell>
        </row>
        <row r="70">
          <cell r="T70">
            <v>6616135</v>
          </cell>
          <cell r="AX70" t="str">
            <v>Preventivo</v>
          </cell>
          <cell r="AY70" t="str">
            <v>HOSPITAL DE PUERTO AYSEN</v>
          </cell>
        </row>
        <row r="71">
          <cell r="T71">
            <v>1283606</v>
          </cell>
          <cell r="AX71" t="str">
            <v>Preventivo</v>
          </cell>
          <cell r="AY71" t="str">
            <v>FUNDACIÓN OFTALMOLÓGICA LOS ANDES</v>
          </cell>
        </row>
        <row r="72">
          <cell r="T72">
            <v>5497389</v>
          </cell>
          <cell r="AX72" t="str">
            <v>Preventivo</v>
          </cell>
          <cell r="AY72" t="str">
            <v>INSUMOS Y SERVICIOS MEDICOS S.A.</v>
          </cell>
        </row>
        <row r="73">
          <cell r="T73">
            <v>1658655</v>
          </cell>
          <cell r="AX73" t="str">
            <v>Preventivo</v>
          </cell>
          <cell r="AY73" t="str">
            <v>SERVICIO DE SALUD OSORNO</v>
          </cell>
        </row>
        <row r="74">
          <cell r="T74">
            <v>7948308</v>
          </cell>
          <cell r="AX74" t="str">
            <v>Preventivo</v>
          </cell>
          <cell r="AY74" t="str">
            <v>SERVICIO DE SALUD OSORNO</v>
          </cell>
        </row>
        <row r="75">
          <cell r="T75">
            <v>824608</v>
          </cell>
          <cell r="AX75" t="str">
            <v>Preventivo</v>
          </cell>
          <cell r="AY75" t="str">
            <v>CLINICA REDMEDICAL</v>
          </cell>
        </row>
        <row r="76">
          <cell r="T76">
            <v>386714</v>
          </cell>
          <cell r="AX76" t="str">
            <v>Preventivo</v>
          </cell>
          <cell r="AY76" t="str">
            <v>INSTITUTO NACIONAL DEL CANCER</v>
          </cell>
        </row>
        <row r="77">
          <cell r="T77">
            <v>228832</v>
          </cell>
          <cell r="AX77" t="str">
            <v>Preventivo</v>
          </cell>
          <cell r="AY77" t="str">
            <v>INSTITUTO NACIONAL DEL CANCER</v>
          </cell>
        </row>
        <row r="78">
          <cell r="T78">
            <v>1782210</v>
          </cell>
          <cell r="AX78" t="str">
            <v>Preventivo</v>
          </cell>
          <cell r="AY78" t="str">
            <v>HOSPITAL SAN LUIS BUIN</v>
          </cell>
        </row>
        <row r="79">
          <cell r="T79">
            <v>1719804</v>
          </cell>
          <cell r="AX79" t="str">
            <v>Preventivo</v>
          </cell>
          <cell r="AY79" t="str">
            <v>HOSPITAL SAN LUIS BUIN</v>
          </cell>
        </row>
        <row r="80">
          <cell r="T80">
            <v>341329</v>
          </cell>
          <cell r="AX80" t="str">
            <v>Preventivo</v>
          </cell>
          <cell r="AY80" t="str">
            <v>INSTITUTO NACIONAL DEL CANCER</v>
          </cell>
        </row>
        <row r="81">
          <cell r="T81">
            <v>549642</v>
          </cell>
          <cell r="AX81" t="str">
            <v>Correctivo</v>
          </cell>
          <cell r="AY81" t="str">
            <v>HOSPITAL METROPOLITANO DE SANTIAGO</v>
          </cell>
        </row>
        <row r="82">
          <cell r="T82">
            <v>783233</v>
          </cell>
          <cell r="AX82" t="str">
            <v>Correctivo</v>
          </cell>
          <cell r="AY82" t="str">
            <v>CLINICA WLK SA</v>
          </cell>
        </row>
        <row r="83">
          <cell r="T83">
            <v>549642</v>
          </cell>
          <cell r="AX83" t="str">
            <v>Preventivo</v>
          </cell>
          <cell r="AY83" t="str">
            <v>HOSPITAL METROPOLITANO DE SANTIAGO</v>
          </cell>
        </row>
        <row r="84">
          <cell r="T84">
            <v>896141</v>
          </cell>
          <cell r="AX84" t="str">
            <v>Preventivo</v>
          </cell>
          <cell r="AY84" t="str">
            <v>CENTRO DE OFTALMOLOGIA DR.DAVID BITRAN S.A.</v>
          </cell>
        </row>
        <row r="85">
          <cell r="T85">
            <v>608025</v>
          </cell>
          <cell r="AX85" t="str">
            <v>Correctivo</v>
          </cell>
          <cell r="AY85" t="str">
            <v>HOSPITAL LUIS CALVO MACKENNA</v>
          </cell>
        </row>
        <row r="86">
          <cell r="T86">
            <v>1727748</v>
          </cell>
          <cell r="AX86" t="str">
            <v>Preventivo</v>
          </cell>
          <cell r="AY86" t="str">
            <v>HOSPITAL METROPOLITANO DE SANTIAGO</v>
          </cell>
        </row>
        <row r="87">
          <cell r="T87">
            <v>627487</v>
          </cell>
          <cell r="AX87" t="str">
            <v>Correctivo</v>
          </cell>
          <cell r="AY87" t="str">
            <v>CESFAM MIRAFLORES</v>
          </cell>
        </row>
        <row r="88">
          <cell r="T88">
            <v>776170</v>
          </cell>
          <cell r="AX88" t="str">
            <v>Correctivo</v>
          </cell>
          <cell r="AY88" t="str">
            <v>HOSPITAL MILITAR DE SANTIAGO</v>
          </cell>
        </row>
        <row r="89">
          <cell r="T89">
            <v>1727440</v>
          </cell>
          <cell r="AX89" t="str">
            <v>Preventivo</v>
          </cell>
          <cell r="AY89" t="str">
            <v>HOSPITAL METROPOLITANO DE SANTIAGO</v>
          </cell>
        </row>
        <row r="90">
          <cell r="T90">
            <v>273399</v>
          </cell>
          <cell r="AX90" t="str">
            <v>Preventivo</v>
          </cell>
          <cell r="AY90" t="str">
            <v>INSTITUTO OFTALMOLÓGICO PUERTA DEL SOL S.A.</v>
          </cell>
        </row>
        <row r="91">
          <cell r="T91">
            <v>451605</v>
          </cell>
          <cell r="AX91" t="str">
            <v>Preventivo</v>
          </cell>
          <cell r="AY91" t="str">
            <v>SERVICIOS CLINICOS DEL DESARROLLO S.A</v>
          </cell>
        </row>
        <row r="92">
          <cell r="T92">
            <v>5497800</v>
          </cell>
          <cell r="AX92" t="str">
            <v>Preventivo</v>
          </cell>
          <cell r="AY92" t="str">
            <v>INSUMOS Y SERVICIOS MEDICOS S.A.</v>
          </cell>
        </row>
        <row r="93">
          <cell r="T93">
            <v>294525</v>
          </cell>
          <cell r="AX93" t="str">
            <v>Correctivo</v>
          </cell>
          <cell r="AY93" t="str">
            <v>CORPORACION DE AYUDA AL NIÑO QUEMADO</v>
          </cell>
        </row>
        <row r="94">
          <cell r="T94">
            <v>417047</v>
          </cell>
          <cell r="AX94" t="str">
            <v>Preventivo</v>
          </cell>
          <cell r="AY94" t="str">
            <v>SOCIEDAD CMA-COSTANERA S.A.</v>
          </cell>
        </row>
        <row r="95">
          <cell r="T95">
            <v>20897177</v>
          </cell>
          <cell r="AX95" t="str">
            <v>Preventivo</v>
          </cell>
          <cell r="AY95" t="str">
            <v>SOCIEDAD CONCESIONARIA METROPOLITANA DE SALUD S.A.</v>
          </cell>
        </row>
        <row r="96">
          <cell r="T96">
            <v>5042017</v>
          </cell>
          <cell r="AX96" t="str">
            <v>Preventivo</v>
          </cell>
          <cell r="AY96">
            <v>0</v>
          </cell>
        </row>
        <row r="97">
          <cell r="T97">
            <v>5042017</v>
          </cell>
          <cell r="AX97" t="str">
            <v>Correctivo</v>
          </cell>
          <cell r="AY97" t="str">
            <v>HOSPITAL NACIMIENTO</v>
          </cell>
        </row>
        <row r="98">
          <cell r="T98">
            <v>7335225</v>
          </cell>
          <cell r="AX98" t="str">
            <v>Correctivo</v>
          </cell>
          <cell r="AY98" t="str">
            <v>HOSPITAL CLINICO DE LA FUERZA AEREA FACH GRAL DR RAUL YAZIGI JAUREGUI</v>
          </cell>
        </row>
        <row r="99">
          <cell r="T99">
            <v>599745</v>
          </cell>
          <cell r="AX99" t="str">
            <v>Correctivo</v>
          </cell>
          <cell r="AY99" t="str">
            <v>HOSPITAL DEL SALVADOR</v>
          </cell>
        </row>
        <row r="100">
          <cell r="T100">
            <v>894322</v>
          </cell>
          <cell r="AX100" t="str">
            <v>Correctivo</v>
          </cell>
          <cell r="AY100" t="str">
            <v>INSTITUTO DE DIAGNOSTICO S.A.</v>
          </cell>
        </row>
        <row r="101">
          <cell r="T101">
            <v>5042017</v>
          </cell>
          <cell r="AX101" t="str">
            <v>Correctivo</v>
          </cell>
          <cell r="AY101" t="str">
            <v>HOSPITAL NACIMIENTO</v>
          </cell>
        </row>
        <row r="102">
          <cell r="T102">
            <v>608025</v>
          </cell>
          <cell r="AX102" t="str">
            <v>Correctivo</v>
          </cell>
          <cell r="AY102" t="str">
            <v>HOSPITAL LUIS CALVO MACKENNA</v>
          </cell>
        </row>
        <row r="103">
          <cell r="T103">
            <v>1432992</v>
          </cell>
          <cell r="AX103" t="str">
            <v>Correctivo</v>
          </cell>
          <cell r="AY103" t="str">
            <v>SERV DE SALUD BÍO BÍO - HOSPITAL DE HUEPIL</v>
          </cell>
        </row>
        <row r="104">
          <cell r="T104">
            <v>781458</v>
          </cell>
          <cell r="AX104" t="str">
            <v>Correctivo</v>
          </cell>
          <cell r="AY104" t="str">
            <v>HOSPITAL MILITAR DE SANTIAGO</v>
          </cell>
        </row>
        <row r="105">
          <cell r="T105">
            <v>1733356</v>
          </cell>
          <cell r="AX105" t="str">
            <v>Correctivo</v>
          </cell>
          <cell r="AY105" t="str">
            <v>HOSPITAL METROPOLITANO DE SANTIAGO</v>
          </cell>
        </row>
        <row r="106">
          <cell r="T106">
            <v>921830</v>
          </cell>
          <cell r="AX106" t="str">
            <v>Correctivo</v>
          </cell>
          <cell r="AY106" t="str">
            <v>UNIVERSIDAD FINIS TERRAE</v>
          </cell>
        </row>
        <row r="107">
          <cell r="T107">
            <v>453036</v>
          </cell>
          <cell r="AX107" t="str">
            <v>Correctivo</v>
          </cell>
          <cell r="AY107" t="str">
            <v>SERVICIOS CLINICOS DEL DESARROLLO S.A</v>
          </cell>
        </row>
        <row r="108">
          <cell r="T108">
            <v>418369</v>
          </cell>
          <cell r="AX108" t="str">
            <v>Correctivo</v>
          </cell>
          <cell r="AY108" t="str">
            <v>SOCIEDAD CMA-COSTANERA S.A.</v>
          </cell>
        </row>
        <row r="109">
          <cell r="T109">
            <v>273399</v>
          </cell>
          <cell r="AX109" t="str">
            <v>Correctivo</v>
          </cell>
          <cell r="AY109" t="str">
            <v>INSTITUTO OFTALMOLÓGICO PUERTA DEL SOL S.A.</v>
          </cell>
        </row>
        <row r="110">
          <cell r="T110">
            <v>1223839</v>
          </cell>
          <cell r="AX110" t="str">
            <v>Correctivo</v>
          </cell>
          <cell r="AY110" t="str">
            <v>DIPRECA FONDO HOSPITAL</v>
          </cell>
        </row>
        <row r="111">
          <cell r="T111">
            <v>21223765</v>
          </cell>
          <cell r="AX111" t="str">
            <v>Correctivo</v>
          </cell>
          <cell r="AY111" t="str">
            <v>SOCIEDAD CONCESIONARIA METROPOLITANA DE SALUD S.A.</v>
          </cell>
        </row>
        <row r="112">
          <cell r="T112">
            <v>2867523</v>
          </cell>
          <cell r="AX112" t="str">
            <v>Correctivo</v>
          </cell>
          <cell r="AY112" t="str">
            <v>INSTITUTO DE DIAGNOSTICO S.A.</v>
          </cell>
        </row>
        <row r="113">
          <cell r="T113">
            <v>1432992</v>
          </cell>
          <cell r="AX113" t="str">
            <v>Correctivo</v>
          </cell>
          <cell r="AY113" t="str">
            <v>SERV DE SALUD BÍO BÍO - HOSPITAL DE HUEPIL</v>
          </cell>
        </row>
        <row r="114">
          <cell r="T114">
            <v>1229402</v>
          </cell>
          <cell r="AX114" t="str">
            <v>Correctivo</v>
          </cell>
          <cell r="AY114">
            <v>0</v>
          </cell>
        </row>
        <row r="115">
          <cell r="T115">
            <v>2237804</v>
          </cell>
          <cell r="AX115" t="str">
            <v>Correctivo</v>
          </cell>
          <cell r="AY115" t="str">
            <v>HOSPITAL PENCO -LIRQUEN</v>
          </cell>
        </row>
        <row r="116">
          <cell r="T116">
            <v>2535926</v>
          </cell>
          <cell r="AX116" t="str">
            <v>Correctivo</v>
          </cell>
          <cell r="AY116" t="str">
            <v>HOSPITAL PENCO -LIRQUEN</v>
          </cell>
        </row>
        <row r="117">
          <cell r="T117">
            <v>1288199</v>
          </cell>
          <cell r="AX117" t="str">
            <v>Correctivo</v>
          </cell>
          <cell r="AY117" t="str">
            <v>FUNDACIÓN OFTALMOLÓGICA LOS ANDES</v>
          </cell>
        </row>
        <row r="118">
          <cell r="T118">
            <v>2867523</v>
          </cell>
          <cell r="AX118" t="str">
            <v>Correctivo</v>
          </cell>
          <cell r="AY118" t="str">
            <v>INSTITUTO DE DIAGNOSTICO S.A.</v>
          </cell>
        </row>
        <row r="119">
          <cell r="T119">
            <v>295458</v>
          </cell>
          <cell r="AX119" t="str">
            <v>Correctivo</v>
          </cell>
          <cell r="AY119" t="str">
            <v>CORPORACION DE AYUDA AL NIÑO QUEMADO</v>
          </cell>
        </row>
        <row r="120">
          <cell r="T120">
            <v>5515224</v>
          </cell>
          <cell r="AX120" t="str">
            <v>Correctivo</v>
          </cell>
          <cell r="AY120" t="str">
            <v>INSUMOS Y SERVICIOS MEDICOS S.A.</v>
          </cell>
        </row>
        <row r="121">
          <cell r="T121">
            <v>453036</v>
          </cell>
          <cell r="AX121" t="str">
            <v>Correctivo</v>
          </cell>
          <cell r="AY121" t="str">
            <v>SERVICIOS CLINICOS DEL DESARROLLO S.A</v>
          </cell>
        </row>
        <row r="122">
          <cell r="T122">
            <v>418369</v>
          </cell>
          <cell r="AX122" t="str">
            <v>Correctivo</v>
          </cell>
          <cell r="AY122" t="str">
            <v>SOCIEDAD CMA-COSTANERA S.A.</v>
          </cell>
        </row>
        <row r="123">
          <cell r="T123">
            <v>273399</v>
          </cell>
          <cell r="AX123" t="str">
            <v>Correctivo</v>
          </cell>
          <cell r="AY123" t="str">
            <v>INSTITUTO OFTALMOLÓGICO PUERTA DEL SOL S.A.</v>
          </cell>
        </row>
        <row r="124">
          <cell r="T124">
            <v>21223765</v>
          </cell>
          <cell r="AX124" t="str">
            <v>Correctivo</v>
          </cell>
          <cell r="AY124" t="str">
            <v>SOCIEDAD CONCESIONARIA METROPOLITANA DE SALUD S.A.</v>
          </cell>
        </row>
        <row r="125">
          <cell r="T125">
            <v>1658655</v>
          </cell>
          <cell r="AX125" t="str">
            <v>Correctivo</v>
          </cell>
          <cell r="AY125" t="str">
            <v>SERVICIO DE SALUD OSORNO</v>
          </cell>
        </row>
        <row r="126">
          <cell r="T126">
            <v>1596250</v>
          </cell>
          <cell r="AX126" t="str">
            <v>Correctivo</v>
          </cell>
          <cell r="AY126" t="str">
            <v>HOSPITAL NAVAL ALMIRANTE ADRIAZOLA</v>
          </cell>
        </row>
        <row r="127">
          <cell r="T127">
            <v>420365</v>
          </cell>
          <cell r="AX127" t="str">
            <v>Preventivo</v>
          </cell>
          <cell r="AY127" t="str">
            <v>SOCIEDAD CMA-COSTANERA S.A.</v>
          </cell>
        </row>
        <row r="128">
          <cell r="T128">
            <v>553916</v>
          </cell>
          <cell r="AX128" t="str">
            <v>Correctivo</v>
          </cell>
          <cell r="AY128" t="str">
            <v>HOSPITAL METROPOLITANO DE SANTIAGO</v>
          </cell>
        </row>
        <row r="129">
          <cell r="T129">
            <v>664192</v>
          </cell>
          <cell r="AX129" t="str">
            <v>Correctivo</v>
          </cell>
          <cell r="AY129" t="str">
            <v>CESFAM MIRAFLORES</v>
          </cell>
        </row>
        <row r="130">
          <cell r="T130">
            <v>2881201</v>
          </cell>
          <cell r="AX130" t="str">
            <v>Correctivo</v>
          </cell>
          <cell r="AY130" t="str">
            <v>INSTITUTO DE DIAGNOSTICO S.A.</v>
          </cell>
        </row>
        <row r="131">
          <cell r="T131">
            <v>672269</v>
          </cell>
          <cell r="AX131" t="str">
            <v>Preventivo</v>
          </cell>
          <cell r="AY131" t="str">
            <v>HOSPITAL NACIMIENTO</v>
          </cell>
        </row>
        <row r="132">
          <cell r="T132">
            <v>1008403</v>
          </cell>
          <cell r="AX132" t="str">
            <v>Preventivo</v>
          </cell>
          <cell r="AY132" t="str">
            <v>HOSPITAL NACIMIENTO</v>
          </cell>
        </row>
        <row r="133">
          <cell r="T133">
            <v>1008403</v>
          </cell>
          <cell r="AX133" t="str">
            <v>Preventivo</v>
          </cell>
          <cell r="AY133" t="str">
            <v>HOSPITAL NACIMIENTO</v>
          </cell>
        </row>
        <row r="134">
          <cell r="T134">
            <v>672269</v>
          </cell>
          <cell r="AX134" t="str">
            <v>Preventivo</v>
          </cell>
          <cell r="AY134" t="str">
            <v>HOSPITAL NACIMIENTO</v>
          </cell>
        </row>
        <row r="135">
          <cell r="T135">
            <v>3506469</v>
          </cell>
          <cell r="AX135" t="str">
            <v>Correctivo</v>
          </cell>
          <cell r="AY135" t="str">
            <v>HOSPITAL DE PURRANQUE</v>
          </cell>
        </row>
        <row r="136">
          <cell r="T136">
            <v>1097623</v>
          </cell>
          <cell r="AX136" t="str">
            <v>Correctivo</v>
          </cell>
          <cell r="AY136" t="str">
            <v>HOSPITAL DE MISION SAN JUAN DE LA COSTA</v>
          </cell>
        </row>
        <row r="137">
          <cell r="T137">
            <v>2405186</v>
          </cell>
          <cell r="AX137" t="str">
            <v>Correctivo</v>
          </cell>
          <cell r="AY137" t="str">
            <v>HOSPITAL RIO NEGRO</v>
          </cell>
        </row>
        <row r="138">
          <cell r="T138">
            <v>1097623</v>
          </cell>
          <cell r="AX138" t="str">
            <v>Correctivo</v>
          </cell>
          <cell r="AY138" t="str">
            <v>HOSPITAL DE QUILACAHUIN</v>
          </cell>
        </row>
        <row r="139">
          <cell r="T139">
            <v>672269</v>
          </cell>
          <cell r="AX139" t="str">
            <v>Preventivo</v>
          </cell>
          <cell r="AY139" t="str">
            <v>HOSPITAL NACIMIENTO</v>
          </cell>
        </row>
        <row r="140">
          <cell r="T140">
            <v>1008403</v>
          </cell>
          <cell r="AX140" t="str">
            <v>Preventivo</v>
          </cell>
          <cell r="AY140" t="str">
            <v>HOSPITAL NACIMIENTO</v>
          </cell>
        </row>
        <row r="141">
          <cell r="T141">
            <v>783877</v>
          </cell>
          <cell r="AX141" t="str">
            <v>Preventivo</v>
          </cell>
          <cell r="AY141" t="str">
            <v>HOSPITAL MILITAR DE SANTIAGO</v>
          </cell>
        </row>
        <row r="142">
          <cell r="T142">
            <v>3620509</v>
          </cell>
          <cell r="AX142" t="str">
            <v>Preventivo</v>
          </cell>
          <cell r="AY142" t="str">
            <v>HOSPITAL CLINICO DE LA FUERZA AEREA FACH GRAL DR RAUL YAZIGI JAUREGUI</v>
          </cell>
        </row>
        <row r="143">
          <cell r="T143">
            <v>3706995</v>
          </cell>
          <cell r="AX143" t="str">
            <v>Preventivo</v>
          </cell>
          <cell r="AY143" t="str">
            <v>HOSPITAL CLINICO DE LA FUERZA AEREA FACH GRAL DR RAUL YAZIGI JAUREGUI</v>
          </cell>
        </row>
        <row r="144">
          <cell r="T144">
            <v>3622259</v>
          </cell>
          <cell r="AX144" t="str">
            <v>Preventivo</v>
          </cell>
          <cell r="AY144" t="str">
            <v>HOSPITAL CLINICO DE LA FUERZA AEREA FACH GRAL DR RAUL YAZIGI JAUREGUI</v>
          </cell>
        </row>
        <row r="145">
          <cell r="T145">
            <v>3796032</v>
          </cell>
          <cell r="AX145" t="str">
            <v>Preventivo</v>
          </cell>
          <cell r="AY145" t="str">
            <v>HOSPITAL CLINICO DE LA FUERZA AEREA FACH GRAL DR RAUL YAZIGI JAUREGUI</v>
          </cell>
        </row>
        <row r="146">
          <cell r="T146">
            <v>1229402</v>
          </cell>
          <cell r="AX146" t="str">
            <v>Correctivo</v>
          </cell>
          <cell r="AY146">
            <v>0</v>
          </cell>
        </row>
        <row r="147">
          <cell r="T147">
            <v>2234821</v>
          </cell>
          <cell r="AX147" t="str">
            <v>Preventivo</v>
          </cell>
          <cell r="AY147" t="str">
            <v>ILUSTRE MUNICIPALIDAD DE LOS ALAMOS - DEPTO. SALUD</v>
          </cell>
        </row>
        <row r="148">
          <cell r="T148">
            <v>608025</v>
          </cell>
          <cell r="AX148" t="str">
            <v>Preventivo</v>
          </cell>
          <cell r="AY148" t="str">
            <v>HOSPITAL LUIS CALVO MACKENNA</v>
          </cell>
        </row>
        <row r="149">
          <cell r="T149">
            <v>455197</v>
          </cell>
          <cell r="AX149" t="str">
            <v>Preventivo</v>
          </cell>
          <cell r="AY149" t="str">
            <v>SERVICIOS CLINICOS DEL DESARROLLO S.A</v>
          </cell>
        </row>
        <row r="150">
          <cell r="T150">
            <v>6479897</v>
          </cell>
          <cell r="AX150" t="str">
            <v>Preventivo</v>
          </cell>
          <cell r="AY150" t="str">
            <v>SERVICIO NACIONAL DE SALUD HOSPITAL DE LOTA</v>
          </cell>
        </row>
        <row r="151">
          <cell r="T151">
            <v>296868</v>
          </cell>
          <cell r="AX151" t="str">
            <v>Preventivo</v>
          </cell>
          <cell r="AY151" t="str">
            <v>CORPORACION DE AYUDA AL NIÑO QUEMADO</v>
          </cell>
        </row>
        <row r="152">
          <cell r="T152">
            <v>273399</v>
          </cell>
          <cell r="AX152" t="str">
            <v>Preventivo</v>
          </cell>
          <cell r="AY152" t="str">
            <v>INSTITUTO OFTALMOLÓGICO PUERTA DEL SOL S.A.</v>
          </cell>
        </row>
        <row r="153">
          <cell r="T153">
            <v>7412558</v>
          </cell>
          <cell r="AX153" t="str">
            <v>Preventivo</v>
          </cell>
          <cell r="AY153" t="str">
            <v>HOSPITAL CLINICO DE LA FUERZA AEREA FACH GRAL DR RAUL YAZIGI JAUREGUI</v>
          </cell>
        </row>
        <row r="154">
          <cell r="T154">
            <v>903270</v>
          </cell>
          <cell r="AX154" t="str">
            <v>Preventivo</v>
          </cell>
          <cell r="AY154" t="str">
            <v>CENTRO DE OFTALMOLOGIA DR.DAVID BITRAN S.A.</v>
          </cell>
        </row>
        <row r="155">
          <cell r="T155">
            <v>18698716</v>
          </cell>
          <cell r="AX155" t="str">
            <v>Correctivo</v>
          </cell>
          <cell r="AY155" t="str">
            <v>INSUMOS Y SERVICIOS MEDICOS S.A.</v>
          </cell>
        </row>
        <row r="156">
          <cell r="T156">
            <v>6618282</v>
          </cell>
          <cell r="AX156" t="str">
            <v>Preventivo</v>
          </cell>
          <cell r="AY156" t="str">
            <v>HOSPITAL DE PUERTO AYSEN</v>
          </cell>
        </row>
        <row r="157">
          <cell r="T157">
            <v>5162505</v>
          </cell>
          <cell r="AX157" t="str">
            <v>Preventivo</v>
          </cell>
          <cell r="AY157" t="str">
            <v>HOSPITAL DE PUERTO MONTT</v>
          </cell>
        </row>
        <row r="158">
          <cell r="T158">
            <v>1741625</v>
          </cell>
          <cell r="AX158" t="str">
            <v>Preventivo</v>
          </cell>
          <cell r="AY158" t="str">
            <v>HOSPITAL METROPOLITANO DE SANTIAGO</v>
          </cell>
        </row>
        <row r="159">
          <cell r="T159">
            <v>1432992</v>
          </cell>
          <cell r="AX159" t="str">
            <v>Preventivo</v>
          </cell>
          <cell r="AY159" t="str">
            <v>SERV DE SALUD BÍO BÍO - HOSPITAL DE HUEPIL</v>
          </cell>
        </row>
        <row r="160">
          <cell r="T160">
            <v>783372</v>
          </cell>
          <cell r="AX160" t="str">
            <v>Preventivo</v>
          </cell>
          <cell r="AY160" t="str">
            <v>HOSPITAL MILITAR DE SANTIAGO</v>
          </cell>
        </row>
        <row r="161">
          <cell r="T161">
            <v>420679</v>
          </cell>
          <cell r="AX161" t="str">
            <v>Correctivo</v>
          </cell>
          <cell r="AY161" t="str">
            <v>HOSPITAL DR. HERNAN HENRIQUEZ ARAVENA</v>
          </cell>
        </row>
        <row r="162">
          <cell r="T162">
            <v>295458</v>
          </cell>
          <cell r="AX162" t="str">
            <v>Correctivo</v>
          </cell>
          <cell r="AY162" t="str">
            <v>CORPORACION DE AYUDA AL NIÑO QUEMADO</v>
          </cell>
        </row>
        <row r="163">
          <cell r="T163">
            <v>608025</v>
          </cell>
          <cell r="AX163" t="str">
            <v>Correctivo</v>
          </cell>
          <cell r="AY163" t="str">
            <v>HOSPITAL LUIS CALVO MACKENNA</v>
          </cell>
        </row>
        <row r="164">
          <cell r="T164">
            <v>801750</v>
          </cell>
          <cell r="AX164" t="str">
            <v>Correctivo</v>
          </cell>
          <cell r="AY164" t="str">
            <v>CLINICA WLK SA</v>
          </cell>
        </row>
        <row r="165">
          <cell r="T165">
            <v>18716200</v>
          </cell>
          <cell r="AX165" t="str">
            <v>Correctivo</v>
          </cell>
          <cell r="AY165" t="str">
            <v>INSUMOS Y SERVICIOS MEDICOS S.A.</v>
          </cell>
        </row>
        <row r="166">
          <cell r="T166">
            <v>273399</v>
          </cell>
          <cell r="AX166" t="str">
            <v>Correctivo</v>
          </cell>
          <cell r="AY166" t="str">
            <v>INSTITUTO OFTALMOLÓGICO PUERTA DEL SOL S.A.</v>
          </cell>
        </row>
        <row r="167">
          <cell r="T167">
            <v>608025</v>
          </cell>
          <cell r="AX167" t="str">
            <v>Correctivo</v>
          </cell>
          <cell r="AY167" t="str">
            <v>HOSPITAL LUIS CALVO MACKENNA</v>
          </cell>
        </row>
        <row r="168">
          <cell r="T168">
            <v>455197</v>
          </cell>
          <cell r="AX168" t="str">
            <v>Correctivo</v>
          </cell>
          <cell r="AY168" t="str">
            <v>SERVICIOS CLINICOS DEL DESARROLLO S.A</v>
          </cell>
        </row>
        <row r="169">
          <cell r="T169">
            <v>296868</v>
          </cell>
          <cell r="AX169" t="str">
            <v>Correctivo</v>
          </cell>
          <cell r="AY169" t="str">
            <v>CORPORACION DE AYUDA AL NIÑO QUEMADO</v>
          </cell>
        </row>
        <row r="170">
          <cell r="T170">
            <v>906250</v>
          </cell>
          <cell r="AX170" t="str">
            <v>Correctivo</v>
          </cell>
          <cell r="AY170" t="str">
            <v>CENTRO DE OFTALMOLOGIA DR.DAVID BITRAN S.A.</v>
          </cell>
        </row>
        <row r="171">
          <cell r="T171">
            <v>421752</v>
          </cell>
          <cell r="AX171" t="str">
            <v>Correctivo</v>
          </cell>
          <cell r="AY171" t="str">
            <v>SOCIEDAD CMA-COSTANERA S.A.</v>
          </cell>
        </row>
        <row r="172">
          <cell r="T172">
            <v>420679</v>
          </cell>
          <cell r="AX172" t="str">
            <v>Correctivo</v>
          </cell>
          <cell r="AY172" t="str">
            <v>HOSPITAL DR. HERNAN HENRIQUEZ ARAVENA</v>
          </cell>
        </row>
        <row r="173">
          <cell r="T173">
            <v>5162505</v>
          </cell>
          <cell r="AX173" t="str">
            <v>Correctivo</v>
          </cell>
          <cell r="AY173" t="str">
            <v>HOSPITAL DE PUERTO MONTT</v>
          </cell>
        </row>
        <row r="174">
          <cell r="T174">
            <v>1389644</v>
          </cell>
          <cell r="AX174" t="str">
            <v>Correctivo</v>
          </cell>
          <cell r="AY174" t="str">
            <v>HOSPITAL DEL SALVADOR</v>
          </cell>
        </row>
        <row r="175">
          <cell r="T175">
            <v>1389644</v>
          </cell>
          <cell r="AX175" t="str">
            <v>Correctivo</v>
          </cell>
          <cell r="AY175" t="str">
            <v>HOSPITAL DEL SALVADOR</v>
          </cell>
        </row>
        <row r="176">
          <cell r="T176">
            <v>5162505</v>
          </cell>
          <cell r="AX176" t="str">
            <v>Correctivo</v>
          </cell>
          <cell r="AY176" t="str">
            <v>HOSPITAL DE PUERTO MONTT</v>
          </cell>
        </row>
        <row r="177">
          <cell r="T177">
            <v>2892383</v>
          </cell>
          <cell r="AX177" t="str">
            <v>Correctivo</v>
          </cell>
          <cell r="AY177" t="str">
            <v>INSTITUTO DE DIAGNOSTICO S.A.</v>
          </cell>
        </row>
        <row r="178">
          <cell r="T178">
            <v>18771286</v>
          </cell>
          <cell r="AX178" t="str">
            <v>Correctivo</v>
          </cell>
          <cell r="AY178" t="str">
            <v>INSUMOS Y SERVICIOS MEDICOS S.A.</v>
          </cell>
        </row>
        <row r="179">
          <cell r="T179">
            <v>786025</v>
          </cell>
          <cell r="AX179" t="str">
            <v>Correctivo</v>
          </cell>
          <cell r="AY179" t="str">
            <v>HOSPITAL MILITAR DE SANTIAGO</v>
          </cell>
        </row>
        <row r="180">
          <cell r="T180">
            <v>1929204</v>
          </cell>
          <cell r="AX180" t="str">
            <v>Correctivo</v>
          </cell>
          <cell r="AY180" t="str">
            <v>SERVICIO DE SALUD OSORNO</v>
          </cell>
        </row>
        <row r="181">
          <cell r="T181">
            <v>1748873</v>
          </cell>
          <cell r="AX181" t="str">
            <v>Correctivo</v>
          </cell>
          <cell r="AY181" t="str">
            <v>HOSPITAL METROPOLITANO DE SANTIAGO</v>
          </cell>
        </row>
        <row r="182">
          <cell r="T182">
            <v>4604378</v>
          </cell>
          <cell r="AX182" t="str">
            <v>Correctivo</v>
          </cell>
          <cell r="AY182" t="str">
            <v>HOSPITAL  PITRUFQUEN</v>
          </cell>
        </row>
        <row r="183">
          <cell r="T183">
            <v>700616</v>
          </cell>
          <cell r="AX183" t="str">
            <v>Correctivo</v>
          </cell>
          <cell r="AY183" t="str">
            <v>HOSPITAL COMPLEJO ASISTENCIAL PADRE LAS CASAS</v>
          </cell>
        </row>
        <row r="184">
          <cell r="T184">
            <v>2851993</v>
          </cell>
          <cell r="AX184" t="str">
            <v>Correctivo</v>
          </cell>
          <cell r="AY184" t="str">
            <v>HOSPITAL DE CURANILAHUE DR. RAFAEL AVARIA</v>
          </cell>
        </row>
        <row r="185">
          <cell r="T185">
            <v>2851993</v>
          </cell>
          <cell r="AX185" t="str">
            <v>Correctivo</v>
          </cell>
          <cell r="AY185" t="str">
            <v>HOSPITAL DE CURANILAHUE DR. RAFAEL AVARIA</v>
          </cell>
        </row>
        <row r="186">
          <cell r="T186">
            <v>455197</v>
          </cell>
          <cell r="AX186" t="str">
            <v>Correctivo</v>
          </cell>
          <cell r="AY186" t="str">
            <v>SERVICIOS CLINICOS DEL DESARROLLO S.A</v>
          </cell>
        </row>
        <row r="187">
          <cell r="T187">
            <v>926228</v>
          </cell>
          <cell r="AX187" t="str">
            <v>Correctivo</v>
          </cell>
          <cell r="AY187" t="str">
            <v>UNIVERSIDAD FINIS TERRAE</v>
          </cell>
        </row>
        <row r="188">
          <cell r="T188">
            <v>18698716</v>
          </cell>
          <cell r="AX188" t="str">
            <v>Correctivo</v>
          </cell>
          <cell r="AY188" t="str">
            <v>INSUMOS Y SERVICIOS MEDICOS S.A.</v>
          </cell>
        </row>
        <row r="189">
          <cell r="T189">
            <v>273399</v>
          </cell>
          <cell r="AX189" t="str">
            <v>Correctivo</v>
          </cell>
          <cell r="AY189" t="str">
            <v>INSTITUTO OFTALMOLÓGICO PUERTA DEL SOL S.A.</v>
          </cell>
        </row>
        <row r="190">
          <cell r="T190">
            <v>1294344</v>
          </cell>
          <cell r="AX190" t="str">
            <v>Correctivo</v>
          </cell>
          <cell r="AY190" t="str">
            <v>FUNDACIÓN OFTALMOLÓGICA LOS ANDES</v>
          </cell>
        </row>
        <row r="191">
          <cell r="T191">
            <v>420365</v>
          </cell>
          <cell r="AX191" t="str">
            <v>Correctivo</v>
          </cell>
          <cell r="AY191" t="str">
            <v>SOCIEDAD CMA-COSTANERA S.A.</v>
          </cell>
        </row>
        <row r="192">
          <cell r="T192">
            <v>1365988</v>
          </cell>
          <cell r="AX192" t="str">
            <v>Correctivo</v>
          </cell>
          <cell r="AY192" t="str">
            <v>CORP MUNICIPAL DE EDUCACION Y SERVICIOS RAMON FREIRE</v>
          </cell>
        </row>
        <row r="193">
          <cell r="T193">
            <v>420679</v>
          </cell>
          <cell r="AX193" t="str">
            <v>Preventivo</v>
          </cell>
          <cell r="AY193" t="str">
            <v>HOSPITAL DR. HERNAN HENRIQUEZ ARAVENA</v>
          </cell>
        </row>
        <row r="194">
          <cell r="T194">
            <v>420679</v>
          </cell>
          <cell r="AX194" t="str">
            <v>Preventivo</v>
          </cell>
          <cell r="AY194" t="str">
            <v>HOSPITAL DR. HERNAN HENRIQUEZ ARAVENA</v>
          </cell>
        </row>
        <row r="195">
          <cell r="T195">
            <v>2881201</v>
          </cell>
          <cell r="AX195" t="str">
            <v>Correctivo</v>
          </cell>
          <cell r="AY195" t="str">
            <v>INSTITUTO DE DIAGNOSTICO S.A.</v>
          </cell>
        </row>
        <row r="196">
          <cell r="T196">
            <v>420679</v>
          </cell>
          <cell r="AX196" t="str">
            <v>Correctivo</v>
          </cell>
          <cell r="AY196" t="str">
            <v>HOSPITAL DR. HERNAN HENRIQUEZ ARAVENA</v>
          </cell>
        </row>
        <row r="197">
          <cell r="T197">
            <v>1741625</v>
          </cell>
          <cell r="AX197" t="str">
            <v>Correctivo</v>
          </cell>
          <cell r="AY197" t="str">
            <v>HOSPITAL METROPOLITANO DE SANTIAGO</v>
          </cell>
        </row>
        <row r="198">
          <cell r="T198">
            <v>296868</v>
          </cell>
          <cell r="AX198" t="str">
            <v>Correctivo</v>
          </cell>
          <cell r="AY198" t="str">
            <v>CORPORACION DE AYUDA AL NIÑO QUEMADO</v>
          </cell>
        </row>
        <row r="199">
          <cell r="T199">
            <v>1654125</v>
          </cell>
          <cell r="AX199" t="str">
            <v>Correctivo</v>
          </cell>
          <cell r="AY199" t="str">
            <v>I.MUNICIPALIDAD DE LA UNION</v>
          </cell>
        </row>
        <row r="200">
          <cell r="T200">
            <v>787795</v>
          </cell>
          <cell r="AX200" t="str">
            <v>Correctivo</v>
          </cell>
          <cell r="AY200" t="str">
            <v>HOSPITAL MILITAR DE SANTIAGO</v>
          </cell>
        </row>
        <row r="201">
          <cell r="T201">
            <v>5950998</v>
          </cell>
          <cell r="AX201" t="str">
            <v>Correctivo</v>
          </cell>
          <cell r="AY201" t="str">
            <v>HOSPITAL DEL SALVADOR</v>
          </cell>
        </row>
        <row r="202">
          <cell r="T202">
            <v>18791600</v>
          </cell>
          <cell r="AX202" t="str">
            <v>Correctivo</v>
          </cell>
          <cell r="AY202" t="str">
            <v>INSUMOS Y SERVICIOS MEDICOS S.A.</v>
          </cell>
        </row>
        <row r="203">
          <cell r="T203">
            <v>1426950</v>
          </cell>
          <cell r="AX203" t="str">
            <v>Correctivo</v>
          </cell>
          <cell r="AY203" t="str">
            <v>HOSPITAL PENCO -LIRQUEN</v>
          </cell>
        </row>
        <row r="204">
          <cell r="T204">
            <v>1715948</v>
          </cell>
          <cell r="AX204" t="str">
            <v>Correctivo</v>
          </cell>
          <cell r="AY204" t="str">
            <v>HOSPITAL PENCO -LIRQUEN</v>
          </cell>
        </row>
        <row r="205">
          <cell r="T205">
            <v>1231000</v>
          </cell>
          <cell r="AX205" t="str">
            <v>Correctivo</v>
          </cell>
          <cell r="AY205" t="str">
            <v>HOSPITAL DE PURRANQUE</v>
          </cell>
        </row>
        <row r="206">
          <cell r="T206">
            <v>4604378</v>
          </cell>
          <cell r="AX206" t="str">
            <v>Correctivo</v>
          </cell>
          <cell r="AY206" t="str">
            <v>HOSPITAL  PITRUFQUEN</v>
          </cell>
        </row>
        <row r="207">
          <cell r="T207">
            <v>784707</v>
          </cell>
          <cell r="AX207" t="str">
            <v>Correctivo</v>
          </cell>
          <cell r="AY207" t="str">
            <v>HOSPITAL MILITAR DE SANTIAGO</v>
          </cell>
        </row>
        <row r="208">
          <cell r="T208">
            <v>420679</v>
          </cell>
          <cell r="AX208" t="str">
            <v>Correctivo</v>
          </cell>
          <cell r="AY208" t="str">
            <v>HOSPITAL DR. HERNAN HENRIQUEZ ARAVENA</v>
          </cell>
        </row>
        <row r="209">
          <cell r="T209">
            <v>1596250</v>
          </cell>
          <cell r="AX209" t="str">
            <v>Correctivo</v>
          </cell>
          <cell r="AY209" t="str">
            <v>HOSPITAL NAVAL ALMIRANTE ADRIAZOLA</v>
          </cell>
        </row>
        <row r="210">
          <cell r="T210">
            <v>666636</v>
          </cell>
          <cell r="AX210" t="str">
            <v>Correctivo</v>
          </cell>
          <cell r="AY210" t="str">
            <v>CESFAM MIRAFLORES</v>
          </cell>
        </row>
        <row r="211">
          <cell r="T211">
            <v>2891873</v>
          </cell>
          <cell r="AX211" t="str">
            <v>Correctivo</v>
          </cell>
          <cell r="AY211" t="str">
            <v>INSTITUTO DE DIAGNOSTICO S.A.</v>
          </cell>
        </row>
        <row r="212">
          <cell r="T212">
            <v>1658655</v>
          </cell>
          <cell r="AX212" t="str">
            <v>Correctivo</v>
          </cell>
          <cell r="AY212" t="str">
            <v>SERVICIO DE SALUD OSORNO</v>
          </cell>
        </row>
        <row r="213">
          <cell r="T213">
            <v>1748076</v>
          </cell>
          <cell r="AX213" t="str">
            <v>Correctivo</v>
          </cell>
          <cell r="AY213" t="str">
            <v>HOSPITAL METROPOLITANO DE SANTIAGO</v>
          </cell>
        </row>
        <row r="214">
          <cell r="T214">
            <v>666636</v>
          </cell>
          <cell r="AX214" t="str">
            <v>Correctivo</v>
          </cell>
          <cell r="AY214" t="str">
            <v>CESFAM MIRAFLORES</v>
          </cell>
        </row>
        <row r="215">
          <cell r="T215">
            <v>608025</v>
          </cell>
          <cell r="AX215" t="str">
            <v>Correctivo</v>
          </cell>
          <cell r="AY215" t="str">
            <v>HOSPITAL LUIS CALVO MACKENNA</v>
          </cell>
        </row>
        <row r="216">
          <cell r="T216">
            <v>3967332</v>
          </cell>
          <cell r="AX216" t="str">
            <v>Correctivo</v>
          </cell>
          <cell r="AY216" t="str">
            <v>HOSPITAL DEL SALVADOR</v>
          </cell>
        </row>
        <row r="217">
          <cell r="T217">
            <v>273399</v>
          </cell>
          <cell r="AX217" t="str">
            <v>Correctivo</v>
          </cell>
          <cell r="AY217" t="str">
            <v>INSTITUTO OFTALMOLÓGICO PUERTA DEL SOL S.A.</v>
          </cell>
        </row>
        <row r="218">
          <cell r="T218">
            <v>457010</v>
          </cell>
          <cell r="AX218" t="str">
            <v>Correctivo</v>
          </cell>
          <cell r="AY218" t="str">
            <v>SERVICIOS CLINICOS DEL DESARROLLO S.A</v>
          </cell>
        </row>
        <row r="219">
          <cell r="T219">
            <v>929916</v>
          </cell>
          <cell r="AX219" t="str">
            <v>Correctivo</v>
          </cell>
          <cell r="AY219" t="str">
            <v>UNIVERSIDAD FINIS TERRAE</v>
          </cell>
        </row>
        <row r="220">
          <cell r="T220">
            <v>422039</v>
          </cell>
          <cell r="AX220" t="str">
            <v>Correctivo</v>
          </cell>
          <cell r="AY220" t="str">
            <v>SOCIEDAD CMA-COSTANERA S.A.</v>
          </cell>
        </row>
        <row r="221">
          <cell r="T221">
            <v>298050</v>
          </cell>
          <cell r="AX221" t="str">
            <v>Correctivo</v>
          </cell>
          <cell r="AY221" t="str">
            <v>CORPORACION DE AYUDA AL NIÑO QUEMADO</v>
          </cell>
        </row>
        <row r="222">
          <cell r="T222">
            <v>1894697</v>
          </cell>
          <cell r="AX222" t="str">
            <v>Correctivo</v>
          </cell>
          <cell r="AY222" t="str">
            <v>I.MUNICIPALIDAD DE INDEPENDENCIA</v>
          </cell>
        </row>
        <row r="223">
          <cell r="T223">
            <v>801102</v>
          </cell>
          <cell r="AX223" t="str">
            <v>Correctivo</v>
          </cell>
          <cell r="AY223">
            <v>0</v>
          </cell>
        </row>
        <row r="224">
          <cell r="T224">
            <v>315378</v>
          </cell>
          <cell r="AX224" t="str">
            <v>Correctivo</v>
          </cell>
          <cell r="AY224">
            <v>0</v>
          </cell>
        </row>
        <row r="225">
          <cell r="T225">
            <v>3204407</v>
          </cell>
          <cell r="AX225" t="str">
            <v>Correctivo</v>
          </cell>
          <cell r="AY225" t="str">
            <v>UC CHRISTUS SERVICIOS AMBULATORIOS SPA</v>
          </cell>
        </row>
        <row r="226">
          <cell r="T226">
            <v>1331303</v>
          </cell>
          <cell r="AX226" t="str">
            <v>Correctivo</v>
          </cell>
          <cell r="AY226" t="str">
            <v>HOSPITAL DR. LUIS TISNE B.</v>
          </cell>
        </row>
        <row r="227">
          <cell r="T227">
            <v>1524455</v>
          </cell>
          <cell r="AX227" t="str">
            <v>Correctivo</v>
          </cell>
          <cell r="AY227" t="str">
            <v>HOSPITAL DR. LUIS TISNE B.</v>
          </cell>
        </row>
        <row r="228">
          <cell r="T228">
            <v>1358248</v>
          </cell>
          <cell r="AX228" t="str">
            <v>Preventivo</v>
          </cell>
          <cell r="AY228">
            <v>0</v>
          </cell>
        </row>
        <row r="229">
          <cell r="T229">
            <v>3338512</v>
          </cell>
          <cell r="AX229" t="str">
            <v>Preventivo</v>
          </cell>
          <cell r="AY229" t="str">
            <v>HOSPITAL DE ANDACOLLO</v>
          </cell>
        </row>
        <row r="230">
          <cell r="T230">
            <v>3590825</v>
          </cell>
          <cell r="AX230" t="str">
            <v>Correctivo</v>
          </cell>
          <cell r="AY230" t="str">
            <v>HOSPITAL CLINICO SAN BORJA-ARRIARAN</v>
          </cell>
        </row>
        <row r="231">
          <cell r="T231">
            <v>3880538</v>
          </cell>
          <cell r="AX231" t="str">
            <v>Preventivo</v>
          </cell>
          <cell r="AY231" t="str">
            <v>HOSPITAL EXEQUIEL GONZALEZ CORTES</v>
          </cell>
        </row>
        <row r="232">
          <cell r="T232">
            <v>3880538</v>
          </cell>
          <cell r="AX232" t="str">
            <v>Preventivo</v>
          </cell>
          <cell r="AY232" t="str">
            <v>HOSPITAL EXEQUIEL GONZALEZ CORTES</v>
          </cell>
        </row>
        <row r="233">
          <cell r="T233">
            <v>3880538</v>
          </cell>
          <cell r="AX233" t="str">
            <v>Preventivo</v>
          </cell>
          <cell r="AY233" t="str">
            <v>HOSPITAL EXEQUIEL GONZALEZ CORTES</v>
          </cell>
        </row>
        <row r="234">
          <cell r="T234">
            <v>6478020</v>
          </cell>
          <cell r="AX234" t="str">
            <v>Preventivo</v>
          </cell>
          <cell r="AY234" t="str">
            <v>COMPLEJO ASISTENCIAL DR.SOTERO DEL RIO</v>
          </cell>
        </row>
        <row r="235">
          <cell r="T235">
            <v>4094601</v>
          </cell>
          <cell r="AX235" t="str">
            <v>Preventivo</v>
          </cell>
          <cell r="AY235" t="str">
            <v>COMPLEJO ASISTENCIAL DR.SOTERO DEL RIO</v>
          </cell>
        </row>
        <row r="236">
          <cell r="T236">
            <v>1334295</v>
          </cell>
          <cell r="AX236" t="str">
            <v>Preventivo</v>
          </cell>
          <cell r="AY236" t="str">
            <v>HOSPITAL DR. LUIS TISNE B.</v>
          </cell>
        </row>
        <row r="237">
          <cell r="T237">
            <v>1527882</v>
          </cell>
          <cell r="AX237" t="str">
            <v>Preventivo</v>
          </cell>
          <cell r="AY237" t="str">
            <v>HOSPITAL DR. LUIS TISNE B.</v>
          </cell>
        </row>
        <row r="238">
          <cell r="T238">
            <v>3388929</v>
          </cell>
          <cell r="AX238" t="str">
            <v>Correctivo</v>
          </cell>
          <cell r="AY238" t="str">
            <v>HOSPITAL REGIONAL DE ARICA DR. JUAN NOÉ CREVANI</v>
          </cell>
        </row>
        <row r="239">
          <cell r="T239">
            <v>679124</v>
          </cell>
          <cell r="AX239" t="str">
            <v>Preventivo</v>
          </cell>
          <cell r="AY239">
            <v>0</v>
          </cell>
        </row>
        <row r="240">
          <cell r="T240">
            <v>2855161</v>
          </cell>
          <cell r="AX240" t="str">
            <v>Correctivo</v>
          </cell>
          <cell r="AY240" t="str">
            <v>INSTITUTO DE DIAGNOSTICO S.A.</v>
          </cell>
        </row>
        <row r="241">
          <cell r="T241">
            <v>305356</v>
          </cell>
          <cell r="AX241" t="str">
            <v>Correctivo</v>
          </cell>
          <cell r="AY241" t="str">
            <v>HOSPITAL SAN PABLO DE COQUIMBO</v>
          </cell>
        </row>
        <row r="242">
          <cell r="T242">
            <v>1371563</v>
          </cell>
          <cell r="AX242" t="str">
            <v>Correctivo</v>
          </cell>
          <cell r="AY242" t="str">
            <v>SOCIEDAD MEDICA E IMAGENEOLOGICA ANCUD LTDA</v>
          </cell>
        </row>
        <row r="243">
          <cell r="T243">
            <v>1515938</v>
          </cell>
          <cell r="AX243" t="str">
            <v>Correctivo</v>
          </cell>
          <cell r="AY243" t="str">
            <v>SOCIEDAD MEDICA E IMAGENEOLOGICA ANCUD LTDA</v>
          </cell>
        </row>
        <row r="244">
          <cell r="T244">
            <v>4620000</v>
          </cell>
          <cell r="AX244" t="str">
            <v>Correctivo</v>
          </cell>
          <cell r="AY244" t="str">
            <v>SOCIEDAD MEDICA E IMAGENEOLOGICA ANCUD LTDA</v>
          </cell>
        </row>
        <row r="245">
          <cell r="T245">
            <v>4620000</v>
          </cell>
          <cell r="AX245" t="str">
            <v>Correctivo</v>
          </cell>
          <cell r="AY245" t="str">
            <v>CLÍNICA ANDES SALUD PUERTO MONTT S.A.</v>
          </cell>
        </row>
        <row r="246">
          <cell r="T246">
            <v>4158000</v>
          </cell>
          <cell r="AX246" t="str">
            <v>Correctivo</v>
          </cell>
          <cell r="AY246" t="str">
            <v>HOSPITAL EDUARDO PEREIRA</v>
          </cell>
        </row>
        <row r="247">
          <cell r="T247">
            <v>483920</v>
          </cell>
          <cell r="AX247" t="str">
            <v>Correctivo</v>
          </cell>
          <cell r="AY247" t="str">
            <v>UC CHRISTUS SERVICIOS AMBULATORIOS SPA</v>
          </cell>
        </row>
        <row r="248">
          <cell r="T248">
            <v>29868507</v>
          </cell>
          <cell r="AX248" t="str">
            <v>Correctivo</v>
          </cell>
          <cell r="AY248" t="str">
            <v>HOSPITAL CLAUDIO VICUÑA</v>
          </cell>
        </row>
        <row r="249">
          <cell r="T249">
            <v>5000</v>
          </cell>
          <cell r="AX249" t="str">
            <v>Correctivo</v>
          </cell>
          <cell r="AY249" t="str">
            <v>INSUMOS Y SERVICIOS MEDICOS S.A.</v>
          </cell>
        </row>
        <row r="250">
          <cell r="T250">
            <v>54050</v>
          </cell>
          <cell r="AX250" t="str">
            <v>Correctivo</v>
          </cell>
          <cell r="AY250">
            <v>0</v>
          </cell>
        </row>
        <row r="251">
          <cell r="T251">
            <v>190000</v>
          </cell>
          <cell r="AX251" t="str">
            <v>Correctivo</v>
          </cell>
          <cell r="AY251" t="str">
            <v>HOSPITAL VICTOR RIOS RUIZ</v>
          </cell>
        </row>
        <row r="252">
          <cell r="T252">
            <v>190000</v>
          </cell>
          <cell r="AX252" t="str">
            <v>Correctivo</v>
          </cell>
          <cell r="AY252" t="str">
            <v>HOSPITAL VICTOR RIOS RUIZ</v>
          </cell>
        </row>
        <row r="253">
          <cell r="T253">
            <v>99724</v>
          </cell>
          <cell r="AX253" t="str">
            <v>Correctivo</v>
          </cell>
          <cell r="AY253" t="str">
            <v>HOSPITAL BARROS LUCO TRUDEAU</v>
          </cell>
        </row>
        <row r="254">
          <cell r="T254">
            <v>76709</v>
          </cell>
          <cell r="AX254" t="str">
            <v>Correctivo</v>
          </cell>
          <cell r="AY254" t="str">
            <v>HOSPITAL BARROS LUCO TRUDEAU</v>
          </cell>
        </row>
        <row r="255">
          <cell r="T255">
            <v>23500</v>
          </cell>
          <cell r="AX255" t="str">
            <v>Correctivo</v>
          </cell>
          <cell r="AY255" t="str">
            <v>INSUMOS Y SERVICIOS MEDICOS S.A.</v>
          </cell>
        </row>
        <row r="256">
          <cell r="T256">
            <v>5000</v>
          </cell>
          <cell r="AX256" t="str">
            <v>Preventivo</v>
          </cell>
          <cell r="AY256" t="str">
            <v>INSUMOS Y SERVICIOS MEDICOS S.A.</v>
          </cell>
        </row>
        <row r="257">
          <cell r="T257">
            <v>960000</v>
          </cell>
          <cell r="AX257" t="str">
            <v>Correctivo</v>
          </cell>
          <cell r="AY257" t="str">
            <v>INSUMOS Y SERVICIOS MEDICOS S.A.</v>
          </cell>
        </row>
        <row r="258">
          <cell r="T258">
            <v>414930</v>
          </cell>
          <cell r="AX258" t="str">
            <v>Correctivo</v>
          </cell>
          <cell r="AY258" t="str">
            <v>INSUMOS Y SERVICIOS MEDICOS S.A.</v>
          </cell>
        </row>
        <row r="259">
          <cell r="T259">
            <v>353908</v>
          </cell>
          <cell r="AX259" t="str">
            <v>Correctivo</v>
          </cell>
          <cell r="AY259">
            <v>0</v>
          </cell>
        </row>
        <row r="260">
          <cell r="T260">
            <v>12000</v>
          </cell>
          <cell r="AX260" t="str">
            <v>Correctivo</v>
          </cell>
          <cell r="AY260" t="str">
            <v>INSUMOS Y SERVICIOS MEDICOS S.A.</v>
          </cell>
        </row>
        <row r="261">
          <cell r="T261">
            <v>36000</v>
          </cell>
          <cell r="AX261" t="str">
            <v>Correctivo</v>
          </cell>
          <cell r="AY261" t="str">
            <v>INSUMOS Y SERVICIOS MEDICOS S.A.</v>
          </cell>
        </row>
        <row r="262">
          <cell r="T262">
            <v>8556</v>
          </cell>
          <cell r="AX262" t="str">
            <v>Correctivo</v>
          </cell>
          <cell r="AY262" t="str">
            <v>INSUMOS Y SERVICIOS MEDICOS S.A.</v>
          </cell>
        </row>
        <row r="263">
          <cell r="T263">
            <v>2680424</v>
          </cell>
          <cell r="AX263" t="str">
            <v>Correctivo</v>
          </cell>
          <cell r="AY263" t="str">
            <v>HOSPITAL CLINICO SAN BORJA-ARRIARAN</v>
          </cell>
        </row>
        <row r="264">
          <cell r="T264">
            <v>958125</v>
          </cell>
          <cell r="AX264" t="str">
            <v>Correctivo</v>
          </cell>
          <cell r="AY264" t="str">
            <v>SERVICIO DE SALUD OSORNO</v>
          </cell>
        </row>
        <row r="265">
          <cell r="T265">
            <v>1905750</v>
          </cell>
          <cell r="AX265" t="str">
            <v>Correctivo</v>
          </cell>
          <cell r="AY265" t="str">
            <v>INSUMOS Y SERVICIOS MEDICOS S.A.</v>
          </cell>
        </row>
        <row r="266">
          <cell r="T266">
            <v>909236</v>
          </cell>
          <cell r="AX266" t="str">
            <v>Correctivo</v>
          </cell>
          <cell r="AY266" t="str">
            <v>SERVICIOS CLINICOS DEL DESARROLLO S.A</v>
          </cell>
        </row>
        <row r="267">
          <cell r="T267">
            <v>453615</v>
          </cell>
          <cell r="AX267" t="str">
            <v>Correctivo</v>
          </cell>
          <cell r="AY267" t="str">
            <v>UNIVERSIDAD DE CONCEPCION</v>
          </cell>
        </row>
        <row r="268">
          <cell r="T268">
            <v>37308</v>
          </cell>
          <cell r="AX268" t="str">
            <v>Correctivo</v>
          </cell>
          <cell r="AY268" t="str">
            <v>INSUMOS Y SERVICIOS MEDICOS S.A.</v>
          </cell>
        </row>
        <row r="269">
          <cell r="T269">
            <v>125320</v>
          </cell>
          <cell r="AX269" t="str">
            <v>Correctivo</v>
          </cell>
          <cell r="AY269" t="str">
            <v>HOSPITAL CLINICO DE LA FUERZA AEREA FACH GRAL DR RAUL YAZIGI JAUREGUI</v>
          </cell>
        </row>
        <row r="270">
          <cell r="T270">
            <v>31330</v>
          </cell>
          <cell r="AX270" t="str">
            <v>Correctivo</v>
          </cell>
          <cell r="AY270" t="str">
            <v>SOCIEDAD CONCESIONARIA METROPOLITANA DE SALUD S.A.</v>
          </cell>
        </row>
        <row r="271">
          <cell r="T271">
            <v>26040</v>
          </cell>
          <cell r="AX271" t="str">
            <v>Correctivo</v>
          </cell>
          <cell r="AY271" t="str">
            <v>HOSPITAL SAN LUIS BUIN</v>
          </cell>
        </row>
        <row r="272">
          <cell r="T272">
            <v>47622</v>
          </cell>
          <cell r="AX272" t="str">
            <v>Correctivo</v>
          </cell>
          <cell r="AY272" t="str">
            <v>HOSPITAL CLINICO SAN BORJA-ARRIARAN</v>
          </cell>
        </row>
        <row r="273">
          <cell r="T273">
            <v>70128</v>
          </cell>
          <cell r="AX273" t="str">
            <v>Correctivo</v>
          </cell>
          <cell r="AY273" t="str">
            <v>HOSPITAL CARLOS VAN BUREN</v>
          </cell>
        </row>
        <row r="274">
          <cell r="T274">
            <v>1890000</v>
          </cell>
          <cell r="AX274" t="str">
            <v>Correctivo</v>
          </cell>
          <cell r="AY274" t="str">
            <v>HOSPITAL SAN PABLO DE COQUIMBO</v>
          </cell>
        </row>
        <row r="275">
          <cell r="T275">
            <v>1241333</v>
          </cell>
          <cell r="AX275" t="str">
            <v>Correctivo</v>
          </cell>
          <cell r="AY275" t="str">
            <v>HOSPITAL REGIONAL DE ANTOFAGASTA</v>
          </cell>
        </row>
        <row r="276">
          <cell r="T276">
            <v>1341333</v>
          </cell>
          <cell r="AX276" t="str">
            <v>Correctivo</v>
          </cell>
          <cell r="AY276" t="str">
            <v>HOSPITAL REGIONAL DE ANTOFAGASTA</v>
          </cell>
        </row>
        <row r="277">
          <cell r="T277">
            <v>1321333</v>
          </cell>
          <cell r="AX277" t="str">
            <v>Correctivo</v>
          </cell>
          <cell r="AY277" t="str">
            <v>HOSPITAL GUILLERMO GRANT BENAVENTE</v>
          </cell>
        </row>
        <row r="278">
          <cell r="T278">
            <v>1321333</v>
          </cell>
          <cell r="AX278" t="str">
            <v>Correctivo</v>
          </cell>
          <cell r="AY278" t="str">
            <v>LABORATORIO CLINICO CENTRAL KOJCHEN Y COMPANIA LIMITADA</v>
          </cell>
        </row>
        <row r="279">
          <cell r="T279">
            <v>450000</v>
          </cell>
          <cell r="AX279" t="str">
            <v>Correctivo</v>
          </cell>
          <cell r="AY279" t="str">
            <v>UC CHRISTUS SERVICIOS AMBULATORIOS SPA</v>
          </cell>
        </row>
        <row r="280">
          <cell r="T280">
            <v>1301333</v>
          </cell>
          <cell r="AX280" t="str">
            <v>Preventivo</v>
          </cell>
          <cell r="AY280" t="str">
            <v>HOSPITAL SAN PABLO DE COQUIMBO</v>
          </cell>
        </row>
        <row r="281">
          <cell r="T281">
            <v>480000</v>
          </cell>
          <cell r="AX281" t="str">
            <v>Correctivo</v>
          </cell>
          <cell r="AY281" t="str">
            <v>SOCIEDAD MEDICA E IMAGENEOLOGICA ANCUD LTDA</v>
          </cell>
        </row>
        <row r="282">
          <cell r="T282">
            <v>450000</v>
          </cell>
          <cell r="AX282" t="str">
            <v>Correctivo</v>
          </cell>
          <cell r="AY282" t="str">
            <v>UC CHRISTUS SERVICIOS AMBULATORIOS SPA</v>
          </cell>
        </row>
        <row r="283">
          <cell r="T283">
            <v>320000</v>
          </cell>
          <cell r="AX283" t="str">
            <v>Correctivo</v>
          </cell>
          <cell r="AY283" t="str">
            <v>INSUMOS Y SERVICIOS MEDICOS S.A.</v>
          </cell>
        </row>
        <row r="284">
          <cell r="T284">
            <v>499990</v>
          </cell>
          <cell r="AX284" t="str">
            <v>Correctivo</v>
          </cell>
          <cell r="AY284" t="str">
            <v>HOSPITAL EXEQUIEL GONZALEZ CORTES</v>
          </cell>
        </row>
        <row r="285">
          <cell r="T285">
            <v>420000</v>
          </cell>
          <cell r="AX285" t="str">
            <v>Preventivo</v>
          </cell>
          <cell r="AY285" t="str">
            <v>INSUMOS Y SERVICIOS MEDICOS S.A.</v>
          </cell>
        </row>
        <row r="286">
          <cell r="T286">
            <v>312090</v>
          </cell>
          <cell r="AX286" t="str">
            <v>Correctivo</v>
          </cell>
          <cell r="AY286" t="str">
            <v>SOCIEDAD CONCESIONARIA METROPOLITANA DE SALUD S.A.</v>
          </cell>
        </row>
        <row r="287">
          <cell r="T287">
            <v>420000</v>
          </cell>
          <cell r="AX287" t="str">
            <v>Correctivo</v>
          </cell>
          <cell r="AY287" t="str">
            <v>INSUMOS Y SERVICIOS MEDICOS S.A.</v>
          </cell>
        </row>
        <row r="288">
          <cell r="T288">
            <v>569500</v>
          </cell>
          <cell r="AX288" t="str">
            <v>Correctivo</v>
          </cell>
          <cell r="AY288">
            <v>0</v>
          </cell>
        </row>
        <row r="289">
          <cell r="T289">
            <v>1241333</v>
          </cell>
          <cell r="AX289" t="str">
            <v>Correctivo</v>
          </cell>
          <cell r="AY289" t="str">
            <v>CLINICA ALEMANA DE SANTIAGO S A</v>
          </cell>
        </row>
        <row r="290">
          <cell r="T290">
            <v>420000</v>
          </cell>
          <cell r="AX290" t="str">
            <v>Preventivo</v>
          </cell>
          <cell r="AY290" t="str">
            <v>CLINICA REÑACA</v>
          </cell>
        </row>
        <row r="291">
          <cell r="T291">
            <v>1321000</v>
          </cell>
          <cell r="AX291" t="str">
            <v>Correctivo</v>
          </cell>
          <cell r="AY291" t="str">
            <v>SOCIEDAD MEDICA E IMAGENEOLOGICA ANCUD LTDA</v>
          </cell>
        </row>
        <row r="292">
          <cell r="T292">
            <v>1059230</v>
          </cell>
          <cell r="AX292" t="str">
            <v>Correctivo</v>
          </cell>
          <cell r="AY292" t="str">
            <v>HOSPITAL PENCO -LIRQUEN</v>
          </cell>
        </row>
        <row r="293">
          <cell r="T293">
            <v>400000</v>
          </cell>
          <cell r="AX293" t="str">
            <v>Correctivo</v>
          </cell>
          <cell r="AY293" t="str">
            <v>HOSPITAL METROPOLITANO DE SANTIAGO</v>
          </cell>
        </row>
        <row r="294">
          <cell r="T294">
            <v>400000</v>
          </cell>
          <cell r="AX294" t="str">
            <v>Correctivo</v>
          </cell>
          <cell r="AY294" t="str">
            <v>HOSPITAL METROPOLITANO DE SANTIAGO</v>
          </cell>
        </row>
        <row r="295">
          <cell r="T295">
            <v>480000</v>
          </cell>
          <cell r="AX295" t="str">
            <v>Correctivo</v>
          </cell>
          <cell r="AY295" t="str">
            <v>HOSPITAL SAN PABLO DE COQUIMBO</v>
          </cell>
        </row>
        <row r="296">
          <cell r="T296">
            <v>420000</v>
          </cell>
          <cell r="AX296" t="str">
            <v>Correctivo</v>
          </cell>
          <cell r="AY296">
            <v>0</v>
          </cell>
        </row>
        <row r="297">
          <cell r="T297">
            <v>705600</v>
          </cell>
          <cell r="AX297" t="str">
            <v>Correctivo</v>
          </cell>
          <cell r="AY297" t="str">
            <v>SOCIEDAD MEDICA E IMAGENEOLOGICA ANCUD LTDA</v>
          </cell>
        </row>
        <row r="298">
          <cell r="T298">
            <v>315156</v>
          </cell>
          <cell r="AX298" t="str">
            <v>Correctivo</v>
          </cell>
          <cell r="AY298" t="str">
            <v>INSUMOS Y SERVICIOS MEDICOS S.A.</v>
          </cell>
        </row>
        <row r="299">
          <cell r="T299">
            <v>2890000</v>
          </cell>
          <cell r="AX299" t="str">
            <v>Correctivo</v>
          </cell>
          <cell r="AY299" t="str">
            <v>HOSPITAL REGIONAL DE ANTOFAGASTA</v>
          </cell>
        </row>
        <row r="300">
          <cell r="T300">
            <v>425578</v>
          </cell>
          <cell r="AX300" t="str">
            <v>Correctivo</v>
          </cell>
          <cell r="AY300" t="str">
            <v>CLINICA BIO-BIO S.A.</v>
          </cell>
        </row>
        <row r="301">
          <cell r="T301">
            <v>388994</v>
          </cell>
          <cell r="AX301" t="str">
            <v>Correctivo</v>
          </cell>
          <cell r="AY301" t="str">
            <v>HOSPITAL CARLOS VAN BUREN</v>
          </cell>
        </row>
        <row r="302">
          <cell r="T302">
            <v>193945</v>
          </cell>
          <cell r="AX302" t="str">
            <v>Correctivo</v>
          </cell>
          <cell r="AY302">
            <v>0</v>
          </cell>
        </row>
        <row r="303">
          <cell r="T303">
            <v>420000</v>
          </cell>
          <cell r="AX303" t="str">
            <v>Correctivo</v>
          </cell>
          <cell r="AY303">
            <v>0</v>
          </cell>
        </row>
        <row r="304">
          <cell r="T304">
            <v>727889</v>
          </cell>
          <cell r="AX304" t="str">
            <v>Correctivo</v>
          </cell>
          <cell r="AY304" t="str">
            <v>UNIVERSIDAD DE CONCEPCION</v>
          </cell>
        </row>
        <row r="305">
          <cell r="T305">
            <v>387899</v>
          </cell>
          <cell r="AX305" t="str">
            <v>Correctivo</v>
          </cell>
          <cell r="AY305" t="str">
            <v>JOHNSON &amp; JOHNSON DE CHILE S.A.</v>
          </cell>
        </row>
        <row r="306">
          <cell r="T306">
            <v>315156</v>
          </cell>
          <cell r="AX306" t="str">
            <v>Correctivo</v>
          </cell>
          <cell r="AY306" t="str">
            <v>INSUMOS Y SERVICIOS MEDICOS S.A.</v>
          </cell>
        </row>
        <row r="307">
          <cell r="T307">
            <v>350000</v>
          </cell>
          <cell r="AX307" t="str">
            <v>Correctivo</v>
          </cell>
          <cell r="AY307" t="str">
            <v>COMPLEJO ASISTENCIAL DR.SOTERO DEL RIO</v>
          </cell>
        </row>
        <row r="308">
          <cell r="T308">
            <v>577889</v>
          </cell>
          <cell r="AX308" t="str">
            <v>Correctivo</v>
          </cell>
          <cell r="AY308" t="str">
            <v>HOSPITAL EDUARDO PEREIRA</v>
          </cell>
        </row>
        <row r="309">
          <cell r="T309">
            <v>243944</v>
          </cell>
          <cell r="AX309" t="str">
            <v>Correctivo</v>
          </cell>
          <cell r="AY309" t="str">
            <v>INSUMOS Y SERVICIOS MEDICOS S.A.</v>
          </cell>
        </row>
        <row r="310">
          <cell r="T310">
            <v>538944</v>
          </cell>
          <cell r="AX310" t="str">
            <v>Correctivo</v>
          </cell>
          <cell r="AY310" t="str">
            <v>HOSPITAL DE YUMBEL</v>
          </cell>
        </row>
        <row r="311">
          <cell r="T311">
            <v>387889</v>
          </cell>
          <cell r="AX311" t="str">
            <v>Correctivo</v>
          </cell>
          <cell r="AY311" t="str">
            <v>HOSPITAL SAN JOSÉ</v>
          </cell>
        </row>
        <row r="312">
          <cell r="T312">
            <v>487888</v>
          </cell>
          <cell r="AX312" t="str">
            <v>Correctivo</v>
          </cell>
          <cell r="AY312" t="str">
            <v>INSUMOS Y SERVICIOS MEDICOS S.A.</v>
          </cell>
        </row>
        <row r="313">
          <cell r="T313">
            <v>489832</v>
          </cell>
          <cell r="AX313" t="str">
            <v>Correctivo</v>
          </cell>
          <cell r="AY313" t="str">
            <v>INSUMOS Y SERVICIOS MEDICOS S.A.</v>
          </cell>
        </row>
        <row r="314">
          <cell r="T314">
            <v>1185778</v>
          </cell>
          <cell r="AX314" t="str">
            <v>Correctivo</v>
          </cell>
          <cell r="AY314">
            <v>0</v>
          </cell>
        </row>
        <row r="315">
          <cell r="T315">
            <v>1321000</v>
          </cell>
          <cell r="AX315" t="str">
            <v>Correctivo</v>
          </cell>
          <cell r="AY315" t="str">
            <v>CLÍNICA ANDES SALUD PUERTO MONTT S.A.</v>
          </cell>
        </row>
        <row r="316">
          <cell r="T316">
            <v>577889</v>
          </cell>
          <cell r="AX316" t="str">
            <v>Correctivo</v>
          </cell>
          <cell r="AY316" t="str">
            <v>CLINICA REÑACA</v>
          </cell>
        </row>
        <row r="317">
          <cell r="T317">
            <v>243944</v>
          </cell>
          <cell r="AX317" t="str">
            <v>Correctivo</v>
          </cell>
          <cell r="AY317" t="str">
            <v>INSUMOS Y SERVICIOS MEDICOS S.A.</v>
          </cell>
        </row>
        <row r="318">
          <cell r="T318">
            <v>809027</v>
          </cell>
          <cell r="AX318" t="str">
            <v>Correctivo</v>
          </cell>
          <cell r="AY318" t="str">
            <v>CENTRO DE OFTALMOLOGIA DR.DAVID BITRAN S.A.</v>
          </cell>
        </row>
        <row r="319">
          <cell r="T319">
            <v>1059230</v>
          </cell>
          <cell r="AX319" t="str">
            <v>Correctivo</v>
          </cell>
          <cell r="AY319" t="str">
            <v>HOSPITAL PENCO -LIRQUEN</v>
          </cell>
        </row>
        <row r="320">
          <cell r="T320">
            <v>569500</v>
          </cell>
          <cell r="AX320" t="str">
            <v>Correctivo</v>
          </cell>
          <cell r="AY320">
            <v>0</v>
          </cell>
        </row>
        <row r="321">
          <cell r="T321">
            <v>400000</v>
          </cell>
          <cell r="AX321" t="str">
            <v>Correctivo</v>
          </cell>
          <cell r="AY321" t="str">
            <v>HOSPITAL METROPOLITANO DE SANTIAGO</v>
          </cell>
        </row>
        <row r="322">
          <cell r="T322">
            <v>387889</v>
          </cell>
          <cell r="AX322" t="str">
            <v>Correctivo</v>
          </cell>
          <cell r="AY322" t="str">
            <v>HOSPITAL SAN JOSÉ</v>
          </cell>
        </row>
        <row r="323">
          <cell r="T323">
            <v>193945</v>
          </cell>
          <cell r="AX323" t="str">
            <v>Correctivo</v>
          </cell>
          <cell r="AY323">
            <v>0</v>
          </cell>
        </row>
        <row r="324">
          <cell r="T324">
            <v>1185778</v>
          </cell>
          <cell r="AX324" t="str">
            <v>Correctivo</v>
          </cell>
          <cell r="AY324">
            <v>0</v>
          </cell>
        </row>
        <row r="325">
          <cell r="T325">
            <v>755600</v>
          </cell>
          <cell r="AX325" t="str">
            <v>Correctivo</v>
          </cell>
          <cell r="AY325" t="str">
            <v>LABORATORIO CLINICO CENTRAL KOJCHEN Y COMPANIA LIMITADA</v>
          </cell>
        </row>
        <row r="326">
          <cell r="T326">
            <v>775778</v>
          </cell>
          <cell r="AX326" t="str">
            <v>Correctivo</v>
          </cell>
          <cell r="AY326" t="str">
            <v>HOSPITAL EXEQUIEL GONZALEZ CORTES</v>
          </cell>
        </row>
        <row r="327">
          <cell r="T327">
            <v>775778</v>
          </cell>
          <cell r="AX327" t="str">
            <v>Correctivo</v>
          </cell>
          <cell r="AY327" t="str">
            <v>HOSPITAL EXEQUIEL GONZALEZ CORTES</v>
          </cell>
        </row>
        <row r="328">
          <cell r="T328">
            <v>1121794</v>
          </cell>
          <cell r="AX328" t="str">
            <v>Correctivo</v>
          </cell>
          <cell r="AY328" t="str">
            <v>HOSPITAL SAN JOSÉ</v>
          </cell>
        </row>
        <row r="329">
          <cell r="T329">
            <v>761250</v>
          </cell>
          <cell r="AX329" t="str">
            <v>Correctivo</v>
          </cell>
          <cell r="AY329" t="str">
            <v>HOSPITAL BARROS LUCO TRUDEAU</v>
          </cell>
        </row>
        <row r="330">
          <cell r="T330">
            <v>759830</v>
          </cell>
          <cell r="AX330" t="str">
            <v>Correctivo</v>
          </cell>
          <cell r="AY330" t="str">
            <v>HOSPITAL SAN JOSÉ</v>
          </cell>
        </row>
        <row r="331">
          <cell r="T331">
            <v>399000</v>
          </cell>
          <cell r="AX331" t="str">
            <v>Correctivo</v>
          </cell>
          <cell r="AY331">
            <v>0</v>
          </cell>
        </row>
        <row r="332">
          <cell r="T332">
            <v>387889</v>
          </cell>
          <cell r="AX332" t="str">
            <v>Correctivo</v>
          </cell>
          <cell r="AY332" t="str">
            <v>COMPLEJO ASISTENCIAL DR.SOTERO DEL RIO</v>
          </cell>
        </row>
        <row r="333">
          <cell r="T333">
            <v>538944</v>
          </cell>
          <cell r="AX333" t="str">
            <v>Correctivo</v>
          </cell>
          <cell r="AY333" t="str">
            <v>HOSPITAL DE YUMBEL</v>
          </cell>
        </row>
        <row r="334">
          <cell r="T334">
            <v>1170900</v>
          </cell>
          <cell r="AX334" t="str">
            <v>Correctivo</v>
          </cell>
          <cell r="AY334" t="str">
            <v>HOSPITAL EDUARDO PEREIRA</v>
          </cell>
        </row>
        <row r="335">
          <cell r="T335">
            <v>243944</v>
          </cell>
          <cell r="AX335" t="str">
            <v>Correctivo</v>
          </cell>
          <cell r="AY335" t="str">
            <v>HOSPITAL DEL SALVADOR</v>
          </cell>
        </row>
        <row r="336">
          <cell r="T336">
            <v>877889</v>
          </cell>
          <cell r="AX336" t="str">
            <v>Correctivo</v>
          </cell>
          <cell r="AY336">
            <v>0</v>
          </cell>
        </row>
        <row r="337">
          <cell r="T337">
            <v>1241333</v>
          </cell>
          <cell r="AX337" t="str">
            <v>Correctivo</v>
          </cell>
          <cell r="AY337" t="str">
            <v>SOCIEDAD MEDICA E IMAGENEOLOGICA ANCUD LTDA</v>
          </cell>
        </row>
        <row r="338">
          <cell r="T338">
            <v>193945</v>
          </cell>
          <cell r="AX338" t="str">
            <v>Preventivo</v>
          </cell>
          <cell r="AY338">
            <v>0</v>
          </cell>
        </row>
        <row r="339">
          <cell r="T339">
            <v>387889</v>
          </cell>
          <cell r="AX339" t="str">
            <v>Preventivo</v>
          </cell>
          <cell r="AY339">
            <v>0</v>
          </cell>
        </row>
        <row r="340">
          <cell r="T340">
            <v>140103</v>
          </cell>
          <cell r="AX340" t="str">
            <v>Preventivo</v>
          </cell>
          <cell r="AY340">
            <v>0</v>
          </cell>
        </row>
        <row r="341">
          <cell r="T341">
            <v>154860</v>
          </cell>
          <cell r="AX341" t="str">
            <v>Preventivo</v>
          </cell>
          <cell r="AY341">
            <v>0</v>
          </cell>
        </row>
        <row r="342">
          <cell r="T342">
            <v>727889</v>
          </cell>
          <cell r="AX342" t="str">
            <v>Preventivo</v>
          </cell>
          <cell r="AY342">
            <v>0</v>
          </cell>
        </row>
        <row r="343">
          <cell r="T343">
            <v>1185778</v>
          </cell>
          <cell r="AX343" t="str">
            <v>Preventivo</v>
          </cell>
          <cell r="AY343">
            <v>0</v>
          </cell>
        </row>
        <row r="344">
          <cell r="T344">
            <v>451571</v>
          </cell>
          <cell r="AX344" t="str">
            <v>Preventivo</v>
          </cell>
          <cell r="AY344" t="str">
            <v>SERVICIOS CLINICOS DEL DESARROLLO S.A</v>
          </cell>
        </row>
        <row r="345">
          <cell r="T345">
            <v>918849</v>
          </cell>
          <cell r="AX345" t="str">
            <v>Preventivo</v>
          </cell>
          <cell r="AY345" t="str">
            <v>UNIVERSIDAD FINIS TERRAE</v>
          </cell>
        </row>
        <row r="346">
          <cell r="T346">
            <v>3091496</v>
          </cell>
          <cell r="AX346" t="str">
            <v>Preventivo</v>
          </cell>
          <cell r="AY346" t="str">
            <v>JOHNSON &amp; JOHNSON DE CHILE S.A.</v>
          </cell>
        </row>
        <row r="347">
          <cell r="T347">
            <v>417016</v>
          </cell>
          <cell r="AX347" t="str">
            <v>Preventivo</v>
          </cell>
          <cell r="AY347" t="str">
            <v>SOCIEDAD CMA-COSTANERA S.A.</v>
          </cell>
        </row>
        <row r="348">
          <cell r="T348">
            <v>582480</v>
          </cell>
          <cell r="AX348" t="str">
            <v>Preventivo</v>
          </cell>
          <cell r="AY348" t="str">
            <v>HOSPITAL SAN JOSÉ</v>
          </cell>
        </row>
        <row r="349">
          <cell r="T349">
            <v>2005482</v>
          </cell>
          <cell r="AX349" t="str">
            <v>Preventivo</v>
          </cell>
          <cell r="AY349" t="str">
            <v>HOSPITAL SAN JOSÉ</v>
          </cell>
        </row>
        <row r="350">
          <cell r="T350">
            <v>425578</v>
          </cell>
          <cell r="AX350" t="str">
            <v>Correctivo</v>
          </cell>
          <cell r="AY350">
            <v>0</v>
          </cell>
        </row>
        <row r="351">
          <cell r="T351">
            <v>425578</v>
          </cell>
          <cell r="AX351" t="str">
            <v>Correctivo</v>
          </cell>
          <cell r="AY351">
            <v>0</v>
          </cell>
        </row>
        <row r="352">
          <cell r="T352">
            <v>1036000</v>
          </cell>
          <cell r="AX352" t="str">
            <v>Preventivo</v>
          </cell>
          <cell r="AY352">
            <v>0</v>
          </cell>
        </row>
        <row r="353">
          <cell r="T353">
            <v>599745</v>
          </cell>
          <cell r="AX353" t="str">
            <v>Preventivo</v>
          </cell>
          <cell r="AY353" t="str">
            <v>HOSPITAL DEL SALVADOR</v>
          </cell>
        </row>
        <row r="354">
          <cell r="T354">
            <v>599745</v>
          </cell>
          <cell r="AX354" t="str">
            <v>Preventivo</v>
          </cell>
          <cell r="AY354" t="str">
            <v>HOSPITAL DEL SALVADOR</v>
          </cell>
        </row>
        <row r="355">
          <cell r="T355">
            <v>1146998</v>
          </cell>
          <cell r="AX355" t="str">
            <v>Preventivo</v>
          </cell>
          <cell r="AY355" t="str">
            <v>HOSPITAL DEL SALVADOR</v>
          </cell>
        </row>
        <row r="356">
          <cell r="T356">
            <v>1400000</v>
          </cell>
          <cell r="AX356" t="str">
            <v>Correctivo</v>
          </cell>
          <cell r="AY356" t="str">
            <v>HOSPITAL GUILLERMO GRANT BENAVENTE</v>
          </cell>
        </row>
        <row r="357">
          <cell r="T357">
            <v>386708</v>
          </cell>
          <cell r="AX357" t="str">
            <v>Preventivo</v>
          </cell>
          <cell r="AY357" t="str">
            <v>INSTITUTO NACIONAL DEL CANCER</v>
          </cell>
        </row>
        <row r="358">
          <cell r="T358">
            <v>595557</v>
          </cell>
          <cell r="AX358" t="str">
            <v>Correctivo</v>
          </cell>
          <cell r="AY358">
            <v>0</v>
          </cell>
        </row>
        <row r="359">
          <cell r="T359">
            <v>1240000</v>
          </cell>
          <cell r="AX359" t="str">
            <v>Preventivo</v>
          </cell>
          <cell r="AY359">
            <v>0</v>
          </cell>
        </row>
        <row r="360">
          <cell r="T360">
            <v>600000</v>
          </cell>
          <cell r="AX360" t="str">
            <v>Preventivo</v>
          </cell>
          <cell r="AY360">
            <v>0</v>
          </cell>
        </row>
        <row r="361">
          <cell r="T361">
            <v>620000</v>
          </cell>
          <cell r="AX361" t="str">
            <v>Preventivo</v>
          </cell>
          <cell r="AY361">
            <v>0</v>
          </cell>
        </row>
        <row r="362">
          <cell r="T362">
            <v>300000</v>
          </cell>
          <cell r="AX362" t="str">
            <v>Preventivo</v>
          </cell>
          <cell r="AY362">
            <v>0</v>
          </cell>
        </row>
        <row r="363">
          <cell r="T363">
            <v>1357615</v>
          </cell>
          <cell r="AX363" t="str">
            <v>Correctivo</v>
          </cell>
          <cell r="AY363">
            <v>0</v>
          </cell>
        </row>
        <row r="364">
          <cell r="T364">
            <v>1146998</v>
          </cell>
          <cell r="AX364" t="str">
            <v>Correctivo</v>
          </cell>
          <cell r="AY364" t="str">
            <v>HOSPITAL DEL SALVADOR</v>
          </cell>
        </row>
        <row r="365">
          <cell r="T365">
            <v>1146998</v>
          </cell>
          <cell r="AX365" t="str">
            <v>Correctivo</v>
          </cell>
          <cell r="AY365" t="str">
            <v>HOSPITAL DEL SALVADOR</v>
          </cell>
        </row>
        <row r="366">
          <cell r="T366">
            <v>1146998</v>
          </cell>
          <cell r="AX366" t="str">
            <v>Correctivo</v>
          </cell>
          <cell r="AY366" t="str">
            <v>HOSPITAL DEL SALVADOR</v>
          </cell>
        </row>
        <row r="367">
          <cell r="T367">
            <v>582851</v>
          </cell>
          <cell r="AX367" t="str">
            <v>Correctivo</v>
          </cell>
          <cell r="AY367" t="str">
            <v>HOSPITAL DEL PROFESOR</v>
          </cell>
        </row>
        <row r="368">
          <cell r="T368">
            <v>387889</v>
          </cell>
          <cell r="AX368" t="str">
            <v>Correctivo</v>
          </cell>
          <cell r="AY368">
            <v>0</v>
          </cell>
        </row>
        <row r="369">
          <cell r="T369">
            <v>243944</v>
          </cell>
          <cell r="AX369" t="str">
            <v>Correctivo</v>
          </cell>
          <cell r="AY369" t="str">
            <v>INSUMOS Y SERVICIOS MEDICOS S.A.</v>
          </cell>
        </row>
        <row r="370">
          <cell r="T370">
            <v>387889</v>
          </cell>
          <cell r="AX370" t="str">
            <v>Correctivo</v>
          </cell>
          <cell r="AY370">
            <v>0</v>
          </cell>
        </row>
        <row r="371">
          <cell r="T371">
            <v>582851</v>
          </cell>
          <cell r="AX371" t="str">
            <v>Correctivo</v>
          </cell>
          <cell r="AY371" t="str">
            <v>HOSPITAL DEL PROFESOR</v>
          </cell>
        </row>
        <row r="372">
          <cell r="T372">
            <v>582851</v>
          </cell>
          <cell r="AX372" t="str">
            <v>Correctivo</v>
          </cell>
          <cell r="AY372" t="str">
            <v>HOSPITAL DEL PROFESOR</v>
          </cell>
        </row>
        <row r="373">
          <cell r="T373">
            <v>243944</v>
          </cell>
          <cell r="AX373" t="str">
            <v>Correctivo</v>
          </cell>
          <cell r="AY373" t="str">
            <v>INSUMOS Y SERVICIOS MEDICOS S.A.</v>
          </cell>
        </row>
        <row r="374">
          <cell r="T374">
            <v>243944</v>
          </cell>
          <cell r="AX374" t="str">
            <v>Correctivo</v>
          </cell>
          <cell r="AY374" t="str">
            <v>INSUMOS Y SERVICIOS MEDICOS S.A.</v>
          </cell>
        </row>
        <row r="375">
          <cell r="T375">
            <v>243944</v>
          </cell>
          <cell r="AX375" t="str">
            <v>Correctivo</v>
          </cell>
          <cell r="AY375" t="str">
            <v>CLINICA ALEMANA DE SANTIAGO S A</v>
          </cell>
        </row>
        <row r="376">
          <cell r="T376">
            <v>387889</v>
          </cell>
          <cell r="AX376" t="str">
            <v>Correctivo</v>
          </cell>
          <cell r="AY376">
            <v>0</v>
          </cell>
        </row>
        <row r="377">
          <cell r="T377">
            <v>243944</v>
          </cell>
          <cell r="AX377" t="str">
            <v>Preventivo</v>
          </cell>
          <cell r="AY377" t="str">
            <v>INSUMOS Y SERVICIOS MEDICOS S.A.</v>
          </cell>
        </row>
        <row r="378">
          <cell r="T378">
            <v>3676491</v>
          </cell>
          <cell r="AX378" t="str">
            <v>Correctivo</v>
          </cell>
          <cell r="AY378">
            <v>0</v>
          </cell>
        </row>
        <row r="379">
          <cell r="T379">
            <v>1363594</v>
          </cell>
          <cell r="AX379" t="str">
            <v>Correctivo</v>
          </cell>
          <cell r="AY379">
            <v>0</v>
          </cell>
        </row>
        <row r="380">
          <cell r="T380">
            <v>676114</v>
          </cell>
          <cell r="AX380" t="str">
            <v>Correctivo</v>
          </cell>
          <cell r="AY380">
            <v>0</v>
          </cell>
        </row>
        <row r="381">
          <cell r="T381">
            <v>891686</v>
          </cell>
          <cell r="AX381" t="str">
            <v>Correctivo</v>
          </cell>
          <cell r="AY381">
            <v>0</v>
          </cell>
        </row>
        <row r="382">
          <cell r="T382">
            <v>1663667</v>
          </cell>
          <cell r="AX382" t="str">
            <v>Correctivo</v>
          </cell>
          <cell r="AY382">
            <v>0</v>
          </cell>
        </row>
        <row r="383">
          <cell r="T383">
            <v>1873042</v>
          </cell>
          <cell r="AX383" t="str">
            <v>Correctivo</v>
          </cell>
          <cell r="AY383" t="str">
            <v>HOSPITAL VICTORIA</v>
          </cell>
        </row>
        <row r="384">
          <cell r="T384">
            <v>243944</v>
          </cell>
          <cell r="AX384" t="str">
            <v>Preventivo</v>
          </cell>
          <cell r="AY384" t="str">
            <v>INSUMOS Y SERVICIOS MEDICOS S.A.</v>
          </cell>
        </row>
        <row r="385">
          <cell r="T385">
            <v>775778</v>
          </cell>
          <cell r="AX385" t="str">
            <v>Correctivo</v>
          </cell>
          <cell r="AY385">
            <v>0</v>
          </cell>
        </row>
        <row r="386">
          <cell r="T386">
            <v>420000</v>
          </cell>
          <cell r="AX386" t="str">
            <v>Correctivo</v>
          </cell>
          <cell r="AY386">
            <v>0</v>
          </cell>
        </row>
        <row r="387">
          <cell r="T387">
            <v>420000</v>
          </cell>
          <cell r="AX387" t="str">
            <v>Preventivo</v>
          </cell>
          <cell r="AY387">
            <v>0</v>
          </cell>
        </row>
        <row r="388">
          <cell r="T388">
            <v>557889</v>
          </cell>
          <cell r="AX388" t="str">
            <v>Correctivo</v>
          </cell>
          <cell r="AY388">
            <v>0</v>
          </cell>
        </row>
        <row r="389">
          <cell r="T389">
            <v>386708</v>
          </cell>
          <cell r="AX389" t="str">
            <v>Preventivo</v>
          </cell>
          <cell r="AY389" t="str">
            <v>INSTITUTO NACIONAL DEL CANCER</v>
          </cell>
        </row>
        <row r="390">
          <cell r="T390">
            <v>476778</v>
          </cell>
          <cell r="AX390" t="str">
            <v>Correctivo</v>
          </cell>
          <cell r="AY390">
            <v>0</v>
          </cell>
        </row>
        <row r="391">
          <cell r="T391">
            <v>904361</v>
          </cell>
          <cell r="AX391" t="str">
            <v>Preventivo</v>
          </cell>
          <cell r="AY391" t="str">
            <v>UNIVERSIDAD FINIS TERRAE</v>
          </cell>
        </row>
        <row r="392">
          <cell r="T392">
            <v>616778</v>
          </cell>
          <cell r="AX392" t="str">
            <v>Correctivo</v>
          </cell>
          <cell r="AY392">
            <v>0</v>
          </cell>
        </row>
        <row r="393">
          <cell r="T393">
            <v>386708</v>
          </cell>
          <cell r="AX393" t="str">
            <v>Preventivo</v>
          </cell>
          <cell r="AY393" t="str">
            <v>INSTITUTO NACIONAL DEL CANCER</v>
          </cell>
        </row>
        <row r="394">
          <cell r="T394">
            <v>466778</v>
          </cell>
          <cell r="AX394" t="str">
            <v>Correctivo</v>
          </cell>
          <cell r="AY394">
            <v>0</v>
          </cell>
        </row>
        <row r="395">
          <cell r="T395">
            <v>410441</v>
          </cell>
          <cell r="AX395" t="str">
            <v>Preventivo</v>
          </cell>
          <cell r="AY395" t="str">
            <v>SOCIEDAD CMA-COSTANERA S.A.</v>
          </cell>
        </row>
        <row r="396">
          <cell r="T396">
            <v>643415</v>
          </cell>
          <cell r="AX396" t="str">
            <v>Preventivo</v>
          </cell>
          <cell r="AY396" t="str">
            <v>HOSPITAL BARROS LUCO TRUDEAU</v>
          </cell>
        </row>
        <row r="397">
          <cell r="T397">
            <v>1074413</v>
          </cell>
          <cell r="AX397" t="str">
            <v>Preventivo</v>
          </cell>
          <cell r="AY397" t="str">
            <v>HOSPITAL DR. LUIS TISNE B.</v>
          </cell>
        </row>
        <row r="398">
          <cell r="T398">
            <v>3043139</v>
          </cell>
          <cell r="AX398" t="str">
            <v>Preventivo</v>
          </cell>
          <cell r="AY398" t="str">
            <v>JOHNSON &amp; JOHNSON DE CHILE S.A.</v>
          </cell>
        </row>
        <row r="399">
          <cell r="T399">
            <v>3043139</v>
          </cell>
          <cell r="AX399" t="str">
            <v>Preventivo</v>
          </cell>
          <cell r="AY399" t="str">
            <v>JOHNSON &amp; JOHNSON DE CHILE S.A.</v>
          </cell>
        </row>
        <row r="400">
          <cell r="T400">
            <v>341329</v>
          </cell>
          <cell r="AX400" t="str">
            <v>Preventivo</v>
          </cell>
          <cell r="AY400" t="str">
            <v>INSTITUTO NACIONAL DEL CANCER</v>
          </cell>
        </row>
        <row r="401">
          <cell r="T401">
            <v>386708</v>
          </cell>
          <cell r="AX401" t="str">
            <v>Preventivo</v>
          </cell>
          <cell r="AY401" t="str">
            <v>INSTITUTO NACIONAL DEL CANCER</v>
          </cell>
        </row>
        <row r="402">
          <cell r="T402">
            <v>1146998</v>
          </cell>
          <cell r="AX402" t="str">
            <v>Preventivo</v>
          </cell>
          <cell r="AY402" t="str">
            <v>HOSPITAL DEL SALVADOR</v>
          </cell>
        </row>
        <row r="403">
          <cell r="T403">
            <v>643415</v>
          </cell>
          <cell r="AX403" t="str">
            <v>Preventivo</v>
          </cell>
          <cell r="AY403" t="str">
            <v>HOSPITAL BARROS LUCO TRUDEAU</v>
          </cell>
        </row>
        <row r="404">
          <cell r="T404">
            <v>386708</v>
          </cell>
          <cell r="AX404" t="str">
            <v>Preventivo</v>
          </cell>
          <cell r="AY404" t="str">
            <v>INSTITUTO NACIONAL DEL CANCER</v>
          </cell>
        </row>
        <row r="405">
          <cell r="T405">
            <v>20921850</v>
          </cell>
          <cell r="AX405" t="str">
            <v>Preventivo</v>
          </cell>
          <cell r="AY405" t="str">
            <v>SOCIEDAD CONCESIONARIA METROPOLITANA DE SALUD S.A.</v>
          </cell>
        </row>
        <row r="406">
          <cell r="T406">
            <v>621528</v>
          </cell>
          <cell r="AX406" t="str">
            <v>Preventivo</v>
          </cell>
          <cell r="AY406" t="str">
            <v>CESFAM MIRAFLORES</v>
          </cell>
        </row>
        <row r="407">
          <cell r="T407">
            <v>447282</v>
          </cell>
          <cell r="AX407" t="str">
            <v>Preventivo</v>
          </cell>
          <cell r="AY407" t="str">
            <v>SERVICIOS CLINICOS DEL DESARROLLO S.A</v>
          </cell>
        </row>
        <row r="408">
          <cell r="T408">
            <v>413055</v>
          </cell>
          <cell r="AX408" t="str">
            <v>Preventivo</v>
          </cell>
          <cell r="AY408" t="str">
            <v>SOCIEDAD CMA-COSTANERA S.A.</v>
          </cell>
        </row>
        <row r="409">
          <cell r="T409">
            <v>19373882</v>
          </cell>
          <cell r="AX409" t="str">
            <v>Preventivo</v>
          </cell>
          <cell r="AY409" t="str">
            <v>HOSPITAL VICTORIA</v>
          </cell>
        </row>
        <row r="410">
          <cell r="T410">
            <v>3506900</v>
          </cell>
          <cell r="AX410" t="str">
            <v>Preventivo</v>
          </cell>
          <cell r="AY410" t="str">
            <v>HOSPITAL COMPLEJO ASISTENCIAL PADRE LAS CASAS</v>
          </cell>
        </row>
        <row r="411">
          <cell r="T411">
            <v>2005482</v>
          </cell>
          <cell r="AX411" t="str">
            <v>Preventivo</v>
          </cell>
          <cell r="AY411" t="str">
            <v>HOSPITAL SAN JOSÉ</v>
          </cell>
        </row>
        <row r="412">
          <cell r="T412">
            <v>582480</v>
          </cell>
          <cell r="AX412" t="str">
            <v>Preventivo</v>
          </cell>
          <cell r="AY412" t="str">
            <v>HOSPITAL SAN JOSÉ</v>
          </cell>
        </row>
        <row r="413">
          <cell r="T413">
            <v>1081256</v>
          </cell>
          <cell r="AX413" t="str">
            <v>Preventivo</v>
          </cell>
          <cell r="AY413" t="str">
            <v>HOSPITAL DR. LUIS TISNE B.</v>
          </cell>
        </row>
        <row r="414">
          <cell r="T414">
            <v>793542</v>
          </cell>
          <cell r="AX414" t="str">
            <v>Preventivo</v>
          </cell>
          <cell r="AY414">
            <v>0</v>
          </cell>
        </row>
        <row r="415">
          <cell r="T415">
            <v>2005482</v>
          </cell>
          <cell r="AX415" t="str">
            <v>Preventivo</v>
          </cell>
          <cell r="AY415" t="str">
            <v>HOSPITAL SAN JOSÉ</v>
          </cell>
        </row>
        <row r="416">
          <cell r="T416">
            <v>582480</v>
          </cell>
          <cell r="AX416" t="str">
            <v>Preventivo</v>
          </cell>
          <cell r="AY416" t="str">
            <v>HOSPITAL SAN JOSÉ</v>
          </cell>
        </row>
        <row r="417">
          <cell r="T417">
            <v>341329</v>
          </cell>
          <cell r="AX417" t="str">
            <v>Preventivo</v>
          </cell>
          <cell r="AY417" t="str">
            <v>INSTITUTO NACIONAL DEL CANCER</v>
          </cell>
        </row>
        <row r="418">
          <cell r="T418">
            <v>626167</v>
          </cell>
          <cell r="AX418" t="str">
            <v>Preventivo</v>
          </cell>
          <cell r="AY418" t="str">
            <v>CESFAM MIRAFLORES</v>
          </cell>
        </row>
        <row r="419">
          <cell r="T419">
            <v>450678</v>
          </cell>
          <cell r="AX419" t="str">
            <v>Preventivo</v>
          </cell>
          <cell r="AY419" t="str">
            <v>SERVICIOS CLINICOS DEL DESARROLLO S.A</v>
          </cell>
        </row>
        <row r="420">
          <cell r="T420">
            <v>416192</v>
          </cell>
          <cell r="AX420" t="str">
            <v>Preventivo</v>
          </cell>
          <cell r="AY420" t="str">
            <v>SOCIEDAD CMA-COSTANERA S.A.</v>
          </cell>
        </row>
        <row r="421">
          <cell r="T421">
            <v>2212636</v>
          </cell>
          <cell r="AX421" t="str">
            <v>Preventivo</v>
          </cell>
          <cell r="AY421" t="str">
            <v>ILUSTRE MUNICIPALIDAD DE LOS ALAMOS - DEPTO. SALUD</v>
          </cell>
        </row>
        <row r="422">
          <cell r="T422">
            <v>243944</v>
          </cell>
          <cell r="AX422" t="str">
            <v>Correctivo</v>
          </cell>
          <cell r="AY422">
            <v>0</v>
          </cell>
        </row>
        <row r="423">
          <cell r="T423">
            <v>599745</v>
          </cell>
          <cell r="AX423" t="str">
            <v>Preventivo</v>
          </cell>
          <cell r="AY423" t="str">
            <v>HOSPITAL DEL SALVADOR</v>
          </cell>
        </row>
        <row r="424">
          <cell r="T424">
            <v>599745</v>
          </cell>
          <cell r="AX424" t="str">
            <v>Preventivo</v>
          </cell>
          <cell r="AY424" t="str">
            <v>HOSPITAL DEL SALVADOR</v>
          </cell>
        </row>
        <row r="425">
          <cell r="T425">
            <v>599745</v>
          </cell>
          <cell r="AX425" t="str">
            <v>Preventivo</v>
          </cell>
          <cell r="AY425" t="str">
            <v>HOSPITAL DEL SALVADOR</v>
          </cell>
        </row>
        <row r="426">
          <cell r="T426">
            <v>1146998</v>
          </cell>
          <cell r="AX426" t="str">
            <v>Preventivo</v>
          </cell>
          <cell r="AY426" t="str">
            <v>HOSPITAL DEL SALVADOR</v>
          </cell>
        </row>
        <row r="427">
          <cell r="T427">
            <v>1089467</v>
          </cell>
          <cell r="AX427" t="str">
            <v>Preventivo</v>
          </cell>
          <cell r="AY427" t="str">
            <v>HOSPITAL DR. LUIS TISNE B.</v>
          </cell>
        </row>
        <row r="428">
          <cell r="T428">
            <v>21113316</v>
          </cell>
          <cell r="AX428" t="str">
            <v>Preventivo</v>
          </cell>
          <cell r="AY428" t="str">
            <v>SOCIEDAD CONCESIONARIA METROPOLITANA DE SALUD S.A.</v>
          </cell>
        </row>
        <row r="429">
          <cell r="T429">
            <v>3085385</v>
          </cell>
          <cell r="AX429" t="str">
            <v>Preventivo</v>
          </cell>
          <cell r="AY429" t="str">
            <v>JOHNSON &amp; JOHNSON DE CHILE S.A.</v>
          </cell>
        </row>
        <row r="430">
          <cell r="T430">
            <v>1257981</v>
          </cell>
          <cell r="AX430" t="str">
            <v>Preventivo</v>
          </cell>
          <cell r="AY430" t="str">
            <v>HOSPITAL DR. LUIS TISNE B.</v>
          </cell>
        </row>
        <row r="431">
          <cell r="T431">
            <v>3076407</v>
          </cell>
          <cell r="AX431" t="str">
            <v>Preventivo</v>
          </cell>
          <cell r="AY431" t="str">
            <v>JOHNSON &amp; JOHNSON DE CHILE S.A.</v>
          </cell>
        </row>
        <row r="432">
          <cell r="T432">
            <v>3076407</v>
          </cell>
          <cell r="AX432" t="str">
            <v>Preventivo</v>
          </cell>
          <cell r="AY432" t="str">
            <v>JOHNSON &amp; JOHNSON DE CHILE S.A.</v>
          </cell>
        </row>
        <row r="433">
          <cell r="T433">
            <v>914365</v>
          </cell>
          <cell r="AX433" t="str">
            <v>Preventivo</v>
          </cell>
          <cell r="AY433" t="str">
            <v>UNIVERSIDAD FINIS TERRAE</v>
          </cell>
        </row>
        <row r="434">
          <cell r="T434">
            <v>387889</v>
          </cell>
          <cell r="AX434" t="str">
            <v>Correctivo</v>
          </cell>
          <cell r="AY434">
            <v>0</v>
          </cell>
        </row>
        <row r="435">
          <cell r="T435">
            <v>21051877</v>
          </cell>
          <cell r="AX435" t="str">
            <v>Preventivo</v>
          </cell>
          <cell r="AY435" t="str">
            <v>SOCIEDAD CONCESIONARIA METROPOLITANA DE SALUD S.A.</v>
          </cell>
        </row>
        <row r="436">
          <cell r="T436">
            <v>1400000</v>
          </cell>
          <cell r="AX436" t="str">
            <v>Correctivo</v>
          </cell>
          <cell r="AY436" t="str">
            <v>HOSPITAL GUILLERMO GRANT BENAVENTE</v>
          </cell>
        </row>
        <row r="437">
          <cell r="T437">
            <v>1248501</v>
          </cell>
          <cell r="AX437" t="str">
            <v>Preventivo</v>
          </cell>
          <cell r="AY437" t="str">
            <v>HOSPITAL DR. LUIS TISNE B.</v>
          </cell>
        </row>
        <row r="438">
          <cell r="T438">
            <v>643415</v>
          </cell>
          <cell r="AX438" t="str">
            <v>Correctivo</v>
          </cell>
          <cell r="AY438" t="str">
            <v>HOSPITAL BARROS LUCO TRUDEAU</v>
          </cell>
        </row>
        <row r="439">
          <cell r="T439">
            <v>414981</v>
          </cell>
          <cell r="AX439" t="str">
            <v>Preventivo</v>
          </cell>
          <cell r="AY439" t="str">
            <v>SOCIEDAD CMA-COSTANERA S.A.</v>
          </cell>
        </row>
        <row r="440">
          <cell r="T440">
            <v>449367</v>
          </cell>
          <cell r="AX440" t="str">
            <v>Preventivo</v>
          </cell>
          <cell r="AY440" t="str">
            <v>SERVICIOS CLINICOS DEL DESARROLLO S.A</v>
          </cell>
        </row>
        <row r="441">
          <cell r="T441">
            <v>466000</v>
          </cell>
          <cell r="AX441" t="str">
            <v>Correctivo</v>
          </cell>
          <cell r="AY441">
            <v>0</v>
          </cell>
        </row>
        <row r="442">
          <cell r="T442">
            <v>623802</v>
          </cell>
          <cell r="AX442" t="str">
            <v>Preventivo</v>
          </cell>
          <cell r="AY442" t="str">
            <v>CESFAM MIRAFLORES</v>
          </cell>
        </row>
        <row r="443">
          <cell r="T443">
            <v>1086296</v>
          </cell>
          <cell r="AX443" t="str">
            <v>Preventivo</v>
          </cell>
          <cell r="AY443" t="str">
            <v>HOSPITAL DR. LUIS TISNE B.</v>
          </cell>
        </row>
        <row r="444">
          <cell r="T444">
            <v>1254321</v>
          </cell>
          <cell r="AX444" t="str">
            <v>Preventivo</v>
          </cell>
          <cell r="AY444" t="str">
            <v>HOSPITAL DR. LUIS TISNE B.</v>
          </cell>
        </row>
        <row r="445">
          <cell r="T445">
            <v>386708</v>
          </cell>
          <cell r="AX445" t="str">
            <v>Preventivo</v>
          </cell>
          <cell r="AY445" t="str">
            <v>INSTITUTO NACIONAL DEL CANCER</v>
          </cell>
        </row>
        <row r="446">
          <cell r="T446">
            <v>582480</v>
          </cell>
          <cell r="AX446" t="str">
            <v>Preventivo</v>
          </cell>
          <cell r="AY446" t="str">
            <v>HOSPITAL SAN JOSÉ</v>
          </cell>
        </row>
        <row r="447">
          <cell r="T447">
            <v>2005482</v>
          </cell>
          <cell r="AX447" t="str">
            <v>Preventivo</v>
          </cell>
          <cell r="AY447" t="str">
            <v>HOSPITAL SAN JOSÉ</v>
          </cell>
        </row>
        <row r="448">
          <cell r="T448">
            <v>515986</v>
          </cell>
          <cell r="AX448" t="str">
            <v>Correctivo</v>
          </cell>
          <cell r="AY448" t="str">
            <v>MEGASALUD S.A.</v>
          </cell>
        </row>
        <row r="449">
          <cell r="T449">
            <v>643415</v>
          </cell>
          <cell r="AX449" t="str">
            <v>Preventivo</v>
          </cell>
          <cell r="AY449" t="str">
            <v>HOSPITAL BARROS LUCO TRUDEAU</v>
          </cell>
        </row>
        <row r="450">
          <cell r="T450">
            <v>117403</v>
          </cell>
          <cell r="AX450" t="str">
            <v>Preventivo</v>
          </cell>
          <cell r="AY450" t="str">
            <v>MEGASALUD S.A.</v>
          </cell>
        </row>
        <row r="451">
          <cell r="T451">
            <v>420000</v>
          </cell>
          <cell r="AX451" t="str">
            <v>Correctivo</v>
          </cell>
          <cell r="AY451">
            <v>0</v>
          </cell>
        </row>
        <row r="452">
          <cell r="T452">
            <v>7666812</v>
          </cell>
          <cell r="AX452" t="str">
            <v>Preventivo</v>
          </cell>
          <cell r="AY452" t="str">
            <v>HOSPITAL DEL SALVADOR</v>
          </cell>
        </row>
        <row r="453">
          <cell r="T453">
            <v>599745</v>
          </cell>
          <cell r="AX453" t="str">
            <v>Preventivo</v>
          </cell>
          <cell r="AY453" t="str">
            <v>HOSPITAL DEL SALVADOR</v>
          </cell>
        </row>
        <row r="454">
          <cell r="T454">
            <v>599745</v>
          </cell>
          <cell r="AX454" t="str">
            <v>Preventivo</v>
          </cell>
          <cell r="AY454" t="str">
            <v>HOSPITAL DEL SALVADOR</v>
          </cell>
        </row>
        <row r="455">
          <cell r="T455">
            <v>4088966</v>
          </cell>
          <cell r="AX455" t="str">
            <v>Preventivo</v>
          </cell>
          <cell r="AY455" t="str">
            <v>HOSPITAL DEL SALVADOR</v>
          </cell>
        </row>
        <row r="456">
          <cell r="T456">
            <v>643415</v>
          </cell>
          <cell r="AX456" t="str">
            <v>Preventivo</v>
          </cell>
          <cell r="AY456" t="str">
            <v>HOSPITAL BARROS LUCO TRUDEAU</v>
          </cell>
        </row>
        <row r="457">
          <cell r="T457">
            <v>1067087</v>
          </cell>
          <cell r="AX457" t="str">
            <v>Preventivo</v>
          </cell>
          <cell r="AY457" t="str">
            <v>HOSPITAL DR. LUIS TISNE B.</v>
          </cell>
        </row>
        <row r="458">
          <cell r="T458">
            <v>2851993</v>
          </cell>
          <cell r="AX458" t="str">
            <v>Preventivo</v>
          </cell>
          <cell r="AY458">
            <v>0</v>
          </cell>
        </row>
        <row r="459">
          <cell r="T459">
            <v>613382</v>
          </cell>
          <cell r="AX459" t="str">
            <v>Preventivo</v>
          </cell>
          <cell r="AY459" t="str">
            <v>CESFAM MIRAFLORES</v>
          </cell>
        </row>
        <row r="460">
          <cell r="T460">
            <v>1146998</v>
          </cell>
          <cell r="AX460" t="str">
            <v>Preventivo</v>
          </cell>
          <cell r="AY460" t="str">
            <v>HOSPITAL DEL SALVADOR</v>
          </cell>
        </row>
        <row r="461">
          <cell r="T461">
            <v>341329</v>
          </cell>
          <cell r="AX461" t="str">
            <v>Preventivo</v>
          </cell>
          <cell r="AY461" t="str">
            <v>INSTITUTO NACIONAL DEL CANCER</v>
          </cell>
        </row>
        <row r="462">
          <cell r="T462">
            <v>386708</v>
          </cell>
          <cell r="AX462" t="str">
            <v>Preventivo</v>
          </cell>
          <cell r="AY462" t="str">
            <v>INSTITUTO NACIONAL DEL CANCER</v>
          </cell>
        </row>
        <row r="463">
          <cell r="T463">
            <v>1146998</v>
          </cell>
          <cell r="AX463" t="str">
            <v>Preventivo</v>
          </cell>
          <cell r="AY463" t="str">
            <v>HOSPITAL DEL SALVADOR</v>
          </cell>
        </row>
        <row r="464">
          <cell r="T464">
            <v>407642</v>
          </cell>
          <cell r="AX464" t="str">
            <v>Preventivo</v>
          </cell>
          <cell r="AY464" t="str">
            <v>SOCIEDAD CMA-COSTANERA S.A.</v>
          </cell>
        </row>
        <row r="465">
          <cell r="T465">
            <v>599745</v>
          </cell>
          <cell r="AX465" t="str">
            <v>Preventivo</v>
          </cell>
          <cell r="AY465" t="str">
            <v>HOSPITAL DEL SALVADOR</v>
          </cell>
        </row>
        <row r="466">
          <cell r="T466">
            <v>599745</v>
          </cell>
          <cell r="AX466" t="str">
            <v>Preventivo</v>
          </cell>
          <cell r="AY466" t="str">
            <v>HOSPITAL DEL SALVADOR</v>
          </cell>
        </row>
        <row r="467">
          <cell r="T467">
            <v>599745</v>
          </cell>
          <cell r="AX467" t="str">
            <v>Preventivo</v>
          </cell>
          <cell r="AY467" t="str">
            <v>HOSPITAL DEL SALVADOR</v>
          </cell>
        </row>
        <row r="468">
          <cell r="T468">
            <v>1146998</v>
          </cell>
          <cell r="AX468" t="str">
            <v>Preventivo</v>
          </cell>
          <cell r="AY468" t="str">
            <v>HOSPITAL DEL SALVADOR</v>
          </cell>
        </row>
        <row r="469">
          <cell r="T469">
            <v>466778</v>
          </cell>
          <cell r="AX469" t="str">
            <v>Correctivo</v>
          </cell>
          <cell r="AY469">
            <v>0</v>
          </cell>
        </row>
        <row r="470">
          <cell r="T470">
            <v>20748490</v>
          </cell>
          <cell r="AX470" t="str">
            <v>Preventivo</v>
          </cell>
          <cell r="AY470" t="str">
            <v>SOCIEDAD CONCESIONARIA METROPOLITANA DE SALUD S.A.</v>
          </cell>
        </row>
        <row r="471">
          <cell r="T471">
            <v>20748490</v>
          </cell>
          <cell r="AX471" t="str">
            <v>Preventivo</v>
          </cell>
          <cell r="AY471" t="str">
            <v>SOCIEDAD CONCESIONARIA METROPOLITANA DE SALUD S.A.</v>
          </cell>
        </row>
        <row r="472">
          <cell r="T472">
            <v>582480</v>
          </cell>
          <cell r="AX472" t="str">
            <v>Preventivo</v>
          </cell>
          <cell r="AY472" t="str">
            <v>HOSPITAL SAN JOSÉ</v>
          </cell>
        </row>
        <row r="473">
          <cell r="T473">
            <v>2005482</v>
          </cell>
          <cell r="AX473" t="str">
            <v>Preventivo</v>
          </cell>
          <cell r="AY473" t="str">
            <v>HOSPITAL SAN JOSÉ</v>
          </cell>
        </row>
        <row r="474">
          <cell r="T474">
            <v>444104</v>
          </cell>
          <cell r="AX474" t="str">
            <v>Preventivo</v>
          </cell>
          <cell r="AY474" t="str">
            <v>SERVICIOS CLINICOS DEL DESARROLLO S.A</v>
          </cell>
        </row>
        <row r="475">
          <cell r="T475">
            <v>444104</v>
          </cell>
          <cell r="AX475" t="str">
            <v>Preventivo</v>
          </cell>
          <cell r="AY475" t="str">
            <v>SERVICIOS CLINICOS DEL DESARROLLO S.A</v>
          </cell>
        </row>
        <row r="476">
          <cell r="T476">
            <v>617594</v>
          </cell>
          <cell r="AX476" t="str">
            <v>Preventivo</v>
          </cell>
          <cell r="AY476" t="str">
            <v>CESFAM MIRAFLORES</v>
          </cell>
        </row>
        <row r="477">
          <cell r="T477">
            <v>9630</v>
          </cell>
          <cell r="AX477" t="str">
            <v>Correctivo</v>
          </cell>
          <cell r="AY477" t="str">
            <v>HOSPITAL CARLOS VAN BUREN</v>
          </cell>
        </row>
        <row r="478">
          <cell r="T478">
            <v>4630</v>
          </cell>
          <cell r="AX478" t="str">
            <v>Correctivo</v>
          </cell>
          <cell r="AY478" t="str">
            <v>HOSPITAL SAN LUIS BUIN</v>
          </cell>
        </row>
        <row r="479">
          <cell r="T479">
            <v>185955</v>
          </cell>
          <cell r="AX479" t="str">
            <v>Correctivo</v>
          </cell>
          <cell r="AY479" t="str">
            <v>EJERCITO DE CHILE CENTRAL ODONTOLOGICA D</v>
          </cell>
        </row>
        <row r="480">
          <cell r="T480">
            <v>32482</v>
          </cell>
          <cell r="AX480" t="str">
            <v>Correctivo</v>
          </cell>
          <cell r="AY480">
            <v>0</v>
          </cell>
        </row>
        <row r="481">
          <cell r="T481">
            <v>625838</v>
          </cell>
          <cell r="AX481" t="str">
            <v>Correctivo</v>
          </cell>
          <cell r="AY481" t="str">
            <v>CLINICA WLK SA</v>
          </cell>
        </row>
        <row r="482">
          <cell r="T482">
            <v>186515</v>
          </cell>
          <cell r="AX482" t="str">
            <v>Correctivo</v>
          </cell>
          <cell r="AY482" t="str">
            <v>EJERCITO DE CHILE CENTRAL ODONTOLOGICA D</v>
          </cell>
        </row>
        <row r="483">
          <cell r="T483">
            <v>25080</v>
          </cell>
          <cell r="AX483" t="str">
            <v>Correctivo</v>
          </cell>
          <cell r="AY483" t="str">
            <v>SOCIEDAD CONCESIONARIA METROPOLITANA DE SALUD S.A.</v>
          </cell>
        </row>
        <row r="484">
          <cell r="T484">
            <v>23826</v>
          </cell>
          <cell r="AX484" t="str">
            <v>Correctivo</v>
          </cell>
          <cell r="AY484" t="str">
            <v>HOSPITAL CLINICO SAN BORJA-ARRIARAN</v>
          </cell>
        </row>
        <row r="485">
          <cell r="T485">
            <v>225510</v>
          </cell>
          <cell r="AX485" t="str">
            <v>Correctivo</v>
          </cell>
          <cell r="AY485" t="str">
            <v>HOSPITAL CLINICO DE LA FUERZA AEREA FACH GRAL DR RAUL YAZIGI JAUREGUI</v>
          </cell>
        </row>
        <row r="486">
          <cell r="T486">
            <v>31350</v>
          </cell>
          <cell r="AX486" t="str">
            <v>Preventivo</v>
          </cell>
          <cell r="AY486" t="str">
            <v>INSUMOS Y SERVICIOS MEDICOS S.A.</v>
          </cell>
        </row>
        <row r="487">
          <cell r="T487">
            <v>30800</v>
          </cell>
          <cell r="AX487" t="str">
            <v>Correctivo</v>
          </cell>
          <cell r="AY487" t="str">
            <v>HOSPITAL CARLOS VAN BUREN</v>
          </cell>
        </row>
        <row r="488">
          <cell r="T488">
            <v>8000</v>
          </cell>
          <cell r="AX488" t="str">
            <v>Correctivo</v>
          </cell>
          <cell r="AY488" t="str">
            <v>HOSPITAL SAN LUIS BUIN</v>
          </cell>
        </row>
        <row r="489">
          <cell r="T489">
            <v>59470</v>
          </cell>
          <cell r="AX489" t="str">
            <v>Correctivo</v>
          </cell>
          <cell r="AY489" t="str">
            <v>COMPLEJO ASISTENCIAL DR.SOTERO DEL RIO</v>
          </cell>
        </row>
        <row r="490">
          <cell r="T490">
            <v>23788</v>
          </cell>
          <cell r="AX490" t="str">
            <v>Correctivo</v>
          </cell>
          <cell r="AY490" t="str">
            <v>SOCIEDAD CONCESIONARIA METROPOLITANA DE SALUD S.A.</v>
          </cell>
        </row>
        <row r="491">
          <cell r="T491">
            <v>12400</v>
          </cell>
          <cell r="AX491" t="str">
            <v>Correctivo</v>
          </cell>
          <cell r="AY491" t="str">
            <v>COMPLEJO ASISTENCIAL DR.SOTERO DEL RIO</v>
          </cell>
        </row>
        <row r="492">
          <cell r="T492">
            <v>839667</v>
          </cell>
          <cell r="AX492" t="str">
            <v>Correctivo</v>
          </cell>
          <cell r="AY492" t="str">
            <v>UC CHRISTUS SERVICIOS AMBULATORIOS SPA</v>
          </cell>
        </row>
        <row r="493">
          <cell r="T493">
            <v>0</v>
          </cell>
          <cell r="AX493" t="str">
            <v>Correctivo</v>
          </cell>
          <cell r="AY493" t="str">
            <v>HOSPITAL CLAUDIO VICUÑA</v>
          </cell>
        </row>
        <row r="494">
          <cell r="T494">
            <v>21425</v>
          </cell>
          <cell r="AX494" t="str">
            <v>Correctivo</v>
          </cell>
          <cell r="AY494" t="str">
            <v>INSUMOS Y SERVICIOS MEDICOS S.A.</v>
          </cell>
        </row>
        <row r="495">
          <cell r="T495">
            <v>214512</v>
          </cell>
          <cell r="AX495" t="str">
            <v>Correctivo</v>
          </cell>
          <cell r="AY495" t="str">
            <v>HOSPITAL SAN PABLO DE COQUIMBO</v>
          </cell>
        </row>
        <row r="496">
          <cell r="T496">
            <v>214512</v>
          </cell>
          <cell r="AX496" t="str">
            <v>Correctivo</v>
          </cell>
          <cell r="AY496" t="str">
            <v>HOSPITAL SAN PABLO DE COQUIMBO</v>
          </cell>
        </row>
        <row r="497">
          <cell r="T497">
            <v>214512</v>
          </cell>
          <cell r="AX497" t="str">
            <v>Correctivo</v>
          </cell>
          <cell r="AY497" t="str">
            <v>HOSPITAL SAN PABLO DE COQUIMBO</v>
          </cell>
        </row>
        <row r="498">
          <cell r="T498">
            <v>1443750</v>
          </cell>
          <cell r="AX498" t="str">
            <v>Preventivo</v>
          </cell>
          <cell r="AY498" t="str">
            <v>HOSPITAL SAN PABLO DE COQUIMBO</v>
          </cell>
        </row>
        <row r="499">
          <cell r="T499">
            <v>157422</v>
          </cell>
          <cell r="AX499" t="str">
            <v>Correctivo</v>
          </cell>
          <cell r="AY499" t="str">
            <v>SOCIEDAD MEDICA E IMAGENEOLOGICA ANCUD LTDA</v>
          </cell>
        </row>
        <row r="500">
          <cell r="T500">
            <v>700000</v>
          </cell>
          <cell r="AX500" t="str">
            <v>Correctivo</v>
          </cell>
          <cell r="AY500" t="str">
            <v>HOSPITAL CARLOS VAN BUREN</v>
          </cell>
        </row>
        <row r="501">
          <cell r="T501">
            <v>700000</v>
          </cell>
          <cell r="AX501" t="str">
            <v>Correctivo</v>
          </cell>
          <cell r="AY501" t="str">
            <v>HOSPITAL CARLOS VAN BUREN</v>
          </cell>
        </row>
        <row r="502">
          <cell r="T502">
            <v>13300</v>
          </cell>
          <cell r="AX502" t="str">
            <v>Correctivo</v>
          </cell>
          <cell r="AY502" t="str">
            <v>HOSPITAL DE ANDACOLLO</v>
          </cell>
        </row>
        <row r="503">
          <cell r="T503">
            <v>29666</v>
          </cell>
          <cell r="AX503" t="str">
            <v>Correctivo</v>
          </cell>
          <cell r="AY503" t="str">
            <v>HOSPITAL DE ANDACOLLO</v>
          </cell>
        </row>
        <row r="504">
          <cell r="T504">
            <v>106923</v>
          </cell>
          <cell r="AX504" t="str">
            <v>Correctivo</v>
          </cell>
          <cell r="AY504" t="str">
            <v>HOSPITAL DE ANDACOLLO</v>
          </cell>
        </row>
        <row r="505">
          <cell r="T505">
            <v>8166</v>
          </cell>
          <cell r="AX505" t="str">
            <v>Correctivo</v>
          </cell>
          <cell r="AY505" t="str">
            <v>HOSPITAL DE ANDACOLLO</v>
          </cell>
        </row>
        <row r="506">
          <cell r="T506">
            <v>184246</v>
          </cell>
          <cell r="AX506" t="str">
            <v>Correctivo</v>
          </cell>
          <cell r="AY506" t="str">
            <v>INSTITUTO DE DIAGNOSTICO S.A.</v>
          </cell>
        </row>
        <row r="507">
          <cell r="T507">
            <v>104685</v>
          </cell>
          <cell r="AX507" t="str">
            <v>Correctivo</v>
          </cell>
          <cell r="AY507" t="str">
            <v>INSTITUTO DE DIAGNOSTICO S.A.</v>
          </cell>
        </row>
        <row r="508">
          <cell r="T508">
            <v>136816</v>
          </cell>
          <cell r="AX508" t="str">
            <v>Correctivo</v>
          </cell>
          <cell r="AY508">
            <v>0</v>
          </cell>
        </row>
        <row r="509">
          <cell r="T509">
            <v>58350</v>
          </cell>
          <cell r="AX509" t="str">
            <v>Correctivo</v>
          </cell>
          <cell r="AY509">
            <v>0</v>
          </cell>
        </row>
        <row r="510">
          <cell r="T510">
            <v>58350</v>
          </cell>
          <cell r="AX510" t="str">
            <v>Correctivo</v>
          </cell>
          <cell r="AY510" t="str">
            <v>HOSPITAL DE PUERTO AYSEN</v>
          </cell>
        </row>
        <row r="511">
          <cell r="T511">
            <v>66308</v>
          </cell>
          <cell r="AX511" t="str">
            <v>Correctivo</v>
          </cell>
          <cell r="AY511" t="str">
            <v>HOSPITAL EXEQUIEL GONZALEZ CORTES</v>
          </cell>
        </row>
        <row r="512">
          <cell r="T512">
            <v>99462</v>
          </cell>
          <cell r="AX512" t="str">
            <v>Correctivo</v>
          </cell>
          <cell r="AY512" t="str">
            <v>SOCIEDAD CMA-COSTANERA S.A.</v>
          </cell>
        </row>
        <row r="513">
          <cell r="T513">
            <v>428378</v>
          </cell>
          <cell r="AX513" t="str">
            <v>Correctivo</v>
          </cell>
          <cell r="AY513" t="str">
            <v>INSUMOS Y SERVICIOS MEDICOS S.A.</v>
          </cell>
        </row>
        <row r="514">
          <cell r="T514">
            <v>31480</v>
          </cell>
          <cell r="AX514" t="str">
            <v>Correctivo</v>
          </cell>
          <cell r="AY514" t="str">
            <v>HOSPITAL EDUARDO PEREIRA</v>
          </cell>
        </row>
        <row r="515">
          <cell r="T515">
            <v>66308</v>
          </cell>
          <cell r="AX515" t="str">
            <v>Correctivo</v>
          </cell>
          <cell r="AY515" t="str">
            <v>SOCIEDAD CONCESIONARIA METROPOLITANA DE SALUD S.A.</v>
          </cell>
        </row>
        <row r="516">
          <cell r="T516">
            <v>334950</v>
          </cell>
          <cell r="AX516" t="str">
            <v>Correctivo</v>
          </cell>
          <cell r="AY516" t="str">
            <v>SOCIEDAD CONCESIONARIA METROPOLITANA DE SALUD S.A.</v>
          </cell>
        </row>
        <row r="517">
          <cell r="T517">
            <v>47933</v>
          </cell>
          <cell r="AX517" t="str">
            <v>Correctivo</v>
          </cell>
          <cell r="AY517" t="str">
            <v>HOSPITAL EXEQUIEL GONZALEZ CORTES</v>
          </cell>
        </row>
        <row r="518">
          <cell r="T518">
            <v>262000</v>
          </cell>
          <cell r="AX518" t="str">
            <v>Correctivo</v>
          </cell>
          <cell r="AY518">
            <v>0</v>
          </cell>
        </row>
        <row r="519">
          <cell r="T519">
            <v>42181</v>
          </cell>
          <cell r="AX519" t="str">
            <v>Correctivo</v>
          </cell>
          <cell r="AY519" t="str">
            <v>INSTITUTO NACIONAL DEL CANCER</v>
          </cell>
        </row>
        <row r="520">
          <cell r="T520">
            <v>105453</v>
          </cell>
          <cell r="AX520" t="str">
            <v>Correctivo</v>
          </cell>
          <cell r="AY520">
            <v>0</v>
          </cell>
        </row>
        <row r="521">
          <cell r="T521">
            <v>84362</v>
          </cell>
          <cell r="AX521" t="str">
            <v>Correctivo</v>
          </cell>
          <cell r="AY521">
            <v>0</v>
          </cell>
        </row>
        <row r="522">
          <cell r="T522">
            <v>997711</v>
          </cell>
          <cell r="AX522" t="str">
            <v>Correctivo</v>
          </cell>
          <cell r="AY522" t="str">
            <v>HOSPITAL COMPLEJO ASISTENCIAL PADRE LAS CASAS</v>
          </cell>
        </row>
        <row r="523">
          <cell r="T523">
            <v>95866</v>
          </cell>
          <cell r="AX523" t="str">
            <v>Correctivo</v>
          </cell>
          <cell r="AY523" t="str">
            <v>SOCIEDAD CONCESIONARIA METROPOLITANA DE SALUD S.A.</v>
          </cell>
        </row>
        <row r="524">
          <cell r="T524">
            <v>47933</v>
          </cell>
          <cell r="AX524" t="str">
            <v>Correctivo</v>
          </cell>
          <cell r="AY524" t="str">
            <v>INSUMOS Y SERVICIOS MEDICOS S.A.</v>
          </cell>
        </row>
        <row r="525">
          <cell r="T525">
            <v>84362</v>
          </cell>
          <cell r="AX525" t="str">
            <v>Correctivo</v>
          </cell>
          <cell r="AY525">
            <v>0</v>
          </cell>
        </row>
        <row r="526">
          <cell r="T526">
            <v>79300</v>
          </cell>
          <cell r="AX526" t="str">
            <v>Correctivo</v>
          </cell>
          <cell r="AY526" t="str">
            <v>INSUMOS Y SERVICIOS MEDICOS S.A.</v>
          </cell>
        </row>
        <row r="527">
          <cell r="T527">
            <v>157290</v>
          </cell>
          <cell r="AX527" t="str">
            <v>Correctivo</v>
          </cell>
          <cell r="AY527">
            <v>0</v>
          </cell>
        </row>
        <row r="528">
          <cell r="T528">
            <v>157290</v>
          </cell>
          <cell r="AX528" t="str">
            <v>Correctivo</v>
          </cell>
          <cell r="AY528" t="str">
            <v>SOCIEDAD CMA-COSTANERA S.A.</v>
          </cell>
        </row>
        <row r="529">
          <cell r="T529">
            <v>157290</v>
          </cell>
          <cell r="AX529" t="str">
            <v>Correctivo</v>
          </cell>
          <cell r="AY529" t="str">
            <v>HOSPITAL DE PUERTO MONTT</v>
          </cell>
        </row>
        <row r="530">
          <cell r="T530">
            <v>1477875</v>
          </cell>
          <cell r="AX530" t="str">
            <v>Correctivo</v>
          </cell>
          <cell r="AY530" t="str">
            <v>HOSPITAL CLINICO SAN BORJA-ARRIARAN</v>
          </cell>
        </row>
        <row r="531">
          <cell r="T531">
            <v>72257</v>
          </cell>
          <cell r="AX531" t="str">
            <v>Correctivo</v>
          </cell>
          <cell r="AY531" t="str">
            <v>HOSPITAL MILITAR DE SANTIAGO</v>
          </cell>
        </row>
        <row r="532">
          <cell r="T532">
            <v>56534</v>
          </cell>
          <cell r="AX532" t="str">
            <v>Correctivo</v>
          </cell>
          <cell r="AY532" t="str">
            <v>HOSPITAL CLINICO SAN BORJA-ARRIARAN</v>
          </cell>
        </row>
        <row r="533">
          <cell r="T533">
            <v>52368</v>
          </cell>
          <cell r="AX533" t="str">
            <v>Correctivo</v>
          </cell>
          <cell r="AY533" t="str">
            <v>INSUMOS Y SERVICIOS MEDICOS S.A.</v>
          </cell>
        </row>
        <row r="534">
          <cell r="T534">
            <v>120698</v>
          </cell>
          <cell r="AX534" t="str">
            <v>Correctivo</v>
          </cell>
          <cell r="AY534" t="str">
            <v>INSUMOS Y SERVICIOS MEDICOS S.A.</v>
          </cell>
        </row>
        <row r="535">
          <cell r="T535">
            <v>367500</v>
          </cell>
          <cell r="AX535" t="str">
            <v>Correctivo</v>
          </cell>
          <cell r="AY535" t="str">
            <v>SERVICIO DE SALUD ÑUBLE</v>
          </cell>
        </row>
        <row r="536">
          <cell r="T536">
            <v>367500</v>
          </cell>
          <cell r="AX536" t="str">
            <v>Correctivo</v>
          </cell>
          <cell r="AY536" t="str">
            <v>HOSPITAL LUIS CALVO MACKENNA</v>
          </cell>
        </row>
        <row r="537">
          <cell r="T537">
            <v>367500</v>
          </cell>
          <cell r="AX537" t="str">
            <v>Correctivo</v>
          </cell>
          <cell r="AY537" t="str">
            <v>HOSPITAL LUIS CALVO MACKENNA</v>
          </cell>
        </row>
        <row r="538">
          <cell r="T538">
            <v>1197000</v>
          </cell>
          <cell r="AX538" t="str">
            <v>Correctivo</v>
          </cell>
          <cell r="AY538" t="str">
            <v>SERVICIO DE SALUD ÑUBLE</v>
          </cell>
        </row>
        <row r="539">
          <cell r="T539">
            <v>55755</v>
          </cell>
          <cell r="AX539" t="str">
            <v>Correctivo</v>
          </cell>
          <cell r="AY539" t="str">
            <v>SERVICIO DE SALUD ÑUBLE</v>
          </cell>
        </row>
        <row r="540">
          <cell r="T540">
            <v>55755</v>
          </cell>
          <cell r="AX540" t="str">
            <v>Correctivo</v>
          </cell>
          <cell r="AY540" t="str">
            <v>HOSPITAL LUIS CALVO MACKENNA</v>
          </cell>
        </row>
        <row r="541">
          <cell r="T541">
            <v>55755</v>
          </cell>
          <cell r="AX541" t="str">
            <v>Correctivo</v>
          </cell>
          <cell r="AY541" t="str">
            <v>HOSPITAL LUIS CALVO MACKENNA</v>
          </cell>
        </row>
        <row r="542">
          <cell r="T542">
            <v>1094940</v>
          </cell>
          <cell r="AX542" t="str">
            <v>Preventivo</v>
          </cell>
          <cell r="AY542" t="str">
            <v>HOSPITAL BARROS LUCO TRUDEAU</v>
          </cell>
        </row>
        <row r="543">
          <cell r="T543">
            <v>1094940</v>
          </cell>
          <cell r="AX543" t="str">
            <v>Correctivo</v>
          </cell>
          <cell r="AY543" t="str">
            <v>HOSPITAL NAVAL ALMIRANTE ADRIAZOLA</v>
          </cell>
        </row>
        <row r="544">
          <cell r="T544">
            <v>116314</v>
          </cell>
          <cell r="AX544" t="str">
            <v>Correctivo</v>
          </cell>
          <cell r="AY544" t="str">
            <v>INSUMOS Y SERVICIOS MEDICOS S.A.</v>
          </cell>
        </row>
        <row r="545">
          <cell r="T545">
            <v>1422356</v>
          </cell>
          <cell r="AX545" t="str">
            <v>Correctivo</v>
          </cell>
          <cell r="AY545" t="str">
            <v>HOSPITAL CLINICO SAN BORJA-ARRIARAN</v>
          </cell>
        </row>
        <row r="546">
          <cell r="T546">
            <v>2058000</v>
          </cell>
          <cell r="AX546" t="str">
            <v>Correctivo</v>
          </cell>
          <cell r="AY546" t="str">
            <v>HOSPITAL MILITAR DE SANTIAGO</v>
          </cell>
        </row>
        <row r="547">
          <cell r="T547">
            <v>462000</v>
          </cell>
          <cell r="AX547" t="str">
            <v>Correctivo</v>
          </cell>
          <cell r="AY547" t="str">
            <v>HOSPITAL COMPLEJO ASISTENCIAL PADRE LAS CASAS</v>
          </cell>
        </row>
        <row r="548">
          <cell r="T548">
            <v>682500</v>
          </cell>
          <cell r="AX548" t="str">
            <v>Correctivo</v>
          </cell>
          <cell r="AY548" t="str">
            <v>INSTITUTO DE DIAGNOSTICO S.A.</v>
          </cell>
        </row>
        <row r="549">
          <cell r="T549">
            <v>318780</v>
          </cell>
          <cell r="AX549" t="str">
            <v>Correctivo</v>
          </cell>
          <cell r="AY549" t="str">
            <v>HOSPITAL CARLOS VAN BUREN</v>
          </cell>
        </row>
        <row r="550">
          <cell r="T550">
            <v>713790</v>
          </cell>
          <cell r="AX550" t="str">
            <v>Correctivo</v>
          </cell>
          <cell r="AY550" t="str">
            <v>SERVICIO DE SALUD OSORNO</v>
          </cell>
        </row>
        <row r="551">
          <cell r="T551">
            <v>5793375</v>
          </cell>
          <cell r="AX551" t="str">
            <v>Correctivo</v>
          </cell>
          <cell r="AY551" t="str">
            <v>HOSPITAL EXEQUIEL GONZALEZ CORTES</v>
          </cell>
        </row>
        <row r="552">
          <cell r="T552">
            <v>1370250</v>
          </cell>
          <cell r="AX552" t="str">
            <v>Correctivo</v>
          </cell>
          <cell r="AY552" t="str">
            <v>HOSPITAL DE PUERTO MONTT</v>
          </cell>
        </row>
        <row r="553">
          <cell r="T553">
            <v>1039810</v>
          </cell>
          <cell r="AX553" t="str">
            <v>Correctivo</v>
          </cell>
          <cell r="AY553" t="str">
            <v>HOSPITAL EXEQUIEL GONZALEZ CORTES</v>
          </cell>
        </row>
        <row r="554">
          <cell r="T554">
            <v>1205820</v>
          </cell>
          <cell r="AX554" t="str">
            <v>Correctivo</v>
          </cell>
          <cell r="AY554" t="str">
            <v>HOSPITAL EDUARDO PEREIRA</v>
          </cell>
        </row>
        <row r="555">
          <cell r="T555">
            <v>87518</v>
          </cell>
          <cell r="AX555" t="str">
            <v>Correctivo</v>
          </cell>
          <cell r="AY555" t="str">
            <v>SOCIEDAD CMA-COSTANERA S.A.</v>
          </cell>
        </row>
        <row r="556">
          <cell r="T556">
            <v>83142</v>
          </cell>
          <cell r="AX556" t="str">
            <v>Correctivo</v>
          </cell>
          <cell r="AY556" t="str">
            <v>HOSPITAL CLINICO SAN BORJA-ARRIARAN</v>
          </cell>
        </row>
        <row r="557">
          <cell r="T557">
            <v>41506</v>
          </cell>
          <cell r="AX557" t="str">
            <v>Preventivo</v>
          </cell>
          <cell r="AY557" t="str">
            <v>HOSPITAL GUILLERMO GRANT BENAVENTE</v>
          </cell>
        </row>
        <row r="558">
          <cell r="T558">
            <v>134323</v>
          </cell>
          <cell r="AX558" t="str">
            <v>Preventivo</v>
          </cell>
          <cell r="AY558" t="str">
            <v>HOSPITAL GUILLERMO GRANT BENAVENTE</v>
          </cell>
        </row>
        <row r="559">
          <cell r="T559">
            <v>1265250</v>
          </cell>
          <cell r="AX559" t="str">
            <v>Correctivo</v>
          </cell>
          <cell r="AY559">
            <v>0</v>
          </cell>
        </row>
        <row r="560">
          <cell r="T560">
            <v>118885</v>
          </cell>
          <cell r="AX560" t="str">
            <v>Correctivo</v>
          </cell>
          <cell r="AY560" t="str">
            <v>INSUMOS Y SERVICIOS MEDICOS S.A.</v>
          </cell>
        </row>
        <row r="561">
          <cell r="T561">
            <v>309540</v>
          </cell>
          <cell r="AX561" t="str">
            <v>Correctivo</v>
          </cell>
          <cell r="AY561" t="str">
            <v>SOCIEDAD CMA-COSTANERA S.A.</v>
          </cell>
        </row>
        <row r="562">
          <cell r="T562">
            <v>351750</v>
          </cell>
          <cell r="AX562" t="str">
            <v>Correctivo</v>
          </cell>
          <cell r="AY562" t="str">
            <v>HOSPITAL CARLOS VAN BUREN</v>
          </cell>
        </row>
        <row r="563">
          <cell r="T563">
            <v>351750</v>
          </cell>
          <cell r="AX563" t="str">
            <v>Correctivo</v>
          </cell>
          <cell r="AY563" t="str">
            <v>HOSPITAL CARLOS VAN BUREN</v>
          </cell>
        </row>
        <row r="564">
          <cell r="T564">
            <v>157991</v>
          </cell>
          <cell r="AX564" t="str">
            <v>Correctivo</v>
          </cell>
          <cell r="AY564" t="str">
            <v>HOSPITAL BARROS LUCO TRUDEAU</v>
          </cell>
        </row>
        <row r="565">
          <cell r="T565">
            <v>3737580</v>
          </cell>
          <cell r="AX565" t="str">
            <v>Correctivo</v>
          </cell>
          <cell r="AY565" t="str">
            <v>HOSPITAL MILITAR DE SANTIAGO</v>
          </cell>
        </row>
        <row r="566">
          <cell r="T566">
            <v>307138</v>
          </cell>
          <cell r="AX566" t="str">
            <v>Correctivo</v>
          </cell>
          <cell r="AY566" t="str">
            <v>HOSPITAL CARLOS VAN BUREN</v>
          </cell>
        </row>
        <row r="567">
          <cell r="T567">
            <v>349020</v>
          </cell>
          <cell r="AX567" t="str">
            <v>Correctivo</v>
          </cell>
          <cell r="AY567" t="str">
            <v>SOCIEDAD CMA-COSTANERA S.A.</v>
          </cell>
        </row>
        <row r="568">
          <cell r="T568">
            <v>182196</v>
          </cell>
          <cell r="AX568" t="str">
            <v>Correctivo</v>
          </cell>
          <cell r="AY568" t="str">
            <v>HOSPITAL CLINICO SAN BORJA-ARRIARAN</v>
          </cell>
        </row>
        <row r="569">
          <cell r="T569">
            <v>250173</v>
          </cell>
          <cell r="AX569" t="str">
            <v>Correctivo</v>
          </cell>
          <cell r="AY569" t="str">
            <v>HOSPITAL CLINICO SAN BORJA-ARRIARAN</v>
          </cell>
        </row>
        <row r="570">
          <cell r="T570">
            <v>598500</v>
          </cell>
          <cell r="AX570" t="str">
            <v>Correctivo</v>
          </cell>
          <cell r="AY570" t="str">
            <v>INSUMOS Y SERVICIOS MEDICOS S.A.</v>
          </cell>
        </row>
        <row r="571">
          <cell r="T571">
            <v>293340</v>
          </cell>
          <cell r="AX571" t="str">
            <v>Preventivo</v>
          </cell>
          <cell r="AY571" t="str">
            <v>HOSPITAL NAVAL ALMIRANTE ADRIAZOLA</v>
          </cell>
        </row>
        <row r="572">
          <cell r="T572">
            <v>299250</v>
          </cell>
          <cell r="AX572" t="str">
            <v>Correctivo</v>
          </cell>
          <cell r="AY572" t="str">
            <v>INSTITUTO DE DIAGNOSTICO S.A.</v>
          </cell>
        </row>
        <row r="573">
          <cell r="T573">
            <v>54023</v>
          </cell>
          <cell r="AX573" t="str">
            <v>Correctivo</v>
          </cell>
          <cell r="AY573" t="str">
            <v>SOCIEDAD CONCESIONARIA METROPOLITANA DE SALUD S.A.</v>
          </cell>
        </row>
        <row r="574">
          <cell r="T574">
            <v>54023</v>
          </cell>
          <cell r="AX574" t="str">
            <v>Correctivo</v>
          </cell>
          <cell r="AY574" t="str">
            <v>HOSPITAL PENCO -LIRQUEN</v>
          </cell>
        </row>
        <row r="575">
          <cell r="T575">
            <v>195038</v>
          </cell>
          <cell r="AX575" t="str">
            <v>Correctivo</v>
          </cell>
          <cell r="AY575" t="str">
            <v>SERVICIO DE SALUD ÑUBLE</v>
          </cell>
        </row>
        <row r="576">
          <cell r="T576">
            <v>525000</v>
          </cell>
          <cell r="AX576" t="str">
            <v>Correctivo</v>
          </cell>
          <cell r="AY576" t="str">
            <v>HOSPITAL BARROS LUCO TRUDEAU</v>
          </cell>
        </row>
        <row r="577">
          <cell r="T577">
            <v>525000</v>
          </cell>
          <cell r="AX577" t="str">
            <v>Correctivo</v>
          </cell>
          <cell r="AY577" t="str">
            <v>HOSPITAL BARROS LUCO TRUDEAU</v>
          </cell>
        </row>
        <row r="578">
          <cell r="T578">
            <v>170686</v>
          </cell>
          <cell r="AX578" t="str">
            <v>Correctivo</v>
          </cell>
          <cell r="AY578" t="str">
            <v>SOCIEDAD CONCESIONARIA METROPOLITANA DE SALUD S.A.</v>
          </cell>
        </row>
        <row r="579">
          <cell r="T579">
            <v>123002</v>
          </cell>
          <cell r="AX579" t="str">
            <v>Correctivo</v>
          </cell>
          <cell r="AY579" t="str">
            <v>HOSPITAL CLINICO SAN BORJA-ARRIARAN</v>
          </cell>
        </row>
        <row r="580">
          <cell r="T580">
            <v>77792</v>
          </cell>
          <cell r="AX580" t="str">
            <v>Correctivo</v>
          </cell>
          <cell r="AY580" t="str">
            <v>HOSPITAL DEL SALVADOR</v>
          </cell>
        </row>
        <row r="581">
          <cell r="T581">
            <v>34322</v>
          </cell>
          <cell r="AX581" t="str">
            <v>Correctivo</v>
          </cell>
          <cell r="AY581" t="str">
            <v>HOSPITAL CLINICO SAN BORJA-ARRIARAN</v>
          </cell>
        </row>
        <row r="582">
          <cell r="T582">
            <v>36128</v>
          </cell>
          <cell r="AX582" t="str">
            <v>Correctivo</v>
          </cell>
          <cell r="AY582" t="str">
            <v>INSUMOS Y SERVICIOS MEDICOS S.A.</v>
          </cell>
        </row>
        <row r="583">
          <cell r="T583">
            <v>66360</v>
          </cell>
          <cell r="AX583" t="str">
            <v>Correctivo</v>
          </cell>
          <cell r="AY583" t="str">
            <v>HOSPITAL CARLOS VAN BUREN</v>
          </cell>
        </row>
        <row r="584">
          <cell r="T584">
            <v>66360</v>
          </cell>
          <cell r="AX584" t="str">
            <v>Correctivo</v>
          </cell>
          <cell r="AY584" t="str">
            <v>HOSPITAL CARLOS VAN BUREN</v>
          </cell>
        </row>
        <row r="585">
          <cell r="T585">
            <v>114135</v>
          </cell>
          <cell r="AX585" t="str">
            <v>Correctivo</v>
          </cell>
          <cell r="AY585" t="str">
            <v>HOSPITAL BARROS LUCO TRUDEAU</v>
          </cell>
        </row>
        <row r="586">
          <cell r="T586">
            <v>100439</v>
          </cell>
          <cell r="AX586" t="str">
            <v>Preventivo</v>
          </cell>
          <cell r="AY586" t="str">
            <v>CLINICA ALEMANA DE SANTIAGO S A</v>
          </cell>
        </row>
        <row r="587">
          <cell r="T587">
            <v>148656</v>
          </cell>
          <cell r="AX587" t="str">
            <v>Correctivo</v>
          </cell>
          <cell r="AY587" t="str">
            <v>HOSPITAL PENCO -LIRQUEN</v>
          </cell>
        </row>
        <row r="588">
          <cell r="T588">
            <v>288656</v>
          </cell>
          <cell r="AX588" t="str">
            <v>Correctivo</v>
          </cell>
          <cell r="AY588" t="str">
            <v>HOSPITAL REGIONAL DE ANTOFAGASTA</v>
          </cell>
        </row>
        <row r="589">
          <cell r="T589">
            <v>8559</v>
          </cell>
          <cell r="AX589" t="str">
            <v>Correctivo</v>
          </cell>
          <cell r="AY589" t="str">
            <v>HOSPITAL CLINICO SAN BORJA-ARRIARAN</v>
          </cell>
        </row>
        <row r="590">
          <cell r="T590">
            <v>0</v>
          </cell>
          <cell r="AX590" t="str">
            <v>Correctivo</v>
          </cell>
          <cell r="AY590" t="str">
            <v>HOSPITAL CLAUDIO VICUÑA</v>
          </cell>
        </row>
        <row r="591">
          <cell r="T591">
            <v>109462</v>
          </cell>
          <cell r="AX591" t="str">
            <v>Correctivo</v>
          </cell>
          <cell r="AY591" t="str">
            <v>HOSPITAL NAVAL ALMIRANTE ADRIAZOLA</v>
          </cell>
        </row>
        <row r="592">
          <cell r="T592">
            <v>224345</v>
          </cell>
          <cell r="AX592" t="str">
            <v>Correctivo</v>
          </cell>
          <cell r="AY592" t="str">
            <v>HOSPITAL NAVAL ALMIRANTE ADRIAZOLA</v>
          </cell>
        </row>
        <row r="593">
          <cell r="T593">
            <v>787500</v>
          </cell>
          <cell r="AX593" t="str">
            <v>Correctivo</v>
          </cell>
          <cell r="AY593" t="str">
            <v>SOCIEDAD CONCESIONARIA METROPOLITANA DE SALUD S.A.</v>
          </cell>
        </row>
        <row r="594">
          <cell r="T594">
            <v>787500</v>
          </cell>
          <cell r="AX594" t="str">
            <v>Correctivo</v>
          </cell>
          <cell r="AY594" t="str">
            <v>SOCIEDAD CONCESIONARIA METROPOLITANA DE SALUD S.A.</v>
          </cell>
        </row>
        <row r="595">
          <cell r="T595">
            <v>518848</v>
          </cell>
          <cell r="AX595" t="str">
            <v>Correctivo</v>
          </cell>
          <cell r="AY595" t="str">
            <v>HOSPITAL EXEQUIEL GONZALEZ CORTES</v>
          </cell>
        </row>
        <row r="596">
          <cell r="T596">
            <v>462676</v>
          </cell>
          <cell r="AX596" t="str">
            <v>Correctivo</v>
          </cell>
          <cell r="AY596">
            <v>0</v>
          </cell>
        </row>
        <row r="597">
          <cell r="T597">
            <v>6694</v>
          </cell>
          <cell r="AX597" t="str">
            <v>Correctivo</v>
          </cell>
          <cell r="AY597" t="str">
            <v>INSUMOS Y SERVICIOS MEDICOS S.A.</v>
          </cell>
        </row>
        <row r="598">
          <cell r="T598">
            <v>56544</v>
          </cell>
          <cell r="AX598" t="str">
            <v>Correctivo</v>
          </cell>
          <cell r="AY598" t="str">
            <v>HOSPITAL REGIONAL DE ARICA DR. JUAN NOÉ CREVANI</v>
          </cell>
        </row>
        <row r="599">
          <cell r="T599">
            <v>4692</v>
          </cell>
          <cell r="AX599" t="str">
            <v>Correctivo</v>
          </cell>
          <cell r="AY599" t="str">
            <v>HOSPITAL REGIONAL DE ARICA DR. JUAN NOÉ CREVANI</v>
          </cell>
        </row>
        <row r="600">
          <cell r="T600">
            <v>16188</v>
          </cell>
          <cell r="AX600" t="str">
            <v>Correctivo</v>
          </cell>
          <cell r="AY600" t="str">
            <v>HOSPITAL REGIONAL DE ARICA DR. JUAN NOÉ CREVANI</v>
          </cell>
        </row>
        <row r="601">
          <cell r="T601">
            <v>6356</v>
          </cell>
          <cell r="AX601" t="str">
            <v>Correctivo</v>
          </cell>
          <cell r="AY601" t="str">
            <v>HOSPITAL REGIONAL DE ARICA DR. JUAN NOÉ CREVANI</v>
          </cell>
        </row>
        <row r="602">
          <cell r="T602">
            <v>7980</v>
          </cell>
          <cell r="AX602" t="str">
            <v>Preventivo</v>
          </cell>
          <cell r="AY602">
            <v>0</v>
          </cell>
        </row>
        <row r="603">
          <cell r="T603">
            <v>49756</v>
          </cell>
          <cell r="AX603" t="str">
            <v>Correctivo</v>
          </cell>
          <cell r="AY603">
            <v>0</v>
          </cell>
        </row>
        <row r="604">
          <cell r="T604">
            <v>49756</v>
          </cell>
          <cell r="AX604" t="str">
            <v>Preventivo</v>
          </cell>
          <cell r="AY604">
            <v>0</v>
          </cell>
        </row>
        <row r="605">
          <cell r="T605">
            <v>1494648</v>
          </cell>
          <cell r="AX605" t="str">
            <v>Correctivo</v>
          </cell>
          <cell r="AY605" t="str">
            <v>HOSPITAL DE QUELLON</v>
          </cell>
        </row>
        <row r="606">
          <cell r="T606">
            <v>1494648</v>
          </cell>
          <cell r="AX606" t="str">
            <v>Correctivo</v>
          </cell>
          <cell r="AY606" t="str">
            <v>HOSPITAL DE QUELLON</v>
          </cell>
        </row>
        <row r="607">
          <cell r="T607">
            <v>62860</v>
          </cell>
          <cell r="AX607" t="str">
            <v>Correctivo</v>
          </cell>
          <cell r="AY607" t="str">
            <v>HOSPITAL BARROS LUCO TRUDEAU</v>
          </cell>
        </row>
        <row r="608">
          <cell r="T608">
            <v>132777</v>
          </cell>
          <cell r="AX608" t="str">
            <v>Correctivo</v>
          </cell>
          <cell r="AY608">
            <v>0</v>
          </cell>
        </row>
        <row r="609">
          <cell r="T609">
            <v>13844</v>
          </cell>
          <cell r="AX609" t="str">
            <v>Correctivo</v>
          </cell>
          <cell r="AY609" t="str">
            <v>INSUMOS Y SERVICIOS MEDICOS S.A.</v>
          </cell>
        </row>
        <row r="610">
          <cell r="T610">
            <v>35087</v>
          </cell>
          <cell r="AX610" t="str">
            <v>Correctivo</v>
          </cell>
          <cell r="AY610" t="str">
            <v>HOSPITAL EXEQUIEL GONZALEZ CORTES</v>
          </cell>
        </row>
        <row r="611">
          <cell r="T611">
            <v>3022</v>
          </cell>
          <cell r="AX611" t="str">
            <v>Correctivo</v>
          </cell>
          <cell r="AY611" t="str">
            <v>SOCIEDAD CONCESIONARIA METROPOLITANA DE SALUD S.A.</v>
          </cell>
        </row>
        <row r="612">
          <cell r="T612">
            <v>22584</v>
          </cell>
          <cell r="AX612" t="str">
            <v>Correctivo</v>
          </cell>
          <cell r="AY612" t="str">
            <v>INSUMOS Y SERVICIOS MEDICOS S.A.</v>
          </cell>
        </row>
        <row r="613">
          <cell r="T613">
            <v>651022</v>
          </cell>
          <cell r="AX613" t="str">
            <v>Correctivo</v>
          </cell>
          <cell r="AY613" t="str">
            <v>CENTRO DE OFTALMOLOGIA DR.DAVID BITRAN S.A.</v>
          </cell>
        </row>
        <row r="614">
          <cell r="T614">
            <v>0</v>
          </cell>
          <cell r="AX614" t="str">
            <v>Correctivo</v>
          </cell>
          <cell r="AY614" t="str">
            <v>CENTRO DE OFTALMOLOGIA DR.DAVID BITRAN S.A.</v>
          </cell>
        </row>
        <row r="615">
          <cell r="T615">
            <v>487450</v>
          </cell>
          <cell r="AX615" t="str">
            <v>Correctivo</v>
          </cell>
          <cell r="AY615" t="str">
            <v>TECMEDENT</v>
          </cell>
        </row>
        <row r="616">
          <cell r="T616">
            <v>455456</v>
          </cell>
          <cell r="AX616" t="str">
            <v>Correctivo</v>
          </cell>
          <cell r="AY616" t="str">
            <v>UNIVERSIDAD DE CONCEPCION</v>
          </cell>
        </row>
        <row r="617">
          <cell r="T617">
            <v>56304</v>
          </cell>
          <cell r="AX617" t="str">
            <v>Correctivo</v>
          </cell>
          <cell r="AY617">
            <v>0</v>
          </cell>
        </row>
        <row r="618">
          <cell r="T618">
            <v>27048</v>
          </cell>
          <cell r="AX618" t="str">
            <v>Correctivo</v>
          </cell>
          <cell r="AY618" t="str">
            <v>HOSPITAL SAN LUIS BUIN</v>
          </cell>
        </row>
        <row r="619">
          <cell r="T619">
            <v>924848</v>
          </cell>
          <cell r="AX619" t="str">
            <v>Correctivo</v>
          </cell>
          <cell r="AY619" t="str">
            <v>MEGASALUD S.A.</v>
          </cell>
        </row>
        <row r="620">
          <cell r="T620">
            <v>920868</v>
          </cell>
          <cell r="AX620" t="str">
            <v>Preventivo</v>
          </cell>
          <cell r="AY620" t="str">
            <v>MEGASALUD S.A.</v>
          </cell>
        </row>
        <row r="621">
          <cell r="T621">
            <v>924848</v>
          </cell>
          <cell r="AX621" t="str">
            <v>Preventivo</v>
          </cell>
          <cell r="AY621" t="str">
            <v>MEGASALUD S.A.</v>
          </cell>
        </row>
        <row r="622">
          <cell r="T622">
            <v>995344</v>
          </cell>
          <cell r="AX622" t="str">
            <v>Correctivo</v>
          </cell>
          <cell r="AY622" t="str">
            <v>MEGASALUD S.A.</v>
          </cell>
        </row>
        <row r="623">
          <cell r="T623">
            <v>123000</v>
          </cell>
          <cell r="AX623" t="str">
            <v>Correctivo</v>
          </cell>
          <cell r="AY623">
            <v>0</v>
          </cell>
        </row>
        <row r="624">
          <cell r="T624">
            <v>200585</v>
          </cell>
          <cell r="AX624" t="str">
            <v>Correctivo</v>
          </cell>
          <cell r="AY624" t="str">
            <v>CENTRO DE OFTALMOLOGIA DR.DAVID BITRAN S.A.</v>
          </cell>
        </row>
        <row r="625">
          <cell r="T625">
            <v>0</v>
          </cell>
          <cell r="AX625" t="str">
            <v>Correctivo</v>
          </cell>
          <cell r="AY625" t="str">
            <v>CENTRO DE OFTALMOLOGIA DR.DAVID BITRAN S.A.</v>
          </cell>
        </row>
        <row r="626">
          <cell r="T626">
            <v>396848</v>
          </cell>
          <cell r="AX626" t="str">
            <v>Correctivo</v>
          </cell>
          <cell r="AY626">
            <v>0</v>
          </cell>
        </row>
        <row r="627">
          <cell r="T627">
            <v>174613</v>
          </cell>
          <cell r="AX627" t="str">
            <v>Correctivo</v>
          </cell>
          <cell r="AY627">
            <v>0</v>
          </cell>
        </row>
        <row r="628">
          <cell r="T628">
            <v>70752</v>
          </cell>
          <cell r="AX628" t="str">
            <v>Correctivo</v>
          </cell>
          <cell r="AY628">
            <v>0</v>
          </cell>
        </row>
        <row r="629">
          <cell r="T629">
            <v>105510</v>
          </cell>
          <cell r="AX629" t="str">
            <v>Correctivo</v>
          </cell>
          <cell r="AY629">
            <v>0</v>
          </cell>
        </row>
        <row r="630">
          <cell r="T630">
            <v>45946</v>
          </cell>
          <cell r="AX630" t="str">
            <v>Correctivo</v>
          </cell>
          <cell r="AY630">
            <v>0</v>
          </cell>
        </row>
        <row r="631">
          <cell r="T631">
            <v>551112</v>
          </cell>
          <cell r="AX631" t="str">
            <v>Correctivo</v>
          </cell>
          <cell r="AY631" t="str">
            <v>JOHNSON &amp; JOHNSON DE CHILE S.A.</v>
          </cell>
        </row>
        <row r="632">
          <cell r="T632">
            <v>83768</v>
          </cell>
          <cell r="AX632" t="str">
            <v>Correctivo</v>
          </cell>
          <cell r="AY632" t="str">
            <v>HOSPITAL EXEQUIEL GONZALEZ CORTES</v>
          </cell>
        </row>
        <row r="633">
          <cell r="T633">
            <v>83768</v>
          </cell>
          <cell r="AX633" t="str">
            <v>Correctivo</v>
          </cell>
          <cell r="AY633" t="str">
            <v>HOSPITAL EXEQUIEL GONZALEZ CORTES</v>
          </cell>
        </row>
        <row r="634">
          <cell r="T634">
            <v>158680</v>
          </cell>
          <cell r="AX634" t="str">
            <v>Correctivo</v>
          </cell>
          <cell r="AY634" t="str">
            <v>CLINICA REÑACA</v>
          </cell>
        </row>
        <row r="635">
          <cell r="T635">
            <v>138352</v>
          </cell>
          <cell r="AX635" t="str">
            <v>Correctivo</v>
          </cell>
          <cell r="AY635" t="str">
            <v>CLINICA REÑACA</v>
          </cell>
        </row>
        <row r="636">
          <cell r="T636">
            <v>44132</v>
          </cell>
          <cell r="AX636" t="str">
            <v>Correctivo</v>
          </cell>
          <cell r="AY636" t="str">
            <v>INSUMOS Y SERVICIOS MEDICOS S.A.</v>
          </cell>
        </row>
        <row r="637">
          <cell r="T637">
            <v>22066</v>
          </cell>
          <cell r="AX637" t="str">
            <v>Correctivo</v>
          </cell>
          <cell r="AY637" t="str">
            <v>SERVICIO NACIONAL DE SALUD HOSPITAL DE LOTA</v>
          </cell>
        </row>
        <row r="638">
          <cell r="T638">
            <v>148236</v>
          </cell>
          <cell r="AX638" t="str">
            <v>Correctivo</v>
          </cell>
          <cell r="AY638" t="str">
            <v>HOSPITAL DE PURRANQUE</v>
          </cell>
        </row>
        <row r="639">
          <cell r="T639">
            <v>148236</v>
          </cell>
          <cell r="AX639" t="str">
            <v>Correctivo</v>
          </cell>
          <cell r="AY639" t="str">
            <v>HOSPITAL DE PURRANQUE</v>
          </cell>
        </row>
        <row r="640">
          <cell r="T640">
            <v>381382</v>
          </cell>
          <cell r="AX640" t="str">
            <v>Correctivo</v>
          </cell>
          <cell r="AY640">
            <v>0</v>
          </cell>
        </row>
        <row r="641">
          <cell r="T641">
            <v>381382</v>
          </cell>
          <cell r="AX641" t="str">
            <v>Correctivo</v>
          </cell>
          <cell r="AY641" t="str">
            <v>COMPLEJO ASISTENCIAL DR.SOTERO DEL RIO</v>
          </cell>
        </row>
        <row r="642">
          <cell r="T642">
            <v>3071250</v>
          </cell>
          <cell r="AX642" t="str">
            <v>Correctivo</v>
          </cell>
          <cell r="AY642" t="str">
            <v>HOSPITAL PENCO -LIRQUEN</v>
          </cell>
        </row>
        <row r="643">
          <cell r="T643">
            <v>3179152</v>
          </cell>
          <cell r="AX643" t="str">
            <v>Preventivo</v>
          </cell>
          <cell r="AY643" t="str">
            <v>HOSPITAL PENCO -LIRQUEN</v>
          </cell>
        </row>
        <row r="644">
          <cell r="T644">
            <v>310748</v>
          </cell>
          <cell r="AX644" t="str">
            <v>Correctivo</v>
          </cell>
          <cell r="AY644" t="str">
            <v>INSUMOS Y SERVICIOS MEDICOS S.A.</v>
          </cell>
        </row>
        <row r="645">
          <cell r="T645">
            <v>315956</v>
          </cell>
          <cell r="AX645" t="str">
            <v>Correctivo</v>
          </cell>
          <cell r="AY645">
            <v>0</v>
          </cell>
        </row>
        <row r="646">
          <cell r="T646">
            <v>850500</v>
          </cell>
          <cell r="AX646" t="str">
            <v>Correctivo</v>
          </cell>
          <cell r="AY646" t="str">
            <v>HOSPITAL DR. LUIS TISNE B.</v>
          </cell>
        </row>
        <row r="647">
          <cell r="T647">
            <v>140103</v>
          </cell>
          <cell r="AX647" t="str">
            <v>Preventivo</v>
          </cell>
          <cell r="AY647">
            <v>0</v>
          </cell>
        </row>
        <row r="648">
          <cell r="T648">
            <v>85809</v>
          </cell>
          <cell r="AX648" t="str">
            <v>Preventivo</v>
          </cell>
          <cell r="AY648">
            <v>0</v>
          </cell>
        </row>
        <row r="649">
          <cell r="T649">
            <v>31804</v>
          </cell>
          <cell r="AX649" t="str">
            <v>Correctivo</v>
          </cell>
          <cell r="AY649" t="str">
            <v>HOSPITAL COMPLEJO ASISTENCIAL PADRE LAS CASAS</v>
          </cell>
        </row>
        <row r="650">
          <cell r="T650">
            <v>294100</v>
          </cell>
          <cell r="AX650" t="str">
            <v>Correctivo</v>
          </cell>
          <cell r="AY650">
            <v>0</v>
          </cell>
        </row>
        <row r="651">
          <cell r="T651">
            <v>294100</v>
          </cell>
          <cell r="AX651" t="str">
            <v>Correctivo</v>
          </cell>
          <cell r="AY651">
            <v>0</v>
          </cell>
        </row>
        <row r="652">
          <cell r="T652">
            <v>1737750</v>
          </cell>
          <cell r="AX652" t="str">
            <v>Correctivo</v>
          </cell>
          <cell r="AY652" t="str">
            <v>INSUMOS Y SERVICIOS MEDICOS S.A.</v>
          </cell>
        </row>
        <row r="653">
          <cell r="T653">
            <v>1737750</v>
          </cell>
          <cell r="AX653" t="str">
            <v>Correctivo</v>
          </cell>
          <cell r="AY653" t="str">
            <v>INSUMOS Y SERVICIOS MEDICOS S.A.</v>
          </cell>
        </row>
        <row r="654">
          <cell r="T654">
            <v>1650863</v>
          </cell>
          <cell r="AX654" t="str">
            <v>Correctivo</v>
          </cell>
          <cell r="AY654" t="str">
            <v>HOSPITAL CLINICO SAN BORJA-ARRIARAN</v>
          </cell>
        </row>
        <row r="655">
          <cell r="T655">
            <v>1650863</v>
          </cell>
          <cell r="AX655" t="str">
            <v>Correctivo</v>
          </cell>
          <cell r="AY655" t="str">
            <v>HOSPITAL CLINICO SAN BORJA-ARRIARAN</v>
          </cell>
        </row>
        <row r="656">
          <cell r="T656">
            <v>6376</v>
          </cell>
          <cell r="AX656" t="str">
            <v>Preventivo</v>
          </cell>
          <cell r="AY656" t="str">
            <v>HOSPITAL GUILLERMO GRANT BENAVENTE</v>
          </cell>
        </row>
        <row r="657">
          <cell r="T657">
            <v>10238</v>
          </cell>
          <cell r="AX657" t="str">
            <v>Correctivo</v>
          </cell>
          <cell r="AY657" t="str">
            <v>INSUMOS Y SERVICIOS MEDICOS S.A.</v>
          </cell>
        </row>
        <row r="658">
          <cell r="T658">
            <v>10238</v>
          </cell>
          <cell r="AX658" t="str">
            <v>Correctivo</v>
          </cell>
          <cell r="AY658" t="str">
            <v>INSUMOS Y SERVICIOS MEDICOS S.A.</v>
          </cell>
        </row>
        <row r="659">
          <cell r="T659">
            <v>10238</v>
          </cell>
          <cell r="AX659" t="str">
            <v>Correctivo</v>
          </cell>
          <cell r="AY659" t="str">
            <v>INSTITUTO DE DIAGNOSTICO S.A.</v>
          </cell>
        </row>
        <row r="660">
          <cell r="T660">
            <v>180495</v>
          </cell>
          <cell r="AX660" t="str">
            <v>Correctivo</v>
          </cell>
          <cell r="AY660" t="str">
            <v>INSUMOS Y SERVICIOS MEDICOS S.A.</v>
          </cell>
        </row>
        <row r="661">
          <cell r="T661">
            <v>342940</v>
          </cell>
          <cell r="AX661" t="str">
            <v>Correctivo</v>
          </cell>
          <cell r="AY661" t="str">
            <v>HOSPITAL CLINICO SAN BORJA-ARRIARAN</v>
          </cell>
        </row>
        <row r="662">
          <cell r="T662">
            <v>317672</v>
          </cell>
          <cell r="AX662" t="str">
            <v>Correctivo</v>
          </cell>
          <cell r="AY662" t="str">
            <v>HOSPITAL MILITAR DE SANTIAGO</v>
          </cell>
        </row>
        <row r="663">
          <cell r="T663">
            <v>342940</v>
          </cell>
          <cell r="AX663" t="str">
            <v>Correctivo</v>
          </cell>
          <cell r="AY663" t="str">
            <v>HOSPITAL CLINICO SAN BORJA-ARRIARAN</v>
          </cell>
        </row>
        <row r="664">
          <cell r="T664">
            <v>298612</v>
          </cell>
          <cell r="AX664" t="str">
            <v>Correctivo</v>
          </cell>
          <cell r="AY664" t="str">
            <v>INSUMOS Y SERVICIOS MEDICOS S.A.</v>
          </cell>
        </row>
        <row r="665">
          <cell r="T665">
            <v>577720</v>
          </cell>
          <cell r="AX665" t="str">
            <v>Correctivo</v>
          </cell>
          <cell r="AY665" t="str">
            <v>UNIVERSIDAD DE CONCEPCION</v>
          </cell>
        </row>
        <row r="666">
          <cell r="T666">
            <v>1733160</v>
          </cell>
          <cell r="AX666" t="str">
            <v>Correctivo</v>
          </cell>
          <cell r="AY666" t="str">
            <v>UNIVERSIDAD DE CONCEPCION</v>
          </cell>
        </row>
        <row r="667">
          <cell r="T667">
            <v>21534</v>
          </cell>
          <cell r="AX667" t="str">
            <v>Correctivo</v>
          </cell>
          <cell r="AY667" t="str">
            <v>INSUMOS Y SERVICIOS MEDICOS S.A.</v>
          </cell>
        </row>
        <row r="668">
          <cell r="T668">
            <v>38345</v>
          </cell>
          <cell r="AX668" t="str">
            <v>Correctivo</v>
          </cell>
          <cell r="AY668" t="str">
            <v>SOCIEDAD CONCESIONARIA METROPOLITANA DE SALUD S.A.</v>
          </cell>
        </row>
        <row r="669">
          <cell r="T669">
            <v>1083780</v>
          </cell>
          <cell r="AX669" t="str">
            <v>Correctivo</v>
          </cell>
          <cell r="AY669">
            <v>0</v>
          </cell>
        </row>
        <row r="670">
          <cell r="T670">
            <v>77828</v>
          </cell>
          <cell r="AX670" t="str">
            <v>Correctivo</v>
          </cell>
          <cell r="AY670" t="str">
            <v>SOCIEDAD CONCESIONARIA METROPOLITANA DE SALUD S.A.</v>
          </cell>
        </row>
        <row r="671">
          <cell r="T671">
            <v>196707</v>
          </cell>
          <cell r="AX671" t="str">
            <v>Correctivo</v>
          </cell>
          <cell r="AY671" t="str">
            <v>HOSPITAL REGIONAL DE ANTOFAGASTA</v>
          </cell>
        </row>
        <row r="672">
          <cell r="T672">
            <v>69998</v>
          </cell>
          <cell r="AX672" t="str">
            <v>Correctivo</v>
          </cell>
          <cell r="AY672" t="str">
            <v>HOSPITAL CLINICO SAN BORJA-ARRIARAN</v>
          </cell>
        </row>
        <row r="673">
          <cell r="T673">
            <v>69998</v>
          </cell>
          <cell r="AX673" t="str">
            <v>Correctivo</v>
          </cell>
          <cell r="AY673" t="str">
            <v>HOSPITAL CLINICO SAN BORJA-ARRIARAN</v>
          </cell>
        </row>
        <row r="674">
          <cell r="T674">
            <v>69998</v>
          </cell>
          <cell r="AX674" t="str">
            <v>Correctivo</v>
          </cell>
          <cell r="AY674" t="str">
            <v>HOSPITAL CLINICO SAN BORJA-ARRIARAN</v>
          </cell>
        </row>
        <row r="675">
          <cell r="T675">
            <v>69998</v>
          </cell>
          <cell r="AX675" t="str">
            <v>Correctivo</v>
          </cell>
          <cell r="AY675" t="str">
            <v>HOSPITAL CLINICO SAN BORJA-ARRIARAN</v>
          </cell>
        </row>
        <row r="676">
          <cell r="T676">
            <v>2580000</v>
          </cell>
          <cell r="AX676" t="str">
            <v>Correctivo</v>
          </cell>
          <cell r="AY676" t="str">
            <v>HOSPITAL SAN JOSÉ</v>
          </cell>
        </row>
        <row r="677">
          <cell r="T677">
            <v>1808420</v>
          </cell>
          <cell r="AX677" t="str">
            <v>Correctivo</v>
          </cell>
          <cell r="AY677" t="str">
            <v>INSUMOS Y SERVICIOS MEDICOS S.A.</v>
          </cell>
        </row>
        <row r="678">
          <cell r="T678">
            <v>1808420</v>
          </cell>
          <cell r="AX678" t="str">
            <v>Correctivo</v>
          </cell>
          <cell r="AY678" t="str">
            <v>INSUMOS Y SERVICIOS MEDICOS S.A.</v>
          </cell>
        </row>
        <row r="679">
          <cell r="T679">
            <v>857516</v>
          </cell>
          <cell r="AX679" t="str">
            <v>Correctivo</v>
          </cell>
          <cell r="AY679" t="str">
            <v>JOHNSON &amp; JOHNSON DE CHILE S.A.</v>
          </cell>
        </row>
        <row r="680">
          <cell r="T680">
            <v>857516</v>
          </cell>
          <cell r="AX680" t="str">
            <v>Correctivo</v>
          </cell>
          <cell r="AY680" t="str">
            <v>JOHNSON &amp; JOHNSON DE CHILE S.A.</v>
          </cell>
        </row>
        <row r="681">
          <cell r="T681">
            <v>0</v>
          </cell>
          <cell r="AX681" t="str">
            <v>Correctivo</v>
          </cell>
          <cell r="AY681" t="str">
            <v>HOSPITAL CLAUDIO VICUÑA</v>
          </cell>
        </row>
        <row r="682">
          <cell r="T682">
            <v>3139500</v>
          </cell>
          <cell r="AX682" t="str">
            <v>Correctivo</v>
          </cell>
          <cell r="AY682" t="str">
            <v>HOSPITAL BARROS LUCO TRUDEAU</v>
          </cell>
        </row>
        <row r="683">
          <cell r="T683">
            <v>114620</v>
          </cell>
          <cell r="AX683" t="str">
            <v>Correctivo</v>
          </cell>
          <cell r="AY683" t="str">
            <v>SOCIEDAD CONCESIONARIA METROPOLITANA DE SALUD S.A.</v>
          </cell>
        </row>
        <row r="684">
          <cell r="T684">
            <v>407388</v>
          </cell>
          <cell r="AX684" t="str">
            <v>Correctivo</v>
          </cell>
          <cell r="AY684" t="str">
            <v>INSUMOS Y SERVICIOS MEDICOS S.A.</v>
          </cell>
        </row>
        <row r="685">
          <cell r="T685">
            <v>32228</v>
          </cell>
          <cell r="AX685" t="str">
            <v>Correctivo</v>
          </cell>
          <cell r="AY685">
            <v>0</v>
          </cell>
        </row>
        <row r="686">
          <cell r="T686">
            <v>71781</v>
          </cell>
          <cell r="AX686" t="str">
            <v>Correctivo</v>
          </cell>
          <cell r="AY686" t="str">
            <v>HOSPITAL REGIONAL DE ANTOFAGASTA</v>
          </cell>
        </row>
        <row r="687">
          <cell r="T687">
            <v>71781</v>
          </cell>
          <cell r="AX687" t="str">
            <v>Correctivo</v>
          </cell>
          <cell r="AY687" t="str">
            <v>HOSPITAL REGIONAL DE ANTOFAGASTA</v>
          </cell>
        </row>
        <row r="688">
          <cell r="T688">
            <v>99012</v>
          </cell>
          <cell r="AX688" t="str">
            <v>Correctivo</v>
          </cell>
          <cell r="AY688" t="str">
            <v>HOSPITAL DE ILLAPEL</v>
          </cell>
        </row>
        <row r="689">
          <cell r="T689">
            <v>90754</v>
          </cell>
          <cell r="AX689" t="str">
            <v>Correctivo</v>
          </cell>
          <cell r="AY689" t="str">
            <v>CLINICA ALEMANA DE SANTIAGO S A</v>
          </cell>
        </row>
        <row r="690">
          <cell r="T690">
            <v>90724</v>
          </cell>
          <cell r="AX690" t="str">
            <v>Correctivo</v>
          </cell>
          <cell r="AY690" t="str">
            <v>HOSPITAL DE ILLAPEL</v>
          </cell>
        </row>
        <row r="691">
          <cell r="T691">
            <v>90754</v>
          </cell>
          <cell r="AX691" t="str">
            <v>Correctivo</v>
          </cell>
          <cell r="AY691" t="str">
            <v>HOSPITAL DE ILLAPEL</v>
          </cell>
        </row>
        <row r="692">
          <cell r="T692">
            <v>90754</v>
          </cell>
          <cell r="AX692" t="str">
            <v>Correctivo</v>
          </cell>
          <cell r="AY692" t="str">
            <v>CLINICA ALEMANA DE SANTIAGO S A</v>
          </cell>
        </row>
        <row r="693">
          <cell r="T693">
            <v>81916</v>
          </cell>
          <cell r="AX693" t="str">
            <v>Correctivo</v>
          </cell>
          <cell r="AY693" t="str">
            <v>HOSPITAL REGIONAL DE ANTOFAGASTA</v>
          </cell>
        </row>
        <row r="694">
          <cell r="T694">
            <v>90754</v>
          </cell>
          <cell r="AX694" t="str">
            <v>Correctivo</v>
          </cell>
          <cell r="AY694" t="str">
            <v>HOSPITAL SAN PABLO DE COQUIMBO</v>
          </cell>
        </row>
        <row r="695">
          <cell r="T695">
            <v>277264</v>
          </cell>
          <cell r="AX695" t="str">
            <v>Correctivo</v>
          </cell>
          <cell r="AY695" t="str">
            <v>CLINICA ALEMANA DE SANTIAGO S A</v>
          </cell>
        </row>
        <row r="696">
          <cell r="T696">
            <v>526969</v>
          </cell>
          <cell r="AX696" t="str">
            <v>Correctivo</v>
          </cell>
          <cell r="AY696" t="str">
            <v>HOSPITAL DE ILLAPEL</v>
          </cell>
        </row>
        <row r="697">
          <cell r="T697">
            <v>526969</v>
          </cell>
          <cell r="AX697" t="str">
            <v>Correctivo</v>
          </cell>
          <cell r="AY697" t="str">
            <v>HOSPITAL DE ILLAPEL</v>
          </cell>
        </row>
        <row r="698">
          <cell r="T698">
            <v>8340</v>
          </cell>
          <cell r="AX698" t="str">
            <v>Correctivo</v>
          </cell>
          <cell r="AY698" t="str">
            <v>HOSPITAL REGIONAL DE ANTOFAGASTA</v>
          </cell>
        </row>
        <row r="699">
          <cell r="T699">
            <v>44458</v>
          </cell>
          <cell r="AX699" t="str">
            <v>Correctivo</v>
          </cell>
          <cell r="AY699" t="str">
            <v>HOSPITAL REGIONAL DE ARICA DR. JUAN NOÉ CREVANI</v>
          </cell>
        </row>
        <row r="700">
          <cell r="T700">
            <v>44458</v>
          </cell>
          <cell r="AX700" t="str">
            <v>Correctivo</v>
          </cell>
          <cell r="AY700">
            <v>0</v>
          </cell>
        </row>
        <row r="701">
          <cell r="T701">
            <v>67394</v>
          </cell>
          <cell r="AX701" t="str">
            <v>Correctivo</v>
          </cell>
          <cell r="AY701" t="str">
            <v>CLINICA ALEMANA DE SANTIAGO S A</v>
          </cell>
        </row>
        <row r="702">
          <cell r="T702">
            <v>67394</v>
          </cell>
          <cell r="AX702" t="str">
            <v>Correctivo</v>
          </cell>
          <cell r="AY702" t="str">
            <v>CLINICA ALEMANA DE SANTIAGO S A</v>
          </cell>
        </row>
        <row r="703">
          <cell r="T703">
            <v>1732500</v>
          </cell>
          <cell r="AX703" t="str">
            <v>Correctivo</v>
          </cell>
          <cell r="AY703" t="str">
            <v>CLINICA ALEMANA DE SANTIAGO S A</v>
          </cell>
        </row>
        <row r="704">
          <cell r="T704">
            <v>0</v>
          </cell>
          <cell r="AX704" t="str">
            <v>Correctivo</v>
          </cell>
          <cell r="AY704" t="str">
            <v>HOSPITAL CLAUDIO VICUÑA</v>
          </cell>
        </row>
        <row r="705">
          <cell r="T705">
            <v>99012</v>
          </cell>
          <cell r="AX705" t="str">
            <v>Correctivo</v>
          </cell>
          <cell r="AY705" t="str">
            <v>HOSPITAL VICTOR RIOS RUIZ</v>
          </cell>
        </row>
        <row r="706">
          <cell r="T706">
            <v>52074</v>
          </cell>
          <cell r="AX706" t="str">
            <v>Correctivo</v>
          </cell>
          <cell r="AY706" t="str">
            <v>HOSPITAL REGIONAL DE ANTOFAGASTA</v>
          </cell>
        </row>
        <row r="707">
          <cell r="T707">
            <v>57692</v>
          </cell>
          <cell r="AX707" t="str">
            <v>Correctivo</v>
          </cell>
          <cell r="AY707" t="str">
            <v>HOSPITAL SAN PABLO DE COQUIMBO</v>
          </cell>
        </row>
        <row r="708">
          <cell r="T708">
            <v>47623</v>
          </cell>
          <cell r="AX708" t="str">
            <v>Correctivo</v>
          </cell>
          <cell r="AY708" t="str">
            <v>HOSPITAL REGIONAL DE ARICA DR. JUAN NOÉ CREVANI</v>
          </cell>
        </row>
        <row r="709">
          <cell r="T709">
            <v>47623</v>
          </cell>
          <cell r="AX709" t="str">
            <v>Correctivo</v>
          </cell>
          <cell r="AY709">
            <v>0</v>
          </cell>
        </row>
        <row r="710">
          <cell r="T710">
            <v>70770</v>
          </cell>
          <cell r="AX710" t="str">
            <v>Correctivo</v>
          </cell>
          <cell r="AY710">
            <v>0</v>
          </cell>
        </row>
        <row r="711">
          <cell r="T711">
            <v>70770</v>
          </cell>
          <cell r="AX711" t="str">
            <v>Correctivo</v>
          </cell>
          <cell r="AY711" t="str">
            <v>HOSPITAL REGIONAL DE ARICA DR. JUAN NOÉ CREVANI</v>
          </cell>
        </row>
        <row r="712">
          <cell r="T712">
            <v>2124852</v>
          </cell>
          <cell r="AX712" t="str">
            <v>Correctivo</v>
          </cell>
          <cell r="AY712" t="str">
            <v>HOSPITAL REGIONAL DE ARICA DR. JUAN NOÉ CREVANI</v>
          </cell>
        </row>
        <row r="713">
          <cell r="T713">
            <v>2124852</v>
          </cell>
          <cell r="AX713" t="str">
            <v>Correctivo</v>
          </cell>
          <cell r="AY713">
            <v>0</v>
          </cell>
        </row>
        <row r="714">
          <cell r="T714">
            <v>1281030</v>
          </cell>
          <cell r="AX714" t="str">
            <v>Correctivo</v>
          </cell>
          <cell r="AY714">
            <v>0</v>
          </cell>
        </row>
        <row r="715">
          <cell r="T715">
            <v>1281030</v>
          </cell>
          <cell r="AX715" t="str">
            <v>Correctivo</v>
          </cell>
          <cell r="AY715" t="str">
            <v>HOSPITAL REGIONAL DE ARICA DR. JUAN NOÉ CREVANI</v>
          </cell>
        </row>
        <row r="716">
          <cell r="T716">
            <v>3224385</v>
          </cell>
          <cell r="AX716" t="str">
            <v>Correctivo</v>
          </cell>
          <cell r="AY716" t="str">
            <v>HOSPITAL SAN PABLO DE COQUIMBO</v>
          </cell>
        </row>
        <row r="717">
          <cell r="T717">
            <v>2910391</v>
          </cell>
          <cell r="AX717" t="str">
            <v>Correctivo</v>
          </cell>
          <cell r="AY717" t="str">
            <v>HOSPITAL REGIONAL DE ANTOFAGASTA</v>
          </cell>
        </row>
        <row r="718">
          <cell r="T718">
            <v>1563788</v>
          </cell>
          <cell r="AX718" t="str">
            <v>Correctivo</v>
          </cell>
          <cell r="AY718" t="str">
            <v>HOSPITAL REGIONAL DE ANTOFAGASTA</v>
          </cell>
        </row>
        <row r="719">
          <cell r="T719">
            <v>1732500</v>
          </cell>
          <cell r="AX719" t="str">
            <v>Correctivo</v>
          </cell>
          <cell r="AY719" t="str">
            <v>HOSPITAL SAN PABLO DE COQUIMBO</v>
          </cell>
        </row>
        <row r="720">
          <cell r="T720">
            <v>379504</v>
          </cell>
          <cell r="AX720" t="str">
            <v>Correctivo</v>
          </cell>
          <cell r="AY720" t="str">
            <v>HOSPITAL DE URGENCIA ASISTENCIA PUBLICA DR. ALEJ</v>
          </cell>
        </row>
        <row r="721">
          <cell r="T721">
            <v>3224385</v>
          </cell>
          <cell r="AX721" t="str">
            <v>Correctivo</v>
          </cell>
          <cell r="AY721" t="str">
            <v>CLINICA ALEMANA DE SANTIAGO S A</v>
          </cell>
        </row>
        <row r="722">
          <cell r="T722">
            <v>92921</v>
          </cell>
          <cell r="AX722" t="str">
            <v>Correctivo</v>
          </cell>
          <cell r="AY722" t="str">
            <v>UC CHRISTUS SERVICIOS AMBULATORIOS SPA</v>
          </cell>
        </row>
        <row r="723">
          <cell r="T723">
            <v>1837626</v>
          </cell>
          <cell r="AX723" t="str">
            <v>Correctivo</v>
          </cell>
          <cell r="AY723" t="str">
            <v>HOSPITAL DE URGENCIA ASISTENCIA PUBLICA DR. ALEJ</v>
          </cell>
        </row>
        <row r="724">
          <cell r="T724">
            <v>244297</v>
          </cell>
          <cell r="AX724" t="str">
            <v>Correctivo</v>
          </cell>
          <cell r="AY724" t="str">
            <v>HOSPITAL DE URGENCIA ASISTENCIA PUBLICA DR. ALEJ</v>
          </cell>
        </row>
        <row r="725">
          <cell r="T725">
            <v>360938</v>
          </cell>
          <cell r="AX725" t="str">
            <v>Correctivo</v>
          </cell>
          <cell r="AY725" t="str">
            <v>HOSPITAL REGIONAL DE ANTOFAGASTA</v>
          </cell>
        </row>
        <row r="726">
          <cell r="T726">
            <v>360938</v>
          </cell>
          <cell r="AX726" t="str">
            <v>Correctivo</v>
          </cell>
          <cell r="AY726" t="str">
            <v>UC CHRISTUS SERVICIOS AMBULATORIOS SPA</v>
          </cell>
        </row>
        <row r="727">
          <cell r="T727">
            <v>360938</v>
          </cell>
          <cell r="AX727" t="str">
            <v>Correctivo</v>
          </cell>
          <cell r="AY727" t="str">
            <v>UC CHRISTUS SERVICIOS AMBULATORIOS SPA</v>
          </cell>
        </row>
        <row r="728">
          <cell r="T728">
            <v>360938</v>
          </cell>
          <cell r="AX728" t="str">
            <v>Correctivo</v>
          </cell>
          <cell r="AY728" t="str">
            <v>HOSPITAL REGIONAL DE ANTOFAGASTA</v>
          </cell>
        </row>
        <row r="729">
          <cell r="T729">
            <v>354758</v>
          </cell>
          <cell r="AX729" t="str">
            <v>Correctivo</v>
          </cell>
          <cell r="AY729" t="str">
            <v>HOSPITAL REGIONAL DE ANTOFAGASTA</v>
          </cell>
        </row>
        <row r="730">
          <cell r="T730">
            <v>354758</v>
          </cell>
          <cell r="AX730" t="str">
            <v>Correctivo</v>
          </cell>
          <cell r="AY730" t="str">
            <v>HOSPITAL REGIONAL DE ANTOFAGASTA</v>
          </cell>
        </row>
        <row r="731">
          <cell r="T731">
            <v>346500</v>
          </cell>
          <cell r="AX731" t="str">
            <v>Correctivo</v>
          </cell>
          <cell r="AY731" t="str">
            <v>HOSPITAL REGIONAL DE ANTOFAGASTA</v>
          </cell>
        </row>
        <row r="732">
          <cell r="T732">
            <v>346500</v>
          </cell>
          <cell r="AX732" t="str">
            <v>Correctivo</v>
          </cell>
          <cell r="AY732" t="str">
            <v>HOSPITAL REGIONAL DE ANTOFAGASTA</v>
          </cell>
        </row>
        <row r="733">
          <cell r="T733">
            <v>346500</v>
          </cell>
          <cell r="AX733" t="str">
            <v>Correctivo</v>
          </cell>
          <cell r="AY733" t="str">
            <v>HOSPITAL REGIONAL DE ANTOFAGASTA</v>
          </cell>
        </row>
        <row r="734">
          <cell r="T734">
            <v>346500</v>
          </cell>
          <cell r="AX734" t="str">
            <v>Correctivo</v>
          </cell>
          <cell r="AY734" t="str">
            <v>HOSPITAL REGIONAL DE ANTOFAGASTA</v>
          </cell>
        </row>
        <row r="735">
          <cell r="T735">
            <v>228500</v>
          </cell>
          <cell r="AX735" t="str">
            <v>Correctivo</v>
          </cell>
          <cell r="AY735" t="str">
            <v>HOSPITAL DE URGENCIA ASISTENCIA PUBLICA DR. ALEJ</v>
          </cell>
        </row>
        <row r="736">
          <cell r="T736">
            <v>217075</v>
          </cell>
          <cell r="AX736" t="str">
            <v>Correctivo</v>
          </cell>
          <cell r="AY736" t="str">
            <v>HOSPITAL DE URGENCIA ASISTENCIA PUBLICA DR. ALEJ</v>
          </cell>
        </row>
        <row r="737">
          <cell r="T737">
            <v>86008</v>
          </cell>
          <cell r="AX737" t="str">
            <v>Correctivo</v>
          </cell>
          <cell r="AY737" t="str">
            <v>HOSPITAL REGIONAL DE ANTOFAGASTA</v>
          </cell>
        </row>
        <row r="738">
          <cell r="T738">
            <v>25724</v>
          </cell>
          <cell r="AX738" t="str">
            <v>Correctivo</v>
          </cell>
          <cell r="AY738" t="str">
            <v>HOSPITAL REGIONAL DE ANTOFAGASTA</v>
          </cell>
        </row>
        <row r="739">
          <cell r="T739">
            <v>573389</v>
          </cell>
          <cell r="AX739" t="str">
            <v>Correctivo</v>
          </cell>
          <cell r="AY739" t="str">
            <v>HOSPITAL GUILLERMO GRANT BENAVENTE</v>
          </cell>
        </row>
        <row r="740">
          <cell r="T740">
            <v>573389</v>
          </cell>
          <cell r="AX740" t="str">
            <v>Correctivo</v>
          </cell>
          <cell r="AY740" t="str">
            <v>HOSPITAL GUILLERMO GRANT BENAVENTE</v>
          </cell>
        </row>
        <row r="741">
          <cell r="T741">
            <v>573389</v>
          </cell>
          <cell r="AX741" t="str">
            <v>Correctivo</v>
          </cell>
          <cell r="AY741" t="str">
            <v>HOSPITAL GUILLERMO GRANT BENAVENTE</v>
          </cell>
        </row>
        <row r="742">
          <cell r="T742">
            <v>7645201</v>
          </cell>
          <cell r="AX742" t="str">
            <v>Correctivo</v>
          </cell>
          <cell r="AY742" t="str">
            <v>HOSPITAL GUILLERMO GRANT BENAVENTE</v>
          </cell>
        </row>
        <row r="743">
          <cell r="T743">
            <v>7645201</v>
          </cell>
          <cell r="AX743" t="str">
            <v>Correctivo</v>
          </cell>
          <cell r="AY743" t="str">
            <v>HOSPITAL GUILLERMO GRANT BENAVENTE</v>
          </cell>
        </row>
        <row r="744">
          <cell r="T744">
            <v>7645201</v>
          </cell>
          <cell r="AX744" t="str">
            <v>Correctivo</v>
          </cell>
          <cell r="AY744" t="str">
            <v>HOSPITAL GUILLERMO GRANT BENAVENTE</v>
          </cell>
        </row>
        <row r="745">
          <cell r="T745">
            <v>2137176</v>
          </cell>
          <cell r="AX745" t="str">
            <v>Correctivo</v>
          </cell>
          <cell r="AY745" t="str">
            <v>HOSPITAL GUILLERMO GRANT BENAVENTE</v>
          </cell>
        </row>
        <row r="746">
          <cell r="T746">
            <v>2137176</v>
          </cell>
          <cell r="AX746" t="str">
            <v>Correctivo</v>
          </cell>
          <cell r="AY746" t="str">
            <v>HOSPITAL GUILLERMO GRANT BENAVENTE</v>
          </cell>
        </row>
        <row r="747">
          <cell r="T747">
            <v>2137176</v>
          </cell>
          <cell r="AX747" t="str">
            <v>Correctivo</v>
          </cell>
          <cell r="AY747" t="str">
            <v>HOSPITAL GUILLERMO GRANT BENAVENTE</v>
          </cell>
        </row>
        <row r="748">
          <cell r="T748">
            <v>2745723</v>
          </cell>
          <cell r="AX748" t="str">
            <v>Correctivo</v>
          </cell>
          <cell r="AY748" t="str">
            <v>HOSPITAL DE URGENCIA ASISTENCIA PUBLICA DR. ALEJ</v>
          </cell>
        </row>
        <row r="749">
          <cell r="T749">
            <v>2367750</v>
          </cell>
          <cell r="AX749" t="str">
            <v>Correctivo</v>
          </cell>
          <cell r="AY749">
            <v>0</v>
          </cell>
        </row>
        <row r="750">
          <cell r="T750">
            <v>700000</v>
          </cell>
          <cell r="AX750" t="str">
            <v>Correctivo</v>
          </cell>
          <cell r="AY750" t="str">
            <v>HOSPITAL DE URGENCIA ASISTENCIA PUBLICA DR. ALEJ</v>
          </cell>
        </row>
        <row r="751">
          <cell r="T751">
            <v>99012</v>
          </cell>
          <cell r="AX751" t="str">
            <v>Correctivo</v>
          </cell>
          <cell r="AY751" t="str">
            <v>HOSPITAL SAN PABLO DE COQUIMBO</v>
          </cell>
        </row>
        <row r="752">
          <cell r="T752">
            <v>250000</v>
          </cell>
          <cell r="AX752" t="str">
            <v>Correctivo</v>
          </cell>
          <cell r="AY752" t="str">
            <v>HOSPITAL SAN PABLO DE COQUIMBO</v>
          </cell>
        </row>
        <row r="753">
          <cell r="T753">
            <v>67856</v>
          </cell>
          <cell r="AX753" t="str">
            <v>Correctivo</v>
          </cell>
          <cell r="AY753" t="str">
            <v>HOSPITAL REGIONAL DE ANTOFAGASTA</v>
          </cell>
        </row>
        <row r="754">
          <cell r="T754">
            <v>99012</v>
          </cell>
          <cell r="AX754" t="str">
            <v>Correctivo</v>
          </cell>
          <cell r="AY754" t="str">
            <v>HOSPITAL REGIONAL DE ANTOFAGASTA</v>
          </cell>
        </row>
        <row r="755">
          <cell r="T755">
            <v>99012</v>
          </cell>
          <cell r="AX755" t="str">
            <v>Correctivo</v>
          </cell>
          <cell r="AY755" t="str">
            <v>HOSPITAL REGIONAL DE ANTOFAGASTA</v>
          </cell>
        </row>
        <row r="756">
          <cell r="T756">
            <v>60167</v>
          </cell>
          <cell r="AX756" t="str">
            <v>Correctivo</v>
          </cell>
          <cell r="AY756" t="str">
            <v>HOSPITAL DE URGENCIA ASISTENCIA PUBLICA DR. ALEJ</v>
          </cell>
        </row>
        <row r="757">
          <cell r="T757">
            <v>1</v>
          </cell>
          <cell r="AX757" t="str">
            <v>Correctivo</v>
          </cell>
          <cell r="AY757" t="str">
            <v>CLINICA LAS CONDES S.A.</v>
          </cell>
        </row>
        <row r="758">
          <cell r="T758">
            <v>99012</v>
          </cell>
          <cell r="AX758" t="str">
            <v>Correctivo</v>
          </cell>
          <cell r="AY758" t="str">
            <v>SOCIEDAD CONCESIONARIA METROPOLITANA DE SALUD S.A.</v>
          </cell>
        </row>
        <row r="759">
          <cell r="T759">
            <v>92081</v>
          </cell>
          <cell r="AX759" t="str">
            <v>Correctivo</v>
          </cell>
          <cell r="AY759" t="str">
            <v>CLINICA MEDS LTDA</v>
          </cell>
        </row>
        <row r="760">
          <cell r="T760">
            <v>89370</v>
          </cell>
          <cell r="AX760" t="str">
            <v>Correctivo</v>
          </cell>
          <cell r="AY760" t="str">
            <v>HOSPITAL GUILLERMO GRANT BENAVENTE</v>
          </cell>
        </row>
        <row r="761">
          <cell r="T761">
            <v>99012</v>
          </cell>
          <cell r="AX761" t="str">
            <v>Correctivo</v>
          </cell>
          <cell r="AY761" t="str">
            <v>CLINICA MEDS LTDA</v>
          </cell>
        </row>
        <row r="762">
          <cell r="T762">
            <v>99012</v>
          </cell>
          <cell r="AX762" t="str">
            <v>Correctivo</v>
          </cell>
          <cell r="AY762" t="str">
            <v>CLINICA MEDS LTDA</v>
          </cell>
        </row>
        <row r="763">
          <cell r="T763">
            <v>73575</v>
          </cell>
          <cell r="AX763" t="str">
            <v>Correctivo</v>
          </cell>
          <cell r="AY763" t="str">
            <v>CLINICA MEDS LTDA</v>
          </cell>
        </row>
        <row r="764">
          <cell r="T764">
            <v>89370</v>
          </cell>
          <cell r="AX764" t="str">
            <v>Correctivo</v>
          </cell>
          <cell r="AY764" t="str">
            <v>HOSPITAL GUILLERMO GRANT BENAVENTE</v>
          </cell>
        </row>
        <row r="765">
          <cell r="T765">
            <v>89370</v>
          </cell>
          <cell r="AX765" t="str">
            <v>Correctivo</v>
          </cell>
          <cell r="AY765" t="str">
            <v>HOSPITAL GUILLERMO GRANT BENAVENTE</v>
          </cell>
        </row>
        <row r="766">
          <cell r="T766">
            <v>99012</v>
          </cell>
          <cell r="AX766" t="str">
            <v>Correctivo</v>
          </cell>
          <cell r="AY766">
            <v>0</v>
          </cell>
        </row>
        <row r="767">
          <cell r="T767">
            <v>668800</v>
          </cell>
          <cell r="AX767" t="str">
            <v>Correctivo</v>
          </cell>
          <cell r="AY767" t="str">
            <v>HOSPITAL DE URGENCIA ASISTENCIA PUBLICA DR. ALEJ</v>
          </cell>
        </row>
        <row r="768">
          <cell r="T768">
            <v>794063</v>
          </cell>
          <cell r="AX768" t="str">
            <v>Correctivo</v>
          </cell>
          <cell r="AY768" t="str">
            <v>HOSPITAL SAN PABLO DE COQUIMBO</v>
          </cell>
        </row>
        <row r="769">
          <cell r="T769">
            <v>200</v>
          </cell>
          <cell r="AX769" t="str">
            <v>Correctivo</v>
          </cell>
          <cell r="AY769" t="str">
            <v>CLINICA MEDS LTDA</v>
          </cell>
        </row>
        <row r="770">
          <cell r="T770">
            <v>2237830</v>
          </cell>
          <cell r="AX770" t="str">
            <v>Correctivo</v>
          </cell>
          <cell r="AY770" t="str">
            <v>CLINICA MEDS LTDA</v>
          </cell>
        </row>
        <row r="771">
          <cell r="T771">
            <v>99012</v>
          </cell>
          <cell r="AX771" t="str">
            <v>Correctivo</v>
          </cell>
          <cell r="AY771" t="str">
            <v>CLINICA MEDS LTDA</v>
          </cell>
        </row>
        <row r="772">
          <cell r="T772">
            <v>99012</v>
          </cell>
          <cell r="AX772" t="str">
            <v>Correctivo</v>
          </cell>
          <cell r="AY772" t="str">
            <v>CLINICA MEDS LTDA</v>
          </cell>
        </row>
        <row r="773">
          <cell r="T773">
            <v>70966</v>
          </cell>
          <cell r="AX773" t="str">
            <v>Correctivo</v>
          </cell>
          <cell r="AY773" t="str">
            <v>CLINICA MEDS LTDA</v>
          </cell>
        </row>
        <row r="774">
          <cell r="T774">
            <v>1</v>
          </cell>
          <cell r="AX774" t="str">
            <v>Correctivo</v>
          </cell>
          <cell r="AY774" t="str">
            <v>CLINICA LAS CONDES S.A.</v>
          </cell>
        </row>
        <row r="775">
          <cell r="T775">
            <v>22364</v>
          </cell>
          <cell r="AX775" t="str">
            <v>Correctivo</v>
          </cell>
          <cell r="AY775" t="str">
            <v>HOSPITAL CARLOS VAN BUREN</v>
          </cell>
        </row>
        <row r="776">
          <cell r="T776">
            <v>22364</v>
          </cell>
          <cell r="AX776" t="str">
            <v>Correctivo</v>
          </cell>
          <cell r="AY776" t="str">
            <v>HOSPITAL CARLOS VAN BUREN</v>
          </cell>
        </row>
        <row r="777">
          <cell r="T777">
            <v>5591</v>
          </cell>
          <cell r="AX777" t="str">
            <v>Correctivo</v>
          </cell>
          <cell r="AY777" t="str">
            <v>SOCIEDAD CONCESIONARIA METROPOLITANA DE SALUD S.A.</v>
          </cell>
        </row>
        <row r="778">
          <cell r="T778">
            <v>121116</v>
          </cell>
          <cell r="AX778" t="str">
            <v>Correctivo</v>
          </cell>
          <cell r="AY778" t="str">
            <v>SOCIEDAD MEDICA E IMAGENEOLOGICA ANCUD LTDA</v>
          </cell>
        </row>
        <row r="779">
          <cell r="T779">
            <v>145332</v>
          </cell>
          <cell r="AX779" t="str">
            <v>Correctivo</v>
          </cell>
          <cell r="AY779" t="str">
            <v>HOSPITAL SAN PABLO DE COQUIMBO</v>
          </cell>
        </row>
        <row r="780">
          <cell r="T780">
            <v>5602</v>
          </cell>
          <cell r="AX780" t="str">
            <v>Correctivo</v>
          </cell>
          <cell r="AY780" t="str">
            <v>HOSPITAL EDUARDO PEREIRA</v>
          </cell>
        </row>
        <row r="781">
          <cell r="T781">
            <v>17090</v>
          </cell>
          <cell r="AX781" t="str">
            <v>Correctivo</v>
          </cell>
          <cell r="AY781" t="str">
            <v>HOSPITAL EDUARDO PEREIRA</v>
          </cell>
        </row>
        <row r="782">
          <cell r="T782">
            <v>5602</v>
          </cell>
          <cell r="AX782" t="str">
            <v>Correctivo</v>
          </cell>
          <cell r="AY782" t="str">
            <v>HOSPITAL EDUARDO PEREIRA</v>
          </cell>
        </row>
        <row r="783">
          <cell r="T783">
            <v>3241</v>
          </cell>
          <cell r="AX783" t="str">
            <v>Correctivo</v>
          </cell>
          <cell r="AY783" t="str">
            <v>HOSPITAL EDUARDO PEREIRA</v>
          </cell>
        </row>
        <row r="784">
          <cell r="T784">
            <v>52272</v>
          </cell>
          <cell r="AX784" t="str">
            <v>Correctivo</v>
          </cell>
          <cell r="AY784" t="str">
            <v>HOSPITAL EDUARDO PEREIRA</v>
          </cell>
        </row>
        <row r="785">
          <cell r="T785">
            <v>89111</v>
          </cell>
          <cell r="AX785" t="str">
            <v>Correctivo</v>
          </cell>
          <cell r="AY785" t="str">
            <v>HOSPITAL EDUARDO PEREIRA</v>
          </cell>
        </row>
        <row r="786">
          <cell r="T786">
            <v>99012</v>
          </cell>
          <cell r="AX786" t="str">
            <v>Correctivo</v>
          </cell>
          <cell r="AY786" t="str">
            <v>HOSPITAL DE PUERTO MONTT</v>
          </cell>
        </row>
        <row r="787">
          <cell r="T787">
            <v>99012</v>
          </cell>
          <cell r="AX787" t="str">
            <v>Correctivo</v>
          </cell>
          <cell r="AY787" t="str">
            <v>HOSPITAL EDUARDO PEREIRA</v>
          </cell>
        </row>
        <row r="788">
          <cell r="T788">
            <v>71049</v>
          </cell>
          <cell r="AX788" t="str">
            <v>Correctivo</v>
          </cell>
          <cell r="AY788" t="str">
            <v>HOSPITAL EDUARDO PEREIRA</v>
          </cell>
        </row>
        <row r="789">
          <cell r="T789">
            <v>71049</v>
          </cell>
          <cell r="AX789" t="str">
            <v>Correctivo</v>
          </cell>
          <cell r="AY789" t="str">
            <v>HOSPITAL EDUARDO PEREIRA</v>
          </cell>
        </row>
        <row r="790">
          <cell r="T790">
            <v>5056</v>
          </cell>
          <cell r="AX790" t="str">
            <v>Correctivo</v>
          </cell>
          <cell r="AY790" t="str">
            <v>HOSPITAL SAN PABLO DE COQUIMBO</v>
          </cell>
        </row>
        <row r="791">
          <cell r="T791">
            <v>5056</v>
          </cell>
          <cell r="AX791" t="str">
            <v>Preventivo</v>
          </cell>
          <cell r="AY791" t="str">
            <v>HOSPITAL SAN PABLO DE COQUIMBO</v>
          </cell>
        </row>
        <row r="792">
          <cell r="T792">
            <v>99012</v>
          </cell>
          <cell r="AX792" t="str">
            <v>Correctivo</v>
          </cell>
          <cell r="AY792" t="str">
            <v>SOCIEDAD MEDICA E IMAGENEOLOGICA ANCUD LTDA</v>
          </cell>
        </row>
        <row r="793">
          <cell r="T793">
            <v>99012</v>
          </cell>
          <cell r="AX793" t="str">
            <v>Correctivo</v>
          </cell>
          <cell r="AY793" t="str">
            <v>HOSPITAL GUILLERMO GRANT BENAVENTE</v>
          </cell>
        </row>
        <row r="794">
          <cell r="T794">
            <v>99012</v>
          </cell>
          <cell r="AX794" t="str">
            <v>Correctivo</v>
          </cell>
          <cell r="AY794" t="str">
            <v>LABORATORIO CLINICO CENTRAL KOJCHEN Y COMPANIA LIMITADA</v>
          </cell>
        </row>
        <row r="795">
          <cell r="T795">
            <v>99012</v>
          </cell>
          <cell r="AX795" t="str">
            <v>Correctivo</v>
          </cell>
          <cell r="AY795" t="str">
            <v>LABORATORIO CLINICO CENTRAL KOJCHEN Y COMPANIA LIMITADA</v>
          </cell>
        </row>
        <row r="796">
          <cell r="T796">
            <v>121036</v>
          </cell>
          <cell r="AX796" t="str">
            <v>Correctivo</v>
          </cell>
          <cell r="AY796" t="str">
            <v>LABORATORIO CLINICO CENTRAL KOJCHEN Y COMPANIA LIMITADA</v>
          </cell>
        </row>
        <row r="797">
          <cell r="T797">
            <v>58409</v>
          </cell>
          <cell r="AX797" t="str">
            <v>Correctivo</v>
          </cell>
          <cell r="AY797" t="str">
            <v>LABORATORIO CLINICO CENTRAL KOJCHEN Y COMPANIA LIMITADA</v>
          </cell>
        </row>
        <row r="798">
          <cell r="T798">
            <v>3123759</v>
          </cell>
          <cell r="AX798" t="str">
            <v>Correctivo</v>
          </cell>
          <cell r="AY798" t="str">
            <v>SOCIEDAD MEDICA E IMAGENEOLOGICA ANCUD LTDA</v>
          </cell>
        </row>
        <row r="799">
          <cell r="T799">
            <v>938438</v>
          </cell>
          <cell r="AX799" t="str">
            <v>Correctivo</v>
          </cell>
          <cell r="AY799" t="str">
            <v>HOSPITAL METROPOLITANO DE SANTIAGO</v>
          </cell>
        </row>
        <row r="800">
          <cell r="T800">
            <v>312758</v>
          </cell>
          <cell r="AX800" t="str">
            <v>Correctivo</v>
          </cell>
          <cell r="AY800" t="str">
            <v>HOSPITAL SAN PABLO DE COQUIMBO</v>
          </cell>
        </row>
        <row r="801">
          <cell r="T801">
            <v>232753</v>
          </cell>
          <cell r="AX801" t="str">
            <v>Correctivo</v>
          </cell>
          <cell r="AY801" t="str">
            <v>HOSPITAL METROPOLITANO DE SANTIAGO</v>
          </cell>
        </row>
        <row r="802">
          <cell r="T802">
            <v>232753</v>
          </cell>
          <cell r="AX802" t="str">
            <v>Correctivo</v>
          </cell>
          <cell r="AY802" t="str">
            <v>HOSPITAL METROPOLITANO DE SANTIAGO</v>
          </cell>
        </row>
        <row r="803">
          <cell r="T803">
            <v>85366</v>
          </cell>
          <cell r="AX803" t="str">
            <v>Correctivo</v>
          </cell>
          <cell r="AY803" t="str">
            <v>CLÍNICA INTERMEDICAL LTDA.</v>
          </cell>
        </row>
        <row r="804">
          <cell r="T804">
            <v>366975</v>
          </cell>
          <cell r="AX804" t="str">
            <v>Correctivo</v>
          </cell>
          <cell r="AY804" t="str">
            <v>HOSPITAL METROPOLITANO DE SANTIAGO</v>
          </cell>
        </row>
        <row r="805">
          <cell r="T805">
            <v>358266</v>
          </cell>
          <cell r="AX805" t="str">
            <v>Correctivo</v>
          </cell>
          <cell r="AY805" t="str">
            <v>HOSPITAL METROPOLITANO DE SANTIAGO</v>
          </cell>
        </row>
        <row r="806">
          <cell r="T806">
            <v>366362</v>
          </cell>
          <cell r="AX806" t="str">
            <v>Correctivo</v>
          </cell>
          <cell r="AY806" t="str">
            <v>CLÍNICA INTERMEDICAL LTDA.</v>
          </cell>
        </row>
        <row r="807">
          <cell r="T807">
            <v>224376</v>
          </cell>
          <cell r="AX807" t="str">
            <v>Correctivo</v>
          </cell>
          <cell r="AY807" t="str">
            <v>HOSPITAL METROPOLITANO DE SANTIAGO</v>
          </cell>
        </row>
        <row r="808">
          <cell r="T808">
            <v>224376</v>
          </cell>
          <cell r="AX808" t="str">
            <v>Correctivo</v>
          </cell>
          <cell r="AY808" t="str">
            <v>HOSPITAL METROPOLITANO DE SANTIAGO</v>
          </cell>
        </row>
        <row r="809">
          <cell r="T809">
            <v>219168</v>
          </cell>
          <cell r="AX809" t="str">
            <v>Correctivo</v>
          </cell>
          <cell r="AY809" t="str">
            <v>HOSPITAL EDUARDO PEREIRA</v>
          </cell>
        </row>
        <row r="810">
          <cell r="T810">
            <v>104253</v>
          </cell>
          <cell r="AX810" t="str">
            <v>Correctivo</v>
          </cell>
          <cell r="AY810" t="str">
            <v>HOSPITAL SAN PABLO DE COQUIMBO</v>
          </cell>
        </row>
        <row r="811">
          <cell r="T811">
            <v>115500</v>
          </cell>
          <cell r="AX811" t="str">
            <v>Correctivo</v>
          </cell>
          <cell r="AY811" t="str">
            <v>HOSPITAL DE PUERTO MONTT</v>
          </cell>
        </row>
        <row r="812">
          <cell r="T812">
            <v>104253</v>
          </cell>
          <cell r="AX812" t="str">
            <v>Preventivo</v>
          </cell>
          <cell r="AY812" t="str">
            <v>HOSPITAL SAN PABLO DE COQUIMBO</v>
          </cell>
        </row>
        <row r="813">
          <cell r="T813">
            <v>847052</v>
          </cell>
          <cell r="AX813" t="str">
            <v>Correctivo</v>
          </cell>
          <cell r="AY813" t="str">
            <v>HOSPITAL SAN PABLO DE COQUIMBO</v>
          </cell>
        </row>
        <row r="814">
          <cell r="T814">
            <v>99012</v>
          </cell>
          <cell r="AX814" t="str">
            <v>Correctivo</v>
          </cell>
          <cell r="AY814" t="str">
            <v>CLÍNICA INTERMEDICAL LTDA.</v>
          </cell>
        </row>
        <row r="815">
          <cell r="T815">
            <v>99012</v>
          </cell>
          <cell r="AX815" t="str">
            <v>Correctivo</v>
          </cell>
          <cell r="AY815" t="str">
            <v>LABORATORIO CLINICO CENTRAL KOJCHEN Y COMPANIA LIMITADA</v>
          </cell>
        </row>
        <row r="816">
          <cell r="T816">
            <v>99012</v>
          </cell>
          <cell r="AX816" t="str">
            <v>Correctivo</v>
          </cell>
          <cell r="AY816" t="str">
            <v>LABORATORIO CLINICO CENTRAL KOJCHEN Y COMPANIA LIMITADA</v>
          </cell>
        </row>
        <row r="817">
          <cell r="T817">
            <v>1515938</v>
          </cell>
          <cell r="AX817" t="str">
            <v>Correctivo</v>
          </cell>
          <cell r="AY817" t="str">
            <v>LABORATORIO CLINICO CENTRAL KOJCHEN Y COMPANIA LIMITADA</v>
          </cell>
        </row>
        <row r="818">
          <cell r="T818">
            <v>938438</v>
          </cell>
          <cell r="AX818" t="str">
            <v>Correctivo</v>
          </cell>
          <cell r="AY818" t="str">
            <v>LABORATORIO CLINICO CENTRAL KOJCHEN Y COMPANIA LIMITADA</v>
          </cell>
        </row>
        <row r="819">
          <cell r="T819">
            <v>938438</v>
          </cell>
          <cell r="AX819" t="str">
            <v>Correctivo</v>
          </cell>
          <cell r="AY819" t="str">
            <v>HOSPITAL GUILLERMO GRANT BENAVENTE</v>
          </cell>
        </row>
        <row r="820">
          <cell r="T820">
            <v>222771</v>
          </cell>
          <cell r="AX820" t="str">
            <v>Correctivo</v>
          </cell>
          <cell r="AY820" t="str">
            <v>LABORATORIO CLINICO CENTRAL KOJCHEN Y COMPANIA LIMITADA</v>
          </cell>
        </row>
        <row r="821">
          <cell r="T821">
            <v>168312</v>
          </cell>
          <cell r="AX821" t="str">
            <v>Correctivo</v>
          </cell>
          <cell r="AY821" t="str">
            <v>SOCIEDAD MEDICA E IMAGENEOLOGICA ANCUD LTDA</v>
          </cell>
        </row>
        <row r="822">
          <cell r="T822">
            <v>222771</v>
          </cell>
          <cell r="AX822" t="str">
            <v>Correctivo</v>
          </cell>
          <cell r="AY822" t="str">
            <v>LABORATORIO CLINICO CENTRAL KOJCHEN Y COMPANIA LIMITADA</v>
          </cell>
        </row>
        <row r="823">
          <cell r="T823">
            <v>159855</v>
          </cell>
          <cell r="AX823" t="str">
            <v>Correctivo</v>
          </cell>
          <cell r="AY823" t="str">
            <v>LABORATORIO CLINICO CENTRAL KOJCHEN Y COMPANIA LIMITADA</v>
          </cell>
        </row>
        <row r="824">
          <cell r="T824">
            <v>116975</v>
          </cell>
          <cell r="AX824" t="str">
            <v>Correctivo</v>
          </cell>
          <cell r="AY824" t="str">
            <v>LABORATORIO CLINICO CENTRAL KOJCHEN Y COMPANIA LIMITADA</v>
          </cell>
        </row>
        <row r="825">
          <cell r="T825">
            <v>264004</v>
          </cell>
          <cell r="AX825" t="str">
            <v>Preventivo</v>
          </cell>
          <cell r="AY825" t="str">
            <v>HOSPITAL SAN PABLO DE COQUIMBO</v>
          </cell>
        </row>
        <row r="826">
          <cell r="T826">
            <v>151420</v>
          </cell>
          <cell r="AX826" t="str">
            <v>Correctivo</v>
          </cell>
          <cell r="AY826" t="str">
            <v>CLINICA REDMEDICAL</v>
          </cell>
        </row>
        <row r="827">
          <cell r="T827">
            <v>26392</v>
          </cell>
          <cell r="AX827" t="str">
            <v>Correctivo</v>
          </cell>
          <cell r="AY827" t="str">
            <v>LABORATORIO CLINICO CENTRAL KOJCHEN Y COMPANIA LIMITADA</v>
          </cell>
        </row>
        <row r="828">
          <cell r="T828">
            <v>9818</v>
          </cell>
          <cell r="AX828" t="str">
            <v>Correctivo</v>
          </cell>
          <cell r="AY828" t="str">
            <v>LABORATORIO CLINICO CENTRAL KOJCHEN Y COMPANIA LIMITADA</v>
          </cell>
        </row>
        <row r="829">
          <cell r="T829">
            <v>9818</v>
          </cell>
          <cell r="AX829" t="str">
            <v>Correctivo</v>
          </cell>
          <cell r="AY829" t="str">
            <v>HOSPITAL GUILLERMO GRANT BENAVENTE</v>
          </cell>
        </row>
        <row r="830">
          <cell r="T830">
            <v>16543</v>
          </cell>
          <cell r="AX830" t="str">
            <v>Correctivo</v>
          </cell>
          <cell r="AY830" t="str">
            <v>HOSPITAL SAN PABLO DE COQUIMBO</v>
          </cell>
        </row>
        <row r="831">
          <cell r="T831">
            <v>321754</v>
          </cell>
          <cell r="AX831" t="str">
            <v>Correctivo</v>
          </cell>
          <cell r="AY831">
            <v>0</v>
          </cell>
        </row>
        <row r="832">
          <cell r="T832">
            <v>34650</v>
          </cell>
          <cell r="AX832" t="str">
            <v>Correctivo</v>
          </cell>
          <cell r="AY832" t="str">
            <v>HOSPITAL EDUARDO PEREIRA</v>
          </cell>
        </row>
        <row r="833">
          <cell r="T833">
            <v>34650</v>
          </cell>
          <cell r="AX833" t="str">
            <v>Correctivo</v>
          </cell>
          <cell r="AY833" t="str">
            <v>HOSPITAL EDUARDO PEREIRA</v>
          </cell>
        </row>
        <row r="834">
          <cell r="T834">
            <v>99262</v>
          </cell>
          <cell r="AX834" t="str">
            <v>Correctivo</v>
          </cell>
          <cell r="AY834" t="str">
            <v>HOSPITAL EDUARDO PEREIRA</v>
          </cell>
        </row>
        <row r="835">
          <cell r="T835">
            <v>19350</v>
          </cell>
          <cell r="AX835" t="str">
            <v>Correctivo</v>
          </cell>
          <cell r="AY835" t="str">
            <v>HOSPITAL EDUARDO PEREIRA</v>
          </cell>
        </row>
        <row r="836">
          <cell r="T836">
            <v>89111</v>
          </cell>
          <cell r="AX836" t="str">
            <v>Correctivo</v>
          </cell>
          <cell r="AY836" t="str">
            <v>HOSPITAL EDUARDO PEREIRA</v>
          </cell>
        </row>
        <row r="837">
          <cell r="T837">
            <v>46392</v>
          </cell>
          <cell r="AX837" t="str">
            <v>Correctivo</v>
          </cell>
          <cell r="AY837" t="str">
            <v>HOSPITAL SAN PABLO DE COQUIMBO</v>
          </cell>
        </row>
        <row r="838">
          <cell r="T838">
            <v>46392</v>
          </cell>
          <cell r="AX838" t="str">
            <v>Preventivo</v>
          </cell>
          <cell r="AY838" t="str">
            <v>HOSPITAL SAN PABLO DE COQUIMBO</v>
          </cell>
        </row>
        <row r="839">
          <cell r="T839">
            <v>1498630</v>
          </cell>
          <cell r="AX839" t="str">
            <v>Preventivo</v>
          </cell>
          <cell r="AY839" t="str">
            <v>HOSPITAL SAN PABLO DE COQUIMBO</v>
          </cell>
        </row>
        <row r="840">
          <cell r="T840">
            <v>1498630</v>
          </cell>
          <cell r="AX840" t="str">
            <v>Correctivo</v>
          </cell>
          <cell r="AY840" t="str">
            <v>HOSPITAL SAN PABLO DE COQUIMBO</v>
          </cell>
        </row>
        <row r="841">
          <cell r="T841">
            <v>2137176</v>
          </cell>
          <cell r="AX841" t="str">
            <v>Correctivo</v>
          </cell>
          <cell r="AY841" t="str">
            <v>HOSPITAL SAN PABLO DE COQUIMBO</v>
          </cell>
        </row>
        <row r="842">
          <cell r="T842">
            <v>2137176</v>
          </cell>
          <cell r="AX842" t="str">
            <v>Preventivo</v>
          </cell>
          <cell r="AY842" t="str">
            <v>HOSPITAL SAN PABLO DE COQUIMBO</v>
          </cell>
        </row>
        <row r="843">
          <cell r="T843">
            <v>363017</v>
          </cell>
          <cell r="AX843" t="str">
            <v>Correctivo</v>
          </cell>
          <cell r="AY843" t="str">
            <v>HOSPITAL SAN PABLO DE COQUIMBO</v>
          </cell>
        </row>
        <row r="844">
          <cell r="T844">
            <v>363017</v>
          </cell>
          <cell r="AX844" t="str">
            <v>Correctivo</v>
          </cell>
          <cell r="AY844" t="str">
            <v>CLÍNICA INTERMEDICAL LTDA.</v>
          </cell>
        </row>
        <row r="845">
          <cell r="T845">
            <v>400779</v>
          </cell>
          <cell r="AX845" t="str">
            <v>Correctivo</v>
          </cell>
          <cell r="AY845" t="str">
            <v>HOSPITAL METROPOLITANO DE SANTIAGO</v>
          </cell>
        </row>
        <row r="846">
          <cell r="T846">
            <v>1371536</v>
          </cell>
          <cell r="AX846" t="str">
            <v>Correctivo</v>
          </cell>
          <cell r="AY846" t="str">
            <v>HOSPITAL DE PUERTO MONTT</v>
          </cell>
        </row>
        <row r="847">
          <cell r="T847">
            <v>1065140</v>
          </cell>
          <cell r="AX847" t="str">
            <v>Correctivo</v>
          </cell>
          <cell r="AY847" t="str">
            <v>HOSPITAL METROPOLITANO DE SANTIAGO</v>
          </cell>
        </row>
        <row r="848">
          <cell r="T848">
            <v>99012</v>
          </cell>
          <cell r="AX848" t="str">
            <v>Correctivo</v>
          </cell>
          <cell r="AY848" t="str">
            <v>CLÍNICA INTERMEDICAL LTDA.</v>
          </cell>
        </row>
        <row r="849">
          <cell r="T849">
            <v>198024</v>
          </cell>
          <cell r="AX849" t="str">
            <v>Correctivo</v>
          </cell>
          <cell r="AY849" t="str">
            <v>CLÍNICA INTERMEDICAL LTDA.</v>
          </cell>
        </row>
        <row r="850">
          <cell r="T850">
            <v>99012</v>
          </cell>
          <cell r="AX850" t="str">
            <v>Correctivo</v>
          </cell>
          <cell r="AY850" t="str">
            <v>HOSPITAL SAN PABLO DE COQUIMBO</v>
          </cell>
        </row>
        <row r="851">
          <cell r="T851">
            <v>99012</v>
          </cell>
          <cell r="AX851" t="str">
            <v>Correctivo</v>
          </cell>
          <cell r="AY851" t="str">
            <v>CLINICA REDMEDICAL</v>
          </cell>
        </row>
        <row r="852">
          <cell r="T852">
            <v>99012</v>
          </cell>
          <cell r="AX852" t="str">
            <v>Correctivo</v>
          </cell>
          <cell r="AY852" t="str">
            <v>HOSPITAL METROPOLITANO DE SANTIAGO</v>
          </cell>
        </row>
        <row r="853">
          <cell r="T853">
            <v>99012</v>
          </cell>
          <cell r="AX853" t="str">
            <v>Correctivo</v>
          </cell>
          <cell r="AY853" t="str">
            <v>HOSPITAL METROPOLITANO DE SANTIAGO</v>
          </cell>
        </row>
        <row r="854">
          <cell r="T854">
            <v>121036</v>
          </cell>
          <cell r="AX854" t="str">
            <v>Correctivo</v>
          </cell>
          <cell r="AY854" t="str">
            <v>CLÍNICA ANDES SALUD PUERTO MONTT S.A.</v>
          </cell>
        </row>
        <row r="855">
          <cell r="T855">
            <v>99012</v>
          </cell>
          <cell r="AX855" t="str">
            <v>Correctivo</v>
          </cell>
          <cell r="AY855" t="str">
            <v>HOSPITAL SAN PABLO DE COQUIMBO</v>
          </cell>
        </row>
        <row r="856">
          <cell r="T856">
            <v>121036</v>
          </cell>
          <cell r="AX856" t="str">
            <v>Correctivo</v>
          </cell>
          <cell r="AY856" t="str">
            <v>SOCIEDAD MEDICA E IMAGENEOLOGICA ANCUD LTDA</v>
          </cell>
        </row>
        <row r="857">
          <cell r="T857">
            <v>99012</v>
          </cell>
          <cell r="AX857" t="str">
            <v>Correctivo</v>
          </cell>
          <cell r="AY857" t="str">
            <v>HOSPITAL METROPOLITANO DE SANTIAGO</v>
          </cell>
        </row>
        <row r="858">
          <cell r="T858">
            <v>99012</v>
          </cell>
          <cell r="AX858" t="str">
            <v>Correctivo</v>
          </cell>
          <cell r="AY858" t="str">
            <v>HOSPITAL METROPOLITANO DE SANTIAGO</v>
          </cell>
        </row>
        <row r="859">
          <cell r="T859">
            <v>99012</v>
          </cell>
          <cell r="AX859" t="str">
            <v>Correctivo</v>
          </cell>
          <cell r="AY859" t="str">
            <v>HOSPITAL SAN PABLO DE COQUIMBO</v>
          </cell>
        </row>
        <row r="860">
          <cell r="T860">
            <v>99012</v>
          </cell>
          <cell r="AX860" t="str">
            <v>Correctivo</v>
          </cell>
          <cell r="AY860" t="str">
            <v>HOSPITAL METROPOLITANO DE SANTIAGO</v>
          </cell>
        </row>
        <row r="861">
          <cell r="T861">
            <v>99012</v>
          </cell>
          <cell r="AX861" t="str">
            <v>Correctivo</v>
          </cell>
          <cell r="AY861" t="str">
            <v>HOSPITAL METROPOLITANO DE SANTIAGO</v>
          </cell>
        </row>
        <row r="862">
          <cell r="T862">
            <v>99012</v>
          </cell>
          <cell r="AX862" t="str">
            <v>Correctivo</v>
          </cell>
          <cell r="AY862" t="str">
            <v>HOSPITAL DE PUERTO MONTT</v>
          </cell>
        </row>
        <row r="863">
          <cell r="T863">
            <v>0</v>
          </cell>
          <cell r="AX863" t="str">
            <v>Correctivo</v>
          </cell>
          <cell r="AY863" t="str">
            <v>HOSPITAL METROPOLITANO DE SANTIAGO</v>
          </cell>
        </row>
        <row r="864">
          <cell r="T864">
            <v>71643</v>
          </cell>
          <cell r="AX864" t="str">
            <v>Correctivo</v>
          </cell>
          <cell r="AY864" t="str">
            <v>SOCIEDAD MEDICA E IMAGENEOLOGICA ANCUD LTDA</v>
          </cell>
        </row>
        <row r="865">
          <cell r="T865">
            <v>99012</v>
          </cell>
          <cell r="AX865" t="str">
            <v>Correctivo</v>
          </cell>
          <cell r="AY865" t="str">
            <v>HOSPITAL DE PUERTO MONTT</v>
          </cell>
        </row>
        <row r="866">
          <cell r="T866">
            <v>255775</v>
          </cell>
          <cell r="AX866" t="str">
            <v>Preventivo</v>
          </cell>
          <cell r="AY866" t="str">
            <v>HOSPITAL SAN PABLO DE COQUIMBO</v>
          </cell>
        </row>
        <row r="867">
          <cell r="T867">
            <v>255775</v>
          </cell>
          <cell r="AX867" t="str">
            <v>Preventivo</v>
          </cell>
          <cell r="AY867" t="str">
            <v>CLÍNICA INTERMEDICAL LTDA.</v>
          </cell>
        </row>
        <row r="868">
          <cell r="T868">
            <v>255775</v>
          </cell>
          <cell r="AX868" t="str">
            <v>Correctivo</v>
          </cell>
          <cell r="AY868">
            <v>0</v>
          </cell>
        </row>
        <row r="869">
          <cell r="T869">
            <v>53813</v>
          </cell>
          <cell r="AX869" t="str">
            <v>Correctivo</v>
          </cell>
          <cell r="AY869" t="str">
            <v>HOSPITAL DR. LUIS TISNE B.</v>
          </cell>
        </row>
        <row r="870">
          <cell r="T870">
            <v>452600</v>
          </cell>
          <cell r="AX870" t="str">
            <v>Correctivo</v>
          </cell>
          <cell r="AY870" t="str">
            <v>HOSPITAL BARROS LUCO TRUDEAU</v>
          </cell>
        </row>
        <row r="871">
          <cell r="T871">
            <v>56575</v>
          </cell>
          <cell r="AX871" t="str">
            <v>Correctivo</v>
          </cell>
          <cell r="AY871" t="str">
            <v>HOSPITAL BARROS LUCO TRUDEAU</v>
          </cell>
        </row>
        <row r="872">
          <cell r="T872">
            <v>288985</v>
          </cell>
          <cell r="AX872" t="str">
            <v>Correctivo</v>
          </cell>
          <cell r="AY872" t="str">
            <v>HOSPITAL EXEQUIEL GONZALEZ CORTES</v>
          </cell>
        </row>
        <row r="873">
          <cell r="T873">
            <v>368440.4</v>
          </cell>
          <cell r="AX873" t="str">
            <v>Correctivo</v>
          </cell>
          <cell r="AY873" t="str">
            <v>HOSPITAL CLINICO SAN BORJA-ARRIARAN</v>
          </cell>
        </row>
        <row r="874">
          <cell r="T874">
            <v>160135</v>
          </cell>
          <cell r="AX874" t="str">
            <v>Correctivo</v>
          </cell>
          <cell r="AY874" t="str">
            <v>HOSPITAL BARROS LUCO TRUDEAU</v>
          </cell>
        </row>
        <row r="875">
          <cell r="T875">
            <v>227592</v>
          </cell>
          <cell r="AX875" t="str">
            <v>Correctivo</v>
          </cell>
          <cell r="AY875" t="str">
            <v>HOSPITAL EXEQUIEL GONZALEZ CORTES</v>
          </cell>
        </row>
        <row r="876">
          <cell r="T876">
            <v>42156</v>
          </cell>
          <cell r="AX876" t="str">
            <v>Correctivo</v>
          </cell>
          <cell r="AY876">
            <v>0</v>
          </cell>
        </row>
        <row r="877">
          <cell r="T877">
            <v>80800</v>
          </cell>
          <cell r="AX877" t="str">
            <v>Correctivo</v>
          </cell>
          <cell r="AY877">
            <v>0</v>
          </cell>
        </row>
        <row r="878">
          <cell r="T878">
            <v>80800</v>
          </cell>
          <cell r="AX878" t="str">
            <v>Correctivo</v>
          </cell>
          <cell r="AY878">
            <v>0</v>
          </cell>
        </row>
        <row r="879">
          <cell r="T879">
            <v>269973</v>
          </cell>
          <cell r="AX879" t="str">
            <v>Correctivo</v>
          </cell>
          <cell r="AY879">
            <v>0</v>
          </cell>
        </row>
        <row r="880">
          <cell r="T880">
            <v>15759</v>
          </cell>
          <cell r="AX880" t="str">
            <v>Correctivo</v>
          </cell>
          <cell r="AY880">
            <v>0</v>
          </cell>
        </row>
        <row r="881">
          <cell r="T881">
            <v>15759</v>
          </cell>
          <cell r="AX881" t="str">
            <v>Correctivo</v>
          </cell>
          <cell r="AY881">
            <v>0</v>
          </cell>
        </row>
        <row r="882">
          <cell r="T882">
            <v>93200</v>
          </cell>
          <cell r="AX882" t="str">
            <v>Correctivo</v>
          </cell>
          <cell r="AY882" t="str">
            <v>HOSPITAL EXEQUIEL GONZALEZ CORTES</v>
          </cell>
        </row>
        <row r="883">
          <cell r="T883">
            <v>140000</v>
          </cell>
          <cell r="AX883" t="str">
            <v>Correctivo</v>
          </cell>
          <cell r="AY883" t="str">
            <v>HOSPITAL SAN JOSÉ</v>
          </cell>
        </row>
        <row r="884">
          <cell r="T884">
            <v>140000</v>
          </cell>
          <cell r="AX884" t="str">
            <v>Correctivo</v>
          </cell>
          <cell r="AY884" t="str">
            <v>HOSPITAL SAN JOSÉ</v>
          </cell>
        </row>
        <row r="885">
          <cell r="T885">
            <v>400000</v>
          </cell>
          <cell r="AX885" t="str">
            <v>Correctivo</v>
          </cell>
          <cell r="AY885" t="str">
            <v>HOSPITAL DE PUERTO MONTT</v>
          </cell>
        </row>
        <row r="886">
          <cell r="T886">
            <v>4990000</v>
          </cell>
          <cell r="AX886" t="str">
            <v>Correctivo</v>
          </cell>
          <cell r="AY886" t="str">
            <v>CLINICA MEDS LTDA</v>
          </cell>
        </row>
        <row r="887">
          <cell r="T887">
            <v>400000</v>
          </cell>
          <cell r="AX887" t="str">
            <v>Correctivo</v>
          </cell>
          <cell r="AY887" t="str">
            <v>HOSPITAL METROPOLITANO DE SANTIAGO</v>
          </cell>
        </row>
        <row r="888">
          <cell r="T888">
            <v>765600</v>
          </cell>
          <cell r="AX888" t="str">
            <v>Correctivo</v>
          </cell>
          <cell r="AY888" t="str">
            <v>HOSPITAL SAN PABLO DE COQUIMBO</v>
          </cell>
        </row>
        <row r="889">
          <cell r="T889">
            <v>1241333</v>
          </cell>
          <cell r="AX889" t="str">
            <v>Correctivo</v>
          </cell>
          <cell r="AY889" t="str">
            <v>HOSPITAL SAN PABLO DE COQUIMBO</v>
          </cell>
        </row>
        <row r="890">
          <cell r="T890">
            <v>400000</v>
          </cell>
          <cell r="AX890" t="str">
            <v>Correctivo</v>
          </cell>
          <cell r="AY890" t="str">
            <v>HOSPITAL METROPOLITANO DE SANTIAGO</v>
          </cell>
        </row>
        <row r="891">
          <cell r="T891">
            <v>194955</v>
          </cell>
          <cell r="AX891" t="str">
            <v>Correctivo</v>
          </cell>
          <cell r="AY891">
            <v>0</v>
          </cell>
        </row>
        <row r="892">
          <cell r="T892">
            <v>400000</v>
          </cell>
          <cell r="AX892" t="str">
            <v>Correctivo</v>
          </cell>
          <cell r="AY892" t="str">
            <v>HOSPITAL DE PUERTO MONTT</v>
          </cell>
        </row>
        <row r="893">
          <cell r="T893">
            <v>73188</v>
          </cell>
          <cell r="AX893" t="str">
            <v>Correctivo</v>
          </cell>
          <cell r="AY893" t="str">
            <v>HOSPITAL BARROS LUCO TRUDEAU</v>
          </cell>
        </row>
        <row r="894">
          <cell r="T894">
            <v>163188</v>
          </cell>
          <cell r="AX894" t="str">
            <v>Preventivo</v>
          </cell>
          <cell r="AY894" t="str">
            <v>HOSPITAL CLINICO HERMINDA MARTIN CHILLAN</v>
          </cell>
        </row>
        <row r="895">
          <cell r="T895">
            <v>73188</v>
          </cell>
          <cell r="AX895" t="str">
            <v>Correctivo</v>
          </cell>
          <cell r="AY895" t="str">
            <v>HOSPITAL CLINICO HERMINDA MARTIN CHILLAN</v>
          </cell>
        </row>
        <row r="896">
          <cell r="T896">
            <v>73188</v>
          </cell>
          <cell r="AX896" t="str">
            <v>Correctivo</v>
          </cell>
          <cell r="AY896" t="str">
            <v>HOSPITAL CLINICO HERMINDA MARTIN CHILLAN</v>
          </cell>
        </row>
        <row r="897">
          <cell r="T897">
            <v>515550</v>
          </cell>
          <cell r="AX897" t="str">
            <v>Correctivo</v>
          </cell>
          <cell r="AY897" t="str">
            <v>INSUMOS Y SERVICIOS MEDICOS S.A.</v>
          </cell>
        </row>
        <row r="898">
          <cell r="T898">
            <v>68620</v>
          </cell>
          <cell r="AX898" t="str">
            <v>Correctivo</v>
          </cell>
          <cell r="AY898" t="str">
            <v>INSUMOS Y SERVICIOS MEDICOS S.A.</v>
          </cell>
        </row>
        <row r="899">
          <cell r="T899">
            <v>26052</v>
          </cell>
          <cell r="AX899" t="str">
            <v>Correctivo</v>
          </cell>
          <cell r="AY899" t="str">
            <v>HOSPITAL BARROS LUCO TRUDEAU</v>
          </cell>
        </row>
        <row r="900">
          <cell r="T900">
            <v>20040</v>
          </cell>
          <cell r="AX900" t="str">
            <v>Correctivo</v>
          </cell>
          <cell r="AY900" t="str">
            <v>HOSPITAL BARROS LUCO TRUDEAU</v>
          </cell>
        </row>
        <row r="901">
          <cell r="T901">
            <v>20040</v>
          </cell>
          <cell r="AX901" t="str">
            <v>Correctivo</v>
          </cell>
          <cell r="AY901" t="str">
            <v>HOSPITAL BARROS LUCO TRUDEAU</v>
          </cell>
        </row>
        <row r="902">
          <cell r="T902">
            <v>130260</v>
          </cell>
          <cell r="AX902" t="str">
            <v>Correctivo</v>
          </cell>
          <cell r="AY902" t="str">
            <v>HOSPITAL BARROS LUCO TRUDEAU</v>
          </cell>
        </row>
        <row r="903">
          <cell r="T903">
            <v>49994</v>
          </cell>
          <cell r="AX903" t="str">
            <v>Correctivo</v>
          </cell>
          <cell r="AY903">
            <v>0</v>
          </cell>
        </row>
        <row r="904">
          <cell r="T904">
            <v>352500</v>
          </cell>
          <cell r="AX904" t="str">
            <v>Correctivo</v>
          </cell>
          <cell r="AY904" t="str">
            <v>HOSPITAL VICTOR RIOS RUIZ</v>
          </cell>
        </row>
        <row r="905">
          <cell r="T905">
            <v>352500</v>
          </cell>
          <cell r="AX905" t="str">
            <v>Correctivo</v>
          </cell>
          <cell r="AY905" t="str">
            <v>HOSPITAL VICTOR RIOS RUIZ</v>
          </cell>
        </row>
        <row r="906">
          <cell r="T906">
            <v>91854</v>
          </cell>
          <cell r="AX906" t="str">
            <v>Correctivo</v>
          </cell>
          <cell r="AY906">
            <v>0</v>
          </cell>
        </row>
        <row r="907">
          <cell r="T907">
            <v>102788</v>
          </cell>
          <cell r="AX907" t="str">
            <v>Correctivo</v>
          </cell>
          <cell r="AY907">
            <v>0</v>
          </cell>
        </row>
        <row r="908">
          <cell r="T908">
            <v>205576</v>
          </cell>
          <cell r="AX908" t="str">
            <v>Correctivo</v>
          </cell>
          <cell r="AY908">
            <v>0</v>
          </cell>
        </row>
        <row r="909">
          <cell r="T909">
            <v>205576</v>
          </cell>
          <cell r="AX909" t="str">
            <v>Correctivo</v>
          </cell>
          <cell r="AY909">
            <v>0</v>
          </cell>
        </row>
        <row r="910">
          <cell r="T910">
            <v>102788</v>
          </cell>
          <cell r="AX910" t="str">
            <v>Correctivo</v>
          </cell>
          <cell r="AY910" t="str">
            <v>SERV DE SALUD BÍO BÍO - HOSPITAL DE HUEPIL</v>
          </cell>
        </row>
        <row r="911">
          <cell r="T911">
            <v>152219</v>
          </cell>
          <cell r="AX911" t="str">
            <v>Correctivo</v>
          </cell>
          <cell r="AY911">
            <v>0</v>
          </cell>
        </row>
        <row r="912">
          <cell r="T912">
            <v>152219</v>
          </cell>
          <cell r="AX912" t="str">
            <v>Correctivo</v>
          </cell>
          <cell r="AY912" t="str">
            <v>UC CHRISTUS SERVICIOS AMBULATORIOS SPA</v>
          </cell>
        </row>
        <row r="913">
          <cell r="T913">
            <v>152219</v>
          </cell>
          <cell r="AX913" t="str">
            <v>Correctivo</v>
          </cell>
          <cell r="AY913" t="str">
            <v>SERV DE SALUD BÍO BÍO - HOSPITAL DE HUEPIL</v>
          </cell>
        </row>
        <row r="914">
          <cell r="T914">
            <v>152219</v>
          </cell>
          <cell r="AX914" t="str">
            <v>Correctivo</v>
          </cell>
          <cell r="AY914" t="str">
            <v>SERV DE SALUD BÍO BÍO - HOSPITAL DE HUEPIL</v>
          </cell>
        </row>
        <row r="915">
          <cell r="T915">
            <v>152219</v>
          </cell>
          <cell r="AX915" t="str">
            <v>Correctivo</v>
          </cell>
          <cell r="AY915" t="str">
            <v>SERV DE SALUD BÍO BÍO - HOSPITAL DE HUEPIL</v>
          </cell>
        </row>
        <row r="916">
          <cell r="T916">
            <v>152219</v>
          </cell>
          <cell r="AX916" t="str">
            <v>Correctivo</v>
          </cell>
          <cell r="AY916" t="str">
            <v>SERV DE SALUD BÍO BÍO - HOSPITAL DE HUEPIL</v>
          </cell>
        </row>
        <row r="917">
          <cell r="T917">
            <v>152219</v>
          </cell>
          <cell r="AX917" t="str">
            <v>Correctivo</v>
          </cell>
          <cell r="AY917">
            <v>0</v>
          </cell>
        </row>
        <row r="918">
          <cell r="T918">
            <v>152219</v>
          </cell>
          <cell r="AX918" t="str">
            <v>Correctivo</v>
          </cell>
          <cell r="AY918" t="str">
            <v>UC CHRISTUS SERVICIOS AMBULATORIOS SPA</v>
          </cell>
        </row>
        <row r="919">
          <cell r="T919">
            <v>152219</v>
          </cell>
          <cell r="AX919" t="str">
            <v>Preventivo</v>
          </cell>
          <cell r="AY919" t="str">
            <v>SERV DE SALUD BÍO BÍO - HOSPITAL DE HUEPIL</v>
          </cell>
        </row>
        <row r="920">
          <cell r="T920">
            <v>152219</v>
          </cell>
          <cell r="AX920" t="str">
            <v>Preventivo</v>
          </cell>
          <cell r="AY920" t="str">
            <v>SERV DE SALUD BÍO BÍO - HOSPITAL DE HUEPIL</v>
          </cell>
        </row>
        <row r="921">
          <cell r="T921">
            <v>152219</v>
          </cell>
          <cell r="AX921" t="str">
            <v>Correctivo</v>
          </cell>
          <cell r="AY921" t="str">
            <v>UC CHRISTUS SERVICIOS AMBULATORIOS SPA</v>
          </cell>
        </row>
        <row r="922">
          <cell r="T922">
            <v>25823</v>
          </cell>
          <cell r="AX922" t="str">
            <v>Correctivo</v>
          </cell>
          <cell r="AY922" t="str">
            <v>UC CHRISTUS SERVICIOS AMBULATORIOS SPA</v>
          </cell>
        </row>
        <row r="923">
          <cell r="T923">
            <v>25823</v>
          </cell>
          <cell r="AX923" t="str">
            <v>Correctivo</v>
          </cell>
          <cell r="AY923" t="str">
            <v>UC CHRISTUS SERVICIOS AMBULATORIOS SPA</v>
          </cell>
        </row>
        <row r="924">
          <cell r="T924">
            <v>25823</v>
          </cell>
          <cell r="AX924" t="str">
            <v>Correctivo</v>
          </cell>
          <cell r="AY924" t="str">
            <v>UC CHRISTUS SERVICIOS AMBULATORIOS SPA</v>
          </cell>
        </row>
        <row r="925">
          <cell r="T925">
            <v>25823</v>
          </cell>
          <cell r="AX925" t="str">
            <v>Correctivo</v>
          </cell>
          <cell r="AY925" t="str">
            <v>UC CHRISTUS SERVICIOS AMBULATORIOS SPA</v>
          </cell>
        </row>
        <row r="926">
          <cell r="T926">
            <v>139692</v>
          </cell>
          <cell r="AX926" t="str">
            <v>Correctivo</v>
          </cell>
          <cell r="AY926" t="str">
            <v>SERV DE SALUD BÍO BÍO - HOSPITAL DE HUEPIL</v>
          </cell>
        </row>
        <row r="927">
          <cell r="T927">
            <v>139692</v>
          </cell>
          <cell r="AX927" t="str">
            <v>Correctivo</v>
          </cell>
          <cell r="AY927" t="str">
            <v>SERV DE SALUD BÍO BÍO - HOSPITAL DE HUEPIL</v>
          </cell>
        </row>
        <row r="928">
          <cell r="T928">
            <v>139692</v>
          </cell>
          <cell r="AX928" t="str">
            <v>Correctivo</v>
          </cell>
          <cell r="AY928">
            <v>0</v>
          </cell>
        </row>
        <row r="929">
          <cell r="T929">
            <v>139692</v>
          </cell>
          <cell r="AX929" t="str">
            <v>Correctivo</v>
          </cell>
          <cell r="AY929">
            <v>0</v>
          </cell>
        </row>
        <row r="930">
          <cell r="T930">
            <v>139692</v>
          </cell>
          <cell r="AX930" t="str">
            <v>Correctivo</v>
          </cell>
          <cell r="AY930">
            <v>0</v>
          </cell>
        </row>
        <row r="931">
          <cell r="T931">
            <v>139692</v>
          </cell>
          <cell r="AX931" t="str">
            <v>Correctivo</v>
          </cell>
          <cell r="AY931">
            <v>0</v>
          </cell>
        </row>
        <row r="932">
          <cell r="T932">
            <v>139692</v>
          </cell>
          <cell r="AX932" t="str">
            <v>Correctivo</v>
          </cell>
          <cell r="AY932" t="str">
            <v>SERV DE SALUD BÍO BÍO - HOSPITAL DE HUEPIL</v>
          </cell>
        </row>
        <row r="933">
          <cell r="T933">
            <v>139692</v>
          </cell>
          <cell r="AX933" t="str">
            <v>Correctivo</v>
          </cell>
          <cell r="AY933">
            <v>0</v>
          </cell>
        </row>
        <row r="934">
          <cell r="T934">
            <v>59620</v>
          </cell>
          <cell r="AX934" t="str">
            <v>Correctivo</v>
          </cell>
          <cell r="AY934" t="str">
            <v>UC CHRISTUS SERVICIOS AMBULATORIOS SPA</v>
          </cell>
        </row>
        <row r="935">
          <cell r="T935">
            <v>33374</v>
          </cell>
          <cell r="AX935" t="str">
            <v>Correctivo</v>
          </cell>
          <cell r="AY935" t="str">
            <v>UC CHRISTUS SERVICIOS AMBULATORIOS SPA</v>
          </cell>
        </row>
        <row r="936">
          <cell r="T936">
            <v>33374</v>
          </cell>
          <cell r="AX936" t="str">
            <v>Correctivo</v>
          </cell>
          <cell r="AY936" t="str">
            <v>UC CHRISTUS SERVICIOS AMBULATORIOS SPA</v>
          </cell>
        </row>
        <row r="937">
          <cell r="T937">
            <v>33374</v>
          </cell>
          <cell r="AX937" t="str">
            <v>Correctivo</v>
          </cell>
          <cell r="AY937" t="str">
            <v>UC CHRISTUS SERVICIOS AMBULATORIOS SPA</v>
          </cell>
        </row>
        <row r="938">
          <cell r="T938">
            <v>33374</v>
          </cell>
          <cell r="AX938" t="str">
            <v>Correctivo</v>
          </cell>
          <cell r="AY938" t="str">
            <v>UC CHRISTUS SERVICIOS AMBULATORIOS SPA</v>
          </cell>
        </row>
        <row r="939">
          <cell r="T939">
            <v>59366</v>
          </cell>
          <cell r="AX939" t="str">
            <v>Correctivo</v>
          </cell>
          <cell r="AY939">
            <v>0</v>
          </cell>
        </row>
        <row r="940">
          <cell r="T940">
            <v>59366</v>
          </cell>
          <cell r="AX940" t="str">
            <v>Correctivo</v>
          </cell>
          <cell r="AY940">
            <v>0</v>
          </cell>
        </row>
        <row r="941">
          <cell r="T941">
            <v>15666</v>
          </cell>
          <cell r="AX941" t="str">
            <v>Correctivo</v>
          </cell>
          <cell r="AY941" t="str">
            <v>HOSPITAL BARROS LUCO TRUDEAU</v>
          </cell>
        </row>
        <row r="942">
          <cell r="T942">
            <v>15666</v>
          </cell>
          <cell r="AX942" t="str">
            <v>Correctivo</v>
          </cell>
          <cell r="AY942" t="str">
            <v>HOSPITAL BARROS LUCO TRUDEAU</v>
          </cell>
        </row>
        <row r="943">
          <cell r="T943">
            <v>159438</v>
          </cell>
          <cell r="AX943" t="str">
            <v>Correctivo</v>
          </cell>
          <cell r="AY943" t="str">
            <v>SERV DE SALUD BÍO BÍO - HOSPITAL DE HUEPIL</v>
          </cell>
        </row>
        <row r="944">
          <cell r="T944">
            <v>9720</v>
          </cell>
          <cell r="AX944" t="str">
            <v>Correctivo</v>
          </cell>
          <cell r="AY944" t="str">
            <v>HOSPITAL BARROS LUCO TRUDEAU</v>
          </cell>
        </row>
        <row r="945">
          <cell r="T945">
            <v>145111</v>
          </cell>
          <cell r="AX945" t="str">
            <v>Correctivo</v>
          </cell>
          <cell r="AY945" t="str">
            <v>SERV DE SALUD BÍO BÍO - HOSPITAL DE HUEPIL</v>
          </cell>
        </row>
        <row r="946">
          <cell r="T946">
            <v>89837</v>
          </cell>
          <cell r="AX946" t="str">
            <v>Correctivo</v>
          </cell>
          <cell r="AY946" t="str">
            <v>SERV DE SALUD BÍO BÍO - HOSPITAL DE HUEPIL</v>
          </cell>
        </row>
        <row r="947">
          <cell r="T947">
            <v>89837</v>
          </cell>
          <cell r="AX947" t="str">
            <v>Correctivo</v>
          </cell>
          <cell r="AY947" t="str">
            <v>UC CHRISTUS SERVICIOS AMBULATORIOS SPA</v>
          </cell>
        </row>
        <row r="948">
          <cell r="T948">
            <v>89837</v>
          </cell>
          <cell r="AX948" t="str">
            <v>Correctivo</v>
          </cell>
          <cell r="AY948" t="str">
            <v>UC CHRISTUS SERVICIOS AMBULATORIOS SPA</v>
          </cell>
        </row>
        <row r="949">
          <cell r="T949">
            <v>89837</v>
          </cell>
          <cell r="AX949" t="str">
            <v>Correctivo</v>
          </cell>
          <cell r="AY949" t="str">
            <v>UC CHRISTUS SERVICIOS AMBULATORIOS SPA</v>
          </cell>
        </row>
        <row r="950">
          <cell r="T950">
            <v>89837</v>
          </cell>
          <cell r="AX950" t="str">
            <v>Correctivo</v>
          </cell>
          <cell r="AY950" t="str">
            <v>UC CHRISTUS SERVICIOS AMBULATORIOS SPA</v>
          </cell>
        </row>
        <row r="951">
          <cell r="T951">
            <v>186913</v>
          </cell>
          <cell r="AX951" t="str">
            <v>Correctivo</v>
          </cell>
          <cell r="AY951" t="str">
            <v>INSUMOS Y SERVICIOS MEDICOS S.A.</v>
          </cell>
        </row>
        <row r="952">
          <cell r="T952">
            <v>65416</v>
          </cell>
          <cell r="AX952" t="str">
            <v>Correctivo</v>
          </cell>
          <cell r="AY952" t="str">
            <v>INSUMOS Y SERVICIOS MEDICOS S.A.</v>
          </cell>
        </row>
        <row r="953">
          <cell r="T953">
            <v>32708</v>
          </cell>
          <cell r="AX953" t="str">
            <v>Correctivo</v>
          </cell>
          <cell r="AY953" t="str">
            <v>INSUMOS Y SERVICIOS MEDICOS S.A.</v>
          </cell>
        </row>
        <row r="954">
          <cell r="T954">
            <v>44010</v>
          </cell>
          <cell r="AX954" t="str">
            <v>Correctivo</v>
          </cell>
          <cell r="AY954" t="str">
            <v>HOSPITAL DR. LUIS TISNE B.</v>
          </cell>
        </row>
        <row r="955">
          <cell r="T955">
            <v>449190</v>
          </cell>
          <cell r="AX955" t="str">
            <v>Correctivo</v>
          </cell>
          <cell r="AY955">
            <v>0</v>
          </cell>
        </row>
        <row r="956">
          <cell r="T956">
            <v>449190</v>
          </cell>
          <cell r="AX956" t="str">
            <v>Correctivo</v>
          </cell>
          <cell r="AY956">
            <v>0</v>
          </cell>
        </row>
        <row r="957">
          <cell r="T957">
            <v>669900</v>
          </cell>
          <cell r="AX957" t="str">
            <v>Preventivo</v>
          </cell>
          <cell r="AY957" t="str">
            <v>INSUMOS Y SERVICIOS MEDICOS S.A.</v>
          </cell>
        </row>
        <row r="958">
          <cell r="T958">
            <v>74007</v>
          </cell>
          <cell r="AX958" t="str">
            <v>Correctivo</v>
          </cell>
          <cell r="AY958" t="str">
            <v>UC CHRISTUS SERVICIOS AMBULATORIOS SPA</v>
          </cell>
        </row>
        <row r="959">
          <cell r="T959">
            <v>977984</v>
          </cell>
          <cell r="AX959" t="str">
            <v>Correctivo</v>
          </cell>
          <cell r="AY959" t="str">
            <v>HOSPITAL CLINICO DE LA FUERZA AEREA FACH GRAL DR RAUL YAZIGI JAUREGUI</v>
          </cell>
        </row>
        <row r="960">
          <cell r="T960">
            <v>462398</v>
          </cell>
          <cell r="AX960" t="str">
            <v>Correctivo</v>
          </cell>
          <cell r="AY960" t="str">
            <v>HOSPITAL EXEQUIEL GONZALEZ CORTES</v>
          </cell>
        </row>
        <row r="961">
          <cell r="T961">
            <v>397320</v>
          </cell>
          <cell r="AX961" t="str">
            <v>Correctivo</v>
          </cell>
          <cell r="AY961" t="str">
            <v>HOSPITAL DE PURRANQUE</v>
          </cell>
        </row>
        <row r="962">
          <cell r="T962">
            <v>319434</v>
          </cell>
          <cell r="AX962" t="str">
            <v>Correctivo</v>
          </cell>
          <cell r="AY962" t="str">
            <v>HOSPITAL DE YUMBEL</v>
          </cell>
        </row>
        <row r="963">
          <cell r="T963">
            <v>903000</v>
          </cell>
          <cell r="AX963" t="str">
            <v>Correctivo</v>
          </cell>
          <cell r="AY963" t="str">
            <v>HOSPITAL CLINICO DE LA FUERZA AEREA FACH GRAL DR RAUL YAZIGI JAUREGUI</v>
          </cell>
        </row>
        <row r="964">
          <cell r="T964">
            <v>462398</v>
          </cell>
          <cell r="AX964" t="str">
            <v>Correctivo</v>
          </cell>
          <cell r="AY964" t="str">
            <v>HOSPITAL EXEQUIEL GONZALEZ CORTES</v>
          </cell>
        </row>
        <row r="965">
          <cell r="T965">
            <v>382810</v>
          </cell>
          <cell r="AX965" t="str">
            <v>Correctivo</v>
          </cell>
          <cell r="AY965" t="str">
            <v>HOSPITAL EXEQUIEL GONZALEZ CORTES</v>
          </cell>
        </row>
        <row r="966">
          <cell r="T966">
            <v>451500</v>
          </cell>
          <cell r="AX966" t="str">
            <v>Correctivo</v>
          </cell>
          <cell r="AY966" t="str">
            <v>HOSPITAL CLINICO DE LA FUERZA AEREA FACH GRAL DR RAUL YAZIGI JAUREGUI</v>
          </cell>
        </row>
        <row r="967">
          <cell r="T967">
            <v>158225</v>
          </cell>
          <cell r="AX967" t="str">
            <v>Correctivo</v>
          </cell>
          <cell r="AY967" t="str">
            <v>HOSPITAL DE YUMBEL</v>
          </cell>
        </row>
        <row r="968">
          <cell r="T968">
            <v>195408</v>
          </cell>
          <cell r="AX968" t="str">
            <v>Correctivo</v>
          </cell>
          <cell r="AY968" t="str">
            <v>HOSPITAL CLINICO SAN BORJA-ARRIARAN</v>
          </cell>
        </row>
        <row r="969">
          <cell r="T969">
            <v>377454</v>
          </cell>
          <cell r="AX969" t="str">
            <v>Correctivo</v>
          </cell>
          <cell r="AY969" t="str">
            <v>HOSPITAL CLINICO SAN BORJA-ARRIARAN</v>
          </cell>
        </row>
        <row r="970">
          <cell r="T970">
            <v>382810</v>
          </cell>
          <cell r="AX970" t="str">
            <v>Correctivo</v>
          </cell>
          <cell r="AY970" t="str">
            <v>HOSPITAL EXEQUIEL GONZALEZ CORTES</v>
          </cell>
        </row>
        <row r="971">
          <cell r="T971">
            <v>249898</v>
          </cell>
          <cell r="AX971" t="str">
            <v>Correctivo</v>
          </cell>
          <cell r="AY971">
            <v>0</v>
          </cell>
        </row>
        <row r="972">
          <cell r="T972">
            <v>716625</v>
          </cell>
          <cell r="AX972" t="str">
            <v>Correctivo</v>
          </cell>
          <cell r="AY972" t="str">
            <v>HOSPITAL SAN LUIS BUIN</v>
          </cell>
        </row>
        <row r="973">
          <cell r="T973">
            <v>490054</v>
          </cell>
          <cell r="AX973" t="str">
            <v>Correctivo</v>
          </cell>
          <cell r="AY973" t="str">
            <v>HOSPITAL CLINICO SAN BORJA-ARRIARAN</v>
          </cell>
        </row>
        <row r="974">
          <cell r="T974">
            <v>716625</v>
          </cell>
          <cell r="AX974" t="str">
            <v>Correctivo</v>
          </cell>
          <cell r="AY974" t="str">
            <v>SOCIEDAD CONCESIONARIA METROPOLITANA DE SALUD S.A.</v>
          </cell>
        </row>
        <row r="975">
          <cell r="T975">
            <v>630630</v>
          </cell>
          <cell r="AX975" t="str">
            <v>Preventivo</v>
          </cell>
          <cell r="AY975" t="str">
            <v>INSUMOS Y SERVICIOS MEDICOS S.A.</v>
          </cell>
        </row>
        <row r="976">
          <cell r="T976">
            <v>716625</v>
          </cell>
          <cell r="AX976" t="str">
            <v>Correctivo</v>
          </cell>
          <cell r="AY976" t="str">
            <v>INSUMOS Y SERVICIOS MEDICOS S.A.</v>
          </cell>
        </row>
        <row r="977">
          <cell r="T977">
            <v>630630</v>
          </cell>
          <cell r="AX977" t="str">
            <v>Correctivo</v>
          </cell>
          <cell r="AY977" t="str">
            <v>COMPLEJO ASISTENCIAL DR.SOTERO DEL RIO</v>
          </cell>
        </row>
        <row r="978">
          <cell r="T978">
            <v>716625</v>
          </cell>
          <cell r="AX978" t="str">
            <v>Correctivo</v>
          </cell>
          <cell r="AY978" t="str">
            <v>HOSPITAL DEL SALVADOR</v>
          </cell>
        </row>
        <row r="979">
          <cell r="T979">
            <v>716625</v>
          </cell>
          <cell r="AX979" t="str">
            <v>Correctivo</v>
          </cell>
          <cell r="AY979" t="str">
            <v>HOSPITAL DEL SALVADOR</v>
          </cell>
        </row>
        <row r="980">
          <cell r="T980">
            <v>716625</v>
          </cell>
          <cell r="AX980" t="str">
            <v>Correctivo</v>
          </cell>
          <cell r="AY980" t="str">
            <v>HOSPITAL DEL SALVADOR</v>
          </cell>
        </row>
        <row r="981">
          <cell r="T981">
            <v>716625</v>
          </cell>
          <cell r="AX981" t="str">
            <v>Correctivo</v>
          </cell>
          <cell r="AY981" t="str">
            <v>HOSPITAL DEL SALVADOR</v>
          </cell>
        </row>
        <row r="982">
          <cell r="T982">
            <v>1084125</v>
          </cell>
          <cell r="AX982" t="str">
            <v>Correctivo</v>
          </cell>
          <cell r="AY982" t="str">
            <v>INSUMOS Y SERVICIOS MEDICOS S.A.</v>
          </cell>
        </row>
        <row r="983">
          <cell r="T983">
            <v>596038</v>
          </cell>
          <cell r="AX983" t="str">
            <v>Correctivo</v>
          </cell>
          <cell r="AY983" t="str">
            <v>INSUMOS Y SERVICIOS MEDICOS S.A.</v>
          </cell>
        </row>
        <row r="984">
          <cell r="T984">
            <v>212987</v>
          </cell>
          <cell r="AX984" t="str">
            <v>Correctivo</v>
          </cell>
          <cell r="AY984" t="str">
            <v>INSUMOS Y SERVICIOS MEDICOS S.A.</v>
          </cell>
        </row>
        <row r="985">
          <cell r="T985">
            <v>212987</v>
          </cell>
          <cell r="AX985" t="str">
            <v>Correctivo</v>
          </cell>
          <cell r="AY985" t="str">
            <v>INSUMOS Y SERVICIOS MEDICOS S.A.</v>
          </cell>
        </row>
        <row r="986">
          <cell r="T986">
            <v>157395</v>
          </cell>
          <cell r="AX986" t="str">
            <v>Correctivo</v>
          </cell>
          <cell r="AY986" t="str">
            <v>INSUMOS Y SERVICIOS MEDICOS S.A.</v>
          </cell>
        </row>
        <row r="987">
          <cell r="T987">
            <v>157395</v>
          </cell>
          <cell r="AX987" t="str">
            <v>Correctivo</v>
          </cell>
          <cell r="AY987" t="str">
            <v>HOSPITAL DEL SALVADOR</v>
          </cell>
        </row>
        <row r="988">
          <cell r="T988">
            <v>157395</v>
          </cell>
          <cell r="AX988" t="str">
            <v>Correctivo</v>
          </cell>
          <cell r="AY988" t="str">
            <v>HOSPITAL DEL SALVADOR</v>
          </cell>
        </row>
        <row r="989">
          <cell r="T989">
            <v>17588</v>
          </cell>
          <cell r="AX989" t="str">
            <v>Correctivo</v>
          </cell>
          <cell r="AY989" t="str">
            <v>INSUMOS Y SERVICIOS MEDICOS S.A.</v>
          </cell>
        </row>
        <row r="990">
          <cell r="T990">
            <v>37422</v>
          </cell>
          <cell r="AX990" t="str">
            <v>Correctivo</v>
          </cell>
          <cell r="AY990" t="str">
            <v>INSUMOS Y SERVICIOS MEDICOS S.A.</v>
          </cell>
        </row>
        <row r="991">
          <cell r="T991">
            <v>60368</v>
          </cell>
          <cell r="AX991" t="str">
            <v>Correctivo</v>
          </cell>
          <cell r="AY991" t="str">
            <v>HOSPITAL EXEQUIEL GONZALEZ CORTES</v>
          </cell>
        </row>
        <row r="992">
          <cell r="T992">
            <v>39270</v>
          </cell>
          <cell r="AX992" t="str">
            <v>Correctivo</v>
          </cell>
          <cell r="AY992" t="str">
            <v>INSUMOS Y SERVICIOS MEDICOS S.A.</v>
          </cell>
        </row>
        <row r="993">
          <cell r="T993">
            <v>1108800</v>
          </cell>
          <cell r="AX993" t="str">
            <v>Correctivo</v>
          </cell>
          <cell r="AY993" t="str">
            <v>HOSPITAL DE PUERTO AYSEN</v>
          </cell>
        </row>
        <row r="994">
          <cell r="T994">
            <v>1108800</v>
          </cell>
          <cell r="AX994" t="str">
            <v>Correctivo</v>
          </cell>
          <cell r="AY994" t="str">
            <v>HOSPITAL DE PUERTO AYSEN</v>
          </cell>
        </row>
        <row r="995">
          <cell r="T995">
            <v>288629</v>
          </cell>
          <cell r="AX995" t="str">
            <v>Correctivo</v>
          </cell>
          <cell r="AY995">
            <v>0</v>
          </cell>
        </row>
        <row r="996">
          <cell r="T996">
            <v>288628</v>
          </cell>
          <cell r="AX996" t="str">
            <v>Correctivo</v>
          </cell>
          <cell r="AY996">
            <v>0</v>
          </cell>
        </row>
        <row r="997">
          <cell r="T997">
            <v>1260000</v>
          </cell>
          <cell r="AX997" t="str">
            <v>Correctivo</v>
          </cell>
          <cell r="AY997" t="str">
            <v>INSUMOS Y SERVICIOS MEDICOS S.A.</v>
          </cell>
        </row>
        <row r="998">
          <cell r="T998">
            <v>630000</v>
          </cell>
          <cell r="AX998" t="str">
            <v>Correctivo</v>
          </cell>
          <cell r="AY998" t="str">
            <v>INSUMOS Y SERVICIOS MEDICOS S.A.</v>
          </cell>
        </row>
        <row r="999">
          <cell r="T999">
            <v>58196</v>
          </cell>
          <cell r="AX999" t="str">
            <v>Correctivo</v>
          </cell>
          <cell r="AY999" t="str">
            <v>SOCIEDAD CONCESIONARIA METROPOLITANA DE SALUD S.A.</v>
          </cell>
        </row>
        <row r="1000">
          <cell r="T1000">
            <v>58196</v>
          </cell>
          <cell r="AX1000" t="str">
            <v>Correctivo</v>
          </cell>
          <cell r="AY1000" t="str">
            <v>SOCIEDAD CONCESIONARIA METROPOLITANA DE SALUD S.A.</v>
          </cell>
        </row>
        <row r="1001">
          <cell r="T1001">
            <v>150000</v>
          </cell>
          <cell r="AX1001" t="str">
            <v>Correctivo</v>
          </cell>
          <cell r="AY1001" t="str">
            <v>HOSPITAL CARLOS VAN BUREN</v>
          </cell>
        </row>
        <row r="1002">
          <cell r="T1002">
            <v>49845</v>
          </cell>
          <cell r="AX1002" t="str">
            <v>Correctivo</v>
          </cell>
          <cell r="AY1002" t="str">
            <v>INSUMOS Y SERVICIOS MEDICOS S.A.</v>
          </cell>
        </row>
        <row r="1003">
          <cell r="T1003">
            <v>58196</v>
          </cell>
          <cell r="AX1003" t="str">
            <v>Correctivo</v>
          </cell>
          <cell r="AY1003" t="str">
            <v>HOSPITAL SAN LUIS BUIN</v>
          </cell>
        </row>
        <row r="1004">
          <cell r="T1004">
            <v>150000</v>
          </cell>
          <cell r="AX1004" t="str">
            <v>Correctivo</v>
          </cell>
          <cell r="AY1004" t="str">
            <v>HOSPITAL CARLOS VAN BUREN</v>
          </cell>
        </row>
        <row r="1005">
          <cell r="T1005">
            <v>58196</v>
          </cell>
          <cell r="AX1005" t="str">
            <v>Correctivo</v>
          </cell>
          <cell r="AY1005" t="str">
            <v>INSUMOS Y SERVICIOS MEDICOS S.A.</v>
          </cell>
        </row>
        <row r="1006">
          <cell r="T1006">
            <v>487964</v>
          </cell>
          <cell r="AX1006" t="str">
            <v>Correctivo</v>
          </cell>
          <cell r="AY1006" t="str">
            <v>HOSPITAL EXEQUIEL GONZALEZ CORTES</v>
          </cell>
        </row>
        <row r="1007">
          <cell r="T1007">
            <v>124613</v>
          </cell>
          <cell r="AX1007" t="str">
            <v>Correctivo</v>
          </cell>
          <cell r="AY1007" t="str">
            <v>HOSPITAL SAN LUIS BUIN</v>
          </cell>
        </row>
        <row r="1008">
          <cell r="T1008">
            <v>49845</v>
          </cell>
          <cell r="AX1008" t="str">
            <v>Correctivo</v>
          </cell>
          <cell r="AY1008" t="str">
            <v>HOSPITAL SAN JOSÉ</v>
          </cell>
        </row>
        <row r="1009">
          <cell r="T1009">
            <v>90831</v>
          </cell>
          <cell r="AX1009" t="str">
            <v>Correctivo</v>
          </cell>
          <cell r="AY1009" t="str">
            <v>HOSPITAL REGIONAL DE ANTOFAGASTA</v>
          </cell>
        </row>
        <row r="1010">
          <cell r="T1010">
            <v>67394</v>
          </cell>
          <cell r="AX1010" t="str">
            <v>Correctivo</v>
          </cell>
          <cell r="AY1010" t="str">
            <v>HOSPITAL SAN PABLO DE COQUIMBO</v>
          </cell>
        </row>
        <row r="1011">
          <cell r="T1011">
            <v>246356</v>
          </cell>
          <cell r="AX1011" t="str">
            <v>Correctivo</v>
          </cell>
          <cell r="AY1011" t="str">
            <v>SOCIEDAD CONCESIONARIA METROPOLITANA DE SALUD S.A.</v>
          </cell>
        </row>
        <row r="1012">
          <cell r="T1012">
            <v>143546</v>
          </cell>
          <cell r="AX1012" t="str">
            <v>Correctivo</v>
          </cell>
          <cell r="AY1012" t="str">
            <v>INSUMOS Y SERVICIOS MEDICOS S.A.</v>
          </cell>
        </row>
        <row r="1013">
          <cell r="T1013">
            <v>189697</v>
          </cell>
          <cell r="AX1013" t="str">
            <v>Correctivo</v>
          </cell>
          <cell r="AY1013" t="str">
            <v>HOSPITAL DE PUERTO AYSEN</v>
          </cell>
        </row>
        <row r="1014">
          <cell r="T1014">
            <v>143546</v>
          </cell>
          <cell r="AX1014" t="str">
            <v>Correctivo</v>
          </cell>
          <cell r="AY1014" t="str">
            <v>HOSPITAL DE PURRANQUE</v>
          </cell>
        </row>
        <row r="1015">
          <cell r="T1015">
            <v>143546</v>
          </cell>
          <cell r="AX1015" t="str">
            <v>Correctivo</v>
          </cell>
          <cell r="AY1015" t="str">
            <v>HOSPITAL DE PURRANQUE</v>
          </cell>
        </row>
        <row r="1016">
          <cell r="T1016">
            <v>189697</v>
          </cell>
          <cell r="AX1016" t="str">
            <v>Correctivo</v>
          </cell>
          <cell r="AY1016" t="str">
            <v>HOSPITAL DE PUERTO AYSEN</v>
          </cell>
        </row>
        <row r="1017">
          <cell r="T1017">
            <v>212552</v>
          </cell>
          <cell r="AX1017" t="str">
            <v>Correctivo</v>
          </cell>
          <cell r="AY1017" t="str">
            <v>HOSPITAL CARLOS VAN BUREN</v>
          </cell>
        </row>
        <row r="1018">
          <cell r="T1018">
            <v>212552</v>
          </cell>
          <cell r="AX1018" t="str">
            <v>Correctivo</v>
          </cell>
          <cell r="AY1018" t="str">
            <v>HOSPITAL CARLOS VAN BUREN</v>
          </cell>
        </row>
        <row r="1019">
          <cell r="T1019">
            <v>215565</v>
          </cell>
          <cell r="AX1019" t="str">
            <v>Correctivo</v>
          </cell>
          <cell r="AY1019" t="str">
            <v>HOSPITAL CLINICO DE LA FUERZA AEREA FACH GRAL DR RAUL YAZIGI JAUREGUI</v>
          </cell>
        </row>
        <row r="1020">
          <cell r="T1020">
            <v>215565</v>
          </cell>
          <cell r="AX1020" t="str">
            <v>Correctivo</v>
          </cell>
          <cell r="AY1020" t="str">
            <v>SOCIEDAD CONCESIONARIA METROPOLITANA DE SALUD S.A.</v>
          </cell>
        </row>
        <row r="1021">
          <cell r="T1021">
            <v>215565</v>
          </cell>
          <cell r="AX1021" t="str">
            <v>Correctivo</v>
          </cell>
          <cell r="AY1021" t="str">
            <v>HOSPITAL CLINICO DE LA FUERZA AEREA FACH GRAL DR RAUL YAZIGI JAUREGUI</v>
          </cell>
        </row>
        <row r="1022">
          <cell r="T1022">
            <v>215565</v>
          </cell>
          <cell r="AX1022" t="str">
            <v>Preventivo</v>
          </cell>
          <cell r="AY1022" t="str">
            <v>INSUMOS Y SERVICIOS MEDICOS S.A.</v>
          </cell>
        </row>
        <row r="1023">
          <cell r="T1023">
            <v>189697</v>
          </cell>
          <cell r="AX1023" t="str">
            <v>Correctivo</v>
          </cell>
          <cell r="AY1023" t="str">
            <v>HOSPITAL DE PUERTO AYSEN</v>
          </cell>
        </row>
        <row r="1024">
          <cell r="T1024">
            <v>77622</v>
          </cell>
          <cell r="AX1024" t="str">
            <v>Correctivo</v>
          </cell>
          <cell r="AY1024" t="str">
            <v>HOSPITAL DE PURRANQUE</v>
          </cell>
        </row>
        <row r="1025">
          <cell r="T1025">
            <v>77622</v>
          </cell>
          <cell r="AX1025" t="str">
            <v>Correctivo</v>
          </cell>
          <cell r="AY1025" t="str">
            <v>HOSPITAL DE PURRANQUE</v>
          </cell>
        </row>
        <row r="1026">
          <cell r="T1026">
            <v>189697</v>
          </cell>
          <cell r="AX1026" t="str">
            <v>Correctivo</v>
          </cell>
          <cell r="AY1026" t="str">
            <v>HOSPITAL DE PUERTO AYSEN</v>
          </cell>
        </row>
        <row r="1027">
          <cell r="T1027">
            <v>215565</v>
          </cell>
          <cell r="AX1027" t="str">
            <v>Correctivo</v>
          </cell>
          <cell r="AY1027" t="str">
            <v>SOCIEDAD CONCESIONARIA METROPOLITANA DE SALUD S.A.</v>
          </cell>
        </row>
        <row r="1028">
          <cell r="T1028">
            <v>189697</v>
          </cell>
          <cell r="AX1028" t="str">
            <v>Correctivo</v>
          </cell>
          <cell r="AY1028" t="str">
            <v>HOSPITAL DE PUERTO AYSEN</v>
          </cell>
        </row>
        <row r="1029">
          <cell r="T1029">
            <v>189697</v>
          </cell>
          <cell r="AX1029" t="str">
            <v>Correctivo</v>
          </cell>
          <cell r="AY1029" t="str">
            <v>HOSPITAL DE PUERTO AYSEN</v>
          </cell>
        </row>
        <row r="1030">
          <cell r="T1030">
            <v>189697</v>
          </cell>
          <cell r="AX1030" t="str">
            <v>Correctivo</v>
          </cell>
          <cell r="AY1030" t="str">
            <v>INSUMOS Y SERVICIOS MEDICOS S.A.</v>
          </cell>
        </row>
        <row r="1031">
          <cell r="T1031">
            <v>133105</v>
          </cell>
          <cell r="AX1031" t="str">
            <v>Correctivo</v>
          </cell>
          <cell r="AY1031" t="str">
            <v>INSUMOS Y SERVICIOS MEDICOS S.A.</v>
          </cell>
        </row>
        <row r="1032">
          <cell r="T1032">
            <v>342861</v>
          </cell>
          <cell r="AX1032" t="str">
            <v>Correctivo</v>
          </cell>
          <cell r="AY1032" t="str">
            <v>HOSPITAL EXEQUIEL GONZALEZ CORTES</v>
          </cell>
        </row>
        <row r="1033">
          <cell r="T1033">
            <v>215565</v>
          </cell>
          <cell r="AX1033" t="str">
            <v>Correctivo</v>
          </cell>
          <cell r="AY1033" t="str">
            <v>HOSPITAL CLINICO DE LA FUERZA AEREA FACH GRAL DR RAUL YAZIGI JAUREGUI</v>
          </cell>
        </row>
        <row r="1034">
          <cell r="T1034">
            <v>342861</v>
          </cell>
          <cell r="AX1034" t="str">
            <v>Correctivo</v>
          </cell>
          <cell r="AY1034" t="str">
            <v>HOSPITAL EXEQUIEL GONZALEZ CORTES</v>
          </cell>
        </row>
        <row r="1035">
          <cell r="T1035">
            <v>189697</v>
          </cell>
          <cell r="AX1035" t="str">
            <v>Correctivo</v>
          </cell>
          <cell r="AY1035" t="str">
            <v>HOSPITAL DE PUERTO AYSEN</v>
          </cell>
        </row>
        <row r="1036">
          <cell r="T1036">
            <v>77964</v>
          </cell>
          <cell r="AX1036" t="str">
            <v>Correctivo</v>
          </cell>
          <cell r="AY1036" t="str">
            <v>HOSPITAL DE PURRANQUE</v>
          </cell>
        </row>
        <row r="1037">
          <cell r="T1037">
            <v>77964</v>
          </cell>
          <cell r="AX1037" t="str">
            <v>Correctivo</v>
          </cell>
          <cell r="AY1037" t="str">
            <v>HOSPITAL DE PURRANQUE</v>
          </cell>
        </row>
        <row r="1038">
          <cell r="T1038">
            <v>189697</v>
          </cell>
          <cell r="AX1038" t="str">
            <v>Correctivo</v>
          </cell>
          <cell r="AY1038" t="str">
            <v>HOSPITAL DE PUERTO AYSEN</v>
          </cell>
        </row>
        <row r="1039">
          <cell r="T1039">
            <v>215565</v>
          </cell>
          <cell r="AX1039" t="str">
            <v>Correctivo</v>
          </cell>
          <cell r="AY1039" t="str">
            <v>SOCIEDAD CONCESIONARIA METROPOLITANA DE SALUD S.A.</v>
          </cell>
        </row>
        <row r="1040">
          <cell r="T1040">
            <v>3511200</v>
          </cell>
          <cell r="AX1040" t="str">
            <v>Correctivo</v>
          </cell>
          <cell r="AY1040" t="str">
            <v>HOSPITAL CLINICO SAN BORJA-ARRIARAN</v>
          </cell>
        </row>
        <row r="1041">
          <cell r="T1041">
            <v>3696000</v>
          </cell>
          <cell r="AX1041" t="str">
            <v>Correctivo</v>
          </cell>
          <cell r="AY1041" t="str">
            <v>HOSPITAL CLINICO DE LA FUERZA AEREA FACH GRAL DR RAUL YAZIGI JAUREGUI</v>
          </cell>
        </row>
        <row r="1042">
          <cell r="T1042">
            <v>658957</v>
          </cell>
          <cell r="AX1042" t="str">
            <v>Correctivo</v>
          </cell>
          <cell r="AY1042" t="str">
            <v>INSUMOS Y SERVICIOS MEDICOS S.A.</v>
          </cell>
        </row>
        <row r="1043">
          <cell r="T1043">
            <v>3252480</v>
          </cell>
          <cell r="AX1043" t="str">
            <v>Correctivo</v>
          </cell>
          <cell r="AY1043" t="str">
            <v>SERVICIO DE SALUD OSORNO</v>
          </cell>
        </row>
        <row r="1044">
          <cell r="T1044">
            <v>8196458</v>
          </cell>
          <cell r="AX1044" t="str">
            <v>Correctivo</v>
          </cell>
          <cell r="AY1044" t="str">
            <v>HOSPITAL CLINICO SAN BORJA-ARRIARAN</v>
          </cell>
        </row>
        <row r="1045">
          <cell r="T1045">
            <v>8627850</v>
          </cell>
          <cell r="AX1045" t="str">
            <v>Correctivo</v>
          </cell>
          <cell r="AY1045" t="str">
            <v>COMPLEJO ASISTENCIAL DR.SOTERO DEL RIO</v>
          </cell>
        </row>
        <row r="1046">
          <cell r="T1046">
            <v>5898312</v>
          </cell>
          <cell r="AX1046" t="str">
            <v>Correctivo</v>
          </cell>
          <cell r="AY1046" t="str">
            <v>INSUMOS Y SERVICIOS MEDICOS S.A.</v>
          </cell>
        </row>
        <row r="1047">
          <cell r="T1047">
            <v>4611786</v>
          </cell>
          <cell r="AX1047" t="str">
            <v>Correctivo</v>
          </cell>
          <cell r="AY1047" t="str">
            <v>HOSPITAL SAN LUIS BUIN</v>
          </cell>
        </row>
        <row r="1048">
          <cell r="T1048">
            <v>9861943</v>
          </cell>
          <cell r="AX1048" t="str">
            <v>Correctivo</v>
          </cell>
          <cell r="AY1048" t="str">
            <v>SOCIEDAD CONCESIONARIA METROPOLITANA DE SALUD S.A.</v>
          </cell>
        </row>
        <row r="1049">
          <cell r="T1049">
            <v>2992629</v>
          </cell>
          <cell r="AX1049" t="str">
            <v>Correctivo</v>
          </cell>
          <cell r="AY1049" t="str">
            <v>INSUMOS Y SERVICIOS MEDICOS S.A.</v>
          </cell>
        </row>
        <row r="1050">
          <cell r="T1050">
            <v>492506</v>
          </cell>
          <cell r="AX1050" t="str">
            <v>Correctivo</v>
          </cell>
          <cell r="AY1050" t="str">
            <v>HOSPITAL SAN LUIS BUIN</v>
          </cell>
        </row>
        <row r="1051">
          <cell r="T1051">
            <v>492508</v>
          </cell>
          <cell r="AX1051" t="str">
            <v>Correctivo</v>
          </cell>
          <cell r="AY1051" t="str">
            <v>HOSPITAL DR. LUIS TISNE B.</v>
          </cell>
        </row>
        <row r="1052">
          <cell r="T1052">
            <v>492508</v>
          </cell>
          <cell r="AX1052" t="str">
            <v>Correctivo</v>
          </cell>
          <cell r="AY1052" t="str">
            <v>HOSPITAL DR. LUIS TISNE B.</v>
          </cell>
        </row>
        <row r="1053">
          <cell r="T1053">
            <v>367126</v>
          </cell>
          <cell r="AX1053" t="str">
            <v>Correctivo</v>
          </cell>
          <cell r="AY1053" t="str">
            <v>HOSPITAL DE PURRANQUE</v>
          </cell>
        </row>
        <row r="1054">
          <cell r="T1054">
            <v>332640</v>
          </cell>
          <cell r="AX1054" t="str">
            <v>Correctivo</v>
          </cell>
          <cell r="AY1054" t="str">
            <v>INSUMOS Y SERVICIOS MEDICOS S.A.</v>
          </cell>
        </row>
        <row r="1055">
          <cell r="T1055">
            <v>378000</v>
          </cell>
          <cell r="AX1055" t="str">
            <v>Correctivo</v>
          </cell>
          <cell r="AY1055" t="str">
            <v>HOSPITAL CLINICO DE LA FUERZA AEREA FACH GRAL DR RAUL YAZIGI JAUREGUI</v>
          </cell>
        </row>
        <row r="1056">
          <cell r="T1056">
            <v>378000</v>
          </cell>
          <cell r="AX1056" t="str">
            <v>Preventivo</v>
          </cell>
          <cell r="AY1056" t="str">
            <v>INSUMOS Y SERVICIOS MEDICOS S.A.</v>
          </cell>
        </row>
        <row r="1057">
          <cell r="T1057">
            <v>378000</v>
          </cell>
          <cell r="AX1057" t="str">
            <v>Correctivo</v>
          </cell>
          <cell r="AY1057" t="str">
            <v>INSUMOS Y SERVICIOS MEDICOS S.A.</v>
          </cell>
        </row>
        <row r="1058">
          <cell r="T1058">
            <v>332640</v>
          </cell>
          <cell r="AX1058" t="str">
            <v>Correctivo</v>
          </cell>
          <cell r="AY1058" t="str">
            <v>INSUMOS Y SERVICIOS MEDICOS S.A.</v>
          </cell>
        </row>
        <row r="1059">
          <cell r="T1059">
            <v>243737</v>
          </cell>
          <cell r="AX1059" t="str">
            <v>Correctivo</v>
          </cell>
          <cell r="AY1059" t="str">
            <v>INSUMOS Y SERVICIOS MEDICOS S.A.</v>
          </cell>
        </row>
        <row r="1060">
          <cell r="T1060">
            <v>134042</v>
          </cell>
          <cell r="AX1060" t="str">
            <v>Correctivo</v>
          </cell>
          <cell r="AY1060" t="str">
            <v>INSUMOS Y SERVICIOS MEDICOS S.A.</v>
          </cell>
        </row>
        <row r="1061">
          <cell r="T1061">
            <v>332620</v>
          </cell>
          <cell r="AX1061" t="str">
            <v>Correctivo</v>
          </cell>
          <cell r="AY1061" t="str">
            <v>COMPLEJO ASISTENCIAL DR.SOTERO DEL RIO</v>
          </cell>
        </row>
        <row r="1062">
          <cell r="T1062">
            <v>312682</v>
          </cell>
          <cell r="AX1062" t="str">
            <v>Correctivo</v>
          </cell>
          <cell r="AY1062" t="str">
            <v>INSUMOS Y SERVICIOS MEDICOS S.A.</v>
          </cell>
        </row>
        <row r="1063">
          <cell r="T1063">
            <v>1392930</v>
          </cell>
          <cell r="AX1063" t="str">
            <v>Correctivo</v>
          </cell>
          <cell r="AY1063" t="str">
            <v>HOSPITAL SAN LUIS BUIN</v>
          </cell>
        </row>
        <row r="1064">
          <cell r="T1064">
            <v>527625</v>
          </cell>
          <cell r="AX1064" t="str">
            <v>Correctivo</v>
          </cell>
          <cell r="AY1064" t="str">
            <v>INSUMOS Y SERVICIOS MEDICOS S.A.</v>
          </cell>
        </row>
        <row r="1065">
          <cell r="T1065">
            <v>1085700</v>
          </cell>
          <cell r="AX1065" t="str">
            <v>Correctivo</v>
          </cell>
          <cell r="AY1065" t="str">
            <v>HOSPITAL DR. LUIS TISNE B.</v>
          </cell>
        </row>
        <row r="1066">
          <cell r="T1066">
            <v>542850</v>
          </cell>
          <cell r="AX1066" t="str">
            <v>Correctivo</v>
          </cell>
          <cell r="AY1066" t="str">
            <v>HOSPITAL DR. LUIS TISNE B.</v>
          </cell>
        </row>
        <row r="1067">
          <cell r="T1067">
            <v>150543</v>
          </cell>
          <cell r="AX1067" t="str">
            <v>Correctivo</v>
          </cell>
          <cell r="AY1067" t="str">
            <v>INSUMOS Y SERVICIOS MEDICOS S.A.</v>
          </cell>
        </row>
        <row r="1068">
          <cell r="T1068">
            <v>301086</v>
          </cell>
          <cell r="AX1068" t="str">
            <v>Correctivo</v>
          </cell>
          <cell r="AY1068" t="str">
            <v>COMPLEJO ASISTENCIAL DR.SOTERO DEL RIO</v>
          </cell>
        </row>
        <row r="1069">
          <cell r="T1069">
            <v>775118</v>
          </cell>
          <cell r="AX1069" t="str">
            <v>Correctivo</v>
          </cell>
          <cell r="AY1069" t="str">
            <v>INSUMOS Y SERVICIOS MEDICOS S.A.</v>
          </cell>
        </row>
        <row r="1070">
          <cell r="T1070">
            <v>775118</v>
          </cell>
          <cell r="AX1070" t="str">
            <v>Correctivo</v>
          </cell>
          <cell r="AY1070" t="str">
            <v>INSUMOS Y SERVICIOS MEDICOS S.A.</v>
          </cell>
        </row>
        <row r="1071">
          <cell r="T1071">
            <v>894616</v>
          </cell>
          <cell r="AX1071" t="str">
            <v>Correctivo</v>
          </cell>
          <cell r="AY1071" t="str">
            <v>INSUMOS Y SERVICIOS MEDICOS S.A.</v>
          </cell>
        </row>
        <row r="1072">
          <cell r="T1072">
            <v>894616</v>
          </cell>
          <cell r="AX1072" t="str">
            <v>Correctivo</v>
          </cell>
          <cell r="AY1072" t="str">
            <v>INSUMOS Y SERVICIOS MEDICOS S.A.</v>
          </cell>
        </row>
        <row r="1073">
          <cell r="T1073">
            <v>728610</v>
          </cell>
          <cell r="AX1073" t="str">
            <v>Correctivo</v>
          </cell>
          <cell r="AY1073" t="str">
            <v>INSUMOS Y SERVICIOS MEDICOS S.A.</v>
          </cell>
        </row>
        <row r="1074">
          <cell r="T1074">
            <v>540750</v>
          </cell>
          <cell r="AX1074" t="str">
            <v>Correctivo</v>
          </cell>
          <cell r="AY1074" t="str">
            <v>INSUMOS Y SERVICIOS MEDICOS S.A.</v>
          </cell>
        </row>
        <row r="1075">
          <cell r="T1075">
            <v>1622250</v>
          </cell>
          <cell r="AX1075" t="str">
            <v>Correctivo</v>
          </cell>
          <cell r="AY1075" t="str">
            <v>INSUMOS Y SERVICIOS MEDICOS S.A.</v>
          </cell>
        </row>
        <row r="1076">
          <cell r="T1076">
            <v>951720</v>
          </cell>
          <cell r="AX1076" t="str">
            <v>Correctivo</v>
          </cell>
          <cell r="AY1076" t="str">
            <v>INSUMOS Y SERVICIOS MEDICOS S.A.</v>
          </cell>
        </row>
        <row r="1077">
          <cell r="T1077">
            <v>951720</v>
          </cell>
          <cell r="AX1077" t="str">
            <v>Correctivo</v>
          </cell>
          <cell r="AY1077" t="str">
            <v>INSUMOS Y SERVICIOS MEDICOS S.A.</v>
          </cell>
        </row>
        <row r="1078">
          <cell r="T1078">
            <v>475860</v>
          </cell>
          <cell r="AX1078" t="str">
            <v>Correctivo</v>
          </cell>
          <cell r="AY1078" t="str">
            <v>INSUMOS Y SERVICIOS MEDICOS S.A.</v>
          </cell>
        </row>
        <row r="1079">
          <cell r="T1079">
            <v>540750</v>
          </cell>
          <cell r="AX1079" t="str">
            <v>Correctivo</v>
          </cell>
          <cell r="AY1079" t="str">
            <v>HOSPITAL SAN JOSÉ</v>
          </cell>
        </row>
        <row r="1080">
          <cell r="T1080">
            <v>540750</v>
          </cell>
          <cell r="AX1080" t="str">
            <v>Correctivo</v>
          </cell>
          <cell r="AY1080" t="str">
            <v>INSUMOS Y SERVICIOS MEDICOS S.A.</v>
          </cell>
        </row>
        <row r="1081">
          <cell r="T1081">
            <v>2163000</v>
          </cell>
          <cell r="AX1081" t="str">
            <v>Correctivo</v>
          </cell>
          <cell r="AY1081" t="str">
            <v>INSTITUTO DE DIAGNOSTICO S.A.</v>
          </cell>
        </row>
        <row r="1082">
          <cell r="T1082">
            <v>678784</v>
          </cell>
          <cell r="AX1082" t="str">
            <v>Correctivo</v>
          </cell>
          <cell r="AY1082" t="str">
            <v>INSUMOS Y SERVICIOS MEDICOS S.A.</v>
          </cell>
        </row>
        <row r="1083">
          <cell r="T1083">
            <v>678784</v>
          </cell>
          <cell r="AX1083" t="str">
            <v>Correctivo</v>
          </cell>
          <cell r="AY1083" t="str">
            <v>INSUMOS Y SERVICIOS MEDICOS S.A.</v>
          </cell>
        </row>
        <row r="1084">
          <cell r="T1084">
            <v>540750</v>
          </cell>
          <cell r="AX1084" t="str">
            <v>Correctivo</v>
          </cell>
          <cell r="AY1084" t="str">
            <v>HOSPITAL SAN JOSÉ</v>
          </cell>
        </row>
        <row r="1085">
          <cell r="T1085">
            <v>678784</v>
          </cell>
          <cell r="AX1085" t="str">
            <v>Correctivo</v>
          </cell>
          <cell r="AY1085" t="str">
            <v>HOSPITAL DR. LUIS TISNE B.</v>
          </cell>
        </row>
        <row r="1086">
          <cell r="T1086">
            <v>339392</v>
          </cell>
          <cell r="AX1086" t="str">
            <v>Correctivo</v>
          </cell>
          <cell r="AY1086" t="str">
            <v>INSUMOS Y SERVICIOS MEDICOS S.A.</v>
          </cell>
        </row>
        <row r="1087">
          <cell r="T1087">
            <v>678784</v>
          </cell>
          <cell r="AX1087" t="str">
            <v>Correctivo</v>
          </cell>
          <cell r="AY1087" t="str">
            <v>INSUMOS Y SERVICIOS MEDICOS S.A.</v>
          </cell>
        </row>
        <row r="1088">
          <cell r="T1088">
            <v>951720</v>
          </cell>
          <cell r="AX1088" t="str">
            <v>Correctivo</v>
          </cell>
          <cell r="AY1088" t="str">
            <v>INSUMOS Y SERVICIOS MEDICOS S.A.</v>
          </cell>
        </row>
        <row r="1089">
          <cell r="T1089">
            <v>447308</v>
          </cell>
          <cell r="AX1089" t="str">
            <v>Correctivo</v>
          </cell>
          <cell r="AY1089" t="str">
            <v>INSUMOS Y SERVICIOS MEDICOS S.A.</v>
          </cell>
        </row>
        <row r="1090">
          <cell r="T1090">
            <v>387559</v>
          </cell>
          <cell r="AX1090" t="str">
            <v>Correctivo</v>
          </cell>
          <cell r="AY1090" t="str">
            <v>HOSPITAL SAN JOSÉ</v>
          </cell>
        </row>
        <row r="1091">
          <cell r="T1091">
            <v>635250</v>
          </cell>
          <cell r="AX1091" t="str">
            <v>Correctivo</v>
          </cell>
          <cell r="AY1091" t="str">
            <v>HOSPITAL REGIONAL DE ANTOFAGASTA</v>
          </cell>
        </row>
        <row r="1092">
          <cell r="T1092">
            <v>419074</v>
          </cell>
          <cell r="AX1092" t="str">
            <v>Correctivo</v>
          </cell>
          <cell r="AY1092" t="str">
            <v>HOSPITAL REGIONAL DE ANTOFAGASTA</v>
          </cell>
        </row>
        <row r="1093">
          <cell r="T1093">
            <v>635250</v>
          </cell>
          <cell r="AX1093" t="str">
            <v>Correctivo</v>
          </cell>
          <cell r="AY1093" t="str">
            <v>HOSPITAL REGIONAL DE ANTOFAGASTA</v>
          </cell>
        </row>
        <row r="1094">
          <cell r="T1094">
            <v>6289492</v>
          </cell>
          <cell r="AX1094" t="str">
            <v>Correctivo</v>
          </cell>
          <cell r="AY1094" t="str">
            <v>HOSPITAL REGIONAL DE ANTOFAGASTA</v>
          </cell>
        </row>
        <row r="1095">
          <cell r="T1095">
            <v>7645492</v>
          </cell>
          <cell r="AX1095" t="str">
            <v>Correctivo</v>
          </cell>
          <cell r="AY1095" t="str">
            <v>HOSPITAL REGIONAL DE ANTOFAGASTA</v>
          </cell>
        </row>
        <row r="1096">
          <cell r="T1096">
            <v>6289492</v>
          </cell>
          <cell r="AX1096" t="str">
            <v>Correctivo</v>
          </cell>
          <cell r="AY1096" t="str">
            <v>HOSPITAL REGIONAL DE ANTOFAGASTA</v>
          </cell>
        </row>
        <row r="1097">
          <cell r="T1097">
            <v>1848219</v>
          </cell>
          <cell r="AX1097" t="str">
            <v>Correctivo</v>
          </cell>
          <cell r="AY1097" t="str">
            <v>HOSPITAL REGIONAL DE ANTOFAGASTA</v>
          </cell>
        </row>
        <row r="1098">
          <cell r="T1098">
            <v>1848219</v>
          </cell>
          <cell r="AX1098" t="str">
            <v>Correctivo</v>
          </cell>
          <cell r="AY1098" t="str">
            <v>HOSPITAL REGIONAL DE ANTOFAGASTA</v>
          </cell>
        </row>
        <row r="1099">
          <cell r="T1099">
            <v>1219128</v>
          </cell>
          <cell r="AX1099" t="str">
            <v>Correctivo</v>
          </cell>
          <cell r="AY1099" t="str">
            <v>HOSPITAL REGIONAL DE ANTOFAGASTA</v>
          </cell>
        </row>
        <row r="1100">
          <cell r="T1100">
            <v>244544</v>
          </cell>
          <cell r="AX1100" t="str">
            <v>Preventivo</v>
          </cell>
          <cell r="AY1100" t="str">
            <v>INSUMOS Y SERVICIOS MEDICOS S.A.</v>
          </cell>
        </row>
        <row r="1101">
          <cell r="T1101">
            <v>122272</v>
          </cell>
          <cell r="AX1101" t="str">
            <v>Correctivo</v>
          </cell>
          <cell r="AY1101" t="str">
            <v>INSUMOS Y SERVICIOS MEDICOS S.A.</v>
          </cell>
        </row>
        <row r="1102">
          <cell r="T1102">
            <v>51319</v>
          </cell>
          <cell r="AX1102" t="str">
            <v>Correctivo</v>
          </cell>
          <cell r="AY1102" t="str">
            <v>HOSPITAL CLINICO DE LA FUERZA AEREA FACH GRAL DR RAUL YAZIGI JAUREGUI</v>
          </cell>
        </row>
        <row r="1103">
          <cell r="T1103">
            <v>51319</v>
          </cell>
          <cell r="AX1103" t="str">
            <v>Correctivo</v>
          </cell>
          <cell r="AY1103" t="str">
            <v>UNIVERSIDAD FINIS TERRAE</v>
          </cell>
        </row>
        <row r="1104">
          <cell r="T1104">
            <v>45161</v>
          </cell>
          <cell r="AX1104" t="str">
            <v>Correctivo</v>
          </cell>
          <cell r="AY1104" t="str">
            <v>HOSPITAL DE PURRANQUE</v>
          </cell>
        </row>
        <row r="1105">
          <cell r="T1105">
            <v>36231</v>
          </cell>
          <cell r="AX1105" t="str">
            <v>Correctivo</v>
          </cell>
          <cell r="AY1105" t="str">
            <v>INSUMOS Y SERVICIOS MEDICOS S.A.</v>
          </cell>
        </row>
        <row r="1106">
          <cell r="T1106">
            <v>22736</v>
          </cell>
          <cell r="AX1106" t="str">
            <v>Correctivo</v>
          </cell>
          <cell r="AY1106">
            <v>0</v>
          </cell>
        </row>
        <row r="1107">
          <cell r="T1107">
            <v>72872</v>
          </cell>
          <cell r="AX1107" t="str">
            <v>Correctivo</v>
          </cell>
          <cell r="AY1107">
            <v>0</v>
          </cell>
        </row>
        <row r="1108">
          <cell r="T1108">
            <v>42161</v>
          </cell>
          <cell r="AX1108" t="str">
            <v>Correctivo</v>
          </cell>
          <cell r="AY1108" t="str">
            <v>INSUMOS Y SERVICIOS MEDICOS S.A.</v>
          </cell>
        </row>
        <row r="1109">
          <cell r="T1109">
            <v>42451</v>
          </cell>
          <cell r="AX1109" t="str">
            <v>Correctivo</v>
          </cell>
          <cell r="AY1109" t="str">
            <v>INSUMOS Y SERVICIOS MEDICOS S.A.</v>
          </cell>
        </row>
        <row r="1110">
          <cell r="T1110">
            <v>51319</v>
          </cell>
          <cell r="AX1110" t="str">
            <v>Correctivo</v>
          </cell>
          <cell r="AY1110">
            <v>0</v>
          </cell>
        </row>
        <row r="1111">
          <cell r="T1111">
            <v>543375</v>
          </cell>
          <cell r="AX1111" t="str">
            <v>Correctivo</v>
          </cell>
          <cell r="AY1111" t="str">
            <v>SOCIEDAD CONCESIONARIA METROPOLITANA DE SALUD S.A.</v>
          </cell>
        </row>
        <row r="1112">
          <cell r="T1112">
            <v>85680</v>
          </cell>
          <cell r="AX1112" t="str">
            <v>Correctivo</v>
          </cell>
          <cell r="AY1112" t="str">
            <v>SOCIEDAD CONCESIONARIA METROPOLITANA DE SALUD S.A.</v>
          </cell>
        </row>
        <row r="1113">
          <cell r="T1113">
            <v>61924</v>
          </cell>
          <cell r="AX1113" t="str">
            <v>Correctivo</v>
          </cell>
          <cell r="AY1113" t="str">
            <v>INSUMOS Y SERVICIOS MEDICOS S.A.</v>
          </cell>
        </row>
        <row r="1114">
          <cell r="T1114">
            <v>58196</v>
          </cell>
          <cell r="AX1114" t="str">
            <v>Correctivo</v>
          </cell>
          <cell r="AY1114" t="str">
            <v>SOCIEDAD CONCESIONARIA METROPOLITANA DE SALUD S.A.</v>
          </cell>
        </row>
        <row r="1115">
          <cell r="T1115">
            <v>58196</v>
          </cell>
          <cell r="AX1115" t="str">
            <v>Correctivo</v>
          </cell>
          <cell r="AY1115" t="str">
            <v>INSUMOS Y SERVICIOS MEDICOS S.A.</v>
          </cell>
        </row>
        <row r="1116">
          <cell r="T1116">
            <v>381095</v>
          </cell>
          <cell r="AX1116" t="str">
            <v>Correctivo</v>
          </cell>
          <cell r="AY1116" t="str">
            <v>HOSPITAL SAN JOSÉ</v>
          </cell>
        </row>
        <row r="1117">
          <cell r="T1117">
            <v>379394</v>
          </cell>
          <cell r="AX1117" t="str">
            <v>Correctivo</v>
          </cell>
          <cell r="AY1117" t="str">
            <v>HOSPITAL DE PUERTO AYSEN</v>
          </cell>
        </row>
        <row r="1118">
          <cell r="T1118">
            <v>167672</v>
          </cell>
          <cell r="AX1118" t="str">
            <v>Correctivo</v>
          </cell>
          <cell r="AY1118" t="str">
            <v>HOSPITAL DE PURRANQUE</v>
          </cell>
        </row>
        <row r="1119">
          <cell r="T1119">
            <v>167672</v>
          </cell>
          <cell r="AX1119" t="str">
            <v>Correctivo</v>
          </cell>
          <cell r="AY1119" t="str">
            <v>HOSPITAL DE PURRANQUE</v>
          </cell>
        </row>
        <row r="1120">
          <cell r="T1120">
            <v>379394</v>
          </cell>
          <cell r="AX1120" t="str">
            <v>Correctivo</v>
          </cell>
          <cell r="AY1120" t="str">
            <v>HOSPITAL DE PUERTO AYSEN</v>
          </cell>
        </row>
        <row r="1121">
          <cell r="T1121">
            <v>41526</v>
          </cell>
          <cell r="AX1121" t="str">
            <v>Correctivo</v>
          </cell>
          <cell r="AY1121" t="str">
            <v>HOSPITAL CARLOS VAN BUREN</v>
          </cell>
        </row>
        <row r="1122">
          <cell r="T1122">
            <v>41526</v>
          </cell>
          <cell r="AX1122" t="str">
            <v>Correctivo</v>
          </cell>
          <cell r="AY1122" t="str">
            <v>HOSPITAL CARLOS VAN BUREN</v>
          </cell>
        </row>
        <row r="1123">
          <cell r="T1123">
            <v>1551375</v>
          </cell>
          <cell r="AX1123" t="str">
            <v>Correctivo</v>
          </cell>
          <cell r="AY1123" t="str">
            <v>SOCIEDAD CONCESIONARIA METROPOLITANA DE SALUD S.A.</v>
          </cell>
        </row>
        <row r="1124">
          <cell r="T1124">
            <v>3102750</v>
          </cell>
          <cell r="AX1124" t="str">
            <v>Correctivo</v>
          </cell>
          <cell r="AY1124">
            <v>0</v>
          </cell>
        </row>
        <row r="1125">
          <cell r="T1125">
            <v>3102750</v>
          </cell>
          <cell r="AX1125" t="str">
            <v>Correctivo</v>
          </cell>
          <cell r="AY1125" t="str">
            <v>HOSPITAL DEL SALVADOR</v>
          </cell>
        </row>
        <row r="1126">
          <cell r="T1126">
            <v>3102750</v>
          </cell>
          <cell r="AX1126" t="str">
            <v>Correctivo</v>
          </cell>
          <cell r="AY1126" t="str">
            <v>HOSPITAL DEL SALVADOR</v>
          </cell>
        </row>
        <row r="1127">
          <cell r="T1127">
            <v>3102750</v>
          </cell>
          <cell r="AX1127" t="str">
            <v>Correctivo</v>
          </cell>
          <cell r="AY1127" t="str">
            <v>HOSPITAL DEL SALVADOR</v>
          </cell>
        </row>
        <row r="1128">
          <cell r="T1128">
            <v>3102750</v>
          </cell>
          <cell r="AX1128" t="str">
            <v>Correctivo</v>
          </cell>
          <cell r="AY1128" t="str">
            <v>HOSPITAL DEL SALVADOR</v>
          </cell>
        </row>
        <row r="1129">
          <cell r="T1129">
            <v>1551375</v>
          </cell>
          <cell r="AX1129" t="str">
            <v>Correctivo</v>
          </cell>
          <cell r="AY1129" t="str">
            <v>SOCIEDAD CONCESIONARIA METROPOLITANA DE SALUD S.A.</v>
          </cell>
        </row>
        <row r="1130">
          <cell r="T1130">
            <v>863372</v>
          </cell>
          <cell r="AX1130" t="str">
            <v>Correctivo</v>
          </cell>
          <cell r="AY1130" t="str">
            <v>INSUMOS Y SERVICIOS MEDICOS S.A.</v>
          </cell>
        </row>
        <row r="1131">
          <cell r="T1131">
            <v>710617</v>
          </cell>
          <cell r="AX1131" t="str">
            <v>Correctivo</v>
          </cell>
          <cell r="AY1131" t="str">
            <v>HOSPITAL DR. LUIS TISNE B.</v>
          </cell>
        </row>
        <row r="1132">
          <cell r="T1132">
            <v>3102750</v>
          </cell>
          <cell r="AX1132" t="str">
            <v>Correctivo</v>
          </cell>
          <cell r="AY1132" t="str">
            <v>HOSPITAL CLINICO DE LA FUERZA AEREA FACH GRAL DR RAUL YAZIGI JAUREGUI</v>
          </cell>
        </row>
        <row r="1133">
          <cell r="T1133">
            <v>125560</v>
          </cell>
          <cell r="AX1133" t="str">
            <v>Correctivo</v>
          </cell>
          <cell r="AY1133" t="str">
            <v>INSUMOS Y SERVICIOS MEDICOS S.A.</v>
          </cell>
        </row>
        <row r="1134">
          <cell r="T1134">
            <v>175662</v>
          </cell>
          <cell r="AX1134" t="str">
            <v>Correctivo</v>
          </cell>
          <cell r="AY1134" t="str">
            <v>HOSPITAL CLINICO SAN BORJA-ARRIARAN</v>
          </cell>
        </row>
        <row r="1135">
          <cell r="T1135">
            <v>379666</v>
          </cell>
          <cell r="AX1135" t="str">
            <v>Correctivo</v>
          </cell>
          <cell r="AY1135" t="str">
            <v>HOSPITAL DE PUERTO AYSEN</v>
          </cell>
        </row>
        <row r="1136">
          <cell r="T1136">
            <v>379666</v>
          </cell>
          <cell r="AX1136" t="str">
            <v>Correctivo</v>
          </cell>
          <cell r="AY1136" t="str">
            <v>HOSPITAL DE PUERTO AYSEN</v>
          </cell>
        </row>
        <row r="1137">
          <cell r="T1137">
            <v>24644</v>
          </cell>
          <cell r="AX1137" t="str">
            <v>Correctivo</v>
          </cell>
          <cell r="AY1137">
            <v>0</v>
          </cell>
        </row>
        <row r="1138">
          <cell r="T1138">
            <v>14391</v>
          </cell>
          <cell r="AX1138" t="str">
            <v>Correctivo</v>
          </cell>
          <cell r="AY1138">
            <v>0</v>
          </cell>
        </row>
        <row r="1139">
          <cell r="T1139">
            <v>492880</v>
          </cell>
          <cell r="AX1139" t="str">
            <v>Correctivo</v>
          </cell>
          <cell r="AY1139" t="str">
            <v>INSUMOS Y SERVICIOS MEDICOS S.A.</v>
          </cell>
        </row>
        <row r="1140">
          <cell r="T1140">
            <v>385240</v>
          </cell>
          <cell r="AX1140" t="str">
            <v>Correctivo</v>
          </cell>
          <cell r="AY1140" t="str">
            <v>INSTITUTO DE DIAGNOSTICO S.A.</v>
          </cell>
        </row>
        <row r="1141">
          <cell r="T1141">
            <v>123220</v>
          </cell>
          <cell r="AX1141" t="str">
            <v>Correctivo</v>
          </cell>
          <cell r="AY1141" t="str">
            <v>INSUMOS Y SERVICIOS MEDICOS S.A.</v>
          </cell>
        </row>
        <row r="1142">
          <cell r="T1142">
            <v>147744</v>
          </cell>
          <cell r="AX1142" t="str">
            <v>Correctivo</v>
          </cell>
          <cell r="AY1142" t="str">
            <v>INSUMOS Y SERVICIOS MEDICOS S.A.</v>
          </cell>
        </row>
        <row r="1143">
          <cell r="T1143">
            <v>369816</v>
          </cell>
          <cell r="AX1143" t="str">
            <v>Correctivo</v>
          </cell>
          <cell r="AY1143" t="str">
            <v>SOCIEDAD CONCESIONARIA METROPOLITANA DE SALUD S.A.</v>
          </cell>
        </row>
        <row r="1144">
          <cell r="T1144">
            <v>215726</v>
          </cell>
          <cell r="AX1144" t="str">
            <v>Correctivo</v>
          </cell>
          <cell r="AY1144" t="str">
            <v>INSUMOS Y SERVICIOS MEDICOS S.A.</v>
          </cell>
        </row>
        <row r="1145">
          <cell r="T1145">
            <v>154090</v>
          </cell>
          <cell r="AX1145" t="str">
            <v>Correctivo</v>
          </cell>
          <cell r="AY1145">
            <v>0</v>
          </cell>
        </row>
        <row r="1146">
          <cell r="T1146">
            <v>152952</v>
          </cell>
          <cell r="AX1146" t="str">
            <v>Correctivo</v>
          </cell>
          <cell r="AY1146" t="str">
            <v>INSUMOS Y SERVICIOS MEDICOS S.A.</v>
          </cell>
        </row>
        <row r="1147">
          <cell r="T1147">
            <v>184908</v>
          </cell>
          <cell r="AX1147" t="str">
            <v>Correctivo</v>
          </cell>
          <cell r="AY1147" t="str">
            <v>INSUMOS Y SERVICIOS MEDICOS S.A.</v>
          </cell>
        </row>
        <row r="1148">
          <cell r="T1148">
            <v>154090</v>
          </cell>
          <cell r="AX1148" t="str">
            <v>Correctivo</v>
          </cell>
          <cell r="AY1148" t="str">
            <v>INSUMOS Y SERVICIOS MEDICOS S.A.</v>
          </cell>
        </row>
        <row r="1149">
          <cell r="T1149">
            <v>154090</v>
          </cell>
          <cell r="AX1149" t="str">
            <v>Preventivo</v>
          </cell>
          <cell r="AY1149" t="str">
            <v>INSUMOS Y SERVICIOS MEDICOS S.A.</v>
          </cell>
        </row>
        <row r="1150">
          <cell r="T1150">
            <v>123272</v>
          </cell>
          <cell r="AX1150" t="str">
            <v>Correctivo</v>
          </cell>
          <cell r="AY1150" t="str">
            <v>INSUMOS Y SERVICIOS MEDICOS S.A.</v>
          </cell>
        </row>
        <row r="1151">
          <cell r="T1151">
            <v>246544</v>
          </cell>
          <cell r="AX1151" t="str">
            <v>Correctivo</v>
          </cell>
          <cell r="AY1151" t="str">
            <v>INSUMOS Y SERVICIOS MEDICOS S.A.</v>
          </cell>
        </row>
        <row r="1152">
          <cell r="T1152">
            <v>294000</v>
          </cell>
          <cell r="AX1152" t="str">
            <v>Correctivo</v>
          </cell>
          <cell r="AY1152" t="str">
            <v>SOCIEDAD CONCESIONARIA METROPOLITANA DE SALUD S.A.</v>
          </cell>
        </row>
        <row r="1153">
          <cell r="T1153">
            <v>132696</v>
          </cell>
          <cell r="AX1153" t="str">
            <v>Correctivo</v>
          </cell>
          <cell r="AY1153" t="str">
            <v>HOSPITAL CARLOS VAN BUREN</v>
          </cell>
        </row>
        <row r="1154">
          <cell r="T1154">
            <v>132696</v>
          </cell>
          <cell r="AX1154" t="str">
            <v>Correctivo</v>
          </cell>
          <cell r="AY1154" t="str">
            <v>HOSPITAL CARLOS VAN BUREN</v>
          </cell>
        </row>
        <row r="1155">
          <cell r="T1155">
            <v>403246</v>
          </cell>
          <cell r="AX1155" t="str">
            <v>Correctivo</v>
          </cell>
          <cell r="AY1155" t="str">
            <v>HOSPITAL DEL SALVADOR</v>
          </cell>
        </row>
        <row r="1156">
          <cell r="T1156">
            <v>861000</v>
          </cell>
          <cell r="AX1156" t="str">
            <v>Correctivo</v>
          </cell>
          <cell r="AY1156" t="str">
            <v>HOSPITAL DEL SALVADOR</v>
          </cell>
        </row>
        <row r="1157">
          <cell r="T1157">
            <v>861000</v>
          </cell>
          <cell r="AX1157" t="str">
            <v>Correctivo</v>
          </cell>
          <cell r="AY1157" t="str">
            <v>HOSPITAL DEL SALVADOR</v>
          </cell>
        </row>
        <row r="1158">
          <cell r="T1158">
            <v>403246</v>
          </cell>
          <cell r="AX1158" t="str">
            <v>Correctivo</v>
          </cell>
          <cell r="AY1158" t="str">
            <v>HOSPITAL DEL SALVADOR</v>
          </cell>
        </row>
        <row r="1159">
          <cell r="T1159">
            <v>128718</v>
          </cell>
          <cell r="AX1159" t="str">
            <v>Correctivo</v>
          </cell>
          <cell r="AY1159" t="str">
            <v>HOSPITAL DE PURRANQUE</v>
          </cell>
        </row>
        <row r="1160">
          <cell r="T1160">
            <v>334950</v>
          </cell>
          <cell r="AX1160" t="str">
            <v>Correctivo</v>
          </cell>
          <cell r="AY1160" t="str">
            <v>INSUMOS Y SERVICIOS MEDICOS S.A.</v>
          </cell>
        </row>
        <row r="1161">
          <cell r="T1161">
            <v>380625</v>
          </cell>
          <cell r="AX1161" t="str">
            <v>Correctivo</v>
          </cell>
          <cell r="AY1161" t="str">
            <v>HOSPITAL DEL SALVADOR</v>
          </cell>
        </row>
        <row r="1162">
          <cell r="T1162">
            <v>380625</v>
          </cell>
          <cell r="AX1162" t="str">
            <v>Correctivo</v>
          </cell>
          <cell r="AY1162" t="str">
            <v>HOSPITAL DEL SALVADOR</v>
          </cell>
        </row>
        <row r="1163">
          <cell r="T1163">
            <v>380625</v>
          </cell>
          <cell r="AX1163" t="str">
            <v>Correctivo</v>
          </cell>
          <cell r="AY1163" t="str">
            <v>HOSPITAL DEL SALVADOR</v>
          </cell>
        </row>
        <row r="1164">
          <cell r="T1164">
            <v>380625</v>
          </cell>
          <cell r="AX1164" t="str">
            <v>Correctivo</v>
          </cell>
          <cell r="AY1164" t="str">
            <v>HOSPITAL DEL SALVADOR</v>
          </cell>
        </row>
        <row r="1165">
          <cell r="T1165">
            <v>1246875</v>
          </cell>
          <cell r="AX1165" t="str">
            <v>Correctivo</v>
          </cell>
          <cell r="AY1165" t="str">
            <v>HOSPITAL DE YUMBEL</v>
          </cell>
        </row>
        <row r="1166">
          <cell r="T1166">
            <v>1246875</v>
          </cell>
          <cell r="AX1166" t="str">
            <v>Correctivo</v>
          </cell>
          <cell r="AY1166" t="str">
            <v>HOSPITAL DE YUMBEL</v>
          </cell>
        </row>
        <row r="1167">
          <cell r="T1167">
            <v>1661625</v>
          </cell>
          <cell r="AX1167" t="str">
            <v>Correctivo</v>
          </cell>
          <cell r="AY1167" t="str">
            <v>HOSPITAL DE YUMBEL</v>
          </cell>
        </row>
        <row r="1168">
          <cell r="T1168">
            <v>162517</v>
          </cell>
          <cell r="AX1168" t="str">
            <v>Correctivo</v>
          </cell>
          <cell r="AY1168" t="str">
            <v>HOSPITAL CLINICO SAN BORJA-ARRIARAN</v>
          </cell>
        </row>
        <row r="1169">
          <cell r="T1169">
            <v>57557</v>
          </cell>
          <cell r="AX1169" t="str">
            <v>Correctivo</v>
          </cell>
          <cell r="AY1169" t="str">
            <v>HOSPITAL DE YUMBEL</v>
          </cell>
        </row>
        <row r="1170">
          <cell r="T1170">
            <v>3404940</v>
          </cell>
          <cell r="AX1170" t="str">
            <v>Correctivo</v>
          </cell>
          <cell r="AY1170" t="str">
            <v>INSUMOS Y SERVICIOS MEDICOS S.A.</v>
          </cell>
        </row>
        <row r="1171">
          <cell r="T1171">
            <v>2312918</v>
          </cell>
          <cell r="AX1171" t="str">
            <v>Correctivo</v>
          </cell>
          <cell r="AY1171" t="str">
            <v>SOCIEDAD CONCESIONARIA METROPOLITANA DE SALUD S.A.</v>
          </cell>
        </row>
        <row r="1172">
          <cell r="T1172">
            <v>402672</v>
          </cell>
          <cell r="AX1172" t="str">
            <v>Correctivo</v>
          </cell>
          <cell r="AY1172" t="str">
            <v>HOSPITAL EXEQUIEL GONZALEZ CORTES</v>
          </cell>
        </row>
        <row r="1173">
          <cell r="T1173">
            <v>1013250</v>
          </cell>
          <cell r="AX1173" t="str">
            <v>Correctivo</v>
          </cell>
          <cell r="AY1173" t="str">
            <v>HOSPITAL CLINICO DE LA FUERZA AEREA FACH GRAL DR RAUL YAZIGI JAUREGUI</v>
          </cell>
        </row>
        <row r="1174">
          <cell r="T1174">
            <v>1564500</v>
          </cell>
          <cell r="AX1174" t="str">
            <v>Correctivo</v>
          </cell>
          <cell r="AY1174" t="str">
            <v>SERVICIO DE SALUD OSORNO</v>
          </cell>
        </row>
        <row r="1175">
          <cell r="T1175">
            <v>367500</v>
          </cell>
          <cell r="AX1175" t="str">
            <v>Correctivo</v>
          </cell>
          <cell r="AY1175" t="str">
            <v>INSUMOS Y SERVICIOS MEDICOS S.A.</v>
          </cell>
        </row>
        <row r="1176">
          <cell r="T1176">
            <v>735000</v>
          </cell>
          <cell r="AX1176" t="str">
            <v>Correctivo</v>
          </cell>
          <cell r="AY1176" t="str">
            <v>HOSPITAL DEL SALVADOR</v>
          </cell>
        </row>
        <row r="1177">
          <cell r="T1177">
            <v>735000</v>
          </cell>
          <cell r="AX1177" t="str">
            <v>Correctivo</v>
          </cell>
          <cell r="AY1177" t="str">
            <v>HOSPITAL DEL SALVADOR</v>
          </cell>
        </row>
        <row r="1178">
          <cell r="T1178">
            <v>256872</v>
          </cell>
          <cell r="AX1178" t="str">
            <v>Correctivo</v>
          </cell>
          <cell r="AY1178" t="str">
            <v>HOSPITAL CARLOS VAN BUREN</v>
          </cell>
        </row>
        <row r="1179">
          <cell r="T1179">
            <v>323400</v>
          </cell>
          <cell r="AX1179" t="str">
            <v>Correctivo</v>
          </cell>
          <cell r="AY1179" t="str">
            <v>INSUMOS Y SERVICIOS MEDICOS S.A.</v>
          </cell>
        </row>
        <row r="1180">
          <cell r="T1180">
            <v>735000</v>
          </cell>
          <cell r="AX1180" t="str">
            <v>Preventivo</v>
          </cell>
          <cell r="AY1180" t="str">
            <v>INSUMOS Y SERVICIOS MEDICOS S.A.</v>
          </cell>
        </row>
        <row r="1181">
          <cell r="T1181">
            <v>323400</v>
          </cell>
          <cell r="AX1181" t="str">
            <v>Correctivo</v>
          </cell>
          <cell r="AY1181" t="str">
            <v>INSUMOS Y SERVICIOS MEDICOS S.A.</v>
          </cell>
        </row>
        <row r="1182">
          <cell r="T1182">
            <v>303996</v>
          </cell>
          <cell r="AX1182" t="str">
            <v>Correctivo</v>
          </cell>
          <cell r="AY1182" t="str">
            <v>INSUMOS Y SERVICIOS MEDICOS S.A.</v>
          </cell>
        </row>
        <row r="1183">
          <cell r="T1183">
            <v>125411</v>
          </cell>
          <cell r="AX1183" t="str">
            <v>Correctivo</v>
          </cell>
          <cell r="AY1183" t="str">
            <v>HOSPITAL CARLOS VAN BUREN</v>
          </cell>
        </row>
        <row r="1184">
          <cell r="T1184">
            <v>367500</v>
          </cell>
          <cell r="AX1184" t="str">
            <v>Correctivo</v>
          </cell>
          <cell r="AY1184" t="str">
            <v>SOCIEDAD CONCESIONARIA METROPOLITANA DE SALUD S.A.</v>
          </cell>
        </row>
        <row r="1185">
          <cell r="T1185">
            <v>603016</v>
          </cell>
          <cell r="AX1185" t="str">
            <v>Correctivo</v>
          </cell>
          <cell r="AY1185" t="str">
            <v>HOSPITAL CARLOS VAN BUREN</v>
          </cell>
        </row>
        <row r="1186">
          <cell r="T1186">
            <v>603016</v>
          </cell>
          <cell r="AX1186" t="str">
            <v>Correctivo</v>
          </cell>
          <cell r="AY1186" t="str">
            <v>INSUMOS Y SERVICIOS MEDICOS S.A.</v>
          </cell>
        </row>
        <row r="1187">
          <cell r="T1187">
            <v>1206032</v>
          </cell>
          <cell r="AX1187" t="str">
            <v>Correctivo</v>
          </cell>
          <cell r="AY1187" t="str">
            <v>INSUMOS Y SERVICIOS MEDICOS S.A.</v>
          </cell>
        </row>
        <row r="1188">
          <cell r="T1188">
            <v>603016</v>
          </cell>
          <cell r="AX1188" t="str">
            <v>Correctivo</v>
          </cell>
          <cell r="AY1188" t="str">
            <v>HOSPITAL CARLOS VAN BUREN</v>
          </cell>
        </row>
        <row r="1189">
          <cell r="T1189">
            <v>117024</v>
          </cell>
          <cell r="AX1189" t="str">
            <v>Correctivo</v>
          </cell>
          <cell r="AY1189" t="str">
            <v>UNIVERSIDAD FINIS TERRAE</v>
          </cell>
        </row>
        <row r="1190">
          <cell r="T1190">
            <v>603016</v>
          </cell>
          <cell r="AX1190" t="str">
            <v>Correctivo</v>
          </cell>
          <cell r="AY1190" t="str">
            <v>INSUMOS Y SERVICIOS MEDICOS S.A.</v>
          </cell>
        </row>
        <row r="1191">
          <cell r="T1191">
            <v>1320080</v>
          </cell>
          <cell r="AX1191" t="str">
            <v>Correctivo</v>
          </cell>
          <cell r="AY1191" t="str">
            <v>HOSPITAL VICTORIA</v>
          </cell>
        </row>
        <row r="1192">
          <cell r="T1192">
            <v>1320080</v>
          </cell>
          <cell r="AX1192" t="str">
            <v>Correctivo</v>
          </cell>
          <cell r="AY1192" t="str">
            <v>HOSPITAL VICTORIA</v>
          </cell>
        </row>
        <row r="1193">
          <cell r="T1193">
            <v>293504</v>
          </cell>
          <cell r="AX1193" t="str">
            <v>Correctivo</v>
          </cell>
          <cell r="AY1193" t="str">
            <v>HOSPITAL SAN LUIS BUIN</v>
          </cell>
        </row>
        <row r="1194">
          <cell r="T1194">
            <v>603016</v>
          </cell>
          <cell r="AX1194" t="str">
            <v>Correctivo</v>
          </cell>
          <cell r="AY1194" t="str">
            <v>INSUMOS Y SERVICIOS MEDICOS S.A.</v>
          </cell>
        </row>
        <row r="1195">
          <cell r="T1195">
            <v>8005</v>
          </cell>
          <cell r="AX1195" t="str">
            <v>Correctivo</v>
          </cell>
          <cell r="AY1195" t="str">
            <v>SOCIEDAD CONCESIONARIA METROPOLITANA DE SALUD S.A.</v>
          </cell>
        </row>
        <row r="1196">
          <cell r="T1196">
            <v>5296</v>
          </cell>
          <cell r="AX1196" t="str">
            <v>Correctivo</v>
          </cell>
          <cell r="AY1196" t="str">
            <v>INSUMOS Y SERVICIOS MEDICOS S.A.</v>
          </cell>
        </row>
        <row r="1197">
          <cell r="T1197">
            <v>7525</v>
          </cell>
          <cell r="AX1197" t="str">
            <v>Correctivo</v>
          </cell>
          <cell r="AY1197" t="str">
            <v>INSUMOS Y SERVICIOS MEDICOS S.A.</v>
          </cell>
        </row>
        <row r="1198">
          <cell r="T1198">
            <v>6404</v>
          </cell>
          <cell r="AX1198" t="str">
            <v>Correctivo</v>
          </cell>
          <cell r="AY1198" t="str">
            <v>INSUMOS Y SERVICIOS MEDICOS S.A.</v>
          </cell>
        </row>
        <row r="1199">
          <cell r="T1199">
            <v>192977</v>
          </cell>
          <cell r="AX1199" t="str">
            <v>Correctivo</v>
          </cell>
          <cell r="AY1199" t="str">
            <v>HOSPITAL DE PUERTO AYSEN</v>
          </cell>
        </row>
        <row r="1200">
          <cell r="T1200">
            <v>192977</v>
          </cell>
          <cell r="AX1200" t="str">
            <v>Correctivo</v>
          </cell>
          <cell r="AY1200" t="str">
            <v>HOSPITAL DE PUERTO AYSEN</v>
          </cell>
        </row>
        <row r="1201">
          <cell r="T1201">
            <v>181398</v>
          </cell>
          <cell r="AX1201" t="str">
            <v>Correctivo</v>
          </cell>
          <cell r="AY1201" t="str">
            <v>INSUMOS Y SERVICIOS MEDICOS S.A.</v>
          </cell>
        </row>
        <row r="1202">
          <cell r="T1202">
            <v>192977</v>
          </cell>
          <cell r="AX1202" t="str">
            <v>Correctivo</v>
          </cell>
          <cell r="AY1202" t="str">
            <v>COMPLEJO ASISTENCIAL DR.SOTERO DEL RIO</v>
          </cell>
        </row>
        <row r="1203">
          <cell r="T1203">
            <v>192977</v>
          </cell>
          <cell r="AX1203" t="str">
            <v>Correctivo</v>
          </cell>
          <cell r="AY1203" t="str">
            <v>INSUMOS Y SERVICIOS MEDICOS S.A.</v>
          </cell>
        </row>
        <row r="1204">
          <cell r="T1204">
            <v>80000</v>
          </cell>
          <cell r="AX1204" t="str">
            <v>Correctivo</v>
          </cell>
          <cell r="AY1204" t="str">
            <v>HOSPITAL DR. LUIS TISNE B.</v>
          </cell>
        </row>
        <row r="1205">
          <cell r="T1205">
            <v>219293</v>
          </cell>
          <cell r="AX1205" t="str">
            <v>Correctivo</v>
          </cell>
          <cell r="AY1205" t="str">
            <v>INSUMOS Y SERVICIOS MEDICOS S.A.</v>
          </cell>
        </row>
        <row r="1206">
          <cell r="T1206">
            <v>359833</v>
          </cell>
          <cell r="AX1206" t="str">
            <v>Correctivo</v>
          </cell>
          <cell r="AY1206" t="str">
            <v>HOSPITAL DR. LUIS TISNE B.</v>
          </cell>
        </row>
        <row r="1207">
          <cell r="T1207">
            <v>359833</v>
          </cell>
          <cell r="AX1207" t="str">
            <v>Correctivo</v>
          </cell>
          <cell r="AY1207" t="str">
            <v>HOSPITAL DR. LUIS TISNE B.</v>
          </cell>
        </row>
        <row r="1208">
          <cell r="T1208">
            <v>5088394</v>
          </cell>
          <cell r="AX1208" t="str">
            <v>Correctivo</v>
          </cell>
          <cell r="AY1208" t="str">
            <v>INSUMOS Y SERVICIOS MEDICOS S.A.</v>
          </cell>
        </row>
        <row r="1209">
          <cell r="T1209">
            <v>6507883</v>
          </cell>
          <cell r="AX1209" t="str">
            <v>Correctivo</v>
          </cell>
          <cell r="AY1209" t="str">
            <v>INSUMOS Y SERVICIOS MEDICOS S.A.</v>
          </cell>
        </row>
        <row r="1210">
          <cell r="T1210">
            <v>9519510</v>
          </cell>
          <cell r="AX1210" t="str">
            <v>Correctivo</v>
          </cell>
          <cell r="AY1210" t="str">
            <v>HOSPITAL DEL SALVADOR</v>
          </cell>
        </row>
        <row r="1211">
          <cell r="T1211">
            <v>140543</v>
          </cell>
          <cell r="AX1211" t="str">
            <v>Correctivo</v>
          </cell>
          <cell r="AY1211" t="str">
            <v>INSUMOS Y SERVICIOS MEDICOS S.A.</v>
          </cell>
        </row>
        <row r="1212">
          <cell r="T1212">
            <v>2397780</v>
          </cell>
          <cell r="AX1212" t="str">
            <v>Correctivo</v>
          </cell>
          <cell r="AY1212" t="str">
            <v>INSUMOS Y SERVICIOS MEDICOS S.A.</v>
          </cell>
        </row>
        <row r="1213">
          <cell r="T1213">
            <v>1362375</v>
          </cell>
          <cell r="AX1213" t="str">
            <v>Correctivo</v>
          </cell>
          <cell r="AY1213" t="str">
            <v>INSUMOS Y SERVICIOS MEDICOS S.A.</v>
          </cell>
        </row>
        <row r="1214">
          <cell r="T1214">
            <v>1694154</v>
          </cell>
          <cell r="AX1214" t="str">
            <v>Correctivo</v>
          </cell>
          <cell r="AY1214" t="str">
            <v>HOSPITAL CLINICO SAN BORJA-ARRIARAN</v>
          </cell>
        </row>
        <row r="1215">
          <cell r="T1215">
            <v>1198890</v>
          </cell>
          <cell r="AX1215" t="str">
            <v>Correctivo</v>
          </cell>
          <cell r="AY1215" t="str">
            <v>INSUMOS Y SERVICIOS MEDICOS S.A.</v>
          </cell>
        </row>
        <row r="1216">
          <cell r="T1216">
            <v>649424</v>
          </cell>
          <cell r="AX1216" t="str">
            <v>Correctivo</v>
          </cell>
          <cell r="AY1216" t="str">
            <v>INSUMOS Y SERVICIOS MEDICOS S.A.</v>
          </cell>
        </row>
        <row r="1217">
          <cell r="T1217">
            <v>649424</v>
          </cell>
          <cell r="AX1217" t="str">
            <v>Correctivo</v>
          </cell>
          <cell r="AY1217" t="str">
            <v>HOSPITAL DR. LUIS TISNE B.</v>
          </cell>
        </row>
        <row r="1218">
          <cell r="T1218">
            <v>2785744</v>
          </cell>
          <cell r="AX1218" t="str">
            <v>Correctivo</v>
          </cell>
          <cell r="AY1218" t="str">
            <v>HOSPITAL EXEQUIEL GONZALEZ CORTES</v>
          </cell>
        </row>
        <row r="1219">
          <cell r="T1219">
            <v>696090</v>
          </cell>
          <cell r="AX1219" t="str">
            <v>Correctivo</v>
          </cell>
          <cell r="AY1219" t="str">
            <v>INSUMOS Y SERVICIOS MEDICOS S.A.</v>
          </cell>
        </row>
        <row r="1220">
          <cell r="T1220">
            <v>696090</v>
          </cell>
          <cell r="AX1220" t="str">
            <v>Correctivo</v>
          </cell>
          <cell r="AY1220">
            <v>0</v>
          </cell>
        </row>
        <row r="1221">
          <cell r="T1221">
            <v>2015448</v>
          </cell>
          <cell r="AX1221" t="str">
            <v>Correctivo</v>
          </cell>
          <cell r="AY1221" t="str">
            <v>INSUMOS Y SERVICIOS MEDICOS S.A.</v>
          </cell>
        </row>
        <row r="1222">
          <cell r="T1222">
            <v>2698500</v>
          </cell>
          <cell r="AX1222" t="str">
            <v>Correctivo</v>
          </cell>
          <cell r="AY1222" t="str">
            <v>INSUMOS Y SERVICIOS MEDICOS S.A.</v>
          </cell>
        </row>
        <row r="1223">
          <cell r="T1223">
            <v>1164728</v>
          </cell>
          <cell r="AX1223" t="str">
            <v>Correctivo</v>
          </cell>
          <cell r="AY1223" t="str">
            <v>HOSPITAL DE PURRANQUE</v>
          </cell>
        </row>
        <row r="1224">
          <cell r="T1224">
            <v>11592</v>
          </cell>
          <cell r="AX1224" t="str">
            <v>Correctivo</v>
          </cell>
          <cell r="AY1224" t="str">
            <v>HOSPITAL CLINICO SAN BORJA-ARRIARAN</v>
          </cell>
        </row>
        <row r="1225">
          <cell r="T1225">
            <v>10449</v>
          </cell>
          <cell r="AX1225" t="str">
            <v>Correctivo</v>
          </cell>
          <cell r="AY1225" t="str">
            <v>HOSPITAL CLINICO SAN BORJA-ARRIARAN</v>
          </cell>
        </row>
        <row r="1226">
          <cell r="T1226">
            <v>2110</v>
          </cell>
          <cell r="AX1226" t="str">
            <v>Correctivo</v>
          </cell>
          <cell r="AY1226" t="str">
            <v>HOSPITAL SAN JOSÉ</v>
          </cell>
        </row>
        <row r="1227">
          <cell r="T1227">
            <v>3165</v>
          </cell>
          <cell r="AX1227" t="str">
            <v>Correctivo</v>
          </cell>
          <cell r="AY1227" t="str">
            <v>HOSPITAL SAN JOSÉ</v>
          </cell>
        </row>
        <row r="1228">
          <cell r="T1228">
            <v>7788</v>
          </cell>
          <cell r="AX1228" t="str">
            <v>Correctivo</v>
          </cell>
          <cell r="AY1228">
            <v>0</v>
          </cell>
        </row>
        <row r="1229">
          <cell r="T1229">
            <v>535770</v>
          </cell>
          <cell r="AX1229" t="str">
            <v>Correctivo</v>
          </cell>
          <cell r="AY1229" t="str">
            <v>INSUMOS Y SERVICIOS MEDICOS S.A.</v>
          </cell>
        </row>
        <row r="1230">
          <cell r="T1230">
            <v>14575</v>
          </cell>
          <cell r="AX1230" t="str">
            <v>Correctivo</v>
          </cell>
          <cell r="AY1230" t="str">
            <v>INSUMOS Y SERVICIOS MEDICOS S.A.</v>
          </cell>
        </row>
        <row r="1231">
          <cell r="T1231">
            <v>159022</v>
          </cell>
          <cell r="AX1231" t="str">
            <v>Preventivo</v>
          </cell>
          <cell r="AY1231" t="str">
            <v>INSUMOS Y SERVICIOS MEDICOS S.A.</v>
          </cell>
        </row>
        <row r="1232">
          <cell r="T1232">
            <v>336562</v>
          </cell>
          <cell r="AX1232" t="str">
            <v>Correctivo</v>
          </cell>
          <cell r="AY1232" t="str">
            <v>INSUMOS Y SERVICIOS MEDICOS S.A.</v>
          </cell>
        </row>
        <row r="1233">
          <cell r="T1233">
            <v>49174</v>
          </cell>
          <cell r="AX1233" t="str">
            <v>Correctivo</v>
          </cell>
          <cell r="AY1233">
            <v>0</v>
          </cell>
        </row>
        <row r="1234">
          <cell r="T1234">
            <v>63122</v>
          </cell>
          <cell r="AX1234" t="str">
            <v>Correctivo</v>
          </cell>
          <cell r="AY1234">
            <v>0</v>
          </cell>
        </row>
        <row r="1235">
          <cell r="T1235">
            <v>327084</v>
          </cell>
          <cell r="AX1235" t="str">
            <v>Correctivo</v>
          </cell>
          <cell r="AY1235">
            <v>0</v>
          </cell>
        </row>
        <row r="1236">
          <cell r="T1236">
            <v>173250</v>
          </cell>
          <cell r="AX1236" t="str">
            <v>Correctivo</v>
          </cell>
          <cell r="AY1236" t="str">
            <v>INSTITUTO OFTALMOLÓGICO PUERTA DEL SOL S.A.</v>
          </cell>
        </row>
        <row r="1237">
          <cell r="T1237">
            <v>123733</v>
          </cell>
          <cell r="AX1237" t="str">
            <v>Correctivo</v>
          </cell>
          <cell r="AY1237" t="str">
            <v>FUNDACIÓN OFTALMOLÓGICA LOS ANDES</v>
          </cell>
        </row>
        <row r="1238">
          <cell r="T1238">
            <v>123733</v>
          </cell>
          <cell r="AX1238" t="str">
            <v>Correctivo</v>
          </cell>
          <cell r="AY1238" t="str">
            <v>FUNDACIÓN OFTALMOLÓGICA LOS ANDES</v>
          </cell>
        </row>
        <row r="1239">
          <cell r="T1239">
            <v>95179</v>
          </cell>
          <cell r="AX1239" t="str">
            <v>Preventivo</v>
          </cell>
          <cell r="AY1239">
            <v>0</v>
          </cell>
        </row>
        <row r="1240">
          <cell r="T1240">
            <v>1517890</v>
          </cell>
          <cell r="AX1240" t="str">
            <v>Correctivo</v>
          </cell>
          <cell r="AY1240" t="str">
            <v>EJERCITO DE CHILE CENTRAL ODONTOLOGICA D</v>
          </cell>
        </row>
        <row r="1241">
          <cell r="T1241">
            <v>139422</v>
          </cell>
          <cell r="AX1241" t="str">
            <v>Correctivo</v>
          </cell>
          <cell r="AY1241">
            <v>0</v>
          </cell>
        </row>
        <row r="1242">
          <cell r="T1242">
            <v>23456</v>
          </cell>
          <cell r="AX1242" t="str">
            <v>Correctivo</v>
          </cell>
          <cell r="AY1242" t="str">
            <v>FUNDACIÓN OFTALMOLÓGICA LOS ANDES</v>
          </cell>
        </row>
        <row r="1243">
          <cell r="T1243">
            <v>23456</v>
          </cell>
          <cell r="AX1243" t="str">
            <v>Correctivo</v>
          </cell>
          <cell r="AY1243" t="str">
            <v>FUNDACIÓN OFTALMOLÓGICA LOS ANDES</v>
          </cell>
        </row>
        <row r="1244">
          <cell r="T1244">
            <v>45622</v>
          </cell>
          <cell r="AX1244" t="str">
            <v>Correctivo</v>
          </cell>
          <cell r="AY1244" t="str">
            <v>EJERCITO DE CHILE CENTRAL ODONTOLOGICA D</v>
          </cell>
        </row>
        <row r="1245">
          <cell r="T1245">
            <v>1608656</v>
          </cell>
          <cell r="AX1245" t="str">
            <v>Correctivo</v>
          </cell>
          <cell r="AY1245" t="str">
            <v>FUNDACIÓN OFTALMOLÓGICA LOS ANDES</v>
          </cell>
        </row>
        <row r="1246">
          <cell r="T1246">
            <v>1608656</v>
          </cell>
          <cell r="AX1246" t="str">
            <v>Correctivo</v>
          </cell>
          <cell r="AY1246" t="str">
            <v>FUNDACIÓN OFTALMOLÓGICA LOS ANDES</v>
          </cell>
        </row>
        <row r="1247">
          <cell r="T1247">
            <v>217250</v>
          </cell>
          <cell r="AX1247" t="str">
            <v>Correctivo</v>
          </cell>
          <cell r="AY1247">
            <v>0</v>
          </cell>
        </row>
        <row r="1248">
          <cell r="T1248">
            <v>217250</v>
          </cell>
          <cell r="AX1248" t="str">
            <v>Preventivo</v>
          </cell>
          <cell r="AY1248">
            <v>0</v>
          </cell>
        </row>
        <row r="1249">
          <cell r="T1249">
            <v>108379</v>
          </cell>
          <cell r="AX1249" t="str">
            <v>Correctivo</v>
          </cell>
          <cell r="AY1249">
            <v>0</v>
          </cell>
        </row>
        <row r="1250">
          <cell r="T1250">
            <v>108379</v>
          </cell>
          <cell r="AX1250" t="str">
            <v>Correctivo</v>
          </cell>
          <cell r="AY1250">
            <v>0</v>
          </cell>
        </row>
        <row r="1251">
          <cell r="T1251">
            <v>99566</v>
          </cell>
          <cell r="AX1251" t="str">
            <v>Correctivo</v>
          </cell>
          <cell r="AY1251">
            <v>0</v>
          </cell>
        </row>
        <row r="1252">
          <cell r="T1252">
            <v>108379</v>
          </cell>
          <cell r="AX1252" t="str">
            <v>Correctivo</v>
          </cell>
          <cell r="AY1252">
            <v>0</v>
          </cell>
        </row>
        <row r="1253">
          <cell r="T1253">
            <v>89565</v>
          </cell>
          <cell r="AX1253" t="str">
            <v>Correctivo</v>
          </cell>
          <cell r="AY1253">
            <v>0</v>
          </cell>
        </row>
        <row r="1254">
          <cell r="T1254">
            <v>99566</v>
          </cell>
          <cell r="AX1254" t="str">
            <v>Correctivo</v>
          </cell>
          <cell r="AY1254">
            <v>0</v>
          </cell>
        </row>
        <row r="1255">
          <cell r="T1255">
            <v>123008</v>
          </cell>
          <cell r="AX1255" t="str">
            <v>Preventivo</v>
          </cell>
          <cell r="AY1255">
            <v>0</v>
          </cell>
        </row>
        <row r="1256">
          <cell r="T1256">
            <v>232202</v>
          </cell>
          <cell r="AX1256" t="str">
            <v>Preventivo</v>
          </cell>
          <cell r="AY1256">
            <v>0</v>
          </cell>
        </row>
        <row r="1257">
          <cell r="T1257">
            <v>155361</v>
          </cell>
          <cell r="AX1257" t="str">
            <v>Correctivo</v>
          </cell>
          <cell r="AY1257">
            <v>0</v>
          </cell>
        </row>
        <row r="1258">
          <cell r="T1258">
            <v>155361</v>
          </cell>
          <cell r="AX1258" t="str">
            <v>Correctivo</v>
          </cell>
          <cell r="AY1258">
            <v>0</v>
          </cell>
        </row>
        <row r="1259">
          <cell r="T1259">
            <v>155361</v>
          </cell>
          <cell r="AX1259" t="str">
            <v>Correctivo</v>
          </cell>
          <cell r="AY1259">
            <v>0</v>
          </cell>
        </row>
        <row r="1260">
          <cell r="T1260">
            <v>186914</v>
          </cell>
          <cell r="AX1260" t="str">
            <v>Correctivo</v>
          </cell>
          <cell r="AY1260">
            <v>0</v>
          </cell>
        </row>
        <row r="1261">
          <cell r="T1261">
            <v>327250</v>
          </cell>
          <cell r="AX1261" t="str">
            <v>Preventivo</v>
          </cell>
          <cell r="AY1261">
            <v>0</v>
          </cell>
        </row>
        <row r="1262">
          <cell r="T1262">
            <v>327250</v>
          </cell>
          <cell r="AX1262" t="str">
            <v>Correctivo</v>
          </cell>
          <cell r="AY1262">
            <v>0</v>
          </cell>
        </row>
        <row r="1263">
          <cell r="T1263">
            <v>155598</v>
          </cell>
          <cell r="AX1263" t="str">
            <v>Preventivo</v>
          </cell>
          <cell r="AY1263">
            <v>0</v>
          </cell>
        </row>
        <row r="1264">
          <cell r="T1264">
            <v>233888</v>
          </cell>
          <cell r="AX1264" t="str">
            <v>Preventivo</v>
          </cell>
          <cell r="AY1264">
            <v>0</v>
          </cell>
        </row>
        <row r="1265">
          <cell r="T1265">
            <v>205763</v>
          </cell>
          <cell r="AX1265" t="str">
            <v>Correctivo</v>
          </cell>
          <cell r="AY1265">
            <v>0</v>
          </cell>
        </row>
        <row r="1266">
          <cell r="T1266">
            <v>166495</v>
          </cell>
          <cell r="AX1266" t="str">
            <v>Correctivo</v>
          </cell>
          <cell r="AY1266">
            <v>0</v>
          </cell>
        </row>
        <row r="1267">
          <cell r="T1267">
            <v>837145</v>
          </cell>
          <cell r="AX1267" t="str">
            <v>Correctivo</v>
          </cell>
          <cell r="AY1267">
            <v>0</v>
          </cell>
        </row>
        <row r="1268">
          <cell r="T1268">
            <v>251018</v>
          </cell>
          <cell r="AX1268" t="str">
            <v>Correctivo</v>
          </cell>
          <cell r="AY1268">
            <v>0</v>
          </cell>
        </row>
        <row r="1269">
          <cell r="T1269">
            <v>181677</v>
          </cell>
          <cell r="AX1269" t="str">
            <v>Correctivo</v>
          </cell>
          <cell r="AY1269">
            <v>0</v>
          </cell>
        </row>
        <row r="1270">
          <cell r="T1270">
            <v>141552</v>
          </cell>
          <cell r="AX1270" t="str">
            <v>Correctivo</v>
          </cell>
          <cell r="AY1270">
            <v>0</v>
          </cell>
        </row>
        <row r="1271">
          <cell r="T1271">
            <v>251018</v>
          </cell>
          <cell r="AX1271" t="str">
            <v>Correctivo</v>
          </cell>
          <cell r="AY1271">
            <v>0</v>
          </cell>
        </row>
        <row r="1272">
          <cell r="T1272">
            <v>45045</v>
          </cell>
          <cell r="AX1272" t="str">
            <v>Correctivo</v>
          </cell>
          <cell r="AY1272" t="str">
            <v>INSTITUTO OFTALMOLÓGICO PUERTA DEL SOL S.A.</v>
          </cell>
        </row>
        <row r="1273">
          <cell r="T1273">
            <v>452183</v>
          </cell>
          <cell r="AX1273" t="str">
            <v>Preventivo</v>
          </cell>
          <cell r="AY1273">
            <v>0</v>
          </cell>
        </row>
        <row r="1274">
          <cell r="T1274">
            <v>141271</v>
          </cell>
          <cell r="AX1274" t="str">
            <v>Correctivo</v>
          </cell>
          <cell r="AY1274">
            <v>0</v>
          </cell>
        </row>
        <row r="1275">
          <cell r="T1275">
            <v>239700</v>
          </cell>
          <cell r="AX1275" t="str">
            <v>Correctivo</v>
          </cell>
          <cell r="AY1275">
            <v>0</v>
          </cell>
        </row>
        <row r="1276">
          <cell r="T1276">
            <v>239700</v>
          </cell>
          <cell r="AX1276" t="str">
            <v>Correctivo</v>
          </cell>
          <cell r="AY1276">
            <v>0</v>
          </cell>
        </row>
        <row r="1277">
          <cell r="T1277">
            <v>108669</v>
          </cell>
          <cell r="AX1277" t="str">
            <v>Correctivo</v>
          </cell>
          <cell r="AY1277">
            <v>0</v>
          </cell>
        </row>
        <row r="1278">
          <cell r="T1278">
            <v>170000</v>
          </cell>
          <cell r="AX1278" t="str">
            <v>Correctivo</v>
          </cell>
          <cell r="AY1278" t="str">
            <v>SOCIEDAD CONCESIONARIA METROPOLITANA DE SALUD S.A.</v>
          </cell>
        </row>
        <row r="1279">
          <cell r="T1279">
            <v>225510</v>
          </cell>
          <cell r="AX1279" t="str">
            <v>Correctivo</v>
          </cell>
          <cell r="AY1279" t="str">
            <v>HOSPITAL CLINICO DE LA FUERZA AEREA FACH GRAL DR RAUL YAZIGI JAUREGUI</v>
          </cell>
        </row>
        <row r="1280">
          <cell r="T1280">
            <v>27200</v>
          </cell>
          <cell r="AX1280" t="str">
            <v>Correctivo</v>
          </cell>
          <cell r="AY1280" t="str">
            <v>INSUMOS Y SERVICIOS MEDICOS S.A.</v>
          </cell>
        </row>
        <row r="1281">
          <cell r="T1281">
            <v>7285</v>
          </cell>
          <cell r="AX1281" t="str">
            <v>Correctivo</v>
          </cell>
          <cell r="AY1281" t="str">
            <v>INSUMOS Y SERVICIOS MEDICOS S.A.</v>
          </cell>
        </row>
        <row r="1282">
          <cell r="T1282">
            <v>17895</v>
          </cell>
          <cell r="AX1282" t="str">
            <v>Correctivo</v>
          </cell>
          <cell r="AY1282">
            <v>0</v>
          </cell>
        </row>
        <row r="1283">
          <cell r="T1283">
            <v>38360</v>
          </cell>
          <cell r="AX1283" t="str">
            <v>Correctivo</v>
          </cell>
          <cell r="AY1283" t="str">
            <v>COMPLEJO ASISTENCIAL DR.SOTERO DEL RIO</v>
          </cell>
        </row>
        <row r="1284">
          <cell r="T1284">
            <v>6836</v>
          </cell>
          <cell r="AX1284" t="str">
            <v>Correctivo</v>
          </cell>
          <cell r="AY1284" t="str">
            <v>INSUMOS Y SERVICIOS MEDICOS S.A.</v>
          </cell>
        </row>
        <row r="1285">
          <cell r="T1285">
            <v>12360</v>
          </cell>
          <cell r="AX1285" t="str">
            <v>Correctivo</v>
          </cell>
          <cell r="AY1285" t="str">
            <v>HOSPITAL CLINICO SAN BORJA-ARRIARAN</v>
          </cell>
        </row>
        <row r="1286">
          <cell r="T1286">
            <v>4100</v>
          </cell>
          <cell r="AX1286" t="str">
            <v>Correctivo</v>
          </cell>
          <cell r="AY1286">
            <v>0</v>
          </cell>
        </row>
        <row r="1287">
          <cell r="T1287">
            <v>16400</v>
          </cell>
          <cell r="AX1287" t="str">
            <v>Correctivo</v>
          </cell>
          <cell r="AY1287" t="str">
            <v>INSUMOS Y SERVICIOS MEDICOS S.A.</v>
          </cell>
        </row>
        <row r="1288">
          <cell r="T1288">
            <v>115920</v>
          </cell>
          <cell r="AX1288" t="str">
            <v>Correctivo</v>
          </cell>
          <cell r="AY1288" t="str">
            <v>SOCIEDAD CONCESIONARIA METROPOLITANA DE SALUD S.A.</v>
          </cell>
        </row>
        <row r="1289">
          <cell r="T1289">
            <v>25998</v>
          </cell>
          <cell r="AX1289" t="str">
            <v>Correctivo</v>
          </cell>
          <cell r="AY1289" t="str">
            <v>HOSPITAL CLINICO SAN BORJA-ARRIARAN</v>
          </cell>
        </row>
        <row r="1290">
          <cell r="T1290">
            <v>35980</v>
          </cell>
          <cell r="AX1290" t="str">
            <v>Correctivo</v>
          </cell>
          <cell r="AY1290" t="str">
            <v>SOCIEDAD CONCESIONARIA METROPOLITANA DE SALUD S.A.</v>
          </cell>
        </row>
        <row r="1291">
          <cell r="T1291">
            <v>8221500</v>
          </cell>
          <cell r="AX1291" t="str">
            <v>Correctivo</v>
          </cell>
          <cell r="AY1291" t="str">
            <v>SERVICIO NACIONAL DE SALUD HOSPITAL DE LOTA</v>
          </cell>
        </row>
        <row r="1292">
          <cell r="T1292">
            <v>278250</v>
          </cell>
          <cell r="AX1292" t="str">
            <v>Correctivo</v>
          </cell>
          <cell r="AY1292" t="str">
            <v>SERVICIO NACIONAL DE SALUD HOSPITAL DE LOTA</v>
          </cell>
        </row>
        <row r="1293">
          <cell r="T1293">
            <v>1008561</v>
          </cell>
          <cell r="AX1293" t="str">
            <v>Correctivo</v>
          </cell>
          <cell r="AY1293" t="str">
            <v>HOSPITAL COMPLEJO ASISTENCIAL PADRE LAS CASAS</v>
          </cell>
        </row>
        <row r="1294">
          <cell r="T1294">
            <v>2199900</v>
          </cell>
          <cell r="AX1294" t="str">
            <v>Correctivo</v>
          </cell>
          <cell r="AY1294" t="str">
            <v>HOSPITAL COMPLEJO ASISTENCIAL PADRE LAS CASAS</v>
          </cell>
        </row>
        <row r="1295">
          <cell r="T1295">
            <v>2199900</v>
          </cell>
          <cell r="AX1295" t="str">
            <v>Correctivo</v>
          </cell>
          <cell r="AY1295" t="str">
            <v>HOSPITAL COMPLEJO ASISTENCIAL PADRE LAS CASAS</v>
          </cell>
        </row>
        <row r="1296">
          <cell r="T1296">
            <v>1008561</v>
          </cell>
          <cell r="AX1296" t="str">
            <v>Correctivo</v>
          </cell>
          <cell r="AY1296" t="str">
            <v>HOSPITAL COMPLEJO ASISTENCIAL PADRE LAS CASAS</v>
          </cell>
        </row>
        <row r="1297">
          <cell r="T1297">
            <v>15002</v>
          </cell>
          <cell r="AX1297" t="str">
            <v>Correctivo</v>
          </cell>
          <cell r="AY1297" t="str">
            <v>INSUMOS Y SERVICIOS MEDICOS S.A.</v>
          </cell>
        </row>
        <row r="1298">
          <cell r="T1298">
            <v>378406</v>
          </cell>
          <cell r="AX1298" t="str">
            <v>Correctivo</v>
          </cell>
          <cell r="AY1298" t="str">
            <v>INSUMOS Y SERVICIOS MEDICOS S.A.</v>
          </cell>
        </row>
        <row r="1299">
          <cell r="T1299">
            <v>50164</v>
          </cell>
          <cell r="AX1299" t="str">
            <v>Correctivo</v>
          </cell>
          <cell r="AY1299">
            <v>0</v>
          </cell>
        </row>
        <row r="1300">
          <cell r="T1300">
            <v>316000</v>
          </cell>
          <cell r="AX1300" t="str">
            <v>Correctivo</v>
          </cell>
          <cell r="AY1300">
            <v>0</v>
          </cell>
        </row>
        <row r="1301">
          <cell r="T1301">
            <v>316000</v>
          </cell>
          <cell r="AX1301" t="str">
            <v>Correctivo</v>
          </cell>
          <cell r="AY1301">
            <v>0</v>
          </cell>
        </row>
        <row r="1302">
          <cell r="T1302">
            <v>316000</v>
          </cell>
          <cell r="AX1302" t="str">
            <v>Correctivo</v>
          </cell>
          <cell r="AY1302">
            <v>0</v>
          </cell>
        </row>
        <row r="1303">
          <cell r="T1303">
            <v>316000</v>
          </cell>
          <cell r="AX1303" t="str">
            <v>Correctivo</v>
          </cell>
          <cell r="AY1303" t="str">
            <v>SOCIEDAD CONCESIONARIA METROPOLITANA DE SALUD S.A.</v>
          </cell>
        </row>
        <row r="1304">
          <cell r="T1304">
            <v>316000</v>
          </cell>
          <cell r="AX1304" t="str">
            <v>Correctivo</v>
          </cell>
          <cell r="AY1304" t="str">
            <v>SOCIEDAD CONCESIONARIA METROPOLITANA DE SALUD S.A.</v>
          </cell>
        </row>
        <row r="1305">
          <cell r="T1305">
            <v>42710</v>
          </cell>
          <cell r="AX1305" t="str">
            <v>Correctivo</v>
          </cell>
          <cell r="AY1305" t="str">
            <v>INSUMOS Y SERVICIOS MEDICOS S.A.</v>
          </cell>
        </row>
        <row r="1306">
          <cell r="T1306">
            <v>21032</v>
          </cell>
          <cell r="AX1306" t="str">
            <v>Preventivo</v>
          </cell>
          <cell r="AY1306">
            <v>0</v>
          </cell>
        </row>
        <row r="1307">
          <cell r="T1307">
            <v>244630</v>
          </cell>
          <cell r="AX1307" t="str">
            <v>Correctivo</v>
          </cell>
          <cell r="AY1307">
            <v>0</v>
          </cell>
        </row>
        <row r="1308">
          <cell r="T1308">
            <v>307376</v>
          </cell>
          <cell r="AX1308" t="str">
            <v>Correctivo</v>
          </cell>
          <cell r="AY1308">
            <v>0</v>
          </cell>
        </row>
        <row r="1309">
          <cell r="T1309">
            <v>13621</v>
          </cell>
          <cell r="AX1309" t="str">
            <v>Preventivo</v>
          </cell>
          <cell r="AY1309">
            <v>0</v>
          </cell>
        </row>
        <row r="1310">
          <cell r="T1310">
            <v>62256</v>
          </cell>
          <cell r="AX1310" t="str">
            <v>Correctivo</v>
          </cell>
          <cell r="AY1310" t="str">
            <v>JOHNSON &amp; JOHNSON DE CHILE S.A.</v>
          </cell>
        </row>
        <row r="1311">
          <cell r="T1311">
            <v>393404</v>
          </cell>
          <cell r="AX1311" t="str">
            <v>Correctivo</v>
          </cell>
          <cell r="AY1311" t="str">
            <v>INSUMOS Y SERVICIOS MEDICOS S.A.</v>
          </cell>
        </row>
        <row r="1312">
          <cell r="T1312">
            <v>393404</v>
          </cell>
          <cell r="AX1312" t="str">
            <v>Correctivo</v>
          </cell>
          <cell r="AY1312" t="str">
            <v>INSUMOS Y SERVICIOS MEDICOS S.A.</v>
          </cell>
        </row>
        <row r="1313">
          <cell r="T1313">
            <v>83808</v>
          </cell>
          <cell r="AX1313" t="str">
            <v>Preventivo</v>
          </cell>
          <cell r="AY1313">
            <v>0</v>
          </cell>
        </row>
        <row r="1314">
          <cell r="T1314">
            <v>269682</v>
          </cell>
          <cell r="AX1314" t="str">
            <v>Correctivo</v>
          </cell>
          <cell r="AY1314" t="str">
            <v>INSTITUTO OFTALMOLÓGICO PUERTA DEL SOL S.A.</v>
          </cell>
        </row>
        <row r="1315">
          <cell r="T1315">
            <v>539364</v>
          </cell>
          <cell r="AX1315" t="str">
            <v>Correctivo</v>
          </cell>
          <cell r="AY1315">
            <v>0</v>
          </cell>
        </row>
        <row r="1316">
          <cell r="T1316">
            <v>279600</v>
          </cell>
          <cell r="AX1316" t="str">
            <v>Correctivo</v>
          </cell>
          <cell r="AY1316" t="str">
            <v>HOSPITAL DE ANDACOLLO</v>
          </cell>
        </row>
        <row r="1317">
          <cell r="T1317">
            <v>70119</v>
          </cell>
          <cell r="AX1317" t="str">
            <v>Preventivo</v>
          </cell>
          <cell r="AY1317">
            <v>0</v>
          </cell>
        </row>
        <row r="1318">
          <cell r="T1318">
            <v>1017312</v>
          </cell>
          <cell r="AX1318" t="str">
            <v>Correctivo</v>
          </cell>
          <cell r="AY1318">
            <v>0</v>
          </cell>
        </row>
        <row r="1319">
          <cell r="T1319">
            <v>3621528</v>
          </cell>
          <cell r="AX1319" t="str">
            <v>Preventivo</v>
          </cell>
          <cell r="AY1319" t="str">
            <v>CLÍNICA INTERMEDICAL LTDA.</v>
          </cell>
        </row>
        <row r="1320">
          <cell r="T1320">
            <v>3336680</v>
          </cell>
          <cell r="AX1320" t="str">
            <v>Correctivo</v>
          </cell>
          <cell r="AY1320" t="str">
            <v>HOSPITAL SAN PABLO DE COQUIMBO</v>
          </cell>
        </row>
        <row r="1321">
          <cell r="T1321">
            <v>3336680</v>
          </cell>
          <cell r="AX1321" t="str">
            <v>Correctivo</v>
          </cell>
          <cell r="AY1321" t="str">
            <v>HOSPITAL SAN PABLO DE COQUIMBO</v>
          </cell>
        </row>
        <row r="1322">
          <cell r="T1322">
            <v>1155000</v>
          </cell>
          <cell r="AX1322" t="str">
            <v>Correctivo</v>
          </cell>
          <cell r="AY1322" t="str">
            <v>HOSPITAL SAN PABLO DE COQUIMBO</v>
          </cell>
        </row>
        <row r="1323">
          <cell r="T1323">
            <v>1155000</v>
          </cell>
          <cell r="AX1323" t="str">
            <v>Correctivo</v>
          </cell>
          <cell r="AY1323" t="str">
            <v>CLÍNICA INTERMEDICAL LTDA.</v>
          </cell>
        </row>
        <row r="1324">
          <cell r="T1324">
            <v>1155000</v>
          </cell>
          <cell r="AX1324" t="str">
            <v>Correctivo</v>
          </cell>
          <cell r="AY1324" t="str">
            <v>CLINICA REDMEDICAL</v>
          </cell>
        </row>
        <row r="1325">
          <cell r="T1325">
            <v>5850</v>
          </cell>
          <cell r="AX1325" t="str">
            <v>Correctivo</v>
          </cell>
          <cell r="AY1325" t="str">
            <v>INSUMOS Y SERVICIOS MEDICOS S.A.</v>
          </cell>
        </row>
        <row r="1326">
          <cell r="T1326">
            <v>127430</v>
          </cell>
          <cell r="AX1326" t="str">
            <v>Correctivo</v>
          </cell>
          <cell r="AY1326" t="str">
            <v>CORPORACION MUNICIPAL DE CONCHALI</v>
          </cell>
        </row>
        <row r="1327">
          <cell r="T1327">
            <v>241102</v>
          </cell>
          <cell r="AX1327" t="str">
            <v>Correctivo</v>
          </cell>
          <cell r="AY1327" t="str">
            <v>INSUMOS Y SERVICIOS MEDICOS S.A.</v>
          </cell>
        </row>
        <row r="1328">
          <cell r="T1328">
            <v>25231</v>
          </cell>
          <cell r="AX1328" t="str">
            <v>Correctivo</v>
          </cell>
          <cell r="AY1328">
            <v>0</v>
          </cell>
        </row>
        <row r="1329">
          <cell r="T1329">
            <v>1746360</v>
          </cell>
          <cell r="AX1329" t="str">
            <v>Correctivo</v>
          </cell>
          <cell r="AY1329">
            <v>0</v>
          </cell>
        </row>
        <row r="1330">
          <cell r="T1330">
            <v>577050</v>
          </cell>
          <cell r="AX1330" t="str">
            <v>Correctivo</v>
          </cell>
          <cell r="AY1330" t="str">
            <v>JOHNSON &amp; JOHNSON DE CHILE S.A.</v>
          </cell>
        </row>
        <row r="1331">
          <cell r="T1331">
            <v>60000</v>
          </cell>
          <cell r="AX1331" t="str">
            <v>Correctivo</v>
          </cell>
          <cell r="AY1331" t="str">
            <v>HOSPITAL CLINICO DE LA FUERZA AEREA FACH GRAL DR RAUL YAZIGI JAUREGUI</v>
          </cell>
        </row>
        <row r="1332">
          <cell r="T1332">
            <v>4750</v>
          </cell>
          <cell r="AX1332" t="str">
            <v>Correctivo</v>
          </cell>
          <cell r="AY1332" t="str">
            <v>HOSPITAL CLINICO SAN BORJA-ARRIARAN</v>
          </cell>
        </row>
        <row r="1333">
          <cell r="T1333">
            <v>2000</v>
          </cell>
          <cell r="AX1333" t="str">
            <v>Correctivo</v>
          </cell>
          <cell r="AY1333" t="str">
            <v>HOSPITAL DR. LUIS TISNE B.</v>
          </cell>
        </row>
        <row r="1334">
          <cell r="T1334">
            <v>4750</v>
          </cell>
          <cell r="AX1334" t="str">
            <v>Correctivo</v>
          </cell>
          <cell r="AY1334" t="str">
            <v>HOSPITAL CLINICO SAN BORJA-ARRIARAN</v>
          </cell>
        </row>
        <row r="1335">
          <cell r="T1335">
            <v>965580</v>
          </cell>
          <cell r="AX1335" t="str">
            <v>Preventivo</v>
          </cell>
          <cell r="AY1335" t="str">
            <v>CLINICA ALEMANA DE SANTIAGO S A</v>
          </cell>
        </row>
        <row r="1336">
          <cell r="T1336">
            <v>1307250</v>
          </cell>
          <cell r="AX1336" t="str">
            <v>Correctivo</v>
          </cell>
          <cell r="AY1336" t="str">
            <v>HOSPITAL SAN JOSÉ</v>
          </cell>
        </row>
        <row r="1337">
          <cell r="T1337">
            <v>48272</v>
          </cell>
          <cell r="AX1337" t="str">
            <v>Correctivo</v>
          </cell>
          <cell r="AY1337" t="str">
            <v>INSUMOS Y SERVICIOS MEDICOS S.A.</v>
          </cell>
        </row>
        <row r="1338">
          <cell r="T1338">
            <v>157462</v>
          </cell>
          <cell r="AX1338" t="str">
            <v>Preventivo</v>
          </cell>
          <cell r="AY1338" t="str">
            <v>INSUMOS Y SERVICIOS MEDICOS S.A.</v>
          </cell>
        </row>
        <row r="1339">
          <cell r="T1339">
            <v>54714</v>
          </cell>
          <cell r="AX1339" t="str">
            <v>Correctivo</v>
          </cell>
          <cell r="AY1339" t="str">
            <v>INSUMOS Y SERVICIOS MEDICOS S.A.</v>
          </cell>
        </row>
        <row r="1340">
          <cell r="T1340">
            <v>33149</v>
          </cell>
          <cell r="AX1340" t="str">
            <v>Correctivo</v>
          </cell>
          <cell r="AY1340" t="str">
            <v>CLINICA BIO-BIO S.A.</v>
          </cell>
        </row>
        <row r="1341">
          <cell r="T1341">
            <v>150676</v>
          </cell>
          <cell r="AX1341" t="str">
            <v>Correctivo</v>
          </cell>
          <cell r="AY1341" t="str">
            <v>SERVICIO DE SALUD ÑUBLE</v>
          </cell>
        </row>
        <row r="1342">
          <cell r="T1342">
            <v>13259</v>
          </cell>
          <cell r="AX1342" t="str">
            <v>Correctivo</v>
          </cell>
          <cell r="AY1342" t="str">
            <v>HOSPITAL BARROS LUCO TRUDEAU</v>
          </cell>
        </row>
        <row r="1343">
          <cell r="T1343">
            <v>33149</v>
          </cell>
          <cell r="AX1343" t="str">
            <v>Correctivo</v>
          </cell>
          <cell r="AY1343" t="str">
            <v>HOSPITAL BARROS LUCO TRUDEAU</v>
          </cell>
        </row>
        <row r="1344">
          <cell r="T1344">
            <v>42226</v>
          </cell>
          <cell r="AX1344" t="str">
            <v>Correctivo</v>
          </cell>
          <cell r="AY1344" t="str">
            <v>HOSPITAL BARROS LUCO TRUDEAU</v>
          </cell>
        </row>
        <row r="1345">
          <cell r="T1345">
            <v>56086</v>
          </cell>
          <cell r="AX1345" t="str">
            <v>Correctivo</v>
          </cell>
          <cell r="AY1345" t="str">
            <v>HOSPITAL BARROS LUCO TRUDEAU</v>
          </cell>
        </row>
        <row r="1346">
          <cell r="T1346">
            <v>119820</v>
          </cell>
          <cell r="AX1346" t="str">
            <v>Correctivo</v>
          </cell>
          <cell r="AY1346" t="str">
            <v>CLINICA BIO-BIO S.A.</v>
          </cell>
        </row>
        <row r="1347">
          <cell r="T1347">
            <v>8540</v>
          </cell>
          <cell r="AX1347" t="str">
            <v>Correctivo</v>
          </cell>
          <cell r="AY1347" t="str">
            <v>SERVICIO DE SALUD ÑUBLE</v>
          </cell>
        </row>
        <row r="1348">
          <cell r="T1348">
            <v>0</v>
          </cell>
          <cell r="AX1348" t="str">
            <v>Correctivo</v>
          </cell>
          <cell r="AY1348" t="str">
            <v>HOSPITAL CLAUDIO VICUÑA</v>
          </cell>
        </row>
        <row r="1349">
          <cell r="T1349">
            <v>0</v>
          </cell>
          <cell r="AX1349" t="str">
            <v>Correctivo</v>
          </cell>
          <cell r="AY1349" t="str">
            <v>HOSPITAL CLAUDIO VICUÑA</v>
          </cell>
        </row>
        <row r="1350">
          <cell r="T1350">
            <v>27500</v>
          </cell>
          <cell r="AX1350" t="str">
            <v>Correctivo</v>
          </cell>
          <cell r="AY1350" t="str">
            <v>HOSPITAL BARROS LUCO TRUDEAU</v>
          </cell>
        </row>
        <row r="1351">
          <cell r="T1351">
            <v>27500</v>
          </cell>
          <cell r="AX1351" t="str">
            <v>Correctivo</v>
          </cell>
          <cell r="AY1351" t="str">
            <v>HOSPITAL BARROS LUCO TRUDEAU</v>
          </cell>
        </row>
        <row r="1352">
          <cell r="T1352">
            <v>47193</v>
          </cell>
          <cell r="AX1352" t="str">
            <v>Correctivo</v>
          </cell>
          <cell r="AY1352" t="str">
            <v>INSUMOS Y SERVICIOS MEDICOS S.A.</v>
          </cell>
        </row>
        <row r="1353">
          <cell r="T1353">
            <v>131022</v>
          </cell>
          <cell r="AX1353" t="str">
            <v>Correctivo</v>
          </cell>
          <cell r="AY1353" t="str">
            <v>HOSPITAL SAN LUIS BUIN</v>
          </cell>
        </row>
        <row r="1354">
          <cell r="T1354">
            <v>1241333</v>
          </cell>
          <cell r="AX1354" t="str">
            <v>Correctivo</v>
          </cell>
          <cell r="AY1354" t="str">
            <v>HOSPITAL DE PUERTO MONTT</v>
          </cell>
        </row>
        <row r="1355">
          <cell r="T1355">
            <v>1291333</v>
          </cell>
          <cell r="AX1355" t="str">
            <v>Correctivo</v>
          </cell>
          <cell r="AY1355" t="str">
            <v>CLINICA ALEMANA DE SANTIAGO S A</v>
          </cell>
        </row>
        <row r="1356">
          <cell r="T1356">
            <v>1241333</v>
          </cell>
          <cell r="AX1356" t="str">
            <v>Correctivo</v>
          </cell>
          <cell r="AY1356">
            <v>0</v>
          </cell>
        </row>
        <row r="1357">
          <cell r="T1357">
            <v>400000</v>
          </cell>
          <cell r="AX1357" t="str">
            <v>Correctivo</v>
          </cell>
          <cell r="AY1357" t="str">
            <v>HOSPITAL EDUARDO PEREIRA</v>
          </cell>
        </row>
        <row r="1358">
          <cell r="T1358">
            <v>1291333</v>
          </cell>
          <cell r="AX1358" t="str">
            <v>Correctivo</v>
          </cell>
          <cell r="AY1358" t="str">
            <v>HOSPITAL DE ILLAPEL</v>
          </cell>
        </row>
        <row r="1359">
          <cell r="T1359">
            <v>8351</v>
          </cell>
          <cell r="AX1359" t="str">
            <v>Correctivo</v>
          </cell>
          <cell r="AY1359" t="str">
            <v>HOSPITAL CLINICO SAN BORJA-ARRIARAN</v>
          </cell>
        </row>
        <row r="1360">
          <cell r="T1360">
            <v>336135</v>
          </cell>
          <cell r="AX1360" t="str">
            <v>Correctivo</v>
          </cell>
          <cell r="AY1360" t="str">
            <v>HOSPITAL REGIONAL DE ARICA DR. JUAN NOÉ CREVANI</v>
          </cell>
        </row>
        <row r="1361">
          <cell r="T1361">
            <v>4990000</v>
          </cell>
          <cell r="AX1361" t="str">
            <v>Correctivo</v>
          </cell>
          <cell r="AY1361" t="str">
            <v>CLINICA MEDS LTDA</v>
          </cell>
        </row>
        <row r="1362">
          <cell r="T1362">
            <v>1241333</v>
          </cell>
          <cell r="AX1362" t="str">
            <v>Correctivo</v>
          </cell>
          <cell r="AY1362" t="str">
            <v>HOSPITAL SAN PABLO DE COQUIMBO</v>
          </cell>
        </row>
        <row r="1363">
          <cell r="T1363">
            <v>523200</v>
          </cell>
          <cell r="AX1363" t="str">
            <v>Correctivo</v>
          </cell>
          <cell r="AY1363" t="str">
            <v>HOSPITAL EDUARDO PEREIRA</v>
          </cell>
        </row>
        <row r="1364">
          <cell r="T1364">
            <v>877889</v>
          </cell>
          <cell r="AX1364" t="str">
            <v>Correctivo</v>
          </cell>
          <cell r="AY1364">
            <v>0</v>
          </cell>
        </row>
        <row r="1365">
          <cell r="T1365">
            <v>400000</v>
          </cell>
          <cell r="AX1365" t="str">
            <v>Correctivo</v>
          </cell>
          <cell r="AY1365" t="str">
            <v>HOSPITAL SAN PABLO DE COQUIMBO</v>
          </cell>
        </row>
        <row r="1366">
          <cell r="T1366">
            <v>450000</v>
          </cell>
          <cell r="AX1366" t="str">
            <v>Correctivo</v>
          </cell>
          <cell r="AY1366" t="str">
            <v>SOCIEDAD CONCESIONARIA METROPOLITANA DE SALUD S.A.</v>
          </cell>
        </row>
        <row r="1367">
          <cell r="T1367">
            <v>9337000</v>
          </cell>
          <cell r="AX1367" t="str">
            <v>Correctivo</v>
          </cell>
          <cell r="AY1367" t="str">
            <v>CLINICA MEDS LTDA</v>
          </cell>
        </row>
        <row r="1368">
          <cell r="T1368">
            <v>1088036</v>
          </cell>
          <cell r="AX1368" t="str">
            <v>Preventivo</v>
          </cell>
          <cell r="AY1368" t="str">
            <v>CLÍNICA INTERMEDICAL LTDA.</v>
          </cell>
        </row>
        <row r="1369">
          <cell r="T1369">
            <v>1341333</v>
          </cell>
          <cell r="AX1369" t="str">
            <v>Correctivo</v>
          </cell>
          <cell r="AY1369" t="str">
            <v>HOSPITAL REGIONAL DE ANTOFAGASTA</v>
          </cell>
        </row>
        <row r="1370">
          <cell r="T1370">
            <v>577889</v>
          </cell>
          <cell r="AX1370" t="str">
            <v>Correctivo</v>
          </cell>
          <cell r="AY1370" t="str">
            <v>HOSPITAL CARLOS VAN BUREN</v>
          </cell>
        </row>
        <row r="1371">
          <cell r="T1371">
            <v>1137600</v>
          </cell>
          <cell r="AX1371" t="str">
            <v>Correctivo</v>
          </cell>
          <cell r="AY1371" t="str">
            <v>HOSPITAL CARLOS VAN BUREN</v>
          </cell>
        </row>
        <row r="1372">
          <cell r="T1372">
            <v>1137600</v>
          </cell>
          <cell r="AX1372" t="str">
            <v>Correctivo</v>
          </cell>
          <cell r="AY1372" t="str">
            <v>HOSPITAL CARLOS VAN BUREN</v>
          </cell>
        </row>
        <row r="1373">
          <cell r="T1373">
            <v>1301333</v>
          </cell>
          <cell r="AX1373" t="str">
            <v>Correctivo</v>
          </cell>
          <cell r="AY1373" t="str">
            <v>CLÍNICA INTERMEDICAL LTDA.</v>
          </cell>
        </row>
        <row r="1374">
          <cell r="T1374">
            <v>1241333</v>
          </cell>
          <cell r="AX1374" t="str">
            <v>Correctivo</v>
          </cell>
          <cell r="AY1374" t="str">
            <v>HOSPITAL SAN PABLO DE COQUIMBO</v>
          </cell>
        </row>
        <row r="1375">
          <cell r="T1375">
            <v>1291333</v>
          </cell>
          <cell r="AX1375" t="str">
            <v>Correctivo</v>
          </cell>
          <cell r="AY1375" t="str">
            <v>UC CHRISTUS SERVICIOS AMBULATORIOS SPA</v>
          </cell>
        </row>
        <row r="1376">
          <cell r="T1376">
            <v>1321333</v>
          </cell>
          <cell r="AX1376" t="str">
            <v>Correctivo</v>
          </cell>
          <cell r="AY1376" t="str">
            <v>CLINICA REDMEDICAL</v>
          </cell>
        </row>
        <row r="1377">
          <cell r="T1377">
            <v>7979998</v>
          </cell>
          <cell r="AX1377" t="str">
            <v>Correctivo</v>
          </cell>
          <cell r="AY1377" t="str">
            <v>CLINICA LAS CONDES S.A.</v>
          </cell>
        </row>
        <row r="1378">
          <cell r="T1378">
            <v>1291333</v>
          </cell>
          <cell r="AX1378" t="str">
            <v>Correctivo</v>
          </cell>
          <cell r="AY1378">
            <v>0</v>
          </cell>
        </row>
        <row r="1379">
          <cell r="T1379">
            <v>1291333</v>
          </cell>
          <cell r="AX1379" t="str">
            <v>Correctivo</v>
          </cell>
          <cell r="AY1379" t="str">
            <v>HOSPITAL REGIONAL DE ARICA DR. JUAN NOÉ CREVANI</v>
          </cell>
        </row>
        <row r="1380">
          <cell r="T1380">
            <v>755600</v>
          </cell>
          <cell r="AX1380" t="str">
            <v>Correctivo</v>
          </cell>
          <cell r="AY1380" t="str">
            <v>LABORATORIO CLINICO CENTRAL KOJCHEN Y COMPANIA LIMITADA</v>
          </cell>
        </row>
        <row r="1381">
          <cell r="T1381">
            <v>755600</v>
          </cell>
          <cell r="AX1381" t="str">
            <v>Correctivo</v>
          </cell>
          <cell r="AY1381" t="str">
            <v>HOSPITAL EDUARDO PEREIRA</v>
          </cell>
        </row>
        <row r="1382">
          <cell r="T1382">
            <v>755600</v>
          </cell>
          <cell r="AX1382" t="str">
            <v>Correctivo</v>
          </cell>
          <cell r="AY1382" t="str">
            <v>HOSPITAL REGIONAL DE ANTOFAGASTA</v>
          </cell>
        </row>
        <row r="1383">
          <cell r="T1383">
            <v>755600</v>
          </cell>
          <cell r="AX1383" t="str">
            <v>Correctivo</v>
          </cell>
          <cell r="AY1383" t="str">
            <v>HOSPITAL DE URGENCIA ASISTENCIA PUBLICA DR. ALEJ</v>
          </cell>
        </row>
        <row r="1384">
          <cell r="T1384">
            <v>747015</v>
          </cell>
          <cell r="AX1384" t="str">
            <v>Correctivo</v>
          </cell>
          <cell r="AY1384" t="str">
            <v>HOSPITAL METROPOLITANO DE SANTIAGO</v>
          </cell>
        </row>
        <row r="1385">
          <cell r="T1385">
            <v>1291333</v>
          </cell>
          <cell r="AX1385" t="str">
            <v>Correctivo</v>
          </cell>
          <cell r="AY1385" t="str">
            <v>HOSPITAL METROPOLITANO DE SANTIAGO</v>
          </cell>
        </row>
        <row r="1386">
          <cell r="T1386">
            <v>755600</v>
          </cell>
          <cell r="AX1386" t="str">
            <v>Correctivo</v>
          </cell>
          <cell r="AY1386" t="str">
            <v>HOSPITAL METROPOLITANO DE SANTIAGO</v>
          </cell>
        </row>
        <row r="1387">
          <cell r="T1387">
            <v>755600</v>
          </cell>
          <cell r="AX1387" t="str">
            <v>Correctivo</v>
          </cell>
          <cell r="AY1387" t="str">
            <v>HOSPITAL METROPOLITANO DE SANTIAGO</v>
          </cell>
        </row>
        <row r="1388">
          <cell r="T1388">
            <v>5040000</v>
          </cell>
          <cell r="AX1388" t="str">
            <v>Correctivo</v>
          </cell>
          <cell r="AY1388" t="str">
            <v>CLINICA MEDS LTDA</v>
          </cell>
        </row>
        <row r="1389">
          <cell r="T1389">
            <v>755600</v>
          </cell>
          <cell r="AX1389" t="str">
            <v>Preventivo</v>
          </cell>
          <cell r="AY1389" t="str">
            <v>LABORATORIO CLINICO CENTRAL KOJCHEN Y COMPANIA LIMITADA</v>
          </cell>
        </row>
        <row r="1390">
          <cell r="T1390">
            <v>755600</v>
          </cell>
          <cell r="AX1390" t="str">
            <v>Correctivo</v>
          </cell>
          <cell r="AY1390">
            <v>0</v>
          </cell>
        </row>
        <row r="1391">
          <cell r="T1391">
            <v>743588</v>
          </cell>
          <cell r="AX1391" t="str">
            <v>Correctivo</v>
          </cell>
          <cell r="AY1391" t="str">
            <v>HOSPITAL METROPOLITANO DE SANTIAGO</v>
          </cell>
        </row>
        <row r="1392">
          <cell r="T1392">
            <v>755600</v>
          </cell>
          <cell r="AX1392" t="str">
            <v>Correctivo</v>
          </cell>
          <cell r="AY1392">
            <v>0</v>
          </cell>
        </row>
        <row r="1393">
          <cell r="T1393">
            <v>755600</v>
          </cell>
          <cell r="AX1393" t="str">
            <v>Correctivo</v>
          </cell>
          <cell r="AY1393" t="str">
            <v>CLINICA ALEMANA DE SANTIAGO S A</v>
          </cell>
        </row>
        <row r="1394">
          <cell r="T1394">
            <v>755600</v>
          </cell>
          <cell r="AX1394" t="str">
            <v>Correctivo</v>
          </cell>
          <cell r="AY1394" t="str">
            <v>HOSPITAL DE ILLAPEL</v>
          </cell>
        </row>
        <row r="1395">
          <cell r="T1395">
            <v>604480</v>
          </cell>
          <cell r="AX1395" t="str">
            <v>Correctivo</v>
          </cell>
          <cell r="AY1395" t="str">
            <v>CLÍNICA INTERMEDICAL LTDA.</v>
          </cell>
        </row>
        <row r="1396">
          <cell r="T1396">
            <v>725000</v>
          </cell>
          <cell r="AX1396" t="str">
            <v>Correctivo</v>
          </cell>
          <cell r="AY1396" t="str">
            <v>HOSPITAL CARLOS VAN BUREN</v>
          </cell>
        </row>
        <row r="1397">
          <cell r="T1397">
            <v>450000</v>
          </cell>
          <cell r="AX1397" t="str">
            <v>Correctivo</v>
          </cell>
          <cell r="AY1397" t="str">
            <v>HOSPITAL DE ILLAPEL</v>
          </cell>
        </row>
        <row r="1398">
          <cell r="T1398">
            <v>460000</v>
          </cell>
          <cell r="AX1398" t="str">
            <v>Correctivo</v>
          </cell>
          <cell r="AY1398" t="str">
            <v>HOSPITAL EDUARDO PEREIRA</v>
          </cell>
        </row>
        <row r="1399">
          <cell r="T1399">
            <v>450000</v>
          </cell>
          <cell r="AX1399" t="str">
            <v>Correctivo</v>
          </cell>
          <cell r="AY1399" t="str">
            <v>HOSPITAL EDUARDO PEREIRA</v>
          </cell>
        </row>
        <row r="1400">
          <cell r="T1400">
            <v>400000</v>
          </cell>
          <cell r="AX1400" t="str">
            <v>Correctivo</v>
          </cell>
          <cell r="AY1400" t="str">
            <v>HOSPITAL VICTOR RIOS RUIZ</v>
          </cell>
        </row>
        <row r="1401">
          <cell r="T1401">
            <v>480000</v>
          </cell>
          <cell r="AX1401" t="str">
            <v>Correctivo</v>
          </cell>
          <cell r="AY1401" t="str">
            <v>HOSPITAL DE PUERTO MONTT</v>
          </cell>
        </row>
        <row r="1402">
          <cell r="T1402">
            <v>30000</v>
          </cell>
          <cell r="AX1402" t="str">
            <v>Correctivo</v>
          </cell>
          <cell r="AY1402" t="str">
            <v>INTEGRAMEDICA S.A (Las Condes)</v>
          </cell>
        </row>
        <row r="1403">
          <cell r="T1403">
            <v>0</v>
          </cell>
          <cell r="AX1403" t="str">
            <v>Correctivo</v>
          </cell>
          <cell r="AY1403" t="str">
            <v>SOCIEDAD CONCESIONARIA METROPOLITANA DE SALUD S.A.</v>
          </cell>
        </row>
        <row r="1404">
          <cell r="T1404">
            <v>23400</v>
          </cell>
          <cell r="AX1404" t="str">
            <v>Correctivo</v>
          </cell>
          <cell r="AY1404">
            <v>0</v>
          </cell>
        </row>
        <row r="1405">
          <cell r="T1405">
            <v>119000</v>
          </cell>
          <cell r="AX1405" t="str">
            <v>Correctivo</v>
          </cell>
          <cell r="AY1405" t="str">
            <v>HOSPITAL CLAUDIO VICUÑA</v>
          </cell>
        </row>
        <row r="1406">
          <cell r="T1406">
            <v>20405</v>
          </cell>
          <cell r="AX1406" t="str">
            <v>Correctivo</v>
          </cell>
          <cell r="AY1406">
            <v>0</v>
          </cell>
        </row>
        <row r="1407">
          <cell r="T1407">
            <v>46000</v>
          </cell>
          <cell r="AX1407" t="str">
            <v>Correctivo</v>
          </cell>
          <cell r="AY1407">
            <v>0</v>
          </cell>
        </row>
        <row r="1408">
          <cell r="T1408">
            <v>5000</v>
          </cell>
          <cell r="AX1408" t="str">
            <v>Correctivo</v>
          </cell>
          <cell r="AY1408">
            <v>0</v>
          </cell>
        </row>
        <row r="1409">
          <cell r="T1409">
            <v>0</v>
          </cell>
          <cell r="AX1409" t="str">
            <v>Correctivo</v>
          </cell>
          <cell r="AY1409">
            <v>0</v>
          </cell>
        </row>
        <row r="1410">
          <cell r="T1410">
            <v>155000</v>
          </cell>
          <cell r="AX1410" t="str">
            <v>Correctivo</v>
          </cell>
          <cell r="AY1410">
            <v>0</v>
          </cell>
        </row>
        <row r="1411">
          <cell r="T1411">
            <v>0</v>
          </cell>
          <cell r="AX1411" t="str">
            <v>Correctivo</v>
          </cell>
          <cell r="AY1411">
            <v>0</v>
          </cell>
        </row>
        <row r="1412">
          <cell r="T1412">
            <v>0</v>
          </cell>
          <cell r="AX1412" t="str">
            <v>Correctivo</v>
          </cell>
          <cell r="AY1412">
            <v>0</v>
          </cell>
        </row>
        <row r="1413">
          <cell r="T1413">
            <v>12000</v>
          </cell>
          <cell r="AX1413" t="str">
            <v>Correctivo</v>
          </cell>
          <cell r="AY1413" t="str">
            <v>SOCIEDAD CONCESIONARIA METROPOLITANA DE SALUD S.A.</v>
          </cell>
        </row>
        <row r="1414">
          <cell r="T1414">
            <v>155000</v>
          </cell>
          <cell r="AX1414" t="str">
            <v>Correctivo</v>
          </cell>
          <cell r="AY1414">
            <v>0</v>
          </cell>
        </row>
        <row r="1415">
          <cell r="T1415">
            <v>27000</v>
          </cell>
          <cell r="AX1415" t="str">
            <v>Correctivo</v>
          </cell>
          <cell r="AY1415" t="str">
            <v>CLÍNICA ANDES SALUD PUERTO MONTT S.A.</v>
          </cell>
        </row>
        <row r="1416">
          <cell r="T1416">
            <v>50000</v>
          </cell>
          <cell r="AX1416" t="str">
            <v>Correctivo</v>
          </cell>
          <cell r="AY1416">
            <v>0</v>
          </cell>
        </row>
        <row r="1417">
          <cell r="T1417">
            <v>314691</v>
          </cell>
          <cell r="AX1417" t="str">
            <v>Preventivo</v>
          </cell>
          <cell r="AY1417">
            <v>0</v>
          </cell>
        </row>
        <row r="1418">
          <cell r="T1418">
            <v>8.0299999999999994</v>
          </cell>
          <cell r="AX1418" t="str">
            <v>Preventivo</v>
          </cell>
          <cell r="AY1418">
            <v>0</v>
          </cell>
        </row>
        <row r="1419">
          <cell r="T1419">
            <v>314691</v>
          </cell>
          <cell r="AX1419" t="str">
            <v>Preventivo</v>
          </cell>
          <cell r="AY1419">
            <v>0</v>
          </cell>
        </row>
        <row r="1420">
          <cell r="T1420">
            <v>314691</v>
          </cell>
          <cell r="AX1420" t="str">
            <v>Preventivo</v>
          </cell>
          <cell r="AY1420">
            <v>0</v>
          </cell>
        </row>
        <row r="1421">
          <cell r="T1421">
            <v>314691</v>
          </cell>
          <cell r="AX1421" t="str">
            <v>Preventivo</v>
          </cell>
          <cell r="AY1421">
            <v>0</v>
          </cell>
        </row>
        <row r="1422">
          <cell r="T1422">
            <v>3100782</v>
          </cell>
          <cell r="AX1422" t="str">
            <v>Preventivo</v>
          </cell>
          <cell r="AY1422" t="str">
            <v>HOSPITAL BARROS LUCO TRUDEAU</v>
          </cell>
        </row>
        <row r="1423">
          <cell r="T1423">
            <v>3194101</v>
          </cell>
          <cell r="AX1423" t="str">
            <v>Preventivo</v>
          </cell>
          <cell r="AY1423" t="str">
            <v>HOSPITAL BARROS LUCO TRUDEAU</v>
          </cell>
        </row>
        <row r="1424">
          <cell r="T1424">
            <v>102628</v>
          </cell>
          <cell r="AX1424" t="str">
            <v>Preventivo</v>
          </cell>
          <cell r="AY1424" t="str">
            <v>HOSPITAL GUILLERMO GRANT BENAVENTE</v>
          </cell>
        </row>
        <row r="1425">
          <cell r="T1425">
            <v>134323</v>
          </cell>
          <cell r="AX1425" t="str">
            <v>Preventivo</v>
          </cell>
          <cell r="AY1425" t="str">
            <v>HOSPITAL GUILLERMO GRANT BENAVENTE</v>
          </cell>
        </row>
        <row r="1426">
          <cell r="T1426">
            <v>41506</v>
          </cell>
          <cell r="AX1426" t="str">
            <v>Preventivo</v>
          </cell>
          <cell r="AY1426" t="str">
            <v>HOSPITAL GUILLERMO GRANT BENAVENTE</v>
          </cell>
        </row>
        <row r="1427">
          <cell r="T1427">
            <v>6376</v>
          </cell>
          <cell r="AX1427" t="str">
            <v>Preventivo</v>
          </cell>
          <cell r="AY1427" t="str">
            <v>HOSPITAL GUILLERMO GRANT BENAVENTE</v>
          </cell>
        </row>
        <row r="1428">
          <cell r="T1428">
            <v>65216</v>
          </cell>
          <cell r="AX1428" t="str">
            <v>Preventivo</v>
          </cell>
          <cell r="AY1428" t="str">
            <v>HOSPITAL GUILLERMO GRANT BENAVENTE</v>
          </cell>
        </row>
        <row r="1429">
          <cell r="T1429">
            <v>295624</v>
          </cell>
          <cell r="AX1429" t="str">
            <v>Preventivo</v>
          </cell>
          <cell r="AY1429" t="str">
            <v>HOSPITAL GUILLERMO GRANT BENAVENTE</v>
          </cell>
        </row>
        <row r="1430">
          <cell r="T1430">
            <v>260886</v>
          </cell>
          <cell r="AX1430" t="str">
            <v>Correctivo</v>
          </cell>
          <cell r="AY1430" t="str">
            <v>SOCIEDAD MEDICA E IMAGENEOLOGICA ANCUD LTDA</v>
          </cell>
        </row>
        <row r="1431">
          <cell r="T1431">
            <v>2237804</v>
          </cell>
          <cell r="AX1431" t="str">
            <v>Preventivo</v>
          </cell>
          <cell r="AY1431" t="str">
            <v>HOSPITAL PENCO -LIRQUEN</v>
          </cell>
        </row>
        <row r="1432">
          <cell r="T1432">
            <v>1563667</v>
          </cell>
          <cell r="AX1432" t="str">
            <v>Correctivo</v>
          </cell>
          <cell r="AY1432" t="str">
            <v>HOSPITAL VICTORIA</v>
          </cell>
        </row>
        <row r="1433">
          <cell r="T1433">
            <v>790180</v>
          </cell>
          <cell r="AX1433" t="str">
            <v>Preventivo</v>
          </cell>
          <cell r="AY1433" t="str">
            <v>HOSPITAL EXEQUIEL GONZALEZ CORTES</v>
          </cell>
        </row>
        <row r="1434">
          <cell r="T1434">
            <v>488072</v>
          </cell>
          <cell r="AX1434" t="str">
            <v>Preventivo</v>
          </cell>
          <cell r="AY1434" t="str">
            <v>SOCIEDAD CONCESIONARIA METROPOLITANA DE SALUD S.A.</v>
          </cell>
        </row>
        <row r="1435">
          <cell r="T1435">
            <v>162714</v>
          </cell>
          <cell r="AX1435" t="str">
            <v>Preventivo</v>
          </cell>
          <cell r="AY1435" t="str">
            <v>SOCIEDAD CONCESIONARIA METROPOLITANA DE SALUD S.A.</v>
          </cell>
        </row>
        <row r="1436">
          <cell r="T1436">
            <v>78900</v>
          </cell>
          <cell r="AX1436" t="str">
            <v>Preventivo</v>
          </cell>
          <cell r="AY1436" t="str">
            <v>SOCIEDAD CONCESIONARIA METROPOLITANA DE SALUD S.A.</v>
          </cell>
        </row>
        <row r="1437">
          <cell r="T1437">
            <v>152219</v>
          </cell>
          <cell r="AX1437" t="str">
            <v>Correctivo</v>
          </cell>
          <cell r="AY1437" t="str">
            <v>SERV DE SALUD BÍO BÍO - HOSPITAL DE HUEPIL</v>
          </cell>
        </row>
        <row r="1438">
          <cell r="T1438">
            <v>451349</v>
          </cell>
          <cell r="AX1438" t="str">
            <v>Correctivo</v>
          </cell>
          <cell r="AY1438" t="str">
            <v>SERV DE SALUD BÍO BÍO - HOSPITAL DE HUEPIL</v>
          </cell>
        </row>
        <row r="1439">
          <cell r="T1439">
            <v>316000</v>
          </cell>
          <cell r="AX1439" t="str">
            <v>Correctivo</v>
          </cell>
          <cell r="AY1439" t="str">
            <v>SOCIEDAD CONCESIONARIA METROPOLITANA DE SALUD S.A.</v>
          </cell>
        </row>
        <row r="1440">
          <cell r="T1440">
            <v>316000</v>
          </cell>
          <cell r="AX1440" t="str">
            <v>Preventivo</v>
          </cell>
          <cell r="AY1440" t="str">
            <v>SOCIEDAD CONCESIONARIA METROPOLITANA DE SALUD S.A.</v>
          </cell>
        </row>
        <row r="1441">
          <cell r="T1441">
            <v>316000</v>
          </cell>
          <cell r="AX1441" t="str">
            <v>Correctivo</v>
          </cell>
          <cell r="AY1441" t="str">
            <v>SOCIEDAD CONCESIONARIA METROPOLITANA DE SALUD S.A.</v>
          </cell>
        </row>
        <row r="1442">
          <cell r="T1442">
            <v>1564500</v>
          </cell>
          <cell r="AX1442" t="str">
            <v>Correctivo</v>
          </cell>
          <cell r="AY1442" t="str">
            <v>SOCIEDAD CONCESIONARIA METROPOLITANA DE SALUD S.A.</v>
          </cell>
        </row>
        <row r="1443">
          <cell r="T1443">
            <v>154090</v>
          </cell>
          <cell r="AX1443" t="str">
            <v>Correctivo</v>
          </cell>
          <cell r="AY1443" t="str">
            <v>SOCIEDAD CONCESIONARIA METROPOLITANA DE SALUD S.A.</v>
          </cell>
        </row>
        <row r="1444">
          <cell r="T1444">
            <v>28784</v>
          </cell>
          <cell r="AX1444" t="str">
            <v>Correctivo</v>
          </cell>
          <cell r="AY1444" t="str">
            <v>SOCIEDAD CONCESIONARIA METROPOLITANA DE SALUD S.A.</v>
          </cell>
        </row>
        <row r="1445">
          <cell r="T1445">
            <v>1260000</v>
          </cell>
          <cell r="AX1445" t="str">
            <v>Correctivo</v>
          </cell>
          <cell r="AY1445" t="str">
            <v>SOCIEDAD CONCESIONARIA METROPOLITANA DE SALUD S.A.</v>
          </cell>
        </row>
        <row r="1446">
          <cell r="T1446">
            <v>257850</v>
          </cell>
          <cell r="AX1446" t="str">
            <v>Correctivo</v>
          </cell>
          <cell r="AY1446" t="str">
            <v>SOCIEDAD CONCESIONARIA METROPOLITANA DE SALUD S.A.</v>
          </cell>
        </row>
        <row r="1447">
          <cell r="T1447">
            <v>1525</v>
          </cell>
          <cell r="AX1447" t="str">
            <v>Correctivo</v>
          </cell>
          <cell r="AY1447" t="str">
            <v>SOCIEDAD CONCESIONARIA METROPOLITANA DE SALUD S.A.</v>
          </cell>
        </row>
        <row r="1448">
          <cell r="T1448">
            <v>10285</v>
          </cell>
          <cell r="AX1448" t="str">
            <v>Correctivo</v>
          </cell>
          <cell r="AY1448" t="str">
            <v>SOCIEDAD CONCESIONARIA METROPOLITANA DE SALUD S.A.</v>
          </cell>
        </row>
        <row r="1449">
          <cell r="T1449">
            <v>87670</v>
          </cell>
          <cell r="AX1449" t="str">
            <v>Correctivo</v>
          </cell>
          <cell r="AY1449" t="str">
            <v>UC CHRISTUS SERVICIOS AMBULATORIOS SPA</v>
          </cell>
        </row>
        <row r="1450">
          <cell r="T1450">
            <v>450000</v>
          </cell>
          <cell r="AX1450" t="str">
            <v>Correctivo</v>
          </cell>
          <cell r="AY1450" t="str">
            <v>UC CHRISTUS SERVICIOS AMBULATORIOS SPA</v>
          </cell>
        </row>
        <row r="1451">
          <cell r="T1451">
            <v>51517</v>
          </cell>
          <cell r="AX1451" t="str">
            <v>Correctivo</v>
          </cell>
          <cell r="AY1451" t="str">
            <v>SOCIEDAD CONCESIONARIA METROPOLITANA DE SALUD S.A.</v>
          </cell>
        </row>
        <row r="1452">
          <cell r="T1452">
            <v>36231</v>
          </cell>
          <cell r="AX1452" t="str">
            <v>Correctivo</v>
          </cell>
          <cell r="AY1452" t="str">
            <v>SOCIEDAD CONCESIONARIA METROPOLITANA DE SALUD S.A.</v>
          </cell>
        </row>
        <row r="1453">
          <cell r="T1453">
            <v>24558</v>
          </cell>
          <cell r="AX1453" t="str">
            <v>Correctivo</v>
          </cell>
          <cell r="AY1453" t="str">
            <v>SOCIEDAD CONCESIONARIA METROPOLITANA DE SALUD S.A.</v>
          </cell>
        </row>
        <row r="1454">
          <cell r="T1454">
            <v>159717</v>
          </cell>
          <cell r="AX1454" t="str">
            <v>Correctivo</v>
          </cell>
          <cell r="AY1454" t="str">
            <v>SOCIEDAD CONCESIONARIA METROPOLITANA DE SALUD S.A.</v>
          </cell>
        </row>
        <row r="1455">
          <cell r="T1455">
            <v>3676491</v>
          </cell>
          <cell r="AX1455" t="str">
            <v>Preventivo</v>
          </cell>
          <cell r="AY1455">
            <v>0</v>
          </cell>
        </row>
        <row r="1456">
          <cell r="T1456">
            <v>1363594</v>
          </cell>
          <cell r="AX1456" t="str">
            <v>Preventivo</v>
          </cell>
          <cell r="AY1456">
            <v>0</v>
          </cell>
        </row>
        <row r="1457">
          <cell r="T1457">
            <v>676114</v>
          </cell>
          <cell r="AX1457" t="str">
            <v>Preventivo</v>
          </cell>
          <cell r="AY1457">
            <v>0</v>
          </cell>
        </row>
        <row r="1458">
          <cell r="T1458">
            <v>891686</v>
          </cell>
          <cell r="AX1458" t="str">
            <v>Preventivo</v>
          </cell>
          <cell r="AY1458">
            <v>0</v>
          </cell>
        </row>
        <row r="1459">
          <cell r="T1459">
            <v>1787500</v>
          </cell>
          <cell r="AX1459" t="str">
            <v>Correctivo</v>
          </cell>
          <cell r="AY1459" t="str">
            <v>SOCIEDAD CONCESIONARIA METROPOLITANA DE SALUD S.A.</v>
          </cell>
        </row>
        <row r="1460">
          <cell r="T1460">
            <v>9790709</v>
          </cell>
          <cell r="AX1460" t="str">
            <v>Preventivo</v>
          </cell>
          <cell r="AY1460">
            <v>0</v>
          </cell>
        </row>
        <row r="1461">
          <cell r="T1461">
            <v>3279608</v>
          </cell>
          <cell r="AX1461" t="str">
            <v>Correctivo</v>
          </cell>
          <cell r="AY1461">
            <v>0</v>
          </cell>
        </row>
        <row r="1462">
          <cell r="T1462">
            <v>21325007</v>
          </cell>
          <cell r="AX1462" t="str">
            <v>Preventivo</v>
          </cell>
          <cell r="AY1462" t="str">
            <v>SOCIEDAD CONCESIONARIA METROPOLITANA DE SALUD S.A.</v>
          </cell>
        </row>
        <row r="1463">
          <cell r="T1463">
            <v>472060</v>
          </cell>
          <cell r="AX1463" t="str">
            <v>Preventivo</v>
          </cell>
          <cell r="AY1463" t="str">
            <v>CESFAM VIOLETA PARRA (PUDAHUEL)</v>
          </cell>
        </row>
        <row r="1464">
          <cell r="T1464">
            <v>0</v>
          </cell>
          <cell r="AX1464" t="str">
            <v>Preventivo</v>
          </cell>
          <cell r="AY1464" t="str">
            <v>HOSPITAL CLINICO DE LA FUERZA AEREA FACH GRAL DR RAUL YAZIGI JAUREGUI</v>
          </cell>
        </row>
        <row r="1465">
          <cell r="T1465">
            <v>334950</v>
          </cell>
          <cell r="AX1465" t="str">
            <v>Correctivo</v>
          </cell>
          <cell r="AY1465" t="str">
            <v>SOCIEDAD CONCESIONARIA METROPOLITANA DE SALUD S.A.</v>
          </cell>
        </row>
        <row r="1466">
          <cell r="T1466">
            <v>546363</v>
          </cell>
          <cell r="AX1466" t="str">
            <v>Correctivo</v>
          </cell>
          <cell r="AY1466" t="str">
            <v>SOCIEDAD CONCESIONARIA METROPOLITANA DE SALUD S.A.</v>
          </cell>
        </row>
        <row r="1467">
          <cell r="T1467">
            <v>1178855</v>
          </cell>
          <cell r="AX1467" t="str">
            <v>Correctivo</v>
          </cell>
          <cell r="AY1467" t="str">
            <v>SOCIEDAD CONCESIONARIA METROPOLITANA DE SALUD S.A.</v>
          </cell>
        </row>
        <row r="1468">
          <cell r="T1468">
            <v>180512</v>
          </cell>
          <cell r="AX1468" t="str">
            <v>Correctivo</v>
          </cell>
          <cell r="AY1468" t="str">
            <v>SOCIEDAD CONCESIONARIA METROPOLITANA DE SALUD S.A.</v>
          </cell>
        </row>
        <row r="1469">
          <cell r="T1469">
            <v>20680</v>
          </cell>
          <cell r="AX1469" t="str">
            <v>Correctivo</v>
          </cell>
          <cell r="AY1469" t="str">
            <v>SOCIEDAD CONCESIONARIA METROPOLITANA DE SALUD S.A.</v>
          </cell>
        </row>
        <row r="1470">
          <cell r="T1470">
            <v>52368</v>
          </cell>
          <cell r="AX1470" t="str">
            <v>Correctivo</v>
          </cell>
          <cell r="AY1470" t="str">
            <v>SOCIEDAD CONCESIONARIA METROPOLITANA DE SALUD S.A.</v>
          </cell>
        </row>
        <row r="1471">
          <cell r="T1471">
            <v>4343345</v>
          </cell>
          <cell r="AX1471" t="str">
            <v>Correctivo</v>
          </cell>
          <cell r="AY1471" t="str">
            <v>HOSPITAL SAN PABLO DE COQUIMBO</v>
          </cell>
        </row>
        <row r="1472">
          <cell r="T1472">
            <v>3676491</v>
          </cell>
          <cell r="AX1472" t="str">
            <v>Correctivo</v>
          </cell>
          <cell r="AY1472" t="str">
            <v>REDLASER CONCEPCION SPA</v>
          </cell>
        </row>
        <row r="1473">
          <cell r="T1473">
            <v>1363594</v>
          </cell>
          <cell r="AX1473" t="str">
            <v>Correctivo</v>
          </cell>
          <cell r="AY1473" t="str">
            <v>REDLASER CONCEPCION SPA</v>
          </cell>
        </row>
        <row r="1474">
          <cell r="T1474">
            <v>676114</v>
          </cell>
          <cell r="AX1474" t="str">
            <v>Correctivo</v>
          </cell>
          <cell r="AY1474" t="str">
            <v>REDLASER CONCEPCION SPA</v>
          </cell>
        </row>
        <row r="1475">
          <cell r="T1475">
            <v>891686</v>
          </cell>
          <cell r="AX1475" t="str">
            <v>Correctivo</v>
          </cell>
          <cell r="AY1475" t="str">
            <v>REDLASER CONCEPCION SPA</v>
          </cell>
        </row>
        <row r="1476">
          <cell r="T1476">
            <v>33149</v>
          </cell>
          <cell r="AX1476" t="str">
            <v>Correctivo</v>
          </cell>
          <cell r="AY1476" t="str">
            <v>CORPORACION DE AYUDA AL NIÑO QUEMADO</v>
          </cell>
        </row>
        <row r="1477">
          <cell r="T1477">
            <v>145711</v>
          </cell>
          <cell r="AX1477" t="str">
            <v>Correctivo</v>
          </cell>
          <cell r="AY1477" t="str">
            <v>SOCIEDAD CONCESIONARIA METROPOLITANA DE SALUD S.A.</v>
          </cell>
        </row>
        <row r="1478">
          <cell r="T1478">
            <v>21357984</v>
          </cell>
          <cell r="AX1478" t="str">
            <v>Preventivo</v>
          </cell>
          <cell r="AY1478" t="str">
            <v>SOCIEDAD CONCESIONARIA METROPOLITANA DE SALUD S.A.</v>
          </cell>
        </row>
        <row r="1479">
          <cell r="T1479">
            <v>2185824</v>
          </cell>
          <cell r="AX1479" t="str">
            <v>Preventivo</v>
          </cell>
          <cell r="AY1479" t="str">
            <v>HOSPITAL BARROS LUCO TRUDEAU</v>
          </cell>
        </row>
        <row r="1480">
          <cell r="T1480">
            <v>60167</v>
          </cell>
          <cell r="AX1480" t="str">
            <v>Correctivo</v>
          </cell>
          <cell r="AY1480" t="str">
            <v>UC CHRISTUS SERVICIOS AMBULATORIOS SPA</v>
          </cell>
        </row>
        <row r="1481">
          <cell r="T1481">
            <v>90968</v>
          </cell>
          <cell r="AX1481" t="str">
            <v>Correctivo</v>
          </cell>
          <cell r="AY1481" t="str">
            <v>UC CHRISTUS SERVICIOS AMBULATORIOS SPA</v>
          </cell>
        </row>
        <row r="1482">
          <cell r="T1482">
            <v>755600</v>
          </cell>
          <cell r="AX1482" t="str">
            <v>Correctivo</v>
          </cell>
          <cell r="AY1482" t="str">
            <v>UC CHRISTUS SERVICIOS AMBULATORIOS SPA</v>
          </cell>
        </row>
        <row r="1483">
          <cell r="T1483">
            <v>27119</v>
          </cell>
          <cell r="AX1483" t="str">
            <v>Correctivo</v>
          </cell>
          <cell r="AY1483" t="str">
            <v>SOCIEDAD CONCESIONARIA METROPOLITANA DE SALUD S.A.</v>
          </cell>
        </row>
        <row r="1484">
          <cell r="T1484">
            <v>3706995</v>
          </cell>
          <cell r="AX1484" t="str">
            <v>Preventivo</v>
          </cell>
          <cell r="AY1484" t="str">
            <v>HOSPITAL CLINICO DE LA FUERZA AEREA FACH GRAL DR RAUL YAZIGI JAUREGUI</v>
          </cell>
        </row>
        <row r="1485">
          <cell r="T1485">
            <v>4404835</v>
          </cell>
          <cell r="AX1485" t="str">
            <v>Correctivo</v>
          </cell>
          <cell r="AY1485" t="str">
            <v>HOSPITAL DE ANDACOLLO</v>
          </cell>
        </row>
        <row r="1486">
          <cell r="T1486">
            <v>3794197</v>
          </cell>
          <cell r="AX1486" t="str">
            <v>Preventivo</v>
          </cell>
          <cell r="AY1486" t="str">
            <v>HOSPITAL CLINICO DE LA FUERZA AEREA FACH GRAL DR RAUL YAZIGI JAUREGUI</v>
          </cell>
        </row>
        <row r="1487">
          <cell r="T1487">
            <v>275760</v>
          </cell>
          <cell r="AX1487" t="str">
            <v>Preventivo</v>
          </cell>
          <cell r="AY1487" t="str">
            <v>HOSPITAL SAN JOSÉ</v>
          </cell>
        </row>
        <row r="1488">
          <cell r="T1488">
            <v>275760</v>
          </cell>
          <cell r="AX1488" t="str">
            <v>Preventivo</v>
          </cell>
          <cell r="AY1488" t="str">
            <v>HOSPITAL SAN JOSÉ</v>
          </cell>
        </row>
        <row r="1489">
          <cell r="T1489">
            <v>275760</v>
          </cell>
          <cell r="AX1489" t="str">
            <v>Preventivo</v>
          </cell>
          <cell r="AY1489" t="str">
            <v>HOSPITAL SAN JOSÉ</v>
          </cell>
        </row>
        <row r="1490">
          <cell r="T1490">
            <v>534375</v>
          </cell>
          <cell r="AX1490" t="str">
            <v>Correctivo</v>
          </cell>
          <cell r="AY1490" t="str">
            <v>SOCIEDAD CONCESIONARIA METROPOLITANA DE SALUD S.A.</v>
          </cell>
        </row>
        <row r="1491">
          <cell r="T1491">
            <v>275760</v>
          </cell>
          <cell r="AX1491" t="str">
            <v>Correctivo</v>
          </cell>
          <cell r="AY1491" t="str">
            <v>HOSPITAL SAN JOSÉ</v>
          </cell>
        </row>
        <row r="1492">
          <cell r="T1492">
            <v>275760</v>
          </cell>
          <cell r="AX1492" t="str">
            <v>Preventivo</v>
          </cell>
          <cell r="AY1492" t="str">
            <v>HOSPITAL SAN JOSÉ</v>
          </cell>
        </row>
        <row r="1493">
          <cell r="T1493">
            <v>275760</v>
          </cell>
          <cell r="AX1493" t="str">
            <v>Preventivo</v>
          </cell>
          <cell r="AY1493" t="str">
            <v>HOSPITAL SAN JOSÉ</v>
          </cell>
        </row>
        <row r="1494">
          <cell r="T1494">
            <v>7260</v>
          </cell>
          <cell r="AX1494" t="str">
            <v>Correctivo</v>
          </cell>
          <cell r="AY1494" t="str">
            <v>INSUMOS Y SERVICIOS MEDICOS S.A.</v>
          </cell>
        </row>
        <row r="1495">
          <cell r="T1495">
            <v>1021329</v>
          </cell>
          <cell r="AX1495" t="str">
            <v>Correctivo</v>
          </cell>
          <cell r="AY1495" t="str">
            <v>SOCIEDAD CONCESIONARIA METROPOLITANA DE SALUD S.A.</v>
          </cell>
        </row>
        <row r="1496">
          <cell r="T1496">
            <v>4000</v>
          </cell>
          <cell r="AX1496" t="str">
            <v>Preventivo</v>
          </cell>
          <cell r="AY1496" t="str">
            <v>SOCIEDAD CONCESIONARIA METROPOLITANA DE SALUD S.A.</v>
          </cell>
        </row>
        <row r="1497">
          <cell r="T1497">
            <v>272237</v>
          </cell>
          <cell r="AX1497" t="str">
            <v>Preventivo</v>
          </cell>
          <cell r="AY1497" t="str">
            <v>SOCIEDAD CONCESIONARIA METROPOLITANA DE SALUD S.A.</v>
          </cell>
        </row>
        <row r="1498">
          <cell r="T1498">
            <v>5350</v>
          </cell>
          <cell r="AX1498" t="str">
            <v>Preventivo</v>
          </cell>
          <cell r="AY1498" t="str">
            <v>SOCIEDAD CONCESIONARIA METROPOLITANA DE SALUD S.A.</v>
          </cell>
        </row>
        <row r="1499">
          <cell r="T1499">
            <v>1362375</v>
          </cell>
          <cell r="AX1499" t="str">
            <v>Preventivo</v>
          </cell>
          <cell r="AY1499" t="str">
            <v>SOCIEDAD CONCESIONARIA METROPOLITANA DE SALUD S.A.</v>
          </cell>
        </row>
        <row r="1500">
          <cell r="T1500">
            <v>11272</v>
          </cell>
          <cell r="AX1500" t="str">
            <v>Correctivo</v>
          </cell>
          <cell r="AY1500" t="str">
            <v>SOCIEDAD CONCESIONARIA METROPOLITANA DE SALUD S.A.</v>
          </cell>
        </row>
        <row r="1501">
          <cell r="T1501">
            <v>128178</v>
          </cell>
          <cell r="AX1501" t="str">
            <v>Correctivo</v>
          </cell>
          <cell r="AY1501" t="str">
            <v>SOCIEDAD CONCESIONARIA METROPOLITANA DE SALUD S.A.</v>
          </cell>
        </row>
        <row r="1502">
          <cell r="T1502">
            <v>502348</v>
          </cell>
          <cell r="AX1502" t="str">
            <v>Correctivo</v>
          </cell>
          <cell r="AY1502" t="str">
            <v>SOCIEDAD CONCESIONARIA METROPOLITANA DE SALUD S.A.</v>
          </cell>
        </row>
        <row r="1503">
          <cell r="T1503">
            <v>22066</v>
          </cell>
          <cell r="AX1503" t="str">
            <v>Correctivo</v>
          </cell>
          <cell r="AY1503" t="str">
            <v>SOCIEDAD CONCESIONARIA METROPOLITANA DE SALUD S.A.</v>
          </cell>
        </row>
        <row r="1504">
          <cell r="T1504">
            <v>140000</v>
          </cell>
          <cell r="AX1504" t="str">
            <v>Correctivo</v>
          </cell>
          <cell r="AY1504" t="str">
            <v>SOCIEDAD CONCESIONARIA METROPOLITANA DE SALUD S.A.</v>
          </cell>
        </row>
        <row r="1505">
          <cell r="T1505">
            <v>140000</v>
          </cell>
          <cell r="AX1505" t="str">
            <v>Correctivo</v>
          </cell>
          <cell r="AY1505" t="str">
            <v>SOCIEDAD CONCESIONARIA METROPOLITANA DE SALUD S.A.</v>
          </cell>
        </row>
        <row r="1506">
          <cell r="T1506">
            <v>140000</v>
          </cell>
          <cell r="AX1506" t="str">
            <v>Correctivo</v>
          </cell>
          <cell r="AY1506" t="str">
            <v>SOCIEDAD CONCESIONARIA METROPOLITANA DE SALUD S.A.</v>
          </cell>
        </row>
        <row r="1507">
          <cell r="T1507">
            <v>350000</v>
          </cell>
          <cell r="AX1507" t="str">
            <v>Preventivo</v>
          </cell>
          <cell r="AY1507" t="str">
            <v>SOCIEDAD CONCESIONARIA METROPOLITANA DE SALUD S.A.</v>
          </cell>
        </row>
        <row r="1508">
          <cell r="T1508">
            <v>1750980</v>
          </cell>
          <cell r="AX1508" t="str">
            <v>Preventivo</v>
          </cell>
          <cell r="AY1508" t="str">
            <v>SOCIEDAD CONCESIONARIA METROPOLITANA DE SALUD S.A.</v>
          </cell>
        </row>
        <row r="1509">
          <cell r="T1509">
            <v>6063750</v>
          </cell>
          <cell r="AX1509" t="str">
            <v>Preventivo</v>
          </cell>
          <cell r="AY1509" t="str">
            <v>SOCIEDAD CONCESIONARIA METROPOLITANA DE SALUD S.A.</v>
          </cell>
        </row>
        <row r="1510">
          <cell r="T1510">
            <v>1300530</v>
          </cell>
          <cell r="AX1510" t="str">
            <v>Preventivo</v>
          </cell>
          <cell r="AY1510" t="str">
            <v>SOCIEDAD CONCESIONARIA METROPOLITANA DE SALUD S.A.</v>
          </cell>
        </row>
        <row r="1511">
          <cell r="T1511">
            <v>138508</v>
          </cell>
          <cell r="AX1511" t="str">
            <v>Preventivo</v>
          </cell>
          <cell r="AY1511" t="str">
            <v>SOCIEDAD CONCESIONARIA METROPOLITANA DE SALUD S.A.</v>
          </cell>
        </row>
        <row r="1512">
          <cell r="T1512">
            <v>7045</v>
          </cell>
          <cell r="AX1512" t="str">
            <v>Preventivo</v>
          </cell>
          <cell r="AY1512" t="str">
            <v>SOCIEDAD CONCESIONARIA METROPOLITANA DE SALUD S.A.</v>
          </cell>
        </row>
        <row r="1513">
          <cell r="T1513">
            <v>1376760</v>
          </cell>
          <cell r="AX1513" t="str">
            <v>Preventivo</v>
          </cell>
          <cell r="AY1513" t="str">
            <v>SOCIEDAD CONCESIONARIA METROPOLITANA DE SALUD S.A.</v>
          </cell>
        </row>
        <row r="1514">
          <cell r="T1514">
            <v>18711</v>
          </cell>
          <cell r="AX1514" t="str">
            <v>Preventivo</v>
          </cell>
          <cell r="AY1514" t="str">
            <v>SOCIEDAD CONCESIONARIA METROPOLITANA DE SALUD S.A.</v>
          </cell>
        </row>
        <row r="1515">
          <cell r="T1515">
            <v>635250</v>
          </cell>
          <cell r="AX1515" t="str">
            <v>Correctivo</v>
          </cell>
          <cell r="AY1515">
            <v>0</v>
          </cell>
        </row>
        <row r="1516">
          <cell r="T1516">
            <v>36890</v>
          </cell>
          <cell r="AX1516" t="str">
            <v>Correctivo</v>
          </cell>
          <cell r="AY1516" t="str">
            <v>INSUMOS Y SERVICIOS MEDICOS S.A.</v>
          </cell>
        </row>
        <row r="1517">
          <cell r="T1517">
            <v>900000</v>
          </cell>
          <cell r="AX1517" t="str">
            <v>Correctivo</v>
          </cell>
          <cell r="AY1517" t="str">
            <v>HOSPITAL NACIMIENTO</v>
          </cell>
        </row>
        <row r="1518">
          <cell r="T1518">
            <v>389889</v>
          </cell>
          <cell r="AX1518" t="str">
            <v>Correctivo</v>
          </cell>
          <cell r="AY1518">
            <v>0</v>
          </cell>
        </row>
        <row r="1519">
          <cell r="T1519">
            <v>838944</v>
          </cell>
          <cell r="AX1519" t="str">
            <v>Correctivo</v>
          </cell>
          <cell r="AY1519" t="str">
            <v>HOSPITAL CARLOS VAN BUREN</v>
          </cell>
        </row>
        <row r="1520">
          <cell r="T1520">
            <v>52851314</v>
          </cell>
          <cell r="AX1520" t="str">
            <v>Correctivo</v>
          </cell>
          <cell r="AY1520" t="str">
            <v>CLINICA ANDES SALUD CONCEPCIÓN S.A.</v>
          </cell>
        </row>
        <row r="1521">
          <cell r="T1521">
            <v>13215330</v>
          </cell>
          <cell r="AX1521" t="str">
            <v>Correctivo</v>
          </cell>
          <cell r="AY1521" t="str">
            <v>HOSPITAL COMPLEJO ASISTENCIAL PADRE LAS CASAS</v>
          </cell>
        </row>
        <row r="1522">
          <cell r="T1522">
            <v>60784</v>
          </cell>
          <cell r="AX1522" t="str">
            <v>Preventivo</v>
          </cell>
          <cell r="AY1522">
            <v>0</v>
          </cell>
        </row>
        <row r="1523">
          <cell r="T1523">
            <v>1100000</v>
          </cell>
          <cell r="AX1523" t="str">
            <v>Correctivo</v>
          </cell>
          <cell r="AY1523" t="str">
            <v>HOSPITAL DE SAN CARLOS</v>
          </cell>
        </row>
        <row r="1524">
          <cell r="T1524">
            <v>1223839</v>
          </cell>
          <cell r="AX1524" t="str">
            <v>Correctivo</v>
          </cell>
          <cell r="AY1524">
            <v>0</v>
          </cell>
        </row>
        <row r="1525">
          <cell r="T1525">
            <v>1223839</v>
          </cell>
          <cell r="AX1525" t="str">
            <v>Preventivo</v>
          </cell>
          <cell r="AY1525">
            <v>0</v>
          </cell>
        </row>
        <row r="1526">
          <cell r="T1526">
            <v>565546</v>
          </cell>
          <cell r="AX1526" t="str">
            <v>Preventivo</v>
          </cell>
          <cell r="AY1526">
            <v>0</v>
          </cell>
        </row>
        <row r="1527">
          <cell r="T1527">
            <v>450000</v>
          </cell>
          <cell r="AX1527" t="str">
            <v>Preventivo</v>
          </cell>
          <cell r="AY1527" t="str">
            <v>SOCIEDAD CONCESIONARIA METROPOLITANA DE SALUD S.A.</v>
          </cell>
        </row>
        <row r="1528">
          <cell r="T1528">
            <v>47124</v>
          </cell>
          <cell r="AX1528" t="str">
            <v>Correctivo</v>
          </cell>
          <cell r="AY1528" t="str">
            <v>SOCIEDAD CONCESIONARIA METROPOLITANA DE SALUD S.A.</v>
          </cell>
        </row>
        <row r="1529">
          <cell r="T1529">
            <v>96769639</v>
          </cell>
          <cell r="AX1529" t="str">
            <v>Correctivo</v>
          </cell>
          <cell r="AY1529" t="str">
            <v>SERVICIO DE SALUD RELONCAVI</v>
          </cell>
        </row>
        <row r="1530">
          <cell r="T1530">
            <v>172000</v>
          </cell>
          <cell r="AX1530" t="str">
            <v>Correctivo</v>
          </cell>
          <cell r="AY1530" t="str">
            <v>REDLASER CONCEPCION SPA</v>
          </cell>
        </row>
        <row r="1531">
          <cell r="T1531">
            <v>36000</v>
          </cell>
          <cell r="AX1531" t="str">
            <v>Correctivo</v>
          </cell>
          <cell r="AY1531" t="str">
            <v>HOSPITAL DE SAN CARLOS</v>
          </cell>
        </row>
        <row r="1532">
          <cell r="T1532">
            <v>757680</v>
          </cell>
          <cell r="AX1532" t="str">
            <v>Correctivo</v>
          </cell>
          <cell r="AY1532" t="str">
            <v>SOCIEDAD CONCESIONARIA METROPOLITANA DE SALUD S.A.</v>
          </cell>
        </row>
        <row r="1533">
          <cell r="T1533">
            <v>150543</v>
          </cell>
          <cell r="AX1533" t="str">
            <v>Preventivo</v>
          </cell>
          <cell r="AY1533" t="str">
            <v>SOCIEDAD CONCESIONARIA METROPOLITANA DE SALUD S.A.</v>
          </cell>
        </row>
        <row r="1534">
          <cell r="T1534">
            <v>237930</v>
          </cell>
          <cell r="AX1534" t="str">
            <v>Preventivo</v>
          </cell>
          <cell r="AY1534" t="str">
            <v>SOCIEDAD CONCESIONARIA METROPOLITANA DE SALUD S.A.</v>
          </cell>
        </row>
        <row r="1535">
          <cell r="T1535">
            <v>4794</v>
          </cell>
          <cell r="AX1535" t="str">
            <v>Correctivo</v>
          </cell>
          <cell r="AY1535" t="str">
            <v>HOSPITAL NACIMIENTO</v>
          </cell>
        </row>
        <row r="1536">
          <cell r="T1536">
            <v>2690928</v>
          </cell>
          <cell r="AX1536" t="str">
            <v>Correctivo</v>
          </cell>
          <cell r="AY1536" t="str">
            <v>HOSPITAL NACIMIENTO</v>
          </cell>
        </row>
        <row r="1537">
          <cell r="T1537">
            <v>115132</v>
          </cell>
          <cell r="AX1537" t="str">
            <v>Correctivo</v>
          </cell>
          <cell r="AY1537" t="str">
            <v>HOSPITAL NACIMIENTO</v>
          </cell>
        </row>
        <row r="1538">
          <cell r="T1538">
            <v>189697</v>
          </cell>
          <cell r="AX1538" t="str">
            <v>Correctivo</v>
          </cell>
          <cell r="AY1538" t="str">
            <v>HOSPITAL NACIMIENTO</v>
          </cell>
        </row>
        <row r="1539">
          <cell r="T1539">
            <v>500000</v>
          </cell>
          <cell r="AX1539" t="str">
            <v>Correctivo</v>
          </cell>
          <cell r="AY1539" t="str">
            <v>HOSPITAL NACIMIENTO</v>
          </cell>
        </row>
        <row r="1540">
          <cell r="T1540">
            <v>117024</v>
          </cell>
          <cell r="AX1540" t="str">
            <v>Correctivo</v>
          </cell>
          <cell r="AY1540" t="str">
            <v>HOSPITAL NACIMIENTO</v>
          </cell>
        </row>
        <row r="1541">
          <cell r="T1541">
            <v>4800</v>
          </cell>
          <cell r="AX1541" t="str">
            <v>Correctivo</v>
          </cell>
          <cell r="AY1541" t="str">
            <v>HOSPITAL NACIMIENTO</v>
          </cell>
        </row>
        <row r="1542">
          <cell r="T1542">
            <v>135595</v>
          </cell>
          <cell r="AX1542" t="str">
            <v>Correctivo</v>
          </cell>
          <cell r="AY1542" t="str">
            <v>SOCIEDAD CONCESIONARIA METROPOLITANA DE SALUD S.A.</v>
          </cell>
        </row>
        <row r="1543">
          <cell r="T1543">
            <v>7240312</v>
          </cell>
          <cell r="AX1543" t="str">
            <v>Correctivo</v>
          </cell>
          <cell r="AY1543" t="str">
            <v>HOSPITAL REGIONAL DE ARICA DR. JUAN NOÉ CREVANI</v>
          </cell>
        </row>
        <row r="1544">
          <cell r="T1544">
            <v>36000</v>
          </cell>
          <cell r="AX1544" t="str">
            <v>Correctivo</v>
          </cell>
          <cell r="AY1544" t="str">
            <v>HOSPITAL DE SAN CARLOS</v>
          </cell>
        </row>
        <row r="1545">
          <cell r="T1545">
            <v>5660000</v>
          </cell>
          <cell r="AX1545" t="str">
            <v>Correctivo</v>
          </cell>
          <cell r="AY1545" t="str">
            <v>SERVICIO DE SALUD RELONCAVI</v>
          </cell>
        </row>
        <row r="1546">
          <cell r="T1546">
            <v>6901200</v>
          </cell>
          <cell r="AX1546" t="str">
            <v>Preventivo</v>
          </cell>
          <cell r="AY1546" t="str">
            <v>SERVICIO DE SALUD RELONCAVI</v>
          </cell>
        </row>
        <row r="1547">
          <cell r="T1547">
            <v>95866</v>
          </cell>
          <cell r="AX1547" t="str">
            <v>Correctivo</v>
          </cell>
          <cell r="AY1547" t="str">
            <v>HOSPITAL CLINICO DE LA FUERZA AEREA FACH GRAL DR RAUL YAZIGI JAUREGUI</v>
          </cell>
        </row>
        <row r="1548">
          <cell r="T1548">
            <v>775118</v>
          </cell>
          <cell r="AX1548" t="str">
            <v>Correctivo</v>
          </cell>
          <cell r="AY1548" t="str">
            <v>HOSPITAL CLINICO DE LA FUERZA AEREA FACH GRAL DR RAUL YAZIGI JAUREGUI</v>
          </cell>
        </row>
        <row r="1549">
          <cell r="T1549">
            <v>187845</v>
          </cell>
          <cell r="AX1549" t="str">
            <v>Correctivo</v>
          </cell>
          <cell r="AY1549" t="str">
            <v>HOSPITAL CLINICO DE LA FUERZA AEREA FACH GRAL DR RAUL YAZIGI JAUREGUI</v>
          </cell>
        </row>
        <row r="1550">
          <cell r="T1550">
            <v>131723</v>
          </cell>
          <cell r="AX1550" t="str">
            <v>Correctivo</v>
          </cell>
          <cell r="AY1550" t="str">
            <v>HOSPITAL CLINICO DE LA FUERZA AEREA FACH GRAL DR RAUL YAZIGI JAUREGUI</v>
          </cell>
        </row>
        <row r="1551">
          <cell r="T1551">
            <v>27672</v>
          </cell>
          <cell r="AX1551" t="str">
            <v>Correctivo</v>
          </cell>
          <cell r="AY1551" t="str">
            <v>HOSPITAL CLINICO DE LA FUERZA AEREA FACH GRAL DR RAUL YAZIGI JAUREGUI</v>
          </cell>
        </row>
        <row r="1552">
          <cell r="T1552">
            <v>281170</v>
          </cell>
          <cell r="AX1552" t="str">
            <v>Correctivo</v>
          </cell>
          <cell r="AY1552" t="str">
            <v>HOSPITAL CLINICO DE LA FUERZA AEREA FACH GRAL DR RAUL YAZIGI JAUREGUI</v>
          </cell>
        </row>
        <row r="1553">
          <cell r="T1553">
            <v>2652000</v>
          </cell>
          <cell r="AX1553" t="str">
            <v>Correctivo</v>
          </cell>
          <cell r="AY1553" t="str">
            <v>HOSPITAL CLAUDIO VICUÑA</v>
          </cell>
        </row>
        <row r="1554">
          <cell r="T1554">
            <v>3744000</v>
          </cell>
          <cell r="AX1554" t="str">
            <v>Correctivo</v>
          </cell>
          <cell r="AY1554" t="str">
            <v>HOSPITAL CLAUDIO VICUÑA</v>
          </cell>
        </row>
        <row r="1555">
          <cell r="T1555">
            <v>120186176</v>
          </cell>
          <cell r="AX1555" t="str">
            <v>Correctivo</v>
          </cell>
          <cell r="AY1555" t="str">
            <v>SERVICIO DE SALUD OSORNO</v>
          </cell>
        </row>
        <row r="1556">
          <cell r="T1556">
            <v>128863684</v>
          </cell>
          <cell r="AX1556" t="str">
            <v>Correctivo</v>
          </cell>
          <cell r="AY1556" t="str">
            <v>CLÍNICA ANDES SALUD PUERTO MONTT S.A.</v>
          </cell>
        </row>
        <row r="1557">
          <cell r="T1557">
            <v>243944</v>
          </cell>
          <cell r="AX1557" t="str">
            <v>Correctivo</v>
          </cell>
          <cell r="AY1557" t="str">
            <v>CLINICA WLK SA</v>
          </cell>
        </row>
        <row r="1558">
          <cell r="T1558">
            <v>1223839</v>
          </cell>
          <cell r="AX1558" t="str">
            <v>Correctivo</v>
          </cell>
          <cell r="AY1558">
            <v>0</v>
          </cell>
        </row>
        <row r="1559">
          <cell r="T1559">
            <v>3506900</v>
          </cell>
          <cell r="AX1559" t="str">
            <v>Preventivo</v>
          </cell>
          <cell r="AY1559" t="str">
            <v>HOSPITAL COMPLEJO ASISTENCIAL PADRE LAS CASAS</v>
          </cell>
        </row>
        <row r="1560">
          <cell r="T1560">
            <v>2302189</v>
          </cell>
          <cell r="AX1560" t="str">
            <v>Correctivo</v>
          </cell>
          <cell r="AY1560" t="str">
            <v>HOSPITAL  PITRUFQUEN</v>
          </cell>
        </row>
        <row r="1561">
          <cell r="T1561">
            <v>6019104</v>
          </cell>
          <cell r="AX1561" t="str">
            <v>Correctivo</v>
          </cell>
          <cell r="AY1561" t="str">
            <v>SERVICIO DE SALUD OSORNO</v>
          </cell>
        </row>
        <row r="1562">
          <cell r="T1562">
            <v>21417920</v>
          </cell>
          <cell r="AX1562" t="str">
            <v>Correctivo</v>
          </cell>
          <cell r="AY1562" t="str">
            <v>SOCIEDAD CONCESIONARIA METROPOLITANA DE SALUD S.A.</v>
          </cell>
        </row>
        <row r="1563">
          <cell r="T1563">
            <v>3798948</v>
          </cell>
          <cell r="AX1563" t="str">
            <v>Correctivo</v>
          </cell>
          <cell r="AY1563" t="str">
            <v>HOSPITAL REGIONAL DE RANCAGUA</v>
          </cell>
        </row>
        <row r="1564">
          <cell r="T1564">
            <v>270547</v>
          </cell>
          <cell r="AX1564" t="str">
            <v>Correctivo</v>
          </cell>
          <cell r="AY1564" t="str">
            <v>HOSPITAL DR. LUIS TISNE B.</v>
          </cell>
        </row>
        <row r="1565">
          <cell r="T1565">
            <v>794640</v>
          </cell>
          <cell r="AX1565" t="str">
            <v>Correctivo</v>
          </cell>
          <cell r="AY1565" t="str">
            <v>SOCIEDAD CONCESIONARIA METROPOLITANA DE SALUD S.A.</v>
          </cell>
        </row>
        <row r="1566">
          <cell r="T1566">
            <v>397320</v>
          </cell>
          <cell r="AX1566" t="str">
            <v>Correctivo</v>
          </cell>
          <cell r="AY1566" t="str">
            <v>SOCIEDAD CONCESIONARIA METROPOLITANA DE SALUD S.A.</v>
          </cell>
        </row>
        <row r="1567">
          <cell r="T1567">
            <v>3252480</v>
          </cell>
          <cell r="AX1567" t="str">
            <v>Correctivo</v>
          </cell>
          <cell r="AY1567" t="str">
            <v>SOCIEDAD CONCESIONARIA METROPOLITANA DE SALUD S.A.</v>
          </cell>
        </row>
        <row r="1568">
          <cell r="T1568">
            <v>630630</v>
          </cell>
          <cell r="AX1568" t="str">
            <v>Correctivo</v>
          </cell>
          <cell r="AY1568" t="str">
            <v>SOCIEDAD CONCESIONARIA METROPOLITANA DE SALUD S.A.</v>
          </cell>
        </row>
        <row r="1569">
          <cell r="T1569">
            <v>6360771</v>
          </cell>
          <cell r="AX1569" t="str">
            <v>Correctivo</v>
          </cell>
          <cell r="AY1569" t="str">
            <v>CLINICA MEDS LTDA</v>
          </cell>
        </row>
        <row r="1570">
          <cell r="T1570">
            <v>6360771</v>
          </cell>
          <cell r="AX1570" t="str">
            <v>Correctivo</v>
          </cell>
          <cell r="AY1570" t="str">
            <v>CLINICA MEDS LTDA</v>
          </cell>
        </row>
        <row r="1571">
          <cell r="T1571">
            <v>586637</v>
          </cell>
          <cell r="AX1571" t="str">
            <v>Correctivo</v>
          </cell>
          <cell r="AY1571">
            <v>0</v>
          </cell>
        </row>
        <row r="1572">
          <cell r="T1572">
            <v>799990</v>
          </cell>
          <cell r="AX1572" t="str">
            <v>Correctivo</v>
          </cell>
          <cell r="AY1572">
            <v>0</v>
          </cell>
        </row>
        <row r="1573">
          <cell r="T1573">
            <v>586637</v>
          </cell>
          <cell r="AX1573" t="str">
            <v>Correctivo</v>
          </cell>
          <cell r="AY1573">
            <v>0</v>
          </cell>
        </row>
        <row r="1574">
          <cell r="T1574">
            <v>799990</v>
          </cell>
          <cell r="AX1574" t="str">
            <v>Correctivo</v>
          </cell>
          <cell r="AY1574">
            <v>0</v>
          </cell>
        </row>
        <row r="1575">
          <cell r="T1575">
            <v>794640</v>
          </cell>
          <cell r="AX1575" t="str">
            <v>Correctivo</v>
          </cell>
          <cell r="AY1575" t="str">
            <v>SOCIEDAD CONCESIONARIA METROPOLITANA DE SALUD S.A.</v>
          </cell>
        </row>
        <row r="1576">
          <cell r="T1576">
            <v>397320</v>
          </cell>
          <cell r="AX1576" t="str">
            <v>Correctivo</v>
          </cell>
          <cell r="AY1576" t="str">
            <v>SOCIEDAD CONCESIONARIA METROPOLITANA DE SALUD S.A.</v>
          </cell>
        </row>
        <row r="1577">
          <cell r="T1577">
            <v>475860</v>
          </cell>
          <cell r="AX1577" t="str">
            <v>Correctivo</v>
          </cell>
          <cell r="AY1577" t="str">
            <v>SOCIEDAD CONCESIONARIA METROPOLITANA DE SALUD S.A.</v>
          </cell>
        </row>
        <row r="1578">
          <cell r="T1578">
            <v>323400</v>
          </cell>
          <cell r="AX1578" t="str">
            <v>Correctivo</v>
          </cell>
          <cell r="AY1578" t="str">
            <v>SOCIEDAD CONCESIONARIA METROPOLITANA DE SALUD S.A.</v>
          </cell>
        </row>
        <row r="1579">
          <cell r="T1579">
            <v>13370</v>
          </cell>
          <cell r="AX1579" t="str">
            <v>Correctivo</v>
          </cell>
          <cell r="AY1579" t="str">
            <v>SOCIEDAD CONCESIONARIA METROPOLITANA DE SALUD S.A.</v>
          </cell>
        </row>
        <row r="1580">
          <cell r="T1580">
            <v>381000</v>
          </cell>
          <cell r="AX1580" t="str">
            <v>Correctivo</v>
          </cell>
          <cell r="AY1580">
            <v>0</v>
          </cell>
        </row>
        <row r="1581">
          <cell r="T1581">
            <v>287501177</v>
          </cell>
          <cell r="AX1581" t="str">
            <v>Correctivo</v>
          </cell>
          <cell r="AY1581" t="str">
            <v>INSUMOS Y SERVICIOS MEDICOS S.A.</v>
          </cell>
        </row>
        <row r="1582">
          <cell r="T1582">
            <v>275760</v>
          </cell>
          <cell r="AX1582" t="str">
            <v>Correctivo</v>
          </cell>
          <cell r="AY1582" t="str">
            <v>HOSPITAL SAN JOSÉ</v>
          </cell>
        </row>
        <row r="1583">
          <cell r="T1583">
            <v>159000</v>
          </cell>
          <cell r="AX1583" t="str">
            <v>Correctivo</v>
          </cell>
          <cell r="AY1583" t="str">
            <v>SOCIEDAD CONCESIONARIA METROPOLITANA DE SALUD S.A.</v>
          </cell>
        </row>
        <row r="1584">
          <cell r="T1584">
            <v>45161</v>
          </cell>
          <cell r="AX1584" t="str">
            <v>Correctivo</v>
          </cell>
          <cell r="AY1584" t="str">
            <v>SOCIEDAD CONCESIONARIA METROPOLITANA DE SALUD S.A.</v>
          </cell>
        </row>
        <row r="1585">
          <cell r="T1585">
            <v>3404940</v>
          </cell>
          <cell r="AX1585" t="str">
            <v>Correctivo</v>
          </cell>
          <cell r="AY1585" t="str">
            <v>SOCIEDAD CONCESIONARIA METROPOLITANA DE SALUD S.A.</v>
          </cell>
        </row>
        <row r="1586">
          <cell r="T1586">
            <v>189697</v>
          </cell>
          <cell r="AX1586" t="str">
            <v>Correctivo</v>
          </cell>
          <cell r="AY1586" t="str">
            <v>SOCIEDAD CONCESIONARIA METROPOLITANA DE SALUD S.A.</v>
          </cell>
        </row>
        <row r="1587">
          <cell r="T1587">
            <v>192149601</v>
          </cell>
          <cell r="AX1587" t="str">
            <v>Correctivo</v>
          </cell>
          <cell r="AY1587" t="str">
            <v>DIPRECA FONDO HOSPITAL</v>
          </cell>
        </row>
        <row r="1588">
          <cell r="T1588">
            <v>26139950</v>
          </cell>
          <cell r="AX1588" t="str">
            <v>Correctivo</v>
          </cell>
          <cell r="AY1588" t="str">
            <v>HOSPITAL VICTOR RIOS RUIZ</v>
          </cell>
        </row>
        <row r="1589">
          <cell r="T1589">
            <v>624000</v>
          </cell>
          <cell r="AX1589" t="str">
            <v>Correctivo</v>
          </cell>
          <cell r="AY1589" t="str">
            <v>HOSPITAL DE CURICO</v>
          </cell>
        </row>
        <row r="1590">
          <cell r="T1590">
            <v>346500</v>
          </cell>
          <cell r="AX1590" t="str">
            <v>Correctivo</v>
          </cell>
          <cell r="AY1590" t="str">
            <v>SOCIEDAD CONCESIONARIA METROPOLITANA DE SALUD S.A.</v>
          </cell>
        </row>
        <row r="1591">
          <cell r="T1591">
            <v>192977</v>
          </cell>
          <cell r="AX1591" t="str">
            <v>Correctivo</v>
          </cell>
          <cell r="AY1591" t="str">
            <v>SOCIEDAD CONCESIONARIA METROPOLITANA DE SALUD S.A.</v>
          </cell>
        </row>
        <row r="1592">
          <cell r="T1592">
            <v>3798</v>
          </cell>
          <cell r="AX1592" t="str">
            <v>Preventivo</v>
          </cell>
          <cell r="AY1592" t="str">
            <v>SOCIEDAD CONCESIONARIA METROPOLITANA DE SALUD S.A.</v>
          </cell>
        </row>
        <row r="1593">
          <cell r="T1593">
            <v>2227500</v>
          </cell>
          <cell r="AX1593" t="str">
            <v>Preventivo</v>
          </cell>
          <cell r="AY1593" t="str">
            <v>SOCIEDAD CONCESIONARIA METROPOLITANA DE SALUD S.A.</v>
          </cell>
        </row>
        <row r="1594">
          <cell r="T1594">
            <v>107786831</v>
          </cell>
          <cell r="AX1594" t="str">
            <v>Correctivo</v>
          </cell>
          <cell r="AY1594" t="str">
            <v>I. MUNICIPALIDAD DE PUCON</v>
          </cell>
        </row>
        <row r="1595">
          <cell r="T1595">
            <v>1570800</v>
          </cell>
          <cell r="AX1595" t="str">
            <v>Correctivo</v>
          </cell>
          <cell r="AY1595" t="str">
            <v>SOCIEDAD CONCESIONARIA METROPOLITANA DE SALUD S.A.</v>
          </cell>
        </row>
        <row r="1596">
          <cell r="T1596">
            <v>2873640</v>
          </cell>
          <cell r="AX1596" t="str">
            <v>Correctivo</v>
          </cell>
          <cell r="AY1596" t="str">
            <v>SOCIEDAD CONCESIONARIA METROPOLITANA DE SALUD S.A.</v>
          </cell>
        </row>
        <row r="1597">
          <cell r="T1597">
            <v>794640</v>
          </cell>
          <cell r="AX1597" t="str">
            <v>Correctivo</v>
          </cell>
          <cell r="AY1597" t="str">
            <v>SOCIEDAD CONCESIONARIA METROPOLITANA DE SALUD S.A.</v>
          </cell>
        </row>
        <row r="1598">
          <cell r="T1598">
            <v>43163</v>
          </cell>
          <cell r="AX1598" t="str">
            <v>Correctivo</v>
          </cell>
          <cell r="AY1598" t="str">
            <v>INSUMOS Y SERVICIOS MEDICOS S.A.</v>
          </cell>
        </row>
        <row r="1599">
          <cell r="T1599">
            <v>799990</v>
          </cell>
          <cell r="AX1599" t="str">
            <v>Correctivo</v>
          </cell>
          <cell r="AY1599">
            <v>0</v>
          </cell>
        </row>
        <row r="1600">
          <cell r="T1600">
            <v>389889</v>
          </cell>
          <cell r="AX1600" t="str">
            <v>Correctivo</v>
          </cell>
          <cell r="AY1600">
            <v>0</v>
          </cell>
        </row>
        <row r="1601">
          <cell r="T1601">
            <v>17000</v>
          </cell>
          <cell r="AX1601" t="str">
            <v>Correctivo</v>
          </cell>
          <cell r="AY1601">
            <v>0</v>
          </cell>
        </row>
        <row r="1602">
          <cell r="T1602">
            <v>150000</v>
          </cell>
          <cell r="AX1602" t="str">
            <v>Correctivo</v>
          </cell>
          <cell r="AY1602">
            <v>0</v>
          </cell>
        </row>
        <row r="1603">
          <cell r="T1603">
            <v>1373</v>
          </cell>
          <cell r="AX1603" t="str">
            <v>Correctivo</v>
          </cell>
          <cell r="AY1603" t="str">
            <v>SOCIEDAD CONCESIONARIA METROPOLITANA DE SALUD S.A.</v>
          </cell>
        </row>
        <row r="1604">
          <cell r="T1604">
            <v>2043</v>
          </cell>
          <cell r="AX1604" t="str">
            <v>Correctivo</v>
          </cell>
          <cell r="AY1604" t="str">
            <v>SOCIEDAD CONCESIONARIA METROPOLITANA DE SALUD S.A.</v>
          </cell>
        </row>
        <row r="1605">
          <cell r="T1605">
            <v>24470</v>
          </cell>
          <cell r="AX1605" t="str">
            <v>Correctivo</v>
          </cell>
          <cell r="AY1605" t="str">
            <v>SOCIEDAD CONCESIONARIA METROPOLITANA DE SALUD S.A.</v>
          </cell>
        </row>
        <row r="1606">
          <cell r="T1606">
            <v>20039</v>
          </cell>
          <cell r="AX1606" t="str">
            <v>Correctivo</v>
          </cell>
          <cell r="AY1606" t="str">
            <v>SOCIEDAD CONCESIONARIA METROPOLITANA DE SALUD S.A.</v>
          </cell>
        </row>
        <row r="1607">
          <cell r="T1607">
            <v>21188</v>
          </cell>
          <cell r="AX1607" t="str">
            <v>Correctivo</v>
          </cell>
          <cell r="AY1607" t="str">
            <v>SOCIEDAD CONCESIONARIA METROPOLITANA DE SALUD S.A.</v>
          </cell>
        </row>
        <row r="1608">
          <cell r="T1608">
            <v>21188</v>
          </cell>
          <cell r="AX1608" t="str">
            <v>Correctivo</v>
          </cell>
          <cell r="AY1608" t="str">
            <v>SOCIEDAD CONCESIONARIA METROPOLITANA DE SALUD S.A.</v>
          </cell>
        </row>
        <row r="1609">
          <cell r="T1609">
            <v>44132</v>
          </cell>
          <cell r="AX1609" t="str">
            <v>Correctivo</v>
          </cell>
          <cell r="AY1609" t="str">
            <v>SOCIEDAD CONCESIONARIA METROPOLITANA DE SALUD S.A.</v>
          </cell>
        </row>
        <row r="1610">
          <cell r="T1610">
            <v>12012</v>
          </cell>
          <cell r="AX1610" t="str">
            <v>Correctivo</v>
          </cell>
          <cell r="AY1610" t="str">
            <v>SOCIEDAD CONCESIONARIA METROPOLITANA DE SALUD S.A.</v>
          </cell>
        </row>
        <row r="1611">
          <cell r="T1611">
            <v>71442</v>
          </cell>
          <cell r="AX1611" t="str">
            <v>Correctivo</v>
          </cell>
          <cell r="AY1611" t="str">
            <v>SOCIEDAD CONCESIONARIA METROPOLITANA DE SALUD S.A.</v>
          </cell>
        </row>
        <row r="1612">
          <cell r="T1612">
            <v>370798</v>
          </cell>
          <cell r="AX1612" t="str">
            <v>Correctivo</v>
          </cell>
          <cell r="AY1612" t="str">
            <v>SOCIEDAD CONCESIONARIA METROPOLITANA DE SALUD S.A.</v>
          </cell>
        </row>
        <row r="1613">
          <cell r="T1613">
            <v>475860</v>
          </cell>
          <cell r="AX1613" t="str">
            <v>Correctivo</v>
          </cell>
          <cell r="AY1613" t="str">
            <v>SOCIEDAD CONCESIONARIA METROPOLITANA DE SALUD S.A.</v>
          </cell>
        </row>
        <row r="1614">
          <cell r="T1614">
            <v>42181</v>
          </cell>
          <cell r="AX1614" t="str">
            <v>Correctivo</v>
          </cell>
          <cell r="AY1614" t="str">
            <v>SOCIEDAD CONCESIONARIA METROPOLITANA DE SALUD S.A.</v>
          </cell>
        </row>
        <row r="1615">
          <cell r="T1615">
            <v>72256</v>
          </cell>
          <cell r="AX1615" t="str">
            <v>Correctivo</v>
          </cell>
          <cell r="AY1615" t="str">
            <v>SOCIEDAD CONCESIONARIA METROPOLITANA DE SALUD S.A.</v>
          </cell>
        </row>
        <row r="1616">
          <cell r="T1616">
            <v>51319</v>
          </cell>
          <cell r="AX1616" t="str">
            <v>Correctivo</v>
          </cell>
          <cell r="AY1616" t="str">
            <v>SOCIEDAD CONCESIONARIA METROPOLITANA DE SALUD S.A.</v>
          </cell>
        </row>
        <row r="1617">
          <cell r="T1617">
            <v>669375</v>
          </cell>
          <cell r="AX1617" t="str">
            <v>Correctivo</v>
          </cell>
          <cell r="AY1617" t="str">
            <v>SOCIEDAD CONCESIONARIA METROPOLITANA DE SALUD S.A.</v>
          </cell>
        </row>
        <row r="1618">
          <cell r="T1618">
            <v>2320</v>
          </cell>
          <cell r="AX1618" t="str">
            <v>Correctivo</v>
          </cell>
          <cell r="AY1618" t="str">
            <v>SOCIEDAD CONCESIONARIA METROPOLITANA DE SALUD S.A.</v>
          </cell>
        </row>
        <row r="1619">
          <cell r="T1619">
            <v>13370</v>
          </cell>
          <cell r="AX1619" t="str">
            <v>Correctivo</v>
          </cell>
          <cell r="AY1619" t="str">
            <v>SOCIEDAD CONCESIONARIA METROPOLITANA DE SALUD S.A.</v>
          </cell>
        </row>
        <row r="1620">
          <cell r="T1620">
            <v>475860</v>
          </cell>
          <cell r="AX1620" t="str">
            <v>Preventivo</v>
          </cell>
          <cell r="AY1620" t="str">
            <v>SOCIEDAD CONCESIONARIA METROPOLITANA DE SALUD S.A.</v>
          </cell>
        </row>
        <row r="1621">
          <cell r="T1621">
            <v>5000</v>
          </cell>
          <cell r="AX1621" t="str">
            <v>Preventivo</v>
          </cell>
          <cell r="AY1621" t="str">
            <v>SOCIEDAD CONCESIONARIA METROPOLITANA DE SALUD S.A.</v>
          </cell>
        </row>
        <row r="1622">
          <cell r="T1622">
            <v>3492720</v>
          </cell>
          <cell r="AX1622" t="str">
            <v>Correctivo</v>
          </cell>
          <cell r="AY1622" t="str">
            <v>SOCIEDAD CONCESIONARIA METROPOLITANA DE SALUD S.A.</v>
          </cell>
        </row>
        <row r="1623">
          <cell r="T1623">
            <v>693000</v>
          </cell>
          <cell r="AX1623" t="str">
            <v>Correctivo</v>
          </cell>
          <cell r="AY1623" t="str">
            <v>SOCIEDAD CONCESIONARIA METROPOLITANA DE SALUD S.A.</v>
          </cell>
        </row>
        <row r="1624">
          <cell r="T1624">
            <v>794640</v>
          </cell>
          <cell r="AX1624" t="str">
            <v>Preventivo</v>
          </cell>
          <cell r="AY1624" t="str">
            <v>SOCIEDAD CONCESIONARIA METROPOLITANA DE SALUD S.A.</v>
          </cell>
        </row>
        <row r="1625">
          <cell r="T1625">
            <v>397320</v>
          </cell>
          <cell r="AX1625" t="str">
            <v>Correctivo</v>
          </cell>
          <cell r="AY1625" t="str">
            <v>SOCIEDAD CONCESIONARIA METROPOLITANA DE SALUD S.A.</v>
          </cell>
        </row>
        <row r="1626">
          <cell r="T1626">
            <v>18872</v>
          </cell>
          <cell r="AX1626" t="str">
            <v>Correctivo</v>
          </cell>
          <cell r="AY1626" t="str">
            <v>SOCIEDAD CONCESIONARIA METROPOLITANA DE SALUD S.A.</v>
          </cell>
        </row>
        <row r="1627">
          <cell r="T1627">
            <v>342142</v>
          </cell>
          <cell r="AX1627" t="str">
            <v>Correctivo</v>
          </cell>
          <cell r="AY1627" t="str">
            <v>SOCIEDAD CONCESIONARIA METROPOLITANA DE SALUD S.A.</v>
          </cell>
        </row>
        <row r="1628">
          <cell r="T1628">
            <v>3132728</v>
          </cell>
          <cell r="AX1628" t="str">
            <v>Preventivo</v>
          </cell>
          <cell r="AY1628" t="str">
            <v>HOSPITAL DE URGENCIA ASISTENCIA PUBLICA DR. ALEJ</v>
          </cell>
        </row>
        <row r="1629">
          <cell r="T1629">
            <v>1231000</v>
          </cell>
          <cell r="AX1629" t="str">
            <v>Preventivo</v>
          </cell>
          <cell r="AY1629" t="str">
            <v>HOSPITAL DE PURRANQUE</v>
          </cell>
        </row>
        <row r="1630">
          <cell r="T1630">
            <v>1271</v>
          </cell>
          <cell r="AX1630" t="str">
            <v>Correctivo</v>
          </cell>
          <cell r="AY1630" t="str">
            <v>HOSPITAL SAN LUIS BUIN</v>
          </cell>
        </row>
        <row r="1631">
          <cell r="T1631">
            <v>263270</v>
          </cell>
          <cell r="AX1631" t="str">
            <v>Correctivo</v>
          </cell>
          <cell r="AY1631" t="str">
            <v>HOSPITAL SAN LUIS BUIN</v>
          </cell>
        </row>
        <row r="1632">
          <cell r="T1632">
            <v>159000</v>
          </cell>
          <cell r="AX1632" t="str">
            <v>Correctivo</v>
          </cell>
          <cell r="AY1632" t="str">
            <v>SOCIEDAD CONCESIONARIA METROPOLITANA DE SALUD S.A.</v>
          </cell>
        </row>
        <row r="1633">
          <cell r="T1633">
            <v>951720</v>
          </cell>
          <cell r="AX1633" t="str">
            <v>Correctivo</v>
          </cell>
          <cell r="AY1633" t="str">
            <v>SOCIEDAD CONCESIONARIA METROPOLITANA DE SALUD S.A.</v>
          </cell>
        </row>
        <row r="1634">
          <cell r="T1634">
            <v>2737350</v>
          </cell>
          <cell r="AX1634" t="str">
            <v>Correctivo</v>
          </cell>
          <cell r="AY1634" t="str">
            <v>SOCIEDAD CONCESIONARIA METROPOLITANA DE SALUD S.A.</v>
          </cell>
        </row>
        <row r="1635">
          <cell r="T1635">
            <v>189697</v>
          </cell>
          <cell r="AX1635" t="str">
            <v>Correctivo</v>
          </cell>
          <cell r="AY1635" t="str">
            <v>SOCIEDAD CONCESIONARIA METROPOLITANA DE SALUD S.A.</v>
          </cell>
        </row>
        <row r="1636">
          <cell r="T1636">
            <v>1198890</v>
          </cell>
          <cell r="AX1636" t="str">
            <v>Correctivo</v>
          </cell>
          <cell r="AY1636" t="str">
            <v>SOCIEDAD CONCESIONARIA METROPOLITANA DE SALUD S.A.</v>
          </cell>
        </row>
        <row r="1637">
          <cell r="T1637">
            <v>270974</v>
          </cell>
          <cell r="AX1637" t="str">
            <v>Correctivo</v>
          </cell>
          <cell r="AY1637" t="str">
            <v>HOSPITAL DR. LUIS TISNE B.</v>
          </cell>
        </row>
        <row r="1638">
          <cell r="T1638">
            <v>42181</v>
          </cell>
          <cell r="AX1638" t="str">
            <v>Correctivo</v>
          </cell>
          <cell r="AY1638" t="str">
            <v>SOCIEDAD CONCESIONARIA METROPOLITANA DE SALUD S.A.</v>
          </cell>
        </row>
        <row r="1639">
          <cell r="T1639">
            <v>45161</v>
          </cell>
          <cell r="AX1639" t="str">
            <v>Correctivo</v>
          </cell>
          <cell r="AY1639" t="str">
            <v>SOCIEDAD CONCESIONARIA METROPOLITANA DE SALUD S.A.</v>
          </cell>
        </row>
        <row r="1640">
          <cell r="T1640">
            <v>60244</v>
          </cell>
          <cell r="AX1640" t="str">
            <v>Preventivo</v>
          </cell>
          <cell r="AY1640" t="str">
            <v>SOCIEDAD CONCESIONARIA METROPOLITANA DE SALUD S.A.</v>
          </cell>
        </row>
        <row r="1641">
          <cell r="T1641">
            <v>630630</v>
          </cell>
          <cell r="AX1641" t="str">
            <v>Correctivo</v>
          </cell>
          <cell r="AY1641" t="str">
            <v>SOCIEDAD CONCESIONARIA METROPOLITANA DE SALUD S.A.</v>
          </cell>
        </row>
        <row r="1642">
          <cell r="T1642">
            <v>2302189</v>
          </cell>
          <cell r="AX1642" t="str">
            <v>Correctivo</v>
          </cell>
          <cell r="AY1642" t="str">
            <v>HOSPITAL  PITRUFQUEN</v>
          </cell>
        </row>
        <row r="1643">
          <cell r="T1643">
            <v>142200</v>
          </cell>
          <cell r="AX1643" t="str">
            <v>Correctivo</v>
          </cell>
          <cell r="AY1643" t="str">
            <v>MUTUAL DE SEGURIDAD SANTIAGO</v>
          </cell>
        </row>
        <row r="1644">
          <cell r="T1644">
            <v>4585675</v>
          </cell>
          <cell r="AX1644" t="str">
            <v>Correctivo</v>
          </cell>
          <cell r="AY1644">
            <v>0</v>
          </cell>
        </row>
        <row r="1645">
          <cell r="T1645">
            <v>71442</v>
          </cell>
          <cell r="AX1645" t="str">
            <v>Correctivo</v>
          </cell>
          <cell r="AY1645" t="str">
            <v>SOCIEDAD CONCESIONARIA METROPOLITANA DE SALUD S.A.</v>
          </cell>
        </row>
        <row r="1646">
          <cell r="T1646">
            <v>71442</v>
          </cell>
          <cell r="AX1646" t="str">
            <v>Correctivo</v>
          </cell>
          <cell r="AY1646" t="str">
            <v>SOCIEDAD CONCESIONARIA METROPOLITANA DE SALUD S.A.</v>
          </cell>
        </row>
        <row r="1647">
          <cell r="T1647">
            <v>38345</v>
          </cell>
          <cell r="AX1647" t="str">
            <v>Correctivo</v>
          </cell>
          <cell r="AY1647" t="str">
            <v>SOCIEDAD CONCESIONARIA METROPOLITANA DE SALUD S.A.</v>
          </cell>
        </row>
        <row r="1648">
          <cell r="T1648">
            <v>634940</v>
          </cell>
          <cell r="AX1648" t="str">
            <v>Correctivo</v>
          </cell>
          <cell r="AY1648">
            <v>0</v>
          </cell>
        </row>
        <row r="1649">
          <cell r="T1649">
            <v>2010144</v>
          </cell>
          <cell r="AX1649" t="str">
            <v>Preventivo</v>
          </cell>
          <cell r="AY1649">
            <v>0</v>
          </cell>
        </row>
        <row r="1650">
          <cell r="T1650">
            <v>21383354</v>
          </cell>
          <cell r="AX1650" t="str">
            <v>Correctivo</v>
          </cell>
          <cell r="AY1650" t="str">
            <v>SOCIEDAD CONCESIONARIA METROPOLITANA DE SALUD S.A.</v>
          </cell>
        </row>
        <row r="1651">
          <cell r="T1651">
            <v>25064</v>
          </cell>
          <cell r="AX1651" t="str">
            <v>Correctivo</v>
          </cell>
          <cell r="AY1651" t="str">
            <v>SOCIEDAD CONCESIONARIA METROPOLITANA DE SALUD S.A.</v>
          </cell>
        </row>
        <row r="1652">
          <cell r="T1652">
            <v>78207</v>
          </cell>
          <cell r="AX1652" t="str">
            <v>Correctivo</v>
          </cell>
          <cell r="AY1652" t="str">
            <v>SOCIEDAD CONCESIONARIA METROPOLITANA DE SALUD S.A.</v>
          </cell>
        </row>
        <row r="1653">
          <cell r="T1653">
            <v>44132</v>
          </cell>
          <cell r="AX1653" t="str">
            <v>Correctivo</v>
          </cell>
          <cell r="AY1653" t="str">
            <v>SOCIEDAD CONCESIONARIA METROPOLITANA DE SALUD S.A.</v>
          </cell>
        </row>
        <row r="1654">
          <cell r="T1654">
            <v>130176</v>
          </cell>
          <cell r="AX1654" t="str">
            <v>Correctivo</v>
          </cell>
          <cell r="AY1654" t="str">
            <v>HOSPITAL DE PUERTO MONTT</v>
          </cell>
        </row>
        <row r="1655">
          <cell r="T1655">
            <v>27267</v>
          </cell>
          <cell r="AX1655" t="str">
            <v>Correctivo</v>
          </cell>
          <cell r="AY1655" t="str">
            <v>HOSPITAL DE PUERTO MONTT</v>
          </cell>
        </row>
        <row r="1656">
          <cell r="T1656">
            <v>126473</v>
          </cell>
          <cell r="AX1656" t="str">
            <v>Correctivo</v>
          </cell>
          <cell r="AY1656" t="str">
            <v>HOSPITAL DE PUERTO MONTT</v>
          </cell>
        </row>
        <row r="1657">
          <cell r="T1657">
            <v>34173700</v>
          </cell>
          <cell r="AX1657" t="str">
            <v>Correctivo</v>
          </cell>
          <cell r="AY1657" t="str">
            <v>HOSPITAL DR. HERNAN HENRIQUEZ ARAVENA</v>
          </cell>
        </row>
        <row r="1658">
          <cell r="T1658">
            <v>270455</v>
          </cell>
          <cell r="AX1658" t="str">
            <v>Correctivo</v>
          </cell>
          <cell r="AY1658" t="str">
            <v>SOCIEDAD CONCESIONARIA METROPOLITANA DE SALUD S.A.</v>
          </cell>
        </row>
        <row r="1659">
          <cell r="T1659">
            <v>987744</v>
          </cell>
          <cell r="AX1659" t="str">
            <v>Preventivo</v>
          </cell>
          <cell r="AY1659">
            <v>0</v>
          </cell>
        </row>
        <row r="1660">
          <cell r="T1660">
            <v>138508</v>
          </cell>
          <cell r="AX1660" t="str">
            <v>Correctivo</v>
          </cell>
          <cell r="AY1660" t="str">
            <v>SOCIEDAD CONCESIONARIA METROPOLITANA DE SALUD S.A.</v>
          </cell>
        </row>
        <row r="1661">
          <cell r="T1661">
            <v>7045</v>
          </cell>
          <cell r="AX1661" t="str">
            <v>Correctivo</v>
          </cell>
          <cell r="AY1661" t="str">
            <v>SOCIEDAD CONCESIONARIA METROPOLITANA DE SALUD S.A.</v>
          </cell>
        </row>
        <row r="1662">
          <cell r="T1662">
            <v>1376760</v>
          </cell>
          <cell r="AX1662" t="str">
            <v>Correctivo</v>
          </cell>
          <cell r="AY1662" t="str">
            <v>SOCIEDAD CONCESIONARIA METROPOLITANA DE SALUD S.A.</v>
          </cell>
        </row>
        <row r="1663">
          <cell r="T1663">
            <v>18711</v>
          </cell>
          <cell r="AX1663" t="str">
            <v>Correctivo</v>
          </cell>
          <cell r="AY1663" t="str">
            <v>SOCIEDAD CONCESIONARIA METROPOLITANA DE SALUD S.A.</v>
          </cell>
        </row>
        <row r="1664">
          <cell r="T1664">
            <v>4585675</v>
          </cell>
          <cell r="AX1664" t="str">
            <v>Correctivo</v>
          </cell>
          <cell r="AY1664">
            <v>0</v>
          </cell>
        </row>
        <row r="1665">
          <cell r="T1665">
            <v>987744</v>
          </cell>
          <cell r="AX1665" t="str">
            <v>Correctivo</v>
          </cell>
          <cell r="AY1665">
            <v>0</v>
          </cell>
        </row>
        <row r="1666">
          <cell r="T1666">
            <v>487889</v>
          </cell>
          <cell r="AX1666" t="str">
            <v>Correctivo</v>
          </cell>
          <cell r="AY1666" t="str">
            <v>HOSPITAL CLINICO DE LA FUERZA AEREA FACH GRAL DR RAUL YAZIGI JAUREGUI</v>
          </cell>
        </row>
        <row r="1667">
          <cell r="T1667">
            <v>951720</v>
          </cell>
          <cell r="AX1667" t="str">
            <v>Correctivo</v>
          </cell>
          <cell r="AY1667" t="str">
            <v>HOSPITAL CLINICO DE LA FUERZA AEREA FACH GRAL DR RAUL YAZIGI JAUREGUI</v>
          </cell>
        </row>
        <row r="1668">
          <cell r="T1668">
            <v>1905750</v>
          </cell>
          <cell r="AX1668" t="str">
            <v>Correctivo</v>
          </cell>
          <cell r="AY1668" t="str">
            <v>HOSPITAL CLINICO DE LA FUERZA AEREA FACH GRAL DR RAUL YAZIGI JAUREGUI</v>
          </cell>
        </row>
        <row r="1669">
          <cell r="T1669">
            <v>1206032</v>
          </cell>
          <cell r="AX1669" t="str">
            <v>Correctivo</v>
          </cell>
          <cell r="AY1669" t="str">
            <v>HOSPITAL CLINICO DE LA FUERZA AEREA FACH GRAL DR RAUL YAZIGI JAUREGUI</v>
          </cell>
        </row>
        <row r="1670">
          <cell r="T1670">
            <v>27119</v>
          </cell>
          <cell r="AX1670" t="str">
            <v>Correctivo</v>
          </cell>
          <cell r="AY1670" t="str">
            <v>HOSPITAL CLINICO DE LA FUERZA AEREA FACH GRAL DR RAUL YAZIGI JAUREGUI</v>
          </cell>
        </row>
        <row r="1671">
          <cell r="T1671">
            <v>346500</v>
          </cell>
          <cell r="AX1671" t="str">
            <v>Correctivo</v>
          </cell>
          <cell r="AY1671" t="str">
            <v>SOCIEDAD CONCESIONARIA METROPOLITANA DE SALUD S.A.</v>
          </cell>
        </row>
        <row r="1672">
          <cell r="T1672">
            <v>145711</v>
          </cell>
          <cell r="AX1672" t="str">
            <v>Correctivo</v>
          </cell>
          <cell r="AY1672" t="str">
            <v>SOCIEDAD CONCESIONARIA METROPOLITANA DE SALUD S.A.</v>
          </cell>
        </row>
        <row r="1673">
          <cell r="T1673">
            <v>318000</v>
          </cell>
          <cell r="AX1673" t="str">
            <v>Correctivo</v>
          </cell>
          <cell r="AY1673" t="str">
            <v>SOCIEDAD CONCESIONARIA METROPOLITANA DE SALUD S.A.</v>
          </cell>
        </row>
        <row r="1674">
          <cell r="T1674">
            <v>5884</v>
          </cell>
          <cell r="AX1674" t="str">
            <v>Correctivo</v>
          </cell>
          <cell r="AY1674" t="str">
            <v>SOCIEDAD CONCESIONARIA METROPOLITANA DE SALUD S.A.</v>
          </cell>
        </row>
        <row r="1675">
          <cell r="T1675">
            <v>12008962</v>
          </cell>
          <cell r="AX1675" t="str">
            <v>Preventivo</v>
          </cell>
          <cell r="AY1675" t="str">
            <v>HOSPITAL DEL SALVADOR</v>
          </cell>
        </row>
        <row r="1676">
          <cell r="T1676">
            <v>3800000</v>
          </cell>
          <cell r="AX1676" t="str">
            <v>Preventivo</v>
          </cell>
          <cell r="AY1676" t="str">
            <v>HOSPITAL GUILLERMO GRANT BENAVENTE</v>
          </cell>
        </row>
        <row r="1677">
          <cell r="T1677">
            <v>182500</v>
          </cell>
          <cell r="AX1677" t="str">
            <v>Correctivo</v>
          </cell>
          <cell r="AY1677">
            <v>0</v>
          </cell>
        </row>
        <row r="1678">
          <cell r="T1678">
            <v>577889</v>
          </cell>
          <cell r="AX1678" t="str">
            <v>Correctivo</v>
          </cell>
          <cell r="AY1678" t="str">
            <v>HOSPITAL EDUARDO PEREIRA</v>
          </cell>
        </row>
        <row r="1679">
          <cell r="T1679">
            <v>128718</v>
          </cell>
          <cell r="AX1679" t="str">
            <v>Correctivo</v>
          </cell>
          <cell r="AY1679" t="str">
            <v>HOSPITAL CARLOS VAN BUREN</v>
          </cell>
        </row>
        <row r="1680">
          <cell r="T1680">
            <v>1001149</v>
          </cell>
          <cell r="AX1680" t="str">
            <v>Correctivo</v>
          </cell>
          <cell r="AY1680" t="str">
            <v>HOSPITAL LUIS CALVO MACKENNA</v>
          </cell>
        </row>
        <row r="1681">
          <cell r="T1681">
            <v>630000</v>
          </cell>
          <cell r="AX1681" t="str">
            <v>Correctivo</v>
          </cell>
          <cell r="AY1681" t="str">
            <v>SOCIEDAD CONCESIONARIA METROPOLITANA DE SALUD S.A.</v>
          </cell>
        </row>
        <row r="1682">
          <cell r="T1682">
            <v>2956149</v>
          </cell>
          <cell r="AX1682" t="str">
            <v>Correctivo</v>
          </cell>
          <cell r="AY1682">
            <v>0</v>
          </cell>
        </row>
        <row r="1683">
          <cell r="T1683">
            <v>61490</v>
          </cell>
          <cell r="AX1683" t="str">
            <v>Correctivo</v>
          </cell>
          <cell r="AY1683" t="str">
            <v>INSUMOS Y SERVICIOS MEDICOS S.A.</v>
          </cell>
        </row>
        <row r="1684">
          <cell r="T1684">
            <v>45161</v>
          </cell>
          <cell r="AX1684" t="str">
            <v>Correctivo</v>
          </cell>
          <cell r="AY1684" t="str">
            <v>SOCIEDAD CONCESIONARIA METROPOLITANA DE SALUD S.A.</v>
          </cell>
        </row>
        <row r="1685">
          <cell r="T1685">
            <v>10700</v>
          </cell>
          <cell r="AX1685" t="str">
            <v>Correctivo</v>
          </cell>
          <cell r="AY1685" t="str">
            <v>SOCIEDAD CONCESIONARIA METROPOLITANA DE SALUD S.A.</v>
          </cell>
        </row>
        <row r="1686">
          <cell r="T1686">
            <v>51213</v>
          </cell>
          <cell r="AX1686" t="str">
            <v>Correctivo</v>
          </cell>
          <cell r="AY1686" t="str">
            <v>SOCIEDAD CONCESIONARIA METROPOLITANA DE SALUD S.A.</v>
          </cell>
        </row>
        <row r="1687">
          <cell r="T1687">
            <v>275760</v>
          </cell>
          <cell r="AX1687" t="str">
            <v>Correctivo</v>
          </cell>
          <cell r="AY1687" t="str">
            <v>HOSPITAL SAN JOSÉ</v>
          </cell>
        </row>
        <row r="1688">
          <cell r="T1688">
            <v>11500000</v>
          </cell>
          <cell r="AX1688" t="str">
            <v>Correctivo</v>
          </cell>
          <cell r="AY1688">
            <v>0</v>
          </cell>
        </row>
        <row r="1689">
          <cell r="T1689">
            <v>11500000</v>
          </cell>
          <cell r="AX1689" t="str">
            <v>Correctivo</v>
          </cell>
          <cell r="AY1689">
            <v>0</v>
          </cell>
        </row>
        <row r="1690">
          <cell r="T1690">
            <v>291911</v>
          </cell>
          <cell r="AX1690" t="str">
            <v>Correctivo</v>
          </cell>
          <cell r="AY1690" t="str">
            <v>SERV DE SALUD BÍO BÍO - HOSPITAL DE HUEPIL</v>
          </cell>
        </row>
        <row r="1691">
          <cell r="T1691">
            <v>387167</v>
          </cell>
          <cell r="AX1691" t="str">
            <v>Correctivo</v>
          </cell>
          <cell r="AY1691" t="str">
            <v>SERV DE SALUD BÍO BÍO - HOSPITAL DE HUEPIL</v>
          </cell>
        </row>
        <row r="1692">
          <cell r="T1692">
            <v>0</v>
          </cell>
          <cell r="AX1692" t="str">
            <v>Correctivo</v>
          </cell>
          <cell r="AY1692" t="str">
            <v>HOSPITAL CLAUDIO VICUÑA</v>
          </cell>
        </row>
        <row r="1693">
          <cell r="T1693">
            <v>2062125</v>
          </cell>
          <cell r="AX1693" t="str">
            <v>Correctivo</v>
          </cell>
          <cell r="AY1693" t="str">
            <v>HOSPITAL DE PUERTO MONTT</v>
          </cell>
        </row>
        <row r="1694">
          <cell r="T1694">
            <v>10487500</v>
          </cell>
          <cell r="AX1694" t="str">
            <v>Preventivo</v>
          </cell>
          <cell r="AY1694">
            <v>0</v>
          </cell>
        </row>
        <row r="1695">
          <cell r="T1695">
            <v>928926</v>
          </cell>
          <cell r="AX1695" t="str">
            <v>Preventivo</v>
          </cell>
          <cell r="AY1695">
            <v>0</v>
          </cell>
        </row>
        <row r="1696">
          <cell r="T1696">
            <v>668571</v>
          </cell>
          <cell r="AX1696" t="str">
            <v>Correctivo</v>
          </cell>
          <cell r="AY1696" t="str">
            <v>INSUMOS Y SERVICIOS MEDICOS S.A.</v>
          </cell>
        </row>
        <row r="1697">
          <cell r="T1697">
            <v>50000</v>
          </cell>
          <cell r="AX1697" t="str">
            <v>Correctivo</v>
          </cell>
          <cell r="AY1697" t="str">
            <v>CLINICA ALEMANA DE SANTIAGO S A</v>
          </cell>
        </row>
        <row r="1698">
          <cell r="T1698">
            <v>668571</v>
          </cell>
          <cell r="AX1698" t="str">
            <v>Correctivo</v>
          </cell>
          <cell r="AY1698" t="str">
            <v>INSUMOS Y SERVICIOS MEDICOS S.A.</v>
          </cell>
        </row>
        <row r="1699">
          <cell r="T1699">
            <v>1125627</v>
          </cell>
          <cell r="AX1699" t="str">
            <v>Correctivo</v>
          </cell>
          <cell r="AY1699" t="str">
            <v>INSUMOS Y SERVICIOS MEDICOS S.A.</v>
          </cell>
        </row>
        <row r="1700">
          <cell r="T1700">
            <v>1250000</v>
          </cell>
          <cell r="AX1700" t="str">
            <v>Preventivo</v>
          </cell>
          <cell r="AY1700" t="str">
            <v>MEGASALUD S.A.</v>
          </cell>
        </row>
        <row r="1701">
          <cell r="T1701">
            <v>2890000</v>
          </cell>
          <cell r="AX1701" t="str">
            <v>Preventivo</v>
          </cell>
          <cell r="AY1701" t="str">
            <v>HOSPITAL SAN PABLO DE COQUIMBO</v>
          </cell>
        </row>
        <row r="1702">
          <cell r="T1702">
            <v>925627</v>
          </cell>
          <cell r="AX1702" t="str">
            <v>Correctivo</v>
          </cell>
          <cell r="AY1702" t="str">
            <v>INSUMOS Y SERVICIOS MEDICOS S.A.</v>
          </cell>
        </row>
        <row r="1703">
          <cell r="T1703">
            <v>2040000</v>
          </cell>
          <cell r="AX1703" t="str">
            <v>Preventivo</v>
          </cell>
          <cell r="AY1703" t="str">
            <v>INSUMOS Y SERVICIOS MEDICOS S.A.</v>
          </cell>
        </row>
        <row r="1704">
          <cell r="T1704">
            <v>193945</v>
          </cell>
          <cell r="AX1704" t="str">
            <v>Correctivo</v>
          </cell>
          <cell r="AY1704" t="str">
            <v>CLINICA ALEMANA DE SANTIAGO S A</v>
          </cell>
        </row>
        <row r="1705">
          <cell r="T1705">
            <v>577889</v>
          </cell>
          <cell r="AX1705" t="str">
            <v>Correctivo</v>
          </cell>
          <cell r="AY1705" t="str">
            <v>HOSPITAL CARLOS VAN BUREN</v>
          </cell>
        </row>
        <row r="1706">
          <cell r="T1706">
            <v>2890000</v>
          </cell>
          <cell r="AX1706" t="str">
            <v>Preventivo</v>
          </cell>
          <cell r="AY1706" t="str">
            <v>HOSPITAL SAN PABLO DE COQUIMBO</v>
          </cell>
        </row>
        <row r="1707">
          <cell r="T1707">
            <v>437889</v>
          </cell>
          <cell r="AX1707" t="str">
            <v>Correctivo</v>
          </cell>
          <cell r="AY1707" t="str">
            <v>CLINICA ALEMANA DE SANTIAGO S A</v>
          </cell>
        </row>
        <row r="1708">
          <cell r="T1708">
            <v>0</v>
          </cell>
          <cell r="AX1708" t="str">
            <v>Correctivo</v>
          </cell>
          <cell r="AY1708">
            <v>0</v>
          </cell>
        </row>
        <row r="1709">
          <cell r="T1709">
            <v>895289</v>
          </cell>
          <cell r="AX1709" t="str">
            <v>Preventivo</v>
          </cell>
          <cell r="AY1709" t="str">
            <v>INSTITUTO DE DIAGNOSTICO S.A.</v>
          </cell>
        </row>
        <row r="1710">
          <cell r="T1710">
            <v>1256226</v>
          </cell>
          <cell r="AX1710" t="str">
            <v>Preventivo</v>
          </cell>
          <cell r="AY1710" t="str">
            <v>FUNDACIÓN OFTALMOLÓGICA LOS ANDES</v>
          </cell>
        </row>
        <row r="1711">
          <cell r="T1711">
            <v>1146998</v>
          </cell>
          <cell r="AX1711" t="str">
            <v>Preventivo</v>
          </cell>
          <cell r="AY1711" t="str">
            <v>HOSPITAL DEL SALVADOR</v>
          </cell>
        </row>
        <row r="1712">
          <cell r="T1712">
            <v>1146998</v>
          </cell>
          <cell r="AX1712" t="str">
            <v>Preventivo</v>
          </cell>
          <cell r="AY1712" t="str">
            <v>HOSPITAL DEL SALVADOR</v>
          </cell>
        </row>
        <row r="1713">
          <cell r="T1713">
            <v>1146998</v>
          </cell>
          <cell r="AX1713" t="str">
            <v>Preventivo</v>
          </cell>
          <cell r="AY1713" t="str">
            <v>HOSPITAL DEL SALVADOR</v>
          </cell>
        </row>
        <row r="1714">
          <cell r="T1714">
            <v>881173</v>
          </cell>
          <cell r="AX1714" t="str">
            <v>Preventivo</v>
          </cell>
          <cell r="AY1714" t="str">
            <v>INSTITUTO DE DIAGNOSTICO S.A.</v>
          </cell>
        </row>
        <row r="1715">
          <cell r="T1715">
            <v>881173</v>
          </cell>
          <cell r="AX1715" t="str">
            <v>Preventivo</v>
          </cell>
          <cell r="AY1715" t="str">
            <v>INSTITUTO DE DIAGNOSTICO S.A.</v>
          </cell>
        </row>
        <row r="1716">
          <cell r="T1716">
            <v>4830992</v>
          </cell>
          <cell r="AX1716" t="str">
            <v>Preventivo</v>
          </cell>
          <cell r="AY1716" t="str">
            <v>INSUMOS Y SERVICIOS MEDICOS S.A.</v>
          </cell>
        </row>
        <row r="1717">
          <cell r="T1717">
            <v>783802</v>
          </cell>
          <cell r="AX1717" t="str">
            <v>Preventivo</v>
          </cell>
          <cell r="AY1717">
            <v>0</v>
          </cell>
        </row>
        <row r="1718">
          <cell r="T1718">
            <v>783802</v>
          </cell>
          <cell r="AX1718" t="str">
            <v>Preventivo</v>
          </cell>
          <cell r="AY1718">
            <v>0</v>
          </cell>
        </row>
        <row r="1719">
          <cell r="T1719">
            <v>1146998</v>
          </cell>
          <cell r="AX1719" t="str">
            <v>Preventivo</v>
          </cell>
          <cell r="AY1719" t="str">
            <v>HOSPITAL DEL SALVADOR</v>
          </cell>
        </row>
        <row r="1720">
          <cell r="T1720">
            <v>1146998</v>
          </cell>
          <cell r="AX1720" t="str">
            <v>Preventivo</v>
          </cell>
          <cell r="AY1720" t="str">
            <v>HOSPITAL DEL SALVADOR</v>
          </cell>
        </row>
        <row r="1721">
          <cell r="T1721">
            <v>1146998</v>
          </cell>
          <cell r="AX1721" t="str">
            <v>Preventivo</v>
          </cell>
          <cell r="AY1721" t="str">
            <v>HOSPITAL DEL SALVADOR</v>
          </cell>
        </row>
        <row r="1722">
          <cell r="T1722">
            <v>396771</v>
          </cell>
          <cell r="AX1722" t="str">
            <v>Preventivo</v>
          </cell>
          <cell r="AY1722" t="str">
            <v>UC CHRISTUS SERVICIOS AMBULATORIOS SPA</v>
          </cell>
        </row>
        <row r="1723">
          <cell r="T1723">
            <v>1190313</v>
          </cell>
          <cell r="AX1723" t="str">
            <v>Preventivo</v>
          </cell>
          <cell r="AY1723" t="str">
            <v>UC CHRISTUS SERVICIOS AMBULATORIOS SPA</v>
          </cell>
        </row>
        <row r="1724">
          <cell r="T1724">
            <v>1587084</v>
          </cell>
          <cell r="AX1724" t="str">
            <v>Preventivo</v>
          </cell>
          <cell r="AY1724" t="str">
            <v>UC CHRISTUS SERVICIOS AMBULATORIOS SPA</v>
          </cell>
        </row>
        <row r="1725">
          <cell r="T1725">
            <v>4212865</v>
          </cell>
          <cell r="AX1725" t="str">
            <v>Preventivo</v>
          </cell>
          <cell r="AY1725" t="str">
            <v>INSUMOS Y SERVICIOS MEDICOS S.A.</v>
          </cell>
        </row>
        <row r="1726">
          <cell r="T1726">
            <v>1654125</v>
          </cell>
          <cell r="AX1726" t="str">
            <v>Preventivo</v>
          </cell>
          <cell r="AY1726" t="str">
            <v>I.MUNICIPALIDAD DE LA UNION</v>
          </cell>
        </row>
        <row r="1727">
          <cell r="T1727">
            <v>4728953</v>
          </cell>
          <cell r="AX1727" t="str">
            <v>Preventivo</v>
          </cell>
          <cell r="AY1727" t="str">
            <v>SERVICIO NACIONAL DE SALUD HOSPITAL DE LOTA</v>
          </cell>
        </row>
        <row r="1728">
          <cell r="T1728">
            <v>893519</v>
          </cell>
          <cell r="AX1728" t="str">
            <v>Preventivo</v>
          </cell>
          <cell r="AY1728" t="str">
            <v>INSTITUTO DE DIAGNOSTICO S.A.</v>
          </cell>
        </row>
        <row r="1729">
          <cell r="T1729">
            <v>266880</v>
          </cell>
          <cell r="AX1729" t="str">
            <v>Preventivo</v>
          </cell>
          <cell r="AY1729" t="str">
            <v>HOSPITAL DR. LUIS TISNE B.</v>
          </cell>
        </row>
        <row r="1730">
          <cell r="T1730">
            <v>1204423</v>
          </cell>
          <cell r="AX1730" t="str">
            <v>Preventivo</v>
          </cell>
          <cell r="AY1730" t="str">
            <v>HOSPITAL DE PURRANQUE</v>
          </cell>
        </row>
        <row r="1731">
          <cell r="T1731">
            <v>1678615</v>
          </cell>
          <cell r="AX1731" t="str">
            <v>Preventivo</v>
          </cell>
          <cell r="AY1731" t="str">
            <v>EJERCITO DE CHILE CENTRAL ODONTOLOGICA D</v>
          </cell>
        </row>
        <row r="1732">
          <cell r="T1732">
            <v>1678615</v>
          </cell>
          <cell r="AX1732" t="str">
            <v>Preventivo</v>
          </cell>
          <cell r="AY1732" t="str">
            <v>EJERCITO DE CHILE CENTRAL ODONTOLOGICA D</v>
          </cell>
        </row>
        <row r="1733">
          <cell r="T1733">
            <v>1146998</v>
          </cell>
          <cell r="AX1733" t="str">
            <v>Preventivo</v>
          </cell>
          <cell r="AY1733" t="str">
            <v>HOSPITAL DEL SALVADOR</v>
          </cell>
        </row>
        <row r="1734">
          <cell r="T1734">
            <v>1146998</v>
          </cell>
          <cell r="AX1734" t="str">
            <v>Preventivo</v>
          </cell>
          <cell r="AY1734" t="str">
            <v>HOSPITAL DEL SALVADOR</v>
          </cell>
        </row>
        <row r="1735">
          <cell r="T1735">
            <v>1146998</v>
          </cell>
          <cell r="AX1735" t="str">
            <v>Preventivo</v>
          </cell>
          <cell r="AY1735" t="str">
            <v>HOSPITAL DEL SALVADOR</v>
          </cell>
        </row>
        <row r="1736">
          <cell r="T1736">
            <v>890919</v>
          </cell>
          <cell r="AX1736" t="str">
            <v>Preventivo</v>
          </cell>
          <cell r="AY1736" t="str">
            <v>INSTITUTO DE DIAGNOSTICO S.A.</v>
          </cell>
        </row>
        <row r="1737">
          <cell r="T1737">
            <v>4884426</v>
          </cell>
          <cell r="AX1737" t="str">
            <v>Preventivo</v>
          </cell>
          <cell r="AY1737" t="str">
            <v>INSUMOS Y SERVICIOS MEDICOS S.A.</v>
          </cell>
        </row>
        <row r="1738">
          <cell r="T1738">
            <v>266104</v>
          </cell>
          <cell r="AX1738" t="str">
            <v>Preventivo</v>
          </cell>
          <cell r="AY1738" t="str">
            <v>HOSPITAL DR. LUIS TISNE B.</v>
          </cell>
        </row>
        <row r="1739">
          <cell r="T1739">
            <v>264869</v>
          </cell>
          <cell r="AX1739" t="str">
            <v>Preventivo</v>
          </cell>
          <cell r="AY1739" t="str">
            <v>HOSPITAL DR. LUIS TISNE B.</v>
          </cell>
        </row>
        <row r="1740">
          <cell r="T1740">
            <v>17393561</v>
          </cell>
          <cell r="AX1740" t="str">
            <v>Preventivo</v>
          </cell>
          <cell r="AY1740" t="str">
            <v>HOSPITAL CARLOS VAN BUREN</v>
          </cell>
        </row>
        <row r="1741">
          <cell r="T1741">
            <v>1263790</v>
          </cell>
          <cell r="AX1741" t="str">
            <v>Preventivo</v>
          </cell>
          <cell r="AY1741" t="str">
            <v>FUNDACIÓN OFTALMOLÓGICA LOS ANDES</v>
          </cell>
        </row>
        <row r="1742">
          <cell r="T1742">
            <v>6019104</v>
          </cell>
          <cell r="AX1742" t="str">
            <v>Preventivo</v>
          </cell>
          <cell r="AY1742" t="str">
            <v>SERVICIO DE SALUD OSORNO</v>
          </cell>
        </row>
        <row r="1743">
          <cell r="T1743">
            <v>886786</v>
          </cell>
          <cell r="AX1743" t="str">
            <v>Preventivo</v>
          </cell>
          <cell r="AY1743" t="str">
            <v>INSTITUTO DE DIAGNOSTICO S.A.</v>
          </cell>
        </row>
        <row r="1744">
          <cell r="T1744">
            <v>4861763</v>
          </cell>
          <cell r="AX1744" t="str">
            <v>Preventivo</v>
          </cell>
          <cell r="AY1744" t="str">
            <v>INSUMOS Y SERVICIOS MEDICOS S.A.</v>
          </cell>
        </row>
        <row r="1745">
          <cell r="T1745">
            <v>4830992</v>
          </cell>
          <cell r="AX1745" t="str">
            <v>Preventivo</v>
          </cell>
          <cell r="AY1745" t="str">
            <v>INSUMOS Y SERVICIOS MEDICOS S.A.</v>
          </cell>
        </row>
        <row r="1746">
          <cell r="T1746">
            <v>1146998</v>
          </cell>
          <cell r="AX1746" t="str">
            <v>Preventivo</v>
          </cell>
          <cell r="AY1746" t="str">
            <v>HOSPITAL DEL SALVADOR</v>
          </cell>
        </row>
        <row r="1747">
          <cell r="T1747">
            <v>1204423</v>
          </cell>
          <cell r="AX1747" t="str">
            <v>Preventivo</v>
          </cell>
          <cell r="AY1747" t="str">
            <v>HOSPITAL DE PURRANQUE</v>
          </cell>
        </row>
        <row r="1748">
          <cell r="T1748">
            <v>1204423</v>
          </cell>
          <cell r="AX1748" t="str">
            <v>Preventivo</v>
          </cell>
          <cell r="AY1748" t="str">
            <v>HOSPITAL DE PURRANQUE</v>
          </cell>
        </row>
        <row r="1749">
          <cell r="T1749">
            <v>238844</v>
          </cell>
          <cell r="AX1749" t="str">
            <v>Preventivo</v>
          </cell>
          <cell r="AY1749" t="str">
            <v>HOSPITAL DR. LUIS TISNE B.</v>
          </cell>
        </row>
        <row r="1750">
          <cell r="T1750">
            <v>2535926</v>
          </cell>
          <cell r="AX1750" t="str">
            <v>Preventivo</v>
          </cell>
          <cell r="AY1750" t="str">
            <v>HOSPITAL PENCO -LIRQUEN</v>
          </cell>
        </row>
        <row r="1751">
          <cell r="T1751">
            <v>881946</v>
          </cell>
          <cell r="AX1751" t="str">
            <v>Preventivo</v>
          </cell>
          <cell r="AY1751" t="str">
            <v>CENTRO DE OFTALMOLOGIA DR.DAVID BITRAN S.A.</v>
          </cell>
        </row>
        <row r="1752">
          <cell r="T1752">
            <v>273399</v>
          </cell>
          <cell r="AX1752" t="str">
            <v>Preventivo</v>
          </cell>
          <cell r="AY1752" t="str">
            <v>INSTITUTO OFTALMOLÓGICO PUERTA DEL SOL S.A.</v>
          </cell>
        </row>
        <row r="1753">
          <cell r="T1753">
            <v>240366</v>
          </cell>
          <cell r="AX1753" t="str">
            <v>Preventivo</v>
          </cell>
          <cell r="AY1753" t="str">
            <v>HOSPITAL DR. LUIS TISNE B.</v>
          </cell>
        </row>
        <row r="1754">
          <cell r="T1754">
            <v>440000</v>
          </cell>
          <cell r="AX1754" t="str">
            <v>Preventivo</v>
          </cell>
          <cell r="AY1754">
            <v>0</v>
          </cell>
        </row>
        <row r="1755">
          <cell r="T1755">
            <v>427345</v>
          </cell>
          <cell r="AX1755" t="str">
            <v>Preventivo</v>
          </cell>
          <cell r="AY1755" t="str">
            <v>HOSPITAL DE ILLAPEL</v>
          </cell>
        </row>
        <row r="1756">
          <cell r="T1756">
            <v>466778</v>
          </cell>
          <cell r="AX1756" t="str">
            <v>Correctivo</v>
          </cell>
          <cell r="AY1756">
            <v>0</v>
          </cell>
        </row>
        <row r="1757">
          <cell r="T1757">
            <v>241486</v>
          </cell>
          <cell r="AX1757" t="str">
            <v>Correctivo</v>
          </cell>
          <cell r="AY1757" t="str">
            <v>HOSPITAL DR. LUIS TISNE B.</v>
          </cell>
        </row>
        <row r="1758">
          <cell r="T1758">
            <v>273399</v>
          </cell>
          <cell r="AX1758" t="str">
            <v>Correctivo</v>
          </cell>
          <cell r="AY1758" t="str">
            <v>INSTITUTO OFTALMOLÓGICO PUERTA DEL SOL S.A.</v>
          </cell>
        </row>
        <row r="1759">
          <cell r="T1759">
            <v>1200000</v>
          </cell>
          <cell r="AX1759" t="str">
            <v>Preventivo</v>
          </cell>
          <cell r="AY1759">
            <v>0</v>
          </cell>
        </row>
        <row r="1760">
          <cell r="T1760">
            <v>420000</v>
          </cell>
          <cell r="AX1760" t="str">
            <v>Preventivo</v>
          </cell>
          <cell r="AY1760" t="str">
            <v>HOSPITAL NAVAL ALMIRANTE ADRIAZOLA</v>
          </cell>
        </row>
        <row r="1761">
          <cell r="T1761">
            <v>1204423</v>
          </cell>
          <cell r="AX1761" t="str">
            <v>Correctivo</v>
          </cell>
          <cell r="AY1761" t="str">
            <v>HOSPITAL DE PURRANQUE</v>
          </cell>
        </row>
        <row r="1762">
          <cell r="T1762">
            <v>14536863</v>
          </cell>
          <cell r="AX1762" t="str">
            <v>Correctivo</v>
          </cell>
          <cell r="AY1762" t="str">
            <v>HOSPITAL COMPLEJO ASISTENCIAL PADRE LAS CASAS</v>
          </cell>
        </row>
        <row r="1763">
          <cell r="T1763">
            <v>242191</v>
          </cell>
          <cell r="AX1763" t="str">
            <v>Preventivo</v>
          </cell>
          <cell r="AY1763" t="str">
            <v>HOSPITAL DR. LUIS TISNE B.</v>
          </cell>
        </row>
        <row r="1764">
          <cell r="T1764">
            <v>273399</v>
          </cell>
          <cell r="AX1764" t="str">
            <v>Preventivo</v>
          </cell>
          <cell r="AY1764" t="str">
            <v>INSTITUTO OFTALMOLÓGICO PUERTA DEL SOL S.A.</v>
          </cell>
        </row>
        <row r="1765">
          <cell r="T1765">
            <v>3749163</v>
          </cell>
          <cell r="AX1765" t="str">
            <v>Preventivo</v>
          </cell>
          <cell r="AY1765" t="str">
            <v>HOSPITAL CLINICO DE LA FUERZA AEREA FACH GRAL DR RAUL YAZIGI JAUREGUI</v>
          </cell>
        </row>
        <row r="1766">
          <cell r="T1766">
            <v>793542</v>
          </cell>
          <cell r="AX1766" t="str">
            <v>Preventivo</v>
          </cell>
          <cell r="AY1766">
            <v>0</v>
          </cell>
        </row>
        <row r="1767">
          <cell r="T1767">
            <v>793542</v>
          </cell>
          <cell r="AX1767" t="str">
            <v>Preventivo</v>
          </cell>
          <cell r="AY1767">
            <v>0</v>
          </cell>
        </row>
        <row r="1768">
          <cell r="T1768">
            <v>3677131</v>
          </cell>
          <cell r="AX1768" t="str">
            <v>Preventivo</v>
          </cell>
          <cell r="AY1768" t="str">
            <v>HOSPITAL CLINICO DE LA FUERZA AEREA FACH GRAL DR RAUL YAZIGI JAUREGUI</v>
          </cell>
        </row>
        <row r="1769">
          <cell r="T1769">
            <v>117403</v>
          </cell>
          <cell r="AX1769" t="str">
            <v>Preventivo</v>
          </cell>
          <cell r="AY1769" t="str">
            <v>MEGASALUD S.A.</v>
          </cell>
        </row>
        <row r="1770">
          <cell r="T1770">
            <v>237216</v>
          </cell>
          <cell r="AX1770" t="str">
            <v>Preventivo</v>
          </cell>
          <cell r="AY1770" t="str">
            <v>HOSPITAL DR. LUIS TISNE B.</v>
          </cell>
        </row>
        <row r="1771">
          <cell r="T1771">
            <v>273399</v>
          </cell>
          <cell r="AX1771" t="str">
            <v>Preventivo</v>
          </cell>
          <cell r="AY1771" t="str">
            <v>INSTITUTO OFTALMOLÓGICO PUERTA DEL SOL S.A.</v>
          </cell>
        </row>
        <row r="1772">
          <cell r="T1772">
            <v>273399</v>
          </cell>
          <cell r="AX1772" t="str">
            <v>Preventivo</v>
          </cell>
          <cell r="AY1772" t="str">
            <v>INSTITUTO OFTALMOLÓGICO PUERTA DEL SOL S.A.</v>
          </cell>
        </row>
        <row r="1773">
          <cell r="T1773">
            <v>117404</v>
          </cell>
          <cell r="AX1773" t="str">
            <v>Preventivo</v>
          </cell>
          <cell r="AY1773" t="str">
            <v>MEGASALUD S.A.</v>
          </cell>
        </row>
        <row r="1774">
          <cell r="T1774">
            <v>14536863</v>
          </cell>
          <cell r="AX1774" t="str">
            <v>Preventivo</v>
          </cell>
          <cell r="AY1774" t="str">
            <v>HOSPITAL COMPLEJO ASISTENCIAL PADRE LAS CASAS</v>
          </cell>
        </row>
        <row r="1775">
          <cell r="T1775">
            <v>273399</v>
          </cell>
          <cell r="AX1775" t="str">
            <v>Correctivo</v>
          </cell>
          <cell r="AY1775" t="str">
            <v>INSTITUTO OFTALMOLÓGICO PUERTA DEL SOL S.A.</v>
          </cell>
        </row>
        <row r="1776">
          <cell r="T1776">
            <v>316000</v>
          </cell>
          <cell r="AX1776" t="str">
            <v>Preventivo</v>
          </cell>
          <cell r="AY1776" t="str">
            <v>SOCIEDAD CONCESIONARIA METROPOLITANA DE SALUD S.A.</v>
          </cell>
        </row>
        <row r="1777">
          <cell r="T1777">
            <v>3753526</v>
          </cell>
          <cell r="AX1777" t="str">
            <v>Preventivo</v>
          </cell>
          <cell r="AY1777" t="str">
            <v>HOSPITAL CLINICO DE LA FUERZA AEREA FACH GRAL DR RAUL YAZIGI JAUREGUI</v>
          </cell>
        </row>
        <row r="1778">
          <cell r="T1778">
            <v>3765995</v>
          </cell>
          <cell r="AX1778" t="str">
            <v>Correctivo</v>
          </cell>
          <cell r="AY1778" t="str">
            <v>HOSPITAL CLINICO DE LA FUERZA AEREA FACH GRAL DR RAUL YAZIGI JAUREGUI</v>
          </cell>
        </row>
        <row r="1779">
          <cell r="T1779">
            <v>6019104</v>
          </cell>
          <cell r="AX1779" t="str">
            <v>Correctivo</v>
          </cell>
          <cell r="AY1779" t="str">
            <v>SERVICIO DE SALUD OSORNO</v>
          </cell>
        </row>
        <row r="1780">
          <cell r="T1780">
            <v>3769262</v>
          </cell>
          <cell r="AX1780" t="str">
            <v>Correctivo</v>
          </cell>
          <cell r="AY1780" t="str">
            <v>HOSPITAL CLINICO DE LA FUERZA AEREA FACH GRAL DR RAUL YAZIGI JAUREGUI</v>
          </cell>
        </row>
        <row r="1781">
          <cell r="T1781">
            <v>209458</v>
          </cell>
          <cell r="AX1781" t="str">
            <v>Correctivo</v>
          </cell>
          <cell r="AY1781" t="str">
            <v>HOSPITAL REGIONAL DE ARICA DR. JUAN NOÉ CREVANI</v>
          </cell>
        </row>
        <row r="1782">
          <cell r="T1782">
            <v>0</v>
          </cell>
          <cell r="AX1782" t="str">
            <v>Preventivo</v>
          </cell>
          <cell r="AY1782" t="str">
            <v>HOSPITAL PENCO -LIRQUEN</v>
          </cell>
        </row>
        <row r="1783">
          <cell r="T1783">
            <v>0</v>
          </cell>
          <cell r="AX1783" t="str">
            <v>Preventivo</v>
          </cell>
          <cell r="AY1783" t="str">
            <v>HOSPITAL PENCO -LIRQUEN</v>
          </cell>
        </row>
        <row r="1784">
          <cell r="T1784">
            <v>387889</v>
          </cell>
          <cell r="AX1784" t="str">
            <v>Correctivo</v>
          </cell>
          <cell r="AY1784">
            <v>0</v>
          </cell>
        </row>
        <row r="1785">
          <cell r="T1785">
            <v>9649438</v>
          </cell>
          <cell r="AX1785" t="str">
            <v>Preventivo</v>
          </cell>
          <cell r="AY1785" t="str">
            <v>I. MUNICIPALIDAD DE PUCON</v>
          </cell>
        </row>
        <row r="1786">
          <cell r="T1786">
            <v>222550</v>
          </cell>
          <cell r="AX1786" t="str">
            <v>Correctivo</v>
          </cell>
          <cell r="AY1786" t="str">
            <v>INSUMOS Y SERVICIOS MEDICOS S.A.</v>
          </cell>
        </row>
        <row r="1787">
          <cell r="T1787">
            <v>930000</v>
          </cell>
          <cell r="AX1787" t="str">
            <v>Correctivo</v>
          </cell>
          <cell r="AY1787" t="str">
            <v>INSTITUTO DE DIAGNOSTICO S.A.</v>
          </cell>
        </row>
        <row r="1788">
          <cell r="T1788">
            <v>3799915</v>
          </cell>
          <cell r="AX1788" t="str">
            <v>Correctivo</v>
          </cell>
          <cell r="AY1788" t="str">
            <v>HOSPITAL EXEQUIEL GONZALEZ CORTES</v>
          </cell>
        </row>
        <row r="1789">
          <cell r="T1789">
            <v>7666812</v>
          </cell>
          <cell r="AX1789" t="str">
            <v>Preventivo</v>
          </cell>
          <cell r="AY1789" t="str">
            <v>HOSPITAL DEL SALVADOR</v>
          </cell>
        </row>
        <row r="1790">
          <cell r="T1790">
            <v>3508800</v>
          </cell>
          <cell r="AX1790" t="str">
            <v>Preventivo</v>
          </cell>
          <cell r="AY1790" t="str">
            <v>HOSPITAL CLINICO DE LA FUERZA AEREA FACH GRAL DR RAUL YAZIGI JAUREGUI</v>
          </cell>
        </row>
        <row r="1791">
          <cell r="T1791">
            <v>3799915</v>
          </cell>
          <cell r="AX1791" t="str">
            <v>Preventivo</v>
          </cell>
          <cell r="AY1791" t="str">
            <v>HOSPITAL EXEQUIEL GONZALEZ CORTES</v>
          </cell>
        </row>
        <row r="1792">
          <cell r="T1792">
            <v>537151</v>
          </cell>
          <cell r="AX1792" t="str">
            <v>Preventivo</v>
          </cell>
          <cell r="AY1792" t="str">
            <v>HOSPITAL METROPOLITANO DE SANTIAGO</v>
          </cell>
        </row>
        <row r="1793">
          <cell r="T1793">
            <v>537151</v>
          </cell>
          <cell r="AX1793" t="str">
            <v>Preventivo</v>
          </cell>
          <cell r="AY1793" t="str">
            <v>HOSPITAL METROPOLITANO DE SANTIAGO</v>
          </cell>
        </row>
        <row r="1794">
          <cell r="T1794">
            <v>1146998</v>
          </cell>
          <cell r="AX1794" t="str">
            <v>Preventivo</v>
          </cell>
          <cell r="AY1794" t="str">
            <v>HOSPITAL DEL SALVADOR</v>
          </cell>
        </row>
        <row r="1795">
          <cell r="T1795">
            <v>1146998</v>
          </cell>
          <cell r="AX1795" t="str">
            <v>Preventivo</v>
          </cell>
          <cell r="AY1795" t="str">
            <v>HOSPITAL DEL SALVADOR</v>
          </cell>
        </row>
        <row r="1796">
          <cell r="T1796">
            <v>719676</v>
          </cell>
          <cell r="AX1796" t="str">
            <v>Preventivo</v>
          </cell>
          <cell r="AY1796" t="str">
            <v>HOSPITAL MILITAR DE SANTIAGO</v>
          </cell>
        </row>
        <row r="1797">
          <cell r="T1797">
            <v>537151</v>
          </cell>
          <cell r="AX1797" t="str">
            <v>Preventivo</v>
          </cell>
          <cell r="AY1797" t="str">
            <v>HOSPITAL METROPOLITANO DE SANTIAGO</v>
          </cell>
        </row>
        <row r="1798">
          <cell r="T1798">
            <v>537151</v>
          </cell>
          <cell r="AX1798" t="str">
            <v>Preventivo</v>
          </cell>
          <cell r="AY1798" t="str">
            <v>HOSPITAL METROPOLITANO DE SANTIAGO</v>
          </cell>
        </row>
        <row r="1799">
          <cell r="T1799">
            <v>608025</v>
          </cell>
          <cell r="AX1799" t="str">
            <v>Preventivo</v>
          </cell>
          <cell r="AY1799" t="str">
            <v>HOSPITAL LUIS CALVO MACKENNA</v>
          </cell>
        </row>
        <row r="1800">
          <cell r="T1800">
            <v>3799915</v>
          </cell>
          <cell r="AX1800" t="str">
            <v>Preventivo</v>
          </cell>
          <cell r="AY1800" t="str">
            <v>HOSPITAL EXEQUIEL GONZALEZ CORTES</v>
          </cell>
        </row>
        <row r="1801">
          <cell r="T1801">
            <v>270535</v>
          </cell>
          <cell r="AX1801" t="str">
            <v>Preventivo</v>
          </cell>
          <cell r="AY1801" t="str">
            <v>CLÍNICA INTERMEDICAL LTDA.</v>
          </cell>
        </row>
        <row r="1802">
          <cell r="T1802">
            <v>811606</v>
          </cell>
          <cell r="AX1802" t="str">
            <v>Preventivo</v>
          </cell>
          <cell r="AY1802">
            <v>0</v>
          </cell>
        </row>
        <row r="1803">
          <cell r="T1803">
            <v>811606</v>
          </cell>
          <cell r="AX1803" t="str">
            <v>Preventivo</v>
          </cell>
          <cell r="AY1803">
            <v>0</v>
          </cell>
        </row>
        <row r="1804">
          <cell r="T1804">
            <v>1192172</v>
          </cell>
          <cell r="AX1804" t="str">
            <v>Preventivo</v>
          </cell>
          <cell r="AY1804" t="str">
            <v>HOSPITAL SAN JOSÉ</v>
          </cell>
        </row>
        <row r="1805">
          <cell r="T1805">
            <v>270535</v>
          </cell>
          <cell r="AX1805" t="str">
            <v>Preventivo</v>
          </cell>
          <cell r="AY1805" t="str">
            <v>CLÍNICA INTERMEDICAL LTDA.</v>
          </cell>
        </row>
        <row r="1806">
          <cell r="T1806">
            <v>1869014</v>
          </cell>
          <cell r="AX1806" t="str">
            <v>Preventivo</v>
          </cell>
          <cell r="AY1806" t="str">
            <v>I.MUNICIPALIDAD DE INDEPENDENCIA</v>
          </cell>
        </row>
        <row r="1807">
          <cell r="T1807">
            <v>608025</v>
          </cell>
          <cell r="AX1807" t="str">
            <v>Preventivo</v>
          </cell>
          <cell r="AY1807" t="str">
            <v>HOSPITAL LUIS CALVO MACKENNA</v>
          </cell>
        </row>
        <row r="1808">
          <cell r="T1808">
            <v>3799915</v>
          </cell>
          <cell r="AX1808" t="str">
            <v>Preventivo</v>
          </cell>
          <cell r="AY1808" t="str">
            <v>HOSPITAL EXEQUIEL GONZALEZ CORTES</v>
          </cell>
        </row>
        <row r="1809">
          <cell r="T1809">
            <v>1146998</v>
          </cell>
          <cell r="AX1809" t="str">
            <v>Preventivo</v>
          </cell>
          <cell r="AY1809" t="str">
            <v>HOSPITAL DEL SALVADOR</v>
          </cell>
        </row>
        <row r="1810">
          <cell r="T1810">
            <v>228832</v>
          </cell>
          <cell r="AX1810" t="str">
            <v>Preventivo</v>
          </cell>
          <cell r="AY1810" t="str">
            <v>INSTITUTO NACIONAL DEL CANCER</v>
          </cell>
        </row>
        <row r="1811">
          <cell r="T1811">
            <v>228832</v>
          </cell>
          <cell r="AX1811" t="str">
            <v>Preventivo</v>
          </cell>
          <cell r="AY1811" t="str">
            <v>INSTITUTO NACIONAL DEL CANCER</v>
          </cell>
        </row>
        <row r="1812">
          <cell r="T1812">
            <v>1688914</v>
          </cell>
          <cell r="AX1812" t="str">
            <v>Preventivo</v>
          </cell>
          <cell r="AY1812" t="str">
            <v>HOSPITAL METROPOLITANO DE SANTIAGO</v>
          </cell>
        </row>
        <row r="1813">
          <cell r="T1813">
            <v>1146998</v>
          </cell>
          <cell r="AX1813" t="str">
            <v>Preventivo</v>
          </cell>
          <cell r="AY1813" t="str">
            <v>HOSPITAL DEL SALVADOR</v>
          </cell>
        </row>
        <row r="1814">
          <cell r="T1814">
            <v>1700509</v>
          </cell>
          <cell r="AX1814" t="str">
            <v>Preventivo</v>
          </cell>
          <cell r="AY1814" t="str">
            <v>HOSPITAL METROPOLITANO DE SANTIAGO</v>
          </cell>
        </row>
        <row r="1815">
          <cell r="T1815">
            <v>3799915</v>
          </cell>
          <cell r="AX1815" t="str">
            <v>Preventivo</v>
          </cell>
          <cell r="AY1815" t="str">
            <v>HOSPITAL EXEQUIEL GONZALEZ CORTES</v>
          </cell>
        </row>
        <row r="1816">
          <cell r="T1816">
            <v>1700509</v>
          </cell>
          <cell r="AX1816" t="str">
            <v>Preventivo</v>
          </cell>
          <cell r="AY1816" t="str">
            <v>HOSPITAL METROPOLITANO DE SANTIAGO</v>
          </cell>
        </row>
        <row r="1817">
          <cell r="T1817">
            <v>228832</v>
          </cell>
          <cell r="AX1817" t="str">
            <v>Preventivo</v>
          </cell>
          <cell r="AY1817" t="str">
            <v>INSTITUTO NACIONAL DEL CANCER</v>
          </cell>
        </row>
        <row r="1818">
          <cell r="T1818">
            <v>1192172</v>
          </cell>
          <cell r="AX1818" t="str">
            <v>Preventivo</v>
          </cell>
          <cell r="AY1818" t="str">
            <v>HOSPITAL SAN JOSÉ</v>
          </cell>
        </row>
        <row r="1819">
          <cell r="T1819">
            <v>1880919</v>
          </cell>
          <cell r="AX1819" t="str">
            <v>Preventivo</v>
          </cell>
          <cell r="AY1819" t="str">
            <v>I.MUNICIPALIDAD DE INDEPENDENCIA</v>
          </cell>
        </row>
        <row r="1820">
          <cell r="T1820">
            <v>700616</v>
          </cell>
          <cell r="AX1820" t="str">
            <v>Preventivo</v>
          </cell>
          <cell r="AY1820" t="str">
            <v>HOSPITAL COMPLEJO ASISTENCIAL PADRE LAS CASAS</v>
          </cell>
        </row>
        <row r="1821">
          <cell r="T1821">
            <v>1658655</v>
          </cell>
          <cell r="AX1821" t="str">
            <v>Preventivo</v>
          </cell>
          <cell r="AY1821" t="str">
            <v>SERVICIO DE SALUD OSORNO</v>
          </cell>
        </row>
        <row r="1822">
          <cell r="T1822">
            <v>1929204</v>
          </cell>
          <cell r="AX1822" t="str">
            <v>Preventivo</v>
          </cell>
          <cell r="AY1822" t="str">
            <v>SERVICIO DE SALUD OSORNO</v>
          </cell>
        </row>
        <row r="1823">
          <cell r="T1823">
            <v>3388929</v>
          </cell>
          <cell r="AX1823" t="str">
            <v>Preventivo</v>
          </cell>
          <cell r="AY1823" t="str">
            <v>HOSPITAL REGIONAL DE ARICA DR. JUAN NOÉ CREVANI</v>
          </cell>
        </row>
        <row r="1824">
          <cell r="T1824">
            <v>726981</v>
          </cell>
          <cell r="AX1824" t="str">
            <v>Preventivo</v>
          </cell>
          <cell r="AY1824" t="str">
            <v>HOSPITAL MILITAR DE SANTIAGO</v>
          </cell>
        </row>
        <row r="1825">
          <cell r="T1825">
            <v>816776</v>
          </cell>
          <cell r="AX1825" t="str">
            <v>Preventivo</v>
          </cell>
          <cell r="AY1825">
            <v>0</v>
          </cell>
        </row>
        <row r="1826">
          <cell r="T1826">
            <v>272258</v>
          </cell>
          <cell r="AX1826" t="str">
            <v>Preventivo</v>
          </cell>
          <cell r="AY1826" t="str">
            <v>CLÍNICA INTERMEDICAL LTDA.</v>
          </cell>
        </row>
        <row r="1827">
          <cell r="T1827">
            <v>608025</v>
          </cell>
          <cell r="AX1827" t="str">
            <v>Preventivo</v>
          </cell>
          <cell r="AY1827" t="str">
            <v>HOSPITAL LUIS CALVO MACKENNA</v>
          </cell>
        </row>
        <row r="1828">
          <cell r="T1828">
            <v>228832</v>
          </cell>
          <cell r="AX1828" t="str">
            <v>Preventivo</v>
          </cell>
          <cell r="AY1828" t="str">
            <v>INSTITUTO NACIONAL DEL CANCER</v>
          </cell>
        </row>
        <row r="1829">
          <cell r="T1829">
            <v>228832</v>
          </cell>
          <cell r="AX1829" t="str">
            <v>Preventivo</v>
          </cell>
          <cell r="AY1829" t="str">
            <v>INSTITUTO NACIONAL DEL CANCER</v>
          </cell>
        </row>
        <row r="1830">
          <cell r="T1830">
            <v>228832</v>
          </cell>
          <cell r="AX1830" t="str">
            <v>Preventivo</v>
          </cell>
          <cell r="AY1830" t="str">
            <v>INSTITUTO NACIONAL DEL CANCER</v>
          </cell>
        </row>
        <row r="1831">
          <cell r="T1831">
            <v>228832</v>
          </cell>
          <cell r="AX1831" t="str">
            <v>Preventivo</v>
          </cell>
          <cell r="AY1831" t="str">
            <v>INSTITUTO NACIONAL DEL CANCER</v>
          </cell>
        </row>
        <row r="1832">
          <cell r="T1832">
            <v>228832</v>
          </cell>
          <cell r="AX1832" t="str">
            <v>Preventivo</v>
          </cell>
          <cell r="AY1832" t="str">
            <v>INSTITUTO NACIONAL DEL CANCER</v>
          </cell>
        </row>
        <row r="1833">
          <cell r="T1833">
            <v>3799915</v>
          </cell>
          <cell r="AX1833" t="str">
            <v>Preventivo</v>
          </cell>
          <cell r="AY1833" t="str">
            <v>HOSPITAL EXEQUIEL GONZALEZ CORTES</v>
          </cell>
        </row>
        <row r="1834">
          <cell r="T1834">
            <v>3799915</v>
          </cell>
          <cell r="AX1834" t="str">
            <v>Preventivo</v>
          </cell>
          <cell r="AY1834" t="str">
            <v>HOSPITAL EXEQUIEL GONZALEZ CORTES</v>
          </cell>
        </row>
        <row r="1835">
          <cell r="T1835">
            <v>3799915</v>
          </cell>
          <cell r="AX1835" t="str">
            <v>Preventivo</v>
          </cell>
          <cell r="AY1835" t="str">
            <v>HOSPITAL EXEQUIEL GONZALEZ CORTES</v>
          </cell>
        </row>
        <row r="1836">
          <cell r="T1836">
            <v>228832</v>
          </cell>
          <cell r="AX1836" t="str">
            <v>Preventivo</v>
          </cell>
          <cell r="AY1836" t="str">
            <v>INSTITUTO NACIONAL DEL CANCER</v>
          </cell>
        </row>
        <row r="1837">
          <cell r="T1837">
            <v>1097623</v>
          </cell>
          <cell r="AX1837" t="str">
            <v>Preventivo</v>
          </cell>
          <cell r="AY1837" t="str">
            <v>HOSPITAL DE MISION SAN JUAN DE LA COSTA</v>
          </cell>
        </row>
        <row r="1838">
          <cell r="T1838">
            <v>1097623</v>
          </cell>
          <cell r="AX1838" t="str">
            <v>Preventivo</v>
          </cell>
          <cell r="AY1838" t="str">
            <v>HOSPITAL DE QUILACAHUIN</v>
          </cell>
        </row>
        <row r="1839">
          <cell r="T1839">
            <v>2405186</v>
          </cell>
          <cell r="AX1839" t="str">
            <v>Preventivo</v>
          </cell>
          <cell r="AY1839" t="str">
            <v>HOSPITAL RIO NEGRO</v>
          </cell>
        </row>
        <row r="1840">
          <cell r="T1840">
            <v>3388929</v>
          </cell>
          <cell r="AX1840" t="str">
            <v>Preventivo</v>
          </cell>
          <cell r="AY1840" t="str">
            <v>HOSPITAL REGIONAL DE ARICA DR. JUAN NOÉ CREVANI</v>
          </cell>
        </row>
        <row r="1841">
          <cell r="T1841">
            <v>274326</v>
          </cell>
          <cell r="AX1841" t="str">
            <v>Preventivo</v>
          </cell>
          <cell r="AY1841" t="str">
            <v>CLÍNICA INTERMEDICAL LTDA.</v>
          </cell>
        </row>
        <row r="1842">
          <cell r="T1842">
            <v>608025</v>
          </cell>
          <cell r="AX1842" t="str">
            <v>Preventivo</v>
          </cell>
          <cell r="AY1842" t="str">
            <v>HOSPITAL LUIS CALVO MACKENNA</v>
          </cell>
        </row>
        <row r="1843">
          <cell r="T1843">
            <v>3577535</v>
          </cell>
          <cell r="AX1843" t="str">
            <v>Preventivo</v>
          </cell>
          <cell r="AY1843" t="str">
            <v>HOSPITAL CLINICO DE LA FUERZA AEREA FACH GRAL DR RAUL YAZIGI JAUREGUI</v>
          </cell>
        </row>
        <row r="1844">
          <cell r="T1844">
            <v>1724335</v>
          </cell>
          <cell r="AX1844" t="str">
            <v>Preventivo</v>
          </cell>
          <cell r="AY1844" t="str">
            <v>HOSPITAL METROPOLITANO DE SANTIAGO</v>
          </cell>
        </row>
        <row r="1845">
          <cell r="T1845">
            <v>3590825</v>
          </cell>
          <cell r="AX1845" t="str">
            <v>Preventivo</v>
          </cell>
          <cell r="AY1845" t="str">
            <v>HOSPITAL CLINICO SAN BORJA-ARRIARAN</v>
          </cell>
        </row>
        <row r="1846">
          <cell r="T1846">
            <v>3590825</v>
          </cell>
          <cell r="AX1846" t="str">
            <v>Preventivo</v>
          </cell>
          <cell r="AY1846" t="str">
            <v>HOSPITAL CLINICO SAN BORJA-ARRIARAN</v>
          </cell>
        </row>
        <row r="1847">
          <cell r="T1847">
            <v>3590825</v>
          </cell>
          <cell r="AX1847" t="str">
            <v>Preventivo</v>
          </cell>
          <cell r="AY1847" t="str">
            <v>HOSPITAL CLINICO SAN BORJA-ARRIARAN</v>
          </cell>
        </row>
        <row r="1848">
          <cell r="T1848">
            <v>3590825</v>
          </cell>
          <cell r="AX1848" t="str">
            <v>Preventivo</v>
          </cell>
          <cell r="AY1848" t="str">
            <v>HOSPITAL CLINICO SAN BORJA-ARRIARAN</v>
          </cell>
        </row>
        <row r="1849">
          <cell r="T1849">
            <v>3590825</v>
          </cell>
          <cell r="AX1849" t="str">
            <v>Preventivo</v>
          </cell>
          <cell r="AY1849" t="str">
            <v>HOSPITAL CLINICO SAN BORJA-ARRIARAN</v>
          </cell>
        </row>
        <row r="1850">
          <cell r="T1850">
            <v>1223839</v>
          </cell>
          <cell r="AX1850" t="str">
            <v>Preventivo</v>
          </cell>
          <cell r="AY1850">
            <v>0</v>
          </cell>
        </row>
        <row r="1851">
          <cell r="T1851">
            <v>1223839</v>
          </cell>
          <cell r="AX1851" t="str">
            <v>Preventivo</v>
          </cell>
          <cell r="AY1851">
            <v>0</v>
          </cell>
        </row>
        <row r="1852">
          <cell r="T1852">
            <v>822978</v>
          </cell>
          <cell r="AX1852" t="str">
            <v>Preventivo</v>
          </cell>
          <cell r="AY1852">
            <v>0</v>
          </cell>
        </row>
        <row r="1853">
          <cell r="T1853">
            <v>1782210</v>
          </cell>
          <cell r="AX1853" t="str">
            <v>Preventivo</v>
          </cell>
          <cell r="AY1853" t="str">
            <v>HOSPITAL SAN LUIS BUIN</v>
          </cell>
        </row>
        <row r="1854">
          <cell r="T1854">
            <v>1097623</v>
          </cell>
          <cell r="AX1854" t="str">
            <v>Preventivo</v>
          </cell>
          <cell r="AY1854" t="str">
            <v>HOSPITAL DE PURRANQUE</v>
          </cell>
        </row>
        <row r="1855">
          <cell r="T1855">
            <v>1192172</v>
          </cell>
          <cell r="AX1855" t="str">
            <v>Preventivo</v>
          </cell>
          <cell r="AY1855" t="str">
            <v>HOSPITAL SAN JOSÉ</v>
          </cell>
        </row>
        <row r="1856">
          <cell r="T1856">
            <v>608025</v>
          </cell>
          <cell r="AX1856" t="str">
            <v>Preventivo</v>
          </cell>
          <cell r="AY1856" t="str">
            <v>HOSPITAL LUIS CALVO MACKENNA</v>
          </cell>
        </row>
        <row r="1857">
          <cell r="T1857">
            <v>1146998</v>
          </cell>
          <cell r="AX1857" t="str">
            <v>Preventivo</v>
          </cell>
          <cell r="AY1857" t="str">
            <v>HOSPITAL DEL SALVADOR</v>
          </cell>
        </row>
        <row r="1858">
          <cell r="T1858">
            <v>1146998</v>
          </cell>
          <cell r="AX1858" t="str">
            <v>Preventivo</v>
          </cell>
          <cell r="AY1858" t="str">
            <v>HOSPITAL DEL SALVADOR</v>
          </cell>
        </row>
        <row r="1859">
          <cell r="T1859">
            <v>1146998</v>
          </cell>
          <cell r="AX1859" t="str">
            <v>Preventivo</v>
          </cell>
          <cell r="AY1859" t="str">
            <v>HOSPITAL DEL SALVADOR</v>
          </cell>
        </row>
        <row r="1860">
          <cell r="T1860">
            <v>273527</v>
          </cell>
          <cell r="AX1860" t="str">
            <v>Preventivo</v>
          </cell>
          <cell r="AY1860" t="str">
            <v>CLÍNICA INTERMEDICAL LTDA.</v>
          </cell>
        </row>
        <row r="1861">
          <cell r="T1861">
            <v>820583</v>
          </cell>
          <cell r="AX1861" t="str">
            <v>Preventivo</v>
          </cell>
          <cell r="AY1861">
            <v>0</v>
          </cell>
        </row>
        <row r="1862">
          <cell r="T1862">
            <v>1889686</v>
          </cell>
          <cell r="AX1862" t="str">
            <v>Preventivo</v>
          </cell>
          <cell r="AY1862" t="str">
            <v>I.MUNICIPALIDAD DE INDEPENDENCIA</v>
          </cell>
        </row>
        <row r="1863">
          <cell r="T1863">
            <v>228832</v>
          </cell>
          <cell r="AX1863" t="str">
            <v>Preventivo</v>
          </cell>
          <cell r="AY1863" t="str">
            <v>INSTITUTO NACIONAL DEL CANCER</v>
          </cell>
        </row>
        <row r="1864">
          <cell r="T1864">
            <v>3388929</v>
          </cell>
          <cell r="AX1864" t="str">
            <v>Preventivo</v>
          </cell>
          <cell r="AY1864" t="str">
            <v>HOSPITAL REGIONAL DE ARICA DR. JUAN NOÉ CREVANI</v>
          </cell>
        </row>
        <row r="1865">
          <cell r="T1865">
            <v>608025</v>
          </cell>
          <cell r="AX1865" t="str">
            <v>Preventivo</v>
          </cell>
          <cell r="AY1865" t="str">
            <v>HOSPITAL LUIS CALVO MACKENNA</v>
          </cell>
        </row>
        <row r="1866">
          <cell r="T1866">
            <v>1719318</v>
          </cell>
          <cell r="AX1866" t="str">
            <v>Preventivo</v>
          </cell>
          <cell r="AY1866" t="str">
            <v>HOSPITAL METROPOLITANO DE SANTIAGO</v>
          </cell>
        </row>
        <row r="1867">
          <cell r="T1867">
            <v>1192172</v>
          </cell>
          <cell r="AX1867" t="str">
            <v>Preventivo</v>
          </cell>
          <cell r="AY1867" t="str">
            <v>HOSPITAL SAN JOSÉ</v>
          </cell>
        </row>
        <row r="1868">
          <cell r="T1868">
            <v>3388929</v>
          </cell>
          <cell r="AX1868" t="str">
            <v>Preventivo</v>
          </cell>
          <cell r="AY1868" t="str">
            <v>HOSPITAL REGIONAL DE ARICA DR. JUAN NOÉ CREVANI</v>
          </cell>
        </row>
        <row r="1869">
          <cell r="T1869">
            <v>1914943</v>
          </cell>
          <cell r="AX1869" t="str">
            <v>Preventivo</v>
          </cell>
          <cell r="AY1869" t="str">
            <v>I.MUNICIPALIDAD DE INDEPENDENCIA</v>
          </cell>
        </row>
        <row r="1870">
          <cell r="T1870">
            <v>314404</v>
          </cell>
          <cell r="AX1870" t="str">
            <v>Preventivo</v>
          </cell>
          <cell r="AY1870">
            <v>0</v>
          </cell>
        </row>
        <row r="1871">
          <cell r="T1871">
            <v>3714303</v>
          </cell>
          <cell r="AX1871" t="str">
            <v>Preventivo</v>
          </cell>
          <cell r="AY1871" t="str">
            <v>HOSPITAL EXEQUIEL GONZALEZ CORTES</v>
          </cell>
        </row>
        <row r="1872">
          <cell r="T1872">
            <v>3714303</v>
          </cell>
          <cell r="AX1872" t="str">
            <v>Preventivo</v>
          </cell>
          <cell r="AY1872" t="str">
            <v>HOSPITAL EXEQUIEL GONZALEZ CORTES</v>
          </cell>
        </row>
        <row r="1873">
          <cell r="T1873">
            <v>3590825</v>
          </cell>
          <cell r="AX1873" t="str">
            <v>Preventivo</v>
          </cell>
          <cell r="AY1873" t="str">
            <v>HOSPITAL CLINICO SAN BORJA-ARRIARAN</v>
          </cell>
        </row>
        <row r="1874">
          <cell r="T1874">
            <v>3320698</v>
          </cell>
          <cell r="AX1874" t="str">
            <v>Preventivo</v>
          </cell>
          <cell r="AY1874" t="str">
            <v>JOHNSON &amp; JOHNSON DE CHILE S.A.</v>
          </cell>
        </row>
        <row r="1875">
          <cell r="T1875">
            <v>2661064</v>
          </cell>
          <cell r="AX1875" t="str">
            <v>Preventivo</v>
          </cell>
          <cell r="AY1875" t="str">
            <v>HOSPITAL DE ANDACOLLO</v>
          </cell>
        </row>
        <row r="1876">
          <cell r="T1876">
            <v>1542532</v>
          </cell>
          <cell r="AX1876" t="str">
            <v>Preventivo</v>
          </cell>
          <cell r="AY1876" t="str">
            <v>HOSPITAL DR. LUIS TISNE B.</v>
          </cell>
        </row>
        <row r="1877">
          <cell r="T1877">
            <v>698863</v>
          </cell>
          <cell r="AX1877" t="str">
            <v>Preventivo</v>
          </cell>
          <cell r="AY1877" t="str">
            <v>CLINICA BUPA ANTOFAGASTA SA</v>
          </cell>
        </row>
        <row r="1878">
          <cell r="T1878">
            <v>2024207</v>
          </cell>
          <cell r="AX1878" t="str">
            <v>Correctivo</v>
          </cell>
          <cell r="AY1878" t="str">
            <v>EJERCITO DE CHILE CENTRAL ODONTOLOGICA D</v>
          </cell>
        </row>
        <row r="1879">
          <cell r="T1879">
            <v>317070</v>
          </cell>
          <cell r="AX1879" t="str">
            <v>Preventivo</v>
          </cell>
          <cell r="AY1879">
            <v>0</v>
          </cell>
        </row>
        <row r="1880">
          <cell r="T1880">
            <v>317070</v>
          </cell>
          <cell r="AX1880" t="str">
            <v>Preventivo</v>
          </cell>
          <cell r="AY1880">
            <v>0</v>
          </cell>
        </row>
        <row r="1881">
          <cell r="T1881">
            <v>318174</v>
          </cell>
          <cell r="AX1881" t="str">
            <v>Preventivo</v>
          </cell>
          <cell r="AY1881">
            <v>0</v>
          </cell>
        </row>
        <row r="1882">
          <cell r="T1882">
            <v>3320698</v>
          </cell>
          <cell r="AX1882" t="str">
            <v>Preventivo</v>
          </cell>
          <cell r="AY1882" t="str">
            <v>JOHNSON &amp; JOHNSON DE CHILE S.A.</v>
          </cell>
        </row>
        <row r="1883">
          <cell r="T1883">
            <v>276400</v>
          </cell>
          <cell r="AX1883" t="str">
            <v>Preventivo</v>
          </cell>
          <cell r="AY1883" t="str">
            <v>CLÍNICA INTERMEDICAL LTDA.</v>
          </cell>
        </row>
        <row r="1884">
          <cell r="T1884">
            <v>277184</v>
          </cell>
          <cell r="AX1884" t="str">
            <v>Correctivo</v>
          </cell>
          <cell r="AY1884" t="str">
            <v>CLÍNICA INTERMEDICAL LTDA.</v>
          </cell>
        </row>
        <row r="1885">
          <cell r="T1885">
            <v>274253</v>
          </cell>
          <cell r="AX1885" t="str">
            <v>Correctivo</v>
          </cell>
          <cell r="AY1885" t="str">
            <v>CLÍNICA INTERMEDICAL LTDA.</v>
          </cell>
        </row>
        <row r="1886">
          <cell r="T1886">
            <v>274869</v>
          </cell>
          <cell r="AX1886" t="str">
            <v>Preventivo</v>
          </cell>
          <cell r="AY1886" t="str">
            <v>CLÍNICA INTERMEDICAL LTDA.</v>
          </cell>
        </row>
        <row r="1887">
          <cell r="T1887">
            <v>275681</v>
          </cell>
          <cell r="AX1887" t="str">
            <v>Preventivo</v>
          </cell>
          <cell r="AY1887" t="str">
            <v>CLÍNICA INTERMEDICAL LTDA.</v>
          </cell>
        </row>
        <row r="1888">
          <cell r="T1888">
            <v>1638654</v>
          </cell>
          <cell r="AX1888" t="str">
            <v>Preventivo</v>
          </cell>
          <cell r="AY1888">
            <v>0</v>
          </cell>
        </row>
        <row r="1889">
          <cell r="T1889">
            <v>490196</v>
          </cell>
          <cell r="AX1889" t="str">
            <v>Preventivo</v>
          </cell>
          <cell r="AY1889" t="str">
            <v>INSTITUTO NACIONAL DEL CANCER</v>
          </cell>
        </row>
        <row r="1890">
          <cell r="T1890">
            <v>228832</v>
          </cell>
          <cell r="AX1890" t="str">
            <v>Correctivo</v>
          </cell>
          <cell r="AY1890" t="str">
            <v>INSTITUTO NACIONAL DEL CANCER</v>
          </cell>
        </row>
        <row r="1891">
          <cell r="T1891">
            <v>2345940</v>
          </cell>
          <cell r="AX1891" t="str">
            <v>Correctivo</v>
          </cell>
          <cell r="AY1891" t="str">
            <v xml:space="preserve">HOSPITAL SAN CAMILO  </v>
          </cell>
        </row>
        <row r="1892">
          <cell r="T1892">
            <v>2345940</v>
          </cell>
          <cell r="AX1892" t="str">
            <v>Preventivo</v>
          </cell>
          <cell r="AY1892" t="str">
            <v xml:space="preserve">HOSPITAL SAN CAMILO  </v>
          </cell>
        </row>
        <row r="1893">
          <cell r="T1893">
            <v>306720</v>
          </cell>
          <cell r="AX1893" t="str">
            <v>Preventivo</v>
          </cell>
          <cell r="AY1893" t="str">
            <v>HOSPITAL SAN JOSÉ</v>
          </cell>
        </row>
        <row r="1894">
          <cell r="T1894">
            <v>306720</v>
          </cell>
          <cell r="AX1894" t="str">
            <v>Preventivo</v>
          </cell>
          <cell r="AY1894" t="str">
            <v>HOSPITAL SAN JOSÉ</v>
          </cell>
        </row>
        <row r="1895">
          <cell r="T1895">
            <v>306720</v>
          </cell>
          <cell r="AX1895" t="str">
            <v>Preventivo</v>
          </cell>
          <cell r="AY1895" t="str">
            <v>HOSPITAL SAN JOSÉ</v>
          </cell>
        </row>
        <row r="1896">
          <cell r="T1896">
            <v>306720</v>
          </cell>
          <cell r="AX1896" t="str">
            <v>Preventivo</v>
          </cell>
          <cell r="AY1896" t="str">
            <v>HOSPITAL SAN JOSÉ</v>
          </cell>
        </row>
        <row r="1897">
          <cell r="T1897">
            <v>306720</v>
          </cell>
          <cell r="AX1897" t="str">
            <v>Preventivo</v>
          </cell>
          <cell r="AY1897" t="str">
            <v>HOSPITAL SAN JOSÉ</v>
          </cell>
        </row>
        <row r="1898">
          <cell r="T1898">
            <v>277505</v>
          </cell>
          <cell r="AX1898" t="str">
            <v>Preventivo</v>
          </cell>
          <cell r="AY1898" t="str">
            <v>CLÍNICA INTERMEDICAL LTDA.</v>
          </cell>
        </row>
        <row r="1899">
          <cell r="T1899">
            <v>306720</v>
          </cell>
          <cell r="AX1899" t="str">
            <v>Preventivo</v>
          </cell>
          <cell r="AY1899" t="str">
            <v>HOSPITAL SAN JOSÉ</v>
          </cell>
        </row>
        <row r="1900">
          <cell r="T1900">
            <v>699380</v>
          </cell>
          <cell r="AX1900" t="str">
            <v>Preventivo</v>
          </cell>
          <cell r="AY1900" t="str">
            <v>CLINICA BUPA ANTOFAGASTA SA</v>
          </cell>
        </row>
        <row r="1901">
          <cell r="T1901">
            <v>3320698</v>
          </cell>
          <cell r="AX1901" t="str">
            <v>Correctivo</v>
          </cell>
          <cell r="AY1901" t="str">
            <v>JOHNSON &amp; JOHNSON DE CHILE S.A.</v>
          </cell>
        </row>
        <row r="1902">
          <cell r="T1902">
            <v>277362</v>
          </cell>
          <cell r="AX1902" t="str">
            <v>Preventivo</v>
          </cell>
          <cell r="AY1902" t="str">
            <v>CLÍNICA INTERMEDICAL LTDA.</v>
          </cell>
        </row>
        <row r="1903">
          <cell r="T1903">
            <v>1192172</v>
          </cell>
          <cell r="AX1903" t="str">
            <v>Preventivo</v>
          </cell>
          <cell r="AY1903" t="str">
            <v>HOSPITAL SAN JOSÉ</v>
          </cell>
        </row>
        <row r="1904">
          <cell r="T1904">
            <v>1192172</v>
          </cell>
          <cell r="AX1904" t="str">
            <v>Correctivo</v>
          </cell>
          <cell r="AY1904" t="str">
            <v>HOSPITAL SAN JOSÉ</v>
          </cell>
        </row>
        <row r="1905">
          <cell r="T1905">
            <v>1192172</v>
          </cell>
          <cell r="AX1905" t="str">
            <v>Correctivo</v>
          </cell>
          <cell r="AY1905" t="str">
            <v>HOSPITAL SAN JOSÉ</v>
          </cell>
        </row>
        <row r="1906">
          <cell r="T1906">
            <v>1192172</v>
          </cell>
          <cell r="AX1906" t="str">
            <v>Correctivo</v>
          </cell>
          <cell r="AY1906" t="str">
            <v>HOSPITAL SAN JOSÉ</v>
          </cell>
        </row>
        <row r="1907">
          <cell r="T1907">
            <v>1192172</v>
          </cell>
          <cell r="AX1907" t="str">
            <v>Correctivo</v>
          </cell>
          <cell r="AY1907" t="str">
            <v>HOSPITAL SAN JOSÉ</v>
          </cell>
        </row>
        <row r="1908">
          <cell r="T1908">
            <v>1192172</v>
          </cell>
          <cell r="AX1908" t="str">
            <v>Correctivo</v>
          </cell>
          <cell r="AY1908" t="str">
            <v>HOSPITAL SAN JOSÉ</v>
          </cell>
        </row>
        <row r="1909">
          <cell r="T1909">
            <v>1092436</v>
          </cell>
          <cell r="AX1909" t="str">
            <v>Correctivo</v>
          </cell>
          <cell r="AY1909">
            <v>0</v>
          </cell>
        </row>
        <row r="1910">
          <cell r="T1910">
            <v>3984200</v>
          </cell>
          <cell r="AX1910" t="str">
            <v>Correctivo</v>
          </cell>
          <cell r="AY1910" t="str">
            <v>CORPORACION MUNICIPAL DE CONCHALI</v>
          </cell>
        </row>
        <row r="1911">
          <cell r="T1911">
            <v>5459898</v>
          </cell>
          <cell r="AX1911" t="str">
            <v>Preventivo</v>
          </cell>
          <cell r="AY1911">
            <v>0</v>
          </cell>
        </row>
        <row r="1912">
          <cell r="T1912">
            <v>3194101</v>
          </cell>
          <cell r="AX1912" t="str">
            <v>Correctivo</v>
          </cell>
          <cell r="AY1912" t="str">
            <v>HOSPITAL BARROS LUCO TRUDEAU</v>
          </cell>
        </row>
        <row r="1913">
          <cell r="T1913">
            <v>914958</v>
          </cell>
          <cell r="AX1913" t="str">
            <v>Preventivo</v>
          </cell>
          <cell r="AY1913" t="str">
            <v>HOSPITAL BARROS LUCO TRUDEAU</v>
          </cell>
        </row>
        <row r="1914">
          <cell r="T1914">
            <v>402754</v>
          </cell>
          <cell r="AX1914" t="str">
            <v>Preventivo</v>
          </cell>
          <cell r="AY1914" t="str">
            <v>UC CHRISTUS SERVICIOS AMBULATORIOS SPA</v>
          </cell>
        </row>
        <row r="1915">
          <cell r="T1915">
            <v>1611015</v>
          </cell>
          <cell r="AX1915" t="str">
            <v>Preventivo</v>
          </cell>
          <cell r="AY1915" t="str">
            <v>UC CHRISTUS SERVICIOS AMBULATORIOS SPA</v>
          </cell>
        </row>
        <row r="1916">
          <cell r="T1916">
            <v>1208261</v>
          </cell>
          <cell r="AX1916" t="str">
            <v>Correctivo</v>
          </cell>
          <cell r="AY1916" t="str">
            <v>UC CHRISTUS SERVICIOS AMBULATORIOS SPA</v>
          </cell>
        </row>
        <row r="1917">
          <cell r="T1917">
            <v>805507</v>
          </cell>
          <cell r="AX1917" t="str">
            <v>Preventivo</v>
          </cell>
          <cell r="AY1917">
            <v>0</v>
          </cell>
        </row>
        <row r="1918">
          <cell r="T1918">
            <v>805507</v>
          </cell>
          <cell r="AX1918" t="str">
            <v>Preventivo</v>
          </cell>
          <cell r="AY1918">
            <v>0</v>
          </cell>
        </row>
        <row r="1919">
          <cell r="T1919">
            <v>805507</v>
          </cell>
          <cell r="AX1919" t="str">
            <v>Preventivo</v>
          </cell>
          <cell r="AY1919">
            <v>0</v>
          </cell>
        </row>
        <row r="1920">
          <cell r="T1920">
            <v>318553</v>
          </cell>
          <cell r="AX1920" t="str">
            <v>Preventivo</v>
          </cell>
          <cell r="AY1920">
            <v>0</v>
          </cell>
        </row>
        <row r="1921">
          <cell r="T1921">
            <v>696527</v>
          </cell>
          <cell r="AX1921" t="str">
            <v>Preventivo</v>
          </cell>
          <cell r="AY1921" t="str">
            <v>CLINICA BUPA ANTOFAGASTA SA</v>
          </cell>
        </row>
        <row r="1922">
          <cell r="T1922">
            <v>228832</v>
          </cell>
          <cell r="AX1922" t="str">
            <v>Preventivo</v>
          </cell>
          <cell r="AY1922" t="str">
            <v>INSTITUTO NACIONAL DEL CANCER</v>
          </cell>
        </row>
        <row r="1923">
          <cell r="T1923">
            <v>1540745</v>
          </cell>
          <cell r="AX1923" t="str">
            <v>Correctivo</v>
          </cell>
          <cell r="AY1923" t="str">
            <v>HOSPITAL DR. LUIS TISNE B.</v>
          </cell>
        </row>
        <row r="1924">
          <cell r="T1924">
            <v>1345529</v>
          </cell>
          <cell r="AX1924" t="str">
            <v>Correctivo</v>
          </cell>
          <cell r="AY1924" t="str">
            <v>HOSPITAL DR. LUIS TISNE B.</v>
          </cell>
        </row>
        <row r="1925">
          <cell r="T1925">
            <v>228832</v>
          </cell>
          <cell r="AX1925" t="str">
            <v>Correctivo</v>
          </cell>
          <cell r="AY1925" t="str">
            <v>INSTITUTO NACIONAL DEL CANCER</v>
          </cell>
        </row>
        <row r="1926">
          <cell r="T1926">
            <v>314404</v>
          </cell>
          <cell r="AX1926" t="str">
            <v>Correctivo</v>
          </cell>
          <cell r="AY1926">
            <v>0</v>
          </cell>
        </row>
        <row r="1927">
          <cell r="T1927">
            <v>1341722</v>
          </cell>
          <cell r="AX1927" t="str">
            <v>Correctivo</v>
          </cell>
          <cell r="AY1927" t="str">
            <v>HOSPITAL DR. LUIS TISNE B.</v>
          </cell>
        </row>
        <row r="1928">
          <cell r="T1928">
            <v>2731980</v>
          </cell>
          <cell r="AX1928" t="str">
            <v>Correctivo</v>
          </cell>
          <cell r="AY1928" t="str">
            <v>HOSPITAL DE URGENCIA ASISTENCIA PUBLICA DR. ALEJ</v>
          </cell>
        </row>
        <row r="1929">
          <cell r="T1929">
            <v>1536387</v>
          </cell>
          <cell r="AX1929" t="str">
            <v>Correctivo</v>
          </cell>
          <cell r="AY1929" t="str">
            <v>HOSPITAL DR. LUIS TISNE B.</v>
          </cell>
        </row>
        <row r="1930">
          <cell r="T1930">
            <v>1966363</v>
          </cell>
          <cell r="AX1930" t="str">
            <v>Correctivo</v>
          </cell>
          <cell r="AY1930" t="str">
            <v>I MUNICIPALIDAD DE VICUÑA</v>
          </cell>
        </row>
        <row r="1931">
          <cell r="T1931">
            <v>5459898</v>
          </cell>
          <cell r="AX1931" t="str">
            <v>Correctivo</v>
          </cell>
          <cell r="AY1931">
            <v>0</v>
          </cell>
        </row>
        <row r="1932">
          <cell r="T1932">
            <v>1929204</v>
          </cell>
          <cell r="AX1932" t="str">
            <v>Correctivo</v>
          </cell>
          <cell r="AY1932" t="str">
            <v>SERVICIO DE SALUD OSORNO</v>
          </cell>
        </row>
        <row r="1933">
          <cell r="T1933">
            <v>3596714</v>
          </cell>
          <cell r="AX1933" t="str">
            <v>Correctivo</v>
          </cell>
          <cell r="AY1933" t="str">
            <v>HOSPITAL CLINICO DE LA FUERZA AEREA FACH GRAL DR RAUL YAZIGI JAUREGUI</v>
          </cell>
        </row>
        <row r="1934">
          <cell r="T1934">
            <v>3320698</v>
          </cell>
          <cell r="AX1934" t="str">
            <v>Correctivo</v>
          </cell>
          <cell r="AY1934" t="str">
            <v>JOHNSON &amp; JOHNSON DE CHILE S.A.</v>
          </cell>
        </row>
        <row r="1935">
          <cell r="T1935">
            <v>3100782</v>
          </cell>
          <cell r="AX1935" t="str">
            <v>Preventivo</v>
          </cell>
          <cell r="AY1935" t="str">
            <v>HOSPITAL BARROS LUCO TRUDEAU</v>
          </cell>
        </row>
        <row r="1936">
          <cell r="T1936">
            <v>5459898</v>
          </cell>
          <cell r="AX1936" t="str">
            <v>Correctivo</v>
          </cell>
          <cell r="AY1936">
            <v>0</v>
          </cell>
        </row>
        <row r="1937">
          <cell r="T1937">
            <v>3593597</v>
          </cell>
          <cell r="AX1937" t="str">
            <v>Correctivo</v>
          </cell>
          <cell r="AY1937" t="str">
            <v>HOSPITAL CLINICO DE LA FUERZA AEREA FACH GRAL DR RAUL YAZIGI JAUREGUI</v>
          </cell>
        </row>
        <row r="1938">
          <cell r="T1938">
            <v>228832</v>
          </cell>
          <cell r="AX1938" t="str">
            <v>Correctivo</v>
          </cell>
          <cell r="AY1938" t="str">
            <v>INSTITUTO NACIONAL DEL CANCER</v>
          </cell>
        </row>
        <row r="1939">
          <cell r="T1939">
            <v>228832</v>
          </cell>
          <cell r="AX1939" t="str">
            <v>Correctivo</v>
          </cell>
          <cell r="AY1939" t="str">
            <v>INSTITUTO NACIONAL DEL CANCER</v>
          </cell>
        </row>
        <row r="1940">
          <cell r="T1940">
            <v>228832</v>
          </cell>
          <cell r="AX1940" t="str">
            <v>Preventivo</v>
          </cell>
          <cell r="AY1940" t="str">
            <v>INSTITUTO NACIONAL DEL CANCER</v>
          </cell>
        </row>
        <row r="1941">
          <cell r="T1941">
            <v>630000</v>
          </cell>
          <cell r="AX1941" t="str">
            <v>Preventivo</v>
          </cell>
          <cell r="AY1941" t="str">
            <v>COMPLEJO ASISTENCIAL DR.SOTERO DEL RIO</v>
          </cell>
        </row>
        <row r="1942">
          <cell r="T1942">
            <v>801102</v>
          </cell>
          <cell r="AX1942" t="str">
            <v>Preventivo</v>
          </cell>
          <cell r="AY1942">
            <v>0</v>
          </cell>
        </row>
        <row r="1943">
          <cell r="T1943">
            <v>801102</v>
          </cell>
          <cell r="AX1943" t="str">
            <v>Correctivo</v>
          </cell>
          <cell r="AY1943">
            <v>0</v>
          </cell>
        </row>
        <row r="1944">
          <cell r="T1944">
            <v>228832</v>
          </cell>
          <cell r="AX1944" t="str">
            <v>Correctivo</v>
          </cell>
          <cell r="AY1944" t="str">
            <v>INSTITUTO NACIONAL DEL CANCER</v>
          </cell>
        </row>
        <row r="1945">
          <cell r="T1945">
            <v>386708</v>
          </cell>
          <cell r="AX1945" t="str">
            <v>Correctivo</v>
          </cell>
          <cell r="AY1945" t="str">
            <v>INSTITUTO NACIONAL DEL CANCER</v>
          </cell>
        </row>
        <row r="1946">
          <cell r="T1946">
            <v>1338237</v>
          </cell>
          <cell r="AX1946" t="str">
            <v>Correctivo</v>
          </cell>
          <cell r="AY1946" t="str">
            <v>HOSPITAL DR. LUIS TISNE B.</v>
          </cell>
        </row>
        <row r="1947">
          <cell r="T1947">
            <v>1532395</v>
          </cell>
          <cell r="AX1947" t="str">
            <v>Correctivo</v>
          </cell>
          <cell r="AY1947" t="str">
            <v>HOSPITAL DR. LUIS TISNE B.</v>
          </cell>
        </row>
        <row r="1948">
          <cell r="T1948">
            <v>696526</v>
          </cell>
          <cell r="AX1948" t="str">
            <v>Correctivo</v>
          </cell>
          <cell r="AY1948" t="str">
            <v>CLINICA BUPA ANTOFAGASTA SA</v>
          </cell>
        </row>
        <row r="1949">
          <cell r="T1949">
            <v>3581699</v>
          </cell>
          <cell r="AX1949" t="str">
            <v>Correctivo</v>
          </cell>
          <cell r="AY1949" t="str">
            <v>HOSPITAL CLINICO DE LA FUERZA AEREA FACH GRAL DR RAUL YAZIGI JAUREGUI</v>
          </cell>
        </row>
        <row r="1950">
          <cell r="T1950">
            <v>3093791</v>
          </cell>
          <cell r="AX1950" t="str">
            <v>Correctivo</v>
          </cell>
          <cell r="AY1950" t="str">
            <v>JOHNSON &amp; JOHNSON DE CHILE S.A.</v>
          </cell>
        </row>
        <row r="1951">
          <cell r="T1951">
            <v>3093791</v>
          </cell>
          <cell r="AX1951" t="str">
            <v>Correctivo</v>
          </cell>
          <cell r="AY1951" t="str">
            <v>JOHNSON &amp; JOHNSON DE CHILE S.A.</v>
          </cell>
        </row>
        <row r="1952">
          <cell r="T1952">
            <v>274253</v>
          </cell>
          <cell r="AX1952" t="str">
            <v>Correctivo</v>
          </cell>
          <cell r="AY1952" t="str">
            <v>CLÍNICA INTERMEDICAL LTDA.</v>
          </cell>
        </row>
        <row r="1953">
          <cell r="T1953">
            <v>1192172</v>
          </cell>
          <cell r="AX1953" t="str">
            <v>Correctivo</v>
          </cell>
          <cell r="AY1953" t="str">
            <v>HOSPITAL SAN JOSÉ</v>
          </cell>
        </row>
        <row r="1954">
          <cell r="T1954">
            <v>1392130</v>
          </cell>
          <cell r="AX1954" t="str">
            <v>Correctivo</v>
          </cell>
          <cell r="AY1954">
            <v>0</v>
          </cell>
        </row>
        <row r="1955">
          <cell r="T1955">
            <v>1146998</v>
          </cell>
          <cell r="AX1955" t="str">
            <v>Preventivo</v>
          </cell>
          <cell r="AY1955" t="str">
            <v>HOSPITAL DEL SALVADOR</v>
          </cell>
        </row>
        <row r="1956">
          <cell r="T1956">
            <v>1146998</v>
          </cell>
          <cell r="AX1956" t="str">
            <v>Preventivo</v>
          </cell>
          <cell r="AY1956" t="str">
            <v>HOSPITAL DEL SALVADOR</v>
          </cell>
        </row>
        <row r="1957">
          <cell r="T1957">
            <v>1146998</v>
          </cell>
          <cell r="AX1957" t="str">
            <v>Preventivo</v>
          </cell>
          <cell r="AY1957" t="str">
            <v>HOSPITAL DEL SALVADOR</v>
          </cell>
        </row>
        <row r="1958">
          <cell r="T1958">
            <v>228832</v>
          </cell>
          <cell r="AX1958" t="str">
            <v>Preventivo</v>
          </cell>
          <cell r="AY1958" t="str">
            <v>INSTITUTO NACIONAL DEL CANCER</v>
          </cell>
        </row>
        <row r="1959">
          <cell r="T1959">
            <v>2008944</v>
          </cell>
          <cell r="AX1959" t="str">
            <v>Preventivo</v>
          </cell>
          <cell r="AY1959" t="str">
            <v>EJERCITO DE CHILE CENTRAL ODONTOLOGICA D</v>
          </cell>
        </row>
        <row r="1960">
          <cell r="T1960">
            <v>2008944</v>
          </cell>
          <cell r="AX1960" t="str">
            <v>Preventivo</v>
          </cell>
          <cell r="AY1960" t="str">
            <v>EJERCITO DE CHILE CENTRAL ODONTOLOGICA D</v>
          </cell>
        </row>
        <row r="1961">
          <cell r="T1961">
            <v>7113849</v>
          </cell>
          <cell r="AX1961" t="str">
            <v>Preventivo</v>
          </cell>
          <cell r="AY1961" t="str">
            <v>JOHNSON &amp; JOHNSON DE CHILE S.A.</v>
          </cell>
        </row>
        <row r="1962">
          <cell r="T1962">
            <v>490196</v>
          </cell>
          <cell r="AX1962" t="str">
            <v>Correctivo</v>
          </cell>
          <cell r="AY1962" t="str">
            <v>INSTITUTO NACIONAL DEL CANCER</v>
          </cell>
        </row>
        <row r="1963">
          <cell r="T1963">
            <v>228832</v>
          </cell>
          <cell r="AX1963" t="str">
            <v>Correctivo</v>
          </cell>
          <cell r="AY1963" t="str">
            <v>INSTITUTO NACIONAL DEL CANCER</v>
          </cell>
        </row>
        <row r="1964">
          <cell r="T1964">
            <v>702407</v>
          </cell>
          <cell r="AX1964" t="str">
            <v>Correctivo</v>
          </cell>
          <cell r="AY1964" t="str">
            <v>CLINICA BUPA ANTOFAGASTA SA</v>
          </cell>
        </row>
        <row r="1965">
          <cell r="T1965">
            <v>4195312</v>
          </cell>
          <cell r="AX1965" t="str">
            <v>Correctivo</v>
          </cell>
          <cell r="AY1965" t="str">
            <v>HOSPITAL DR. GUSTAVO FRICKE</v>
          </cell>
        </row>
        <row r="1966">
          <cell r="T1966">
            <v>1192172</v>
          </cell>
          <cell r="AX1966" t="str">
            <v>Correctivo</v>
          </cell>
          <cell r="AY1966" t="str">
            <v>HOSPITAL SAN JOSÉ</v>
          </cell>
        </row>
        <row r="1967">
          <cell r="T1967">
            <v>4195312</v>
          </cell>
          <cell r="AX1967" t="str">
            <v>Correctivo</v>
          </cell>
          <cell r="AY1967" t="str">
            <v>HOSPITAL DR. GUSTAVO FRICKE</v>
          </cell>
        </row>
        <row r="1968">
          <cell r="T1968">
            <v>306720</v>
          </cell>
          <cell r="AX1968" t="str">
            <v>Correctivo</v>
          </cell>
          <cell r="AY1968" t="str">
            <v>HOSPITAL SAN JOSÉ</v>
          </cell>
        </row>
        <row r="1969">
          <cell r="T1969">
            <v>3880538</v>
          </cell>
          <cell r="AX1969" t="str">
            <v>Correctivo</v>
          </cell>
          <cell r="AY1969" t="str">
            <v>HOSPITAL EXEQUIEL GONZALEZ CORTES</v>
          </cell>
        </row>
        <row r="1970">
          <cell r="T1970">
            <v>3590825</v>
          </cell>
          <cell r="AX1970" t="str">
            <v>Correctivo</v>
          </cell>
          <cell r="AY1970" t="str">
            <v>HOSPITAL CLINICO SAN BORJA-ARRIARAN</v>
          </cell>
        </row>
        <row r="1971">
          <cell r="T1971">
            <v>700279</v>
          </cell>
          <cell r="AX1971" t="str">
            <v>Correctivo</v>
          </cell>
          <cell r="AY1971" t="str">
            <v>CLINICA BUPA ANTOFAGASTA SA</v>
          </cell>
        </row>
        <row r="1972">
          <cell r="T1972">
            <v>3590825</v>
          </cell>
          <cell r="AX1972" t="str">
            <v>Correctivo</v>
          </cell>
          <cell r="AY1972" t="str">
            <v>HOSPITAL CLINICO SAN BORJA-ARRIARAN</v>
          </cell>
        </row>
        <row r="1973">
          <cell r="T1973">
            <v>3590824</v>
          </cell>
          <cell r="AX1973" t="str">
            <v>Correctivo</v>
          </cell>
          <cell r="AY1973" t="str">
            <v>HOSPITAL CLINICO SAN BORJA-ARRIARAN</v>
          </cell>
        </row>
        <row r="1974">
          <cell r="T1974">
            <v>490196</v>
          </cell>
          <cell r="AX1974" t="str">
            <v>Correctivo</v>
          </cell>
          <cell r="AY1974" t="str">
            <v>INSTITUTO NACIONAL DEL CANCER</v>
          </cell>
        </row>
        <row r="1975">
          <cell r="T1975">
            <v>3590824</v>
          </cell>
          <cell r="AX1975" t="str">
            <v>Correctivo</v>
          </cell>
          <cell r="AY1975" t="str">
            <v>HOSPITAL CLINICO SAN BORJA-ARRIARAN</v>
          </cell>
        </row>
        <row r="1976">
          <cell r="T1976">
            <v>3590825</v>
          </cell>
          <cell r="AX1976" t="str">
            <v>Correctivo</v>
          </cell>
          <cell r="AY1976" t="str">
            <v>HOSPITAL CLINICO SAN BORJA-ARRIARAN</v>
          </cell>
        </row>
        <row r="1977">
          <cell r="T1977">
            <v>3590825</v>
          </cell>
          <cell r="AX1977" t="str">
            <v>Correctivo</v>
          </cell>
          <cell r="AY1977" t="str">
            <v>HOSPITAL CLINICO SAN BORJA-ARRIARAN</v>
          </cell>
        </row>
        <row r="1978">
          <cell r="T1978">
            <v>3590825</v>
          </cell>
          <cell r="AX1978" t="str">
            <v>Correctivo</v>
          </cell>
          <cell r="AY1978" t="str">
            <v>HOSPITAL CLINICO SAN BORJA-ARRIARAN</v>
          </cell>
        </row>
        <row r="1979">
          <cell r="T1979">
            <v>278376</v>
          </cell>
          <cell r="AX1979" t="str">
            <v>Correctivo</v>
          </cell>
          <cell r="AY1979" t="str">
            <v>CLÍNICA INTERMEDICAL LTDA.</v>
          </cell>
        </row>
        <row r="1980">
          <cell r="T1980">
            <v>228832</v>
          </cell>
          <cell r="AX1980" t="str">
            <v>Correctivo</v>
          </cell>
          <cell r="AY1980" t="str">
            <v>INSTITUTO NACIONAL DEL CANCER</v>
          </cell>
        </row>
        <row r="1981">
          <cell r="T1981">
            <v>1277279</v>
          </cell>
          <cell r="AX1981" t="str">
            <v>Correctivo</v>
          </cell>
          <cell r="AY1981" t="str">
            <v>HOSPITAL DR. LUIS TISNE B.</v>
          </cell>
        </row>
        <row r="1982">
          <cell r="T1982">
            <v>2901465</v>
          </cell>
          <cell r="AX1982" t="str">
            <v>Correctivo</v>
          </cell>
          <cell r="AY1982" t="str">
            <v>HOSPITAL EXEQUIEL GONZALEZ CORTES</v>
          </cell>
        </row>
        <row r="1983">
          <cell r="T1983">
            <v>2030434</v>
          </cell>
          <cell r="AX1983" t="str">
            <v>Correctivo</v>
          </cell>
          <cell r="AY1983" t="str">
            <v>EJERCITO DE CHILE CENTRAL ODONTOLOGICA D</v>
          </cell>
        </row>
        <row r="1984">
          <cell r="T1984">
            <v>2360776</v>
          </cell>
          <cell r="AX1984" t="str">
            <v>Correctivo</v>
          </cell>
          <cell r="AY1984" t="str">
            <v>JOHNSON &amp; JOHNSON DE CHILE S.A.</v>
          </cell>
        </row>
        <row r="1985">
          <cell r="T1985">
            <v>1192172</v>
          </cell>
          <cell r="AX1985" t="str">
            <v>Correctivo</v>
          </cell>
          <cell r="AY1985" t="str">
            <v>HOSPITAL SAN JOSÉ</v>
          </cell>
        </row>
        <row r="1986">
          <cell r="T1986">
            <v>306720</v>
          </cell>
          <cell r="AX1986" t="str">
            <v>Correctivo</v>
          </cell>
          <cell r="AY1986" t="str">
            <v>HOSPITAL SAN JOSÉ</v>
          </cell>
        </row>
        <row r="1987">
          <cell r="T1987">
            <v>277942</v>
          </cell>
          <cell r="AX1987" t="str">
            <v>Correctivo</v>
          </cell>
          <cell r="AY1987" t="str">
            <v>CLÍNICA INTERMEDICAL LTDA.</v>
          </cell>
        </row>
        <row r="1988">
          <cell r="T1988">
            <v>2005482</v>
          </cell>
          <cell r="AX1988" t="str">
            <v>Correctivo</v>
          </cell>
          <cell r="AY1988" t="str">
            <v>HOSPITAL SAN JOSÉ</v>
          </cell>
        </row>
        <row r="1989">
          <cell r="T1989">
            <v>2901465</v>
          </cell>
          <cell r="AX1989" t="str">
            <v>Correctivo</v>
          </cell>
          <cell r="AY1989" t="str">
            <v>HOSPITAL EXEQUIEL GONZALEZ CORTES</v>
          </cell>
        </row>
        <row r="1990">
          <cell r="T1990">
            <v>6050404</v>
          </cell>
          <cell r="AX1990" t="str">
            <v>Correctivo</v>
          </cell>
          <cell r="AY1990" t="str">
            <v>UNIVERSIDAD DE VALPARAISO</v>
          </cell>
        </row>
        <row r="1991">
          <cell r="T1991">
            <v>1544963</v>
          </cell>
          <cell r="AX1991" t="str">
            <v>Correctivo</v>
          </cell>
          <cell r="AY1991" t="str">
            <v>HOSPITAL DR. LUIS TISNE B.</v>
          </cell>
        </row>
        <row r="1992">
          <cell r="T1992">
            <v>1347089</v>
          </cell>
          <cell r="AX1992" t="str">
            <v>Correctivo</v>
          </cell>
          <cell r="AY1992" t="str">
            <v>HOSPITAL DR. LUIS TISNE B.</v>
          </cell>
        </row>
        <row r="1993">
          <cell r="T1993">
            <v>1966363</v>
          </cell>
          <cell r="AX1993" t="str">
            <v>Correctivo</v>
          </cell>
          <cell r="AY1993" t="str">
            <v>I MUNICIPALIDAD DE VICUÑA</v>
          </cell>
        </row>
        <row r="1994">
          <cell r="T1994">
            <v>490196</v>
          </cell>
          <cell r="AX1994" t="str">
            <v>Correctivo</v>
          </cell>
          <cell r="AY1994" t="str">
            <v>INSTITUTO NACIONAL DEL CANCER</v>
          </cell>
        </row>
        <row r="1995">
          <cell r="T1995">
            <v>228832</v>
          </cell>
          <cell r="AX1995" t="str">
            <v>Correctivo</v>
          </cell>
          <cell r="AY1995" t="str">
            <v>INSTITUTO NACIONAL DEL CANCER</v>
          </cell>
        </row>
        <row r="1996">
          <cell r="T1996">
            <v>1275268</v>
          </cell>
          <cell r="AX1996" t="str">
            <v>Correctivo</v>
          </cell>
          <cell r="AY1996" t="str">
            <v>HOSPITAL DR. LUIS TISNE B.</v>
          </cell>
        </row>
        <row r="1997">
          <cell r="T1997">
            <v>3880538</v>
          </cell>
          <cell r="AX1997" t="str">
            <v>Correctivo</v>
          </cell>
          <cell r="AY1997" t="str">
            <v>HOSPITAL EXEQUIEL GONZALEZ CORTES</v>
          </cell>
        </row>
        <row r="1998">
          <cell r="T1998">
            <v>228832</v>
          </cell>
          <cell r="AX1998" t="str">
            <v>Correctivo</v>
          </cell>
          <cell r="AY1998" t="str">
            <v>INSTITUTO NACIONAL DEL CANCER</v>
          </cell>
        </row>
        <row r="1999">
          <cell r="T1999">
            <v>490196</v>
          </cell>
          <cell r="AX1999" t="str">
            <v>Correctivo</v>
          </cell>
          <cell r="AY1999" t="str">
            <v>INSTITUTO NACIONAL DEL CANCER</v>
          </cell>
        </row>
        <row r="2000">
          <cell r="T2000">
            <v>701275</v>
          </cell>
          <cell r="AX2000" t="str">
            <v>Correctivo</v>
          </cell>
          <cell r="AY2000" t="str">
            <v>CLINICA BUPA ANTOFAGASTA SA</v>
          </cell>
        </row>
        <row r="2001">
          <cell r="T2001">
            <v>3880538</v>
          </cell>
          <cell r="AX2001" t="str">
            <v>Correctivo</v>
          </cell>
          <cell r="AY2001" t="str">
            <v>HOSPITAL EXEQUIEL GONZALEZ CORTES</v>
          </cell>
        </row>
        <row r="2002">
          <cell r="T2002">
            <v>3880538</v>
          </cell>
          <cell r="AX2002" t="str">
            <v>Correctivo</v>
          </cell>
          <cell r="AY2002" t="str">
            <v>HOSPITAL EXEQUIEL GONZALEZ CORTES</v>
          </cell>
        </row>
        <row r="2003">
          <cell r="T2003">
            <v>3880538</v>
          </cell>
          <cell r="AX2003" t="str">
            <v>Correctivo</v>
          </cell>
          <cell r="AY2003" t="str">
            <v>HOSPITAL EXEQUIEL GONZALEZ CORTES</v>
          </cell>
        </row>
        <row r="2004">
          <cell r="T2004">
            <v>74000</v>
          </cell>
          <cell r="AX2004" t="str">
            <v>Correctivo</v>
          </cell>
          <cell r="AY2004" t="str">
            <v>HOSPITAL METROPOLITANO DE SANTIAGO</v>
          </cell>
        </row>
        <row r="2005">
          <cell r="T2005">
            <v>74000</v>
          </cell>
          <cell r="AX2005" t="str">
            <v>Correctivo</v>
          </cell>
          <cell r="AY2005" t="str">
            <v>HOSPITAL METROPOLITANO DE SANTIAGO</v>
          </cell>
        </row>
        <row r="2006">
          <cell r="T2006">
            <v>1590664</v>
          </cell>
          <cell r="AX2006" t="str">
            <v>Correctivo</v>
          </cell>
          <cell r="AY2006" t="str">
            <v>INSUMOS Y SERVICIOS MEDICOS S.A.</v>
          </cell>
        </row>
        <row r="2007">
          <cell r="T2007">
            <v>354701</v>
          </cell>
          <cell r="AX2007" t="str">
            <v>Correctivo</v>
          </cell>
          <cell r="AY2007" t="str">
            <v>CLINICA SANATORIO ALEMAN</v>
          </cell>
        </row>
        <row r="2008">
          <cell r="T2008">
            <v>1622579</v>
          </cell>
          <cell r="AX2008" t="str">
            <v>Correctivo</v>
          </cell>
          <cell r="AY2008" t="str">
            <v>CLINICA SANATORIO ALEMAN</v>
          </cell>
        </row>
        <row r="2009">
          <cell r="T2009">
            <v>525997</v>
          </cell>
          <cell r="AX2009" t="str">
            <v>Correctivo</v>
          </cell>
          <cell r="AY2009" t="str">
            <v>INSUMOS Y SERVICIOS MEDICOS S.A.</v>
          </cell>
        </row>
        <row r="2010">
          <cell r="T2010">
            <v>359200</v>
          </cell>
          <cell r="AX2010" t="str">
            <v>Correctivo</v>
          </cell>
          <cell r="AY2010" t="str">
            <v>UNIVERSIDAD FINIS TERRAE</v>
          </cell>
        </row>
        <row r="2011">
          <cell r="T2011">
            <v>880800</v>
          </cell>
          <cell r="AX2011" t="str">
            <v>Correctivo</v>
          </cell>
          <cell r="AY2011" t="str">
            <v>HOSPITAL DEL SALVADOR</v>
          </cell>
        </row>
        <row r="2012">
          <cell r="T2012">
            <v>78514</v>
          </cell>
          <cell r="AX2012" t="str">
            <v>Correctivo</v>
          </cell>
          <cell r="AY2012" t="str">
            <v>HOSPITAL SAN JOSÉ</v>
          </cell>
        </row>
        <row r="2013">
          <cell r="T2013">
            <v>2260296</v>
          </cell>
          <cell r="AX2013" t="str">
            <v>Correctivo</v>
          </cell>
          <cell r="AY2013" t="str">
            <v>HOSPITAL BARROS LUCO TRUDEAU</v>
          </cell>
        </row>
        <row r="2014">
          <cell r="T2014">
            <v>96882</v>
          </cell>
          <cell r="AX2014" t="str">
            <v>Correctivo</v>
          </cell>
          <cell r="AY2014" t="str">
            <v>SOCIEDAD CONCESIONARIA METROPOLITANA DE SALUD S.A.</v>
          </cell>
        </row>
        <row r="2015">
          <cell r="T2015">
            <v>222480</v>
          </cell>
          <cell r="AX2015" t="str">
            <v>Correctivo</v>
          </cell>
          <cell r="AY2015" t="str">
            <v>SOCIEDAD CONCESIONARIA METROPOLITANA DE SALUD S.A.</v>
          </cell>
        </row>
        <row r="2016">
          <cell r="T2016">
            <v>241200</v>
          </cell>
          <cell r="AX2016" t="str">
            <v>Correctivo</v>
          </cell>
          <cell r="AY2016" t="str">
            <v>SOCIEDAD CONCESIONARIA METROPOLITANA DE SALUD S.A.</v>
          </cell>
        </row>
        <row r="2017">
          <cell r="T2017">
            <v>40857</v>
          </cell>
          <cell r="AX2017" t="str">
            <v>Correctivo</v>
          </cell>
          <cell r="AY2017" t="str">
            <v>HOSPITAL CLINICO SAN BORJA-ARRIARAN</v>
          </cell>
        </row>
        <row r="2018">
          <cell r="T2018">
            <v>17280</v>
          </cell>
          <cell r="AX2018" t="str">
            <v>Correctivo</v>
          </cell>
          <cell r="AY2018">
            <v>0</v>
          </cell>
        </row>
        <row r="2019">
          <cell r="T2019">
            <v>243944</v>
          </cell>
          <cell r="AX2019" t="str">
            <v>Correctivo</v>
          </cell>
          <cell r="AY2019" t="str">
            <v>INSUMOS Y SERVICIOS MEDICOS S.A.</v>
          </cell>
        </row>
        <row r="2020">
          <cell r="T2020">
            <v>393945</v>
          </cell>
          <cell r="AX2020" t="str">
            <v>Correctivo</v>
          </cell>
          <cell r="AY2020" t="str">
            <v>INSUMOS Y SERVICIOS MEDICOS S.A.</v>
          </cell>
        </row>
        <row r="2021">
          <cell r="T2021">
            <v>150321</v>
          </cell>
          <cell r="AX2021" t="str">
            <v>Correctivo</v>
          </cell>
          <cell r="AY2021">
            <v>0</v>
          </cell>
        </row>
        <row r="2022">
          <cell r="T2022">
            <v>577889</v>
          </cell>
          <cell r="AX2022" t="str">
            <v>Correctivo</v>
          </cell>
          <cell r="AY2022" t="str">
            <v>CLINICA REÑACA</v>
          </cell>
        </row>
        <row r="2023">
          <cell r="T2023">
            <v>387889</v>
          </cell>
          <cell r="AX2023" t="str">
            <v>Correctivo</v>
          </cell>
          <cell r="AY2023" t="str">
            <v>INSUMOS Y SERVICIOS MEDICOS S.A.</v>
          </cell>
        </row>
        <row r="2024">
          <cell r="T2024">
            <v>234944</v>
          </cell>
          <cell r="AX2024" t="str">
            <v>Correctivo</v>
          </cell>
          <cell r="AY2024">
            <v>0</v>
          </cell>
        </row>
        <row r="2025">
          <cell r="T2025">
            <v>387889</v>
          </cell>
          <cell r="AX2025" t="str">
            <v>Correctivo</v>
          </cell>
          <cell r="AY2025">
            <v>0</v>
          </cell>
        </row>
        <row r="2026">
          <cell r="T2026">
            <v>387889</v>
          </cell>
          <cell r="AX2026" t="str">
            <v>Correctivo</v>
          </cell>
          <cell r="AY2026" t="str">
            <v>CLINICA SANATORIO ALEMAN</v>
          </cell>
        </row>
        <row r="2027">
          <cell r="T2027">
            <v>387889</v>
          </cell>
          <cell r="AX2027" t="str">
            <v>Correctivo</v>
          </cell>
          <cell r="AY2027">
            <v>0</v>
          </cell>
        </row>
        <row r="2028">
          <cell r="T2028">
            <v>877889</v>
          </cell>
          <cell r="AX2028" t="str">
            <v>Correctivo</v>
          </cell>
          <cell r="AY2028">
            <v>0</v>
          </cell>
        </row>
        <row r="2029">
          <cell r="T2029">
            <v>223120</v>
          </cell>
          <cell r="AX2029" t="str">
            <v>Correctivo</v>
          </cell>
          <cell r="AY2029" t="str">
            <v>HOSPITAL DEL PROFESOR</v>
          </cell>
        </row>
        <row r="2030">
          <cell r="T2030">
            <v>925778</v>
          </cell>
          <cell r="AX2030" t="str">
            <v>Preventivo</v>
          </cell>
          <cell r="AY2030" t="str">
            <v>HOSPITAL CARLOS VAN BUREN</v>
          </cell>
        </row>
        <row r="2031">
          <cell r="T2031">
            <v>577889</v>
          </cell>
          <cell r="AX2031" t="str">
            <v>Correctivo</v>
          </cell>
          <cell r="AY2031">
            <v>0</v>
          </cell>
        </row>
        <row r="2032">
          <cell r="T2032">
            <v>372734</v>
          </cell>
          <cell r="AX2032" t="str">
            <v>Correctivo</v>
          </cell>
          <cell r="AY2032" t="str">
            <v>INSUMOS Y SERVICIOS MEDICOS S.A.</v>
          </cell>
        </row>
        <row r="2033">
          <cell r="T2033">
            <v>675778</v>
          </cell>
          <cell r="AX2033" t="str">
            <v>Correctivo</v>
          </cell>
          <cell r="AY2033" t="str">
            <v>MUTUAL DE SEGURIDAD SANTIAGO</v>
          </cell>
        </row>
        <row r="2034">
          <cell r="T2034">
            <v>577889</v>
          </cell>
          <cell r="AX2034" t="str">
            <v>Correctivo</v>
          </cell>
          <cell r="AY2034" t="str">
            <v>HOSPITAL EDUARDO PEREIRA</v>
          </cell>
        </row>
        <row r="2035">
          <cell r="T2035">
            <v>150321</v>
          </cell>
          <cell r="AX2035" t="str">
            <v>Correctivo</v>
          </cell>
          <cell r="AY2035">
            <v>0</v>
          </cell>
        </row>
        <row r="2036">
          <cell r="T2036">
            <v>538944</v>
          </cell>
          <cell r="AX2036" t="str">
            <v>Correctivo</v>
          </cell>
          <cell r="AY2036" t="str">
            <v>HOSPITAL DE YUMBEL</v>
          </cell>
        </row>
        <row r="2037">
          <cell r="T2037">
            <v>388944</v>
          </cell>
          <cell r="AX2037" t="str">
            <v>Correctivo</v>
          </cell>
          <cell r="AY2037" t="str">
            <v>HOSPITAL EDUARDO PEREIRA</v>
          </cell>
        </row>
        <row r="2038">
          <cell r="T2038">
            <v>466778</v>
          </cell>
          <cell r="AX2038" t="str">
            <v>Correctivo</v>
          </cell>
          <cell r="AY2038" t="str">
            <v>HOSPITAL DEL PROFESOR</v>
          </cell>
        </row>
        <row r="2039">
          <cell r="T2039">
            <v>387889</v>
          </cell>
          <cell r="AX2039" t="str">
            <v>Correctivo</v>
          </cell>
          <cell r="AY2039" t="str">
            <v>INSUMOS Y SERVICIOS MEDICOS S.A.</v>
          </cell>
        </row>
        <row r="2040">
          <cell r="T2040">
            <v>420000</v>
          </cell>
          <cell r="AX2040" t="str">
            <v>Correctivo</v>
          </cell>
          <cell r="AY2040">
            <v>0</v>
          </cell>
        </row>
        <row r="2041">
          <cell r="T2041">
            <v>155000</v>
          </cell>
          <cell r="AX2041" t="str">
            <v>Correctivo</v>
          </cell>
          <cell r="AY2041">
            <v>0</v>
          </cell>
        </row>
        <row r="2042">
          <cell r="T2042">
            <v>243944</v>
          </cell>
          <cell r="AX2042" t="str">
            <v>Correctivo</v>
          </cell>
          <cell r="AY2042" t="str">
            <v>CLINICA MEDS LTDA</v>
          </cell>
        </row>
        <row r="2043">
          <cell r="T2043">
            <v>243944</v>
          </cell>
          <cell r="AX2043" t="str">
            <v>Correctivo</v>
          </cell>
          <cell r="AY2043">
            <v>0</v>
          </cell>
        </row>
        <row r="2044">
          <cell r="T2044">
            <v>174595</v>
          </cell>
          <cell r="AX2044" t="str">
            <v>Preventivo</v>
          </cell>
          <cell r="AY2044">
            <v>0</v>
          </cell>
        </row>
        <row r="2045">
          <cell r="T2045">
            <v>-390000</v>
          </cell>
          <cell r="AX2045" t="str">
            <v>Correctivo</v>
          </cell>
          <cell r="AY2045" t="str">
            <v>HOSPITAL VICTOR RIOS RUIZ</v>
          </cell>
        </row>
        <row r="2046">
          <cell r="T2046">
            <v>-260590</v>
          </cell>
          <cell r="AX2046" t="str">
            <v>Correctivo</v>
          </cell>
          <cell r="AY2046" t="str">
            <v>UC CHRISTUS SERVICIOS AMBULATORIOS SPA</v>
          </cell>
        </row>
        <row r="2047">
          <cell r="T2047">
            <v>0</v>
          </cell>
          <cell r="AX2047" t="str">
            <v>Preventivo</v>
          </cell>
          <cell r="AY2047">
            <v>0</v>
          </cell>
        </row>
        <row r="2048">
          <cell r="T2048">
            <v>0</v>
          </cell>
          <cell r="AX2048" t="str">
            <v>Preventivo</v>
          </cell>
          <cell r="AY2048">
            <v>0</v>
          </cell>
        </row>
        <row r="2049">
          <cell r="T2049">
            <v>-354701</v>
          </cell>
          <cell r="AX2049" t="str">
            <v>Correctivo</v>
          </cell>
          <cell r="AY2049" t="str">
            <v>CLINICA SANATORIO ALEMAN</v>
          </cell>
        </row>
        <row r="2050">
          <cell r="T2050">
            <v>-1641150</v>
          </cell>
          <cell r="AX2050" t="str">
            <v>Correctivo</v>
          </cell>
          <cell r="AY2050" t="str">
            <v>CLINICA SANATORIO ALEMAN</v>
          </cell>
        </row>
        <row r="2051">
          <cell r="T2051">
            <v>-367500</v>
          </cell>
          <cell r="AX2051" t="str">
            <v>Correctivo</v>
          </cell>
          <cell r="AY2051" t="str">
            <v>HOSPITAL LUIS CALVO MACKENNA</v>
          </cell>
        </row>
        <row r="2052">
          <cell r="T2052">
            <v>-55755</v>
          </cell>
          <cell r="AX2052" t="str">
            <v>Correctivo</v>
          </cell>
          <cell r="AY2052" t="str">
            <v>HOSPITAL LUIS CALVO MACKENNA</v>
          </cell>
        </row>
        <row r="2053">
          <cell r="T2053">
            <v>-354701</v>
          </cell>
          <cell r="AX2053" t="str">
            <v>Correctivo</v>
          </cell>
          <cell r="AY2053" t="str">
            <v>CLINICA SANATORIO ALEMAN</v>
          </cell>
        </row>
        <row r="2054">
          <cell r="T2054">
            <v>-1622579</v>
          </cell>
          <cell r="AX2054" t="str">
            <v>Correctivo</v>
          </cell>
          <cell r="AY2054" t="str">
            <v>CLINICA SANATORIO ALEMAN</v>
          </cell>
        </row>
        <row r="2055">
          <cell r="T2055">
            <v>-15759</v>
          </cell>
          <cell r="AX2055" t="str">
            <v>Correctivo</v>
          </cell>
          <cell r="AY2055">
            <v>0</v>
          </cell>
        </row>
        <row r="2056">
          <cell r="T2056">
            <v>-4611786</v>
          </cell>
          <cell r="AX2056" t="str">
            <v>Correctivo</v>
          </cell>
          <cell r="AY2056" t="str">
            <v>HOSPITAL SAN LUIS BUIN</v>
          </cell>
        </row>
        <row r="2057">
          <cell r="T2057">
            <v>-492506</v>
          </cell>
          <cell r="AX2057" t="str">
            <v>Correctivo</v>
          </cell>
          <cell r="AY2057" t="str">
            <v>HOSPITAL SAN LUIS BUIN</v>
          </cell>
        </row>
        <row r="2058">
          <cell r="T2058">
            <v>-492508</v>
          </cell>
          <cell r="AX2058" t="str">
            <v>Correctivo</v>
          </cell>
          <cell r="AY2058" t="str">
            <v>HOSPITAL DR. LUIS TISNE B.</v>
          </cell>
        </row>
        <row r="2059">
          <cell r="T2059">
            <v>-540750</v>
          </cell>
          <cell r="AX2059" t="str">
            <v>Correctivo</v>
          </cell>
          <cell r="AY2059" t="str">
            <v>HOSPITAL SAN JOSÉ</v>
          </cell>
        </row>
        <row r="2060">
          <cell r="T2060">
            <v>-1400000</v>
          </cell>
          <cell r="AX2060" t="str">
            <v>Correctivo</v>
          </cell>
          <cell r="AY2060" t="str">
            <v>HOSPITAL GUILLERMO GRANT BENAVENTE</v>
          </cell>
        </row>
        <row r="2061">
          <cell r="T2061">
            <v>-3102750</v>
          </cell>
          <cell r="AX2061" t="str">
            <v>Correctivo</v>
          </cell>
          <cell r="AY2061" t="str">
            <v>HOSPITAL DEL SALVADOR</v>
          </cell>
        </row>
        <row r="2062">
          <cell r="T2062">
            <v>-3102750</v>
          </cell>
          <cell r="AX2062" t="str">
            <v>Correctivo</v>
          </cell>
          <cell r="AY2062" t="str">
            <v>HOSPITAL DEL SALVADOR</v>
          </cell>
        </row>
        <row r="2063">
          <cell r="T2063">
            <v>-1320080</v>
          </cell>
          <cell r="AX2063" t="str">
            <v>Correctivo</v>
          </cell>
          <cell r="AY2063" t="str">
            <v>HOSPITAL VICTORIA</v>
          </cell>
        </row>
        <row r="2064">
          <cell r="T2064">
            <v>-1320080</v>
          </cell>
          <cell r="AX2064" t="str">
            <v>Correctivo</v>
          </cell>
          <cell r="AY2064" t="str">
            <v>HOSPITAL VICTORIA</v>
          </cell>
        </row>
        <row r="2065">
          <cell r="T2065">
            <v>-359833</v>
          </cell>
          <cell r="AX2065" t="str">
            <v>Correctivo</v>
          </cell>
          <cell r="AY2065" t="str">
            <v>HOSPITAL DR. LUIS TISNE B.</v>
          </cell>
        </row>
        <row r="2066">
          <cell r="T2066">
            <v>-6234772</v>
          </cell>
          <cell r="AX2066" t="str">
            <v>Correctivo</v>
          </cell>
          <cell r="AY2066" t="str">
            <v>HOSPITAL VICTORIA</v>
          </cell>
        </row>
        <row r="2067">
          <cell r="T2067">
            <v>-6234772</v>
          </cell>
          <cell r="AX2067" t="str">
            <v>Correctivo</v>
          </cell>
          <cell r="AY2067" t="str">
            <v>HOSPITAL VICTORIA</v>
          </cell>
        </row>
        <row r="2068">
          <cell r="T2068">
            <v>-3801912</v>
          </cell>
          <cell r="AX2068" t="str">
            <v>Correctivo</v>
          </cell>
          <cell r="AY2068" t="str">
            <v>HOSPITAL EXEQUIEL GONZALEZ CORTES</v>
          </cell>
        </row>
        <row r="2069">
          <cell r="T2069">
            <v>-215565</v>
          </cell>
          <cell r="AX2069" t="str">
            <v>Correctivo</v>
          </cell>
          <cell r="AY2069" t="str">
            <v>SOCIEDAD CONCESIONARIA METROPOLITANA DE SALUD S.A.</v>
          </cell>
        </row>
        <row r="2070">
          <cell r="T2070">
            <v>-60368</v>
          </cell>
          <cell r="AX2070" t="str">
            <v>Correctivo</v>
          </cell>
          <cell r="AY2070" t="str">
            <v>HOSPITAL EXEQUIEL GONZALEZ CORTES</v>
          </cell>
        </row>
        <row r="2071">
          <cell r="T2071">
            <v>-249898</v>
          </cell>
          <cell r="AX2071" t="str">
            <v>Correctivo</v>
          </cell>
          <cell r="AY2071">
            <v>0</v>
          </cell>
        </row>
        <row r="2072">
          <cell r="T2072">
            <v>-716625</v>
          </cell>
          <cell r="AX2072" t="str">
            <v>Correctivo</v>
          </cell>
          <cell r="AY2072" t="str">
            <v>HOSPITAL DEL SALVADOR</v>
          </cell>
        </row>
        <row r="2073">
          <cell r="T2073">
            <v>-716625</v>
          </cell>
          <cell r="AX2073" t="str">
            <v>Correctivo</v>
          </cell>
          <cell r="AY2073" t="str">
            <v>HOSPITAL DEL SALVADOR</v>
          </cell>
        </row>
        <row r="2074">
          <cell r="T2074">
            <v>-487964</v>
          </cell>
          <cell r="AX2074" t="str">
            <v>Correctivo</v>
          </cell>
          <cell r="AY2074" t="str">
            <v>HOSPITAL EXEQUIEL GONZALEZ CORTES</v>
          </cell>
        </row>
        <row r="2075">
          <cell r="T2075">
            <v>-102628</v>
          </cell>
          <cell r="AX2075" t="str">
            <v>Correctivo</v>
          </cell>
          <cell r="AY2075" t="str">
            <v>HOSPITAL GUILLERMO GRANT BENAVENTE</v>
          </cell>
        </row>
        <row r="2076">
          <cell r="T2076">
            <v>-134323</v>
          </cell>
          <cell r="AX2076" t="str">
            <v>Correctivo</v>
          </cell>
          <cell r="AY2076" t="str">
            <v>HOSPITAL GUILLERMO GRANT BENAVENTE</v>
          </cell>
        </row>
        <row r="2077">
          <cell r="T2077">
            <v>-41506</v>
          </cell>
          <cell r="AX2077" t="str">
            <v>Preventivo</v>
          </cell>
          <cell r="AY2077" t="str">
            <v>HOSPITAL GUILLERMO GRANT BENAVENTE</v>
          </cell>
        </row>
        <row r="2078">
          <cell r="T2078">
            <v>-6376</v>
          </cell>
          <cell r="AX2078" t="str">
            <v>Preventivo</v>
          </cell>
          <cell r="AY2078" t="str">
            <v>HOSPITAL GUILLERMO GRANT BENAVENTE</v>
          </cell>
        </row>
        <row r="2079">
          <cell r="T2079">
            <v>-65216</v>
          </cell>
          <cell r="AX2079" t="str">
            <v>Preventivo</v>
          </cell>
          <cell r="AY2079" t="str">
            <v>HOSPITAL GUILLERMO GRANT BENAVENTE</v>
          </cell>
        </row>
        <row r="2080">
          <cell r="T2080">
            <v>-295624</v>
          </cell>
          <cell r="AX2080" t="str">
            <v>Preventivo</v>
          </cell>
          <cell r="AY2080" t="str">
            <v>HOSPITAL GUILLERMO GRANT BENAVENTE</v>
          </cell>
        </row>
        <row r="2081">
          <cell r="T2081">
            <v>-6376</v>
          </cell>
          <cell r="AX2081" t="str">
            <v>Preventivo</v>
          </cell>
          <cell r="AY2081" t="str">
            <v>HOSPITAL GUILLERMO GRANT BENAVENTE</v>
          </cell>
        </row>
        <row r="2082">
          <cell r="T2082">
            <v>-41506</v>
          </cell>
          <cell r="AX2082" t="str">
            <v>Preventivo</v>
          </cell>
          <cell r="AY2082" t="str">
            <v>HOSPITAL GUILLERMO GRANT BENAVENTE</v>
          </cell>
        </row>
        <row r="2083">
          <cell r="T2083">
            <v>-134323</v>
          </cell>
          <cell r="AX2083" t="str">
            <v>Preventivo</v>
          </cell>
          <cell r="AY2083" t="str">
            <v>HOSPITAL GUILLERMO GRANT BENAVENTE</v>
          </cell>
        </row>
        <row r="2084">
          <cell r="T2084">
            <v>-104253</v>
          </cell>
          <cell r="AX2084" t="str">
            <v>Preventivo</v>
          </cell>
          <cell r="AY2084" t="str">
            <v>HOSPITAL SAN PABLO DE COQUIMBO</v>
          </cell>
        </row>
        <row r="2085">
          <cell r="T2085">
            <v>-46392</v>
          </cell>
          <cell r="AX2085" t="str">
            <v>Preventivo</v>
          </cell>
          <cell r="AY2085" t="str">
            <v>HOSPITAL SAN PABLO DE COQUIMBO</v>
          </cell>
        </row>
        <row r="2086">
          <cell r="T2086">
            <v>-1498630</v>
          </cell>
          <cell r="AX2086" t="str">
            <v>Preventivo</v>
          </cell>
          <cell r="AY2086" t="str">
            <v>HOSPITAL SAN PABLO DE COQUIMBO</v>
          </cell>
        </row>
        <row r="2087">
          <cell r="T2087">
            <v>-2137176</v>
          </cell>
          <cell r="AX2087" t="str">
            <v>Preventivo</v>
          </cell>
          <cell r="AY2087" t="str">
            <v>HOSPITAL SAN PABLO DE COQUIMBO</v>
          </cell>
        </row>
        <row r="2088">
          <cell r="T2088">
            <v>-2890000</v>
          </cell>
          <cell r="AX2088" t="str">
            <v>Preventivo</v>
          </cell>
          <cell r="AY2088" t="str">
            <v>HOSPITAL SAN PABLO DE COQUIMBO</v>
          </cell>
        </row>
        <row r="2089">
          <cell r="T2089">
            <v>-1146998</v>
          </cell>
          <cell r="AX2089" t="str">
            <v>Preventivo</v>
          </cell>
          <cell r="AY2089" t="str">
            <v>HOSPITAL DEL SALVADOR</v>
          </cell>
        </row>
        <row r="2090">
          <cell r="T2090">
            <v>-1146998</v>
          </cell>
          <cell r="AX2090" t="str">
            <v>Preventivo</v>
          </cell>
          <cell r="AY2090" t="str">
            <v>HOSPITAL DEL SALVADOR</v>
          </cell>
        </row>
        <row r="2091">
          <cell r="T2091">
            <v>-1146998</v>
          </cell>
          <cell r="AX2091" t="str">
            <v>Preventivo</v>
          </cell>
          <cell r="AY2091" t="str">
            <v>HOSPITAL DEL SALVADOR</v>
          </cell>
        </row>
        <row r="2092">
          <cell r="T2092">
            <v>-1146998</v>
          </cell>
          <cell r="AX2092" t="str">
            <v>Preventivo</v>
          </cell>
          <cell r="AY2092" t="str">
            <v>HOSPITAL DEL SALVADOR</v>
          </cell>
        </row>
        <row r="2093">
          <cell r="T2093">
            <v>-32941</v>
          </cell>
          <cell r="AX2093" t="str">
            <v>Preventivo</v>
          </cell>
          <cell r="AY2093" t="str">
            <v>INSUMOS Y SERVICIOS MEDICOS S.A.</v>
          </cell>
        </row>
        <row r="2094">
          <cell r="T2094">
            <v>-1494648</v>
          </cell>
          <cell r="AX2094" t="str">
            <v>Correctivo</v>
          </cell>
          <cell r="AY2094" t="str">
            <v>HOSPITAL DE QUELLON</v>
          </cell>
        </row>
        <row r="2095">
          <cell r="T2095">
            <v>-1494648</v>
          </cell>
          <cell r="AX2095" t="str">
            <v>Correctivo</v>
          </cell>
          <cell r="AY2095" t="str">
            <v>HOSPITAL DE QUELLON</v>
          </cell>
        </row>
        <row r="2096">
          <cell r="T2096">
            <v>-89837</v>
          </cell>
          <cell r="AX2096" t="str">
            <v>Correctivo</v>
          </cell>
          <cell r="AY2096" t="str">
            <v>UC CHRISTUS SERVICIOS AMBULATORIOS SPA</v>
          </cell>
        </row>
        <row r="2097">
          <cell r="T2097">
            <v>-89837</v>
          </cell>
          <cell r="AX2097" t="str">
            <v>Correctivo</v>
          </cell>
          <cell r="AY2097" t="str">
            <v>UC CHRISTUS SERVICIOS AMBULATORIOS SPA</v>
          </cell>
        </row>
        <row r="2098">
          <cell r="T2098">
            <v>-89837</v>
          </cell>
          <cell r="AX2098" t="str">
            <v>Correctivo</v>
          </cell>
          <cell r="AY2098" t="str">
            <v>UC CHRISTUS SERVICIOS AMBULATORIOS SPA</v>
          </cell>
        </row>
        <row r="2099">
          <cell r="T2099">
            <v>-33374</v>
          </cell>
          <cell r="AX2099" t="str">
            <v>Correctivo</v>
          </cell>
          <cell r="AY2099" t="str">
            <v>UC CHRISTUS SERVICIOS AMBULATORIOS SPA</v>
          </cell>
        </row>
        <row r="2100">
          <cell r="T2100">
            <v>-33374</v>
          </cell>
          <cell r="AX2100" t="str">
            <v>Correctivo</v>
          </cell>
          <cell r="AY2100" t="str">
            <v>UC CHRISTUS SERVICIOS AMBULATORIOS SPA</v>
          </cell>
        </row>
        <row r="2101">
          <cell r="T2101">
            <v>-33374</v>
          </cell>
          <cell r="AX2101" t="str">
            <v>Correctivo</v>
          </cell>
          <cell r="AY2101" t="str">
            <v>UC CHRISTUS SERVICIOS AMBULATORIOS SPA</v>
          </cell>
        </row>
        <row r="2102">
          <cell r="T2102">
            <v>-25823</v>
          </cell>
          <cell r="AX2102" t="str">
            <v>Correctivo</v>
          </cell>
          <cell r="AY2102" t="str">
            <v>UC CHRISTUS SERVICIOS AMBULATORIOS SPA</v>
          </cell>
        </row>
        <row r="2103">
          <cell r="T2103">
            <v>-25823</v>
          </cell>
          <cell r="AX2103" t="str">
            <v>Correctivo</v>
          </cell>
          <cell r="AY2103" t="str">
            <v>UC CHRISTUS SERVICIOS AMBULATORIOS SPA</v>
          </cell>
        </row>
        <row r="2104">
          <cell r="T2104">
            <v>-25823</v>
          </cell>
          <cell r="AX2104" t="str">
            <v>Correctivo</v>
          </cell>
          <cell r="AY2104" t="str">
            <v>UC CHRISTUS SERVICIOS AMBULATORIOS SPA</v>
          </cell>
        </row>
        <row r="2105">
          <cell r="T2105">
            <v>-3713168</v>
          </cell>
          <cell r="AX2105" t="str">
            <v>Preventivo</v>
          </cell>
          <cell r="AY2105" t="str">
            <v>HOSPITAL CLINICO DE LA FUERZA AEREA FACH GRAL DR RAUL YAZIGI JAUREGUI</v>
          </cell>
        </row>
        <row r="2106">
          <cell r="T2106">
            <v>-5056</v>
          </cell>
          <cell r="AX2106" t="str">
            <v>Preventivo</v>
          </cell>
          <cell r="AY2106" t="str">
            <v>HOSPITAL SAN PABLO DE COQUIMBO</v>
          </cell>
        </row>
        <row r="2107">
          <cell r="T2107">
            <v>-599745</v>
          </cell>
          <cell r="AX2107" t="str">
            <v>Preventivo</v>
          </cell>
          <cell r="AY2107" t="str">
            <v>HOSPITAL DEL SALVADOR</v>
          </cell>
        </row>
        <row r="2108">
          <cell r="T2108">
            <v>-599745</v>
          </cell>
          <cell r="AX2108" t="str">
            <v>Preventivo</v>
          </cell>
          <cell r="AY2108" t="str">
            <v>HOSPITAL DEL SALVADOR</v>
          </cell>
        </row>
        <row r="2109">
          <cell r="T2109">
            <v>-1146998</v>
          </cell>
          <cell r="AX2109" t="str">
            <v>Preventivo</v>
          </cell>
          <cell r="AY2109" t="str">
            <v>HOSPITAL DEL SALVADOR</v>
          </cell>
        </row>
        <row r="2110">
          <cell r="T2110">
            <v>-14536863</v>
          </cell>
          <cell r="AX2110" t="str">
            <v>Preventivo</v>
          </cell>
          <cell r="AY2110" t="str">
            <v>HOSPITAL COMPLEJO ASISTENCIAL PADRE LAS CASAS</v>
          </cell>
        </row>
        <row r="2111">
          <cell r="T2111">
            <v>-549642</v>
          </cell>
          <cell r="AX2111" t="str">
            <v>Preventivo</v>
          </cell>
          <cell r="AY2111" t="str">
            <v>HOSPITAL METROPOLITANO DE SANTIAGO</v>
          </cell>
        </row>
        <row r="2112">
          <cell r="T2112">
            <v>-386708</v>
          </cell>
          <cell r="AX2112" t="str">
            <v>Preventivo</v>
          </cell>
          <cell r="AY2112" t="str">
            <v>INSTITUTO NACIONAL DEL CANCER</v>
          </cell>
        </row>
        <row r="2113">
          <cell r="T2113">
            <v>-599745</v>
          </cell>
          <cell r="AX2113" t="str">
            <v>Preventivo</v>
          </cell>
          <cell r="AY2113" t="str">
            <v>HOSPITAL DEL SALVADOR</v>
          </cell>
        </row>
        <row r="2114">
          <cell r="T2114">
            <v>-7666812</v>
          </cell>
          <cell r="AX2114" t="str">
            <v>Preventivo</v>
          </cell>
          <cell r="AY2114" t="str">
            <v>HOSPITAL DEL SALVADOR</v>
          </cell>
        </row>
        <row r="2115">
          <cell r="T2115">
            <v>-599745</v>
          </cell>
          <cell r="AX2115" t="str">
            <v>Preventivo</v>
          </cell>
          <cell r="AY2115" t="str">
            <v>HOSPITAL DEL SALVADOR</v>
          </cell>
        </row>
        <row r="2116">
          <cell r="T2116">
            <v>-341329</v>
          </cell>
          <cell r="AX2116" t="str">
            <v>Preventivo</v>
          </cell>
          <cell r="AY2116" t="str">
            <v>INSTITUTO NACIONAL DEL CANCER</v>
          </cell>
        </row>
        <row r="2117">
          <cell r="T2117">
            <v>-386708</v>
          </cell>
          <cell r="AX2117" t="str">
            <v>Preventivo</v>
          </cell>
          <cell r="AY2117" t="str">
            <v>INSTITUTO NACIONAL DEL CANCER</v>
          </cell>
        </row>
        <row r="2118">
          <cell r="T2118">
            <v>-1146998</v>
          </cell>
          <cell r="AX2118" t="str">
            <v>Preventivo</v>
          </cell>
          <cell r="AY2118" t="str">
            <v>HOSPITAL DEL SALVADOR</v>
          </cell>
        </row>
        <row r="2119">
          <cell r="T2119">
            <v>-386708</v>
          </cell>
          <cell r="AX2119" t="str">
            <v>Preventivo</v>
          </cell>
          <cell r="AY2119" t="str">
            <v>INSTITUTO NACIONAL DEL CANCER</v>
          </cell>
        </row>
        <row r="2120">
          <cell r="T2120">
            <v>-621528</v>
          </cell>
          <cell r="AX2120" t="str">
            <v>Preventivo</v>
          </cell>
          <cell r="AY2120" t="str">
            <v>CESFAM MIRAFLORES</v>
          </cell>
        </row>
        <row r="2121">
          <cell r="T2121">
            <v>-620000</v>
          </cell>
          <cell r="AX2121" t="str">
            <v>Preventivo</v>
          </cell>
          <cell r="AY2121">
            <v>0</v>
          </cell>
        </row>
        <row r="2122">
          <cell r="T2122">
            <v>-300000</v>
          </cell>
          <cell r="AX2122" t="str">
            <v>Preventivo</v>
          </cell>
          <cell r="AY2122">
            <v>0</v>
          </cell>
        </row>
        <row r="2123">
          <cell r="T2123">
            <v>-1358248</v>
          </cell>
          <cell r="AX2123" t="str">
            <v>Preventivo</v>
          </cell>
          <cell r="AY2123">
            <v>0</v>
          </cell>
        </row>
        <row r="2124">
          <cell r="T2124">
            <v>-3506539</v>
          </cell>
          <cell r="AX2124" t="str">
            <v>Preventivo</v>
          </cell>
          <cell r="AY2124" t="str">
            <v>HOSPITAL CLINICO DE LA FUERZA AEREA FACH GRAL DR RAUL YAZIGI JAUREGUI</v>
          </cell>
        </row>
        <row r="2125">
          <cell r="T2125">
            <v>-3799915</v>
          </cell>
          <cell r="AX2125" t="str">
            <v>Preventivo</v>
          </cell>
          <cell r="AY2125" t="str">
            <v>HOSPITAL EXEQUIEL GONZALEZ CORTES</v>
          </cell>
        </row>
        <row r="2126">
          <cell r="T2126">
            <v>-20897177</v>
          </cell>
          <cell r="AX2126" t="str">
            <v>Preventivo</v>
          </cell>
          <cell r="AY2126" t="str">
            <v>SOCIEDAD CONCESIONARIA METROPOLITANA DE SALUD S.A.</v>
          </cell>
        </row>
        <row r="2127">
          <cell r="T2127">
            <v>-1146998</v>
          </cell>
          <cell r="AX2127" t="str">
            <v>Preventivo</v>
          </cell>
          <cell r="AY2127" t="str">
            <v>HOSPITAL DEL SALVADOR</v>
          </cell>
        </row>
        <row r="2128">
          <cell r="T2128">
            <v>-1146998</v>
          </cell>
          <cell r="AX2128" t="str">
            <v>Preventivo</v>
          </cell>
          <cell r="AY2128" t="str">
            <v>HOSPITAL DEL SALVADOR</v>
          </cell>
        </row>
        <row r="2129">
          <cell r="T2129">
            <v>-1146998</v>
          </cell>
          <cell r="AX2129" t="str">
            <v>Preventivo</v>
          </cell>
          <cell r="AY2129" t="str">
            <v>HOSPITAL DEL SALVADOR</v>
          </cell>
        </row>
        <row r="2130">
          <cell r="T2130">
            <v>-2008944</v>
          </cell>
          <cell r="AX2130" t="str">
            <v>Preventivo</v>
          </cell>
          <cell r="AY2130" t="str">
            <v>EJERCITO DE CHILE CENTRAL ODONTOLOGICA D</v>
          </cell>
        </row>
        <row r="2131">
          <cell r="T2131">
            <v>-228832</v>
          </cell>
          <cell r="AX2131" t="str">
            <v>Preventivo</v>
          </cell>
          <cell r="AY2131" t="str">
            <v>INSTITUTO NACIONAL DEL CANCER</v>
          </cell>
        </row>
        <row r="2132">
          <cell r="T2132">
            <v>-228832</v>
          </cell>
          <cell r="AX2132" t="str">
            <v>Preventivo</v>
          </cell>
          <cell r="AY2132" t="str">
            <v>INSTITUTO NACIONAL DEL CANCER</v>
          </cell>
        </row>
        <row r="2133">
          <cell r="T2133">
            <v>-228832</v>
          </cell>
          <cell r="AX2133" t="str">
            <v>Preventivo</v>
          </cell>
          <cell r="AY2133" t="str">
            <v>INSTITUTO NACIONAL DEL CANCER</v>
          </cell>
        </row>
        <row r="2134">
          <cell r="T2134">
            <v>-3388929</v>
          </cell>
          <cell r="AX2134" t="str">
            <v>Preventivo</v>
          </cell>
          <cell r="AY2134" t="str">
            <v>HOSPITAL REGIONAL DE ARICA DR. JUAN NOÉ CREVANI</v>
          </cell>
        </row>
        <row r="2135">
          <cell r="T2135">
            <v>-228832</v>
          </cell>
          <cell r="AX2135" t="str">
            <v>Preventivo</v>
          </cell>
          <cell r="AY2135" t="str">
            <v>INSTITUTO NACIONAL DEL CANCER</v>
          </cell>
        </row>
        <row r="2136">
          <cell r="T2136">
            <v>-1869014</v>
          </cell>
          <cell r="AX2136" t="str">
            <v>Preventivo</v>
          </cell>
          <cell r="AY2136" t="str">
            <v>I.MUNICIPALIDAD DE INDEPENDENCIA</v>
          </cell>
        </row>
        <row r="2137">
          <cell r="T2137">
            <v>-228832</v>
          </cell>
          <cell r="AX2137" t="str">
            <v>Preventivo</v>
          </cell>
          <cell r="AY2137" t="str">
            <v>INSTITUTO NACIONAL DEL CANCER</v>
          </cell>
        </row>
        <row r="2138">
          <cell r="T2138">
            <v>-3799915</v>
          </cell>
          <cell r="AX2138" t="str">
            <v>Preventivo</v>
          </cell>
          <cell r="AY2138" t="str">
            <v>HOSPITAL EXEQUIEL GONZALEZ CORTES</v>
          </cell>
        </row>
        <row r="2139">
          <cell r="T2139">
            <v>-228832</v>
          </cell>
          <cell r="AX2139" t="str">
            <v>Preventivo</v>
          </cell>
          <cell r="AY2139" t="str">
            <v>INSTITUTO NACIONAL DEL CANCER</v>
          </cell>
        </row>
        <row r="2140">
          <cell r="T2140">
            <v>-3799915</v>
          </cell>
          <cell r="AX2140" t="str">
            <v>Preventivo</v>
          </cell>
          <cell r="AY2140" t="str">
            <v>HOSPITAL EXEQUIEL GONZALEZ CORTES</v>
          </cell>
        </row>
        <row r="2141">
          <cell r="T2141">
            <v>-228832</v>
          </cell>
          <cell r="AX2141" t="str">
            <v>Preventivo</v>
          </cell>
          <cell r="AY2141" t="str">
            <v>INSTITUTO NACIONAL DEL CANCER</v>
          </cell>
        </row>
        <row r="2142">
          <cell r="T2142">
            <v>-1146998</v>
          </cell>
          <cell r="AX2142" t="str">
            <v>Preventivo</v>
          </cell>
          <cell r="AY2142" t="str">
            <v>HOSPITAL DEL SALVADOR</v>
          </cell>
        </row>
        <row r="2143">
          <cell r="T2143">
            <v>-3799915</v>
          </cell>
          <cell r="AX2143" t="str">
            <v>Preventivo</v>
          </cell>
          <cell r="AY2143" t="str">
            <v>HOSPITAL EXEQUIEL GONZALEZ CORTES</v>
          </cell>
        </row>
        <row r="2144">
          <cell r="T2144">
            <v>-228832</v>
          </cell>
          <cell r="AX2144" t="str">
            <v>Preventivo</v>
          </cell>
          <cell r="AY2144" t="str">
            <v>INSTITUTO NACIONAL DEL CANCER</v>
          </cell>
        </row>
        <row r="2145">
          <cell r="T2145">
            <v>-7666812</v>
          </cell>
          <cell r="AX2145" t="str">
            <v>Preventivo</v>
          </cell>
          <cell r="AY2145" t="str">
            <v>HOSPITAL DEL SALVADOR</v>
          </cell>
        </row>
        <row r="2146">
          <cell r="T2146">
            <v>-89370</v>
          </cell>
          <cell r="AX2146" t="str">
            <v>Correctivo</v>
          </cell>
          <cell r="AY2146" t="str">
            <v>HOSPITAL GUILLERMO GRANT BENAVENTE</v>
          </cell>
        </row>
        <row r="2147">
          <cell r="T2147">
            <v>-7645201</v>
          </cell>
          <cell r="AX2147" t="str">
            <v>Correctivo</v>
          </cell>
          <cell r="AY2147" t="str">
            <v>HOSPITAL GUILLERMO GRANT BENAVENTE</v>
          </cell>
        </row>
        <row r="2148">
          <cell r="T2148">
            <v>-2137176</v>
          </cell>
          <cell r="AX2148" t="str">
            <v>Correctivo</v>
          </cell>
          <cell r="AY2148" t="str">
            <v>HOSPITAL GUILLERMO GRANT BENAVENTE</v>
          </cell>
        </row>
        <row r="2149">
          <cell r="T2149">
            <v>-3144772.52</v>
          </cell>
          <cell r="AX2149" t="str">
            <v>Correctivo</v>
          </cell>
          <cell r="AY2149" t="str">
            <v>CLÍNICA INTERMEDICAL LTDA.</v>
          </cell>
        </row>
        <row r="2150">
          <cell r="T2150">
            <v>-635250</v>
          </cell>
          <cell r="AX2150" t="str">
            <v>Correctivo</v>
          </cell>
          <cell r="AY2150">
            <v>0</v>
          </cell>
        </row>
        <row r="2151">
          <cell r="T2151">
            <v>-99012</v>
          </cell>
          <cell r="AX2151" t="str">
            <v>Correctivo</v>
          </cell>
          <cell r="AY2151" t="str">
            <v>HOSPITAL METROPOLITANO DE SANTIAGO</v>
          </cell>
        </row>
        <row r="2152">
          <cell r="T2152">
            <v>-99012</v>
          </cell>
          <cell r="AX2152" t="str">
            <v>Correctivo</v>
          </cell>
          <cell r="AY2152" t="str">
            <v>HOSPITAL METROPOLITANO DE SANTIAGO</v>
          </cell>
        </row>
        <row r="2153">
          <cell r="T2153">
            <v>-99012</v>
          </cell>
          <cell r="AX2153" t="str">
            <v>Correctivo</v>
          </cell>
          <cell r="AY2153" t="str">
            <v>HOSPITAL METROPOLITANO DE SANTIAGO</v>
          </cell>
        </row>
        <row r="2154">
          <cell r="T2154">
            <v>-121036</v>
          </cell>
          <cell r="AX2154" t="str">
            <v>Correctivo</v>
          </cell>
          <cell r="AY2154" t="str">
            <v>SOCIEDAD MEDICA E IMAGENEOLOGICA ANCUD LTDA</v>
          </cell>
        </row>
        <row r="2155">
          <cell r="T2155">
            <v>-360938</v>
          </cell>
          <cell r="AX2155" t="str">
            <v>Correctivo</v>
          </cell>
          <cell r="AY2155" t="str">
            <v>UC CHRISTUS SERVICIOS AMBULATORIOS SPA</v>
          </cell>
        </row>
        <row r="2156">
          <cell r="T2156">
            <v>-360938</v>
          </cell>
          <cell r="AX2156" t="str">
            <v>Correctivo</v>
          </cell>
          <cell r="AY2156" t="str">
            <v>UC CHRISTUS SERVICIOS AMBULATORIOS SPA</v>
          </cell>
        </row>
        <row r="2157">
          <cell r="T2157">
            <v>-573389</v>
          </cell>
          <cell r="AX2157" t="str">
            <v>Correctivo</v>
          </cell>
          <cell r="AY2157" t="str">
            <v>HOSPITAL GUILLERMO GRANT BENAVENTE</v>
          </cell>
        </row>
        <row r="2158">
          <cell r="T2158">
            <v>-573389</v>
          </cell>
          <cell r="AX2158" t="str">
            <v>Correctivo</v>
          </cell>
          <cell r="AY2158" t="str">
            <v>HOSPITAL GUILLERMO GRANT BENAVENTE</v>
          </cell>
        </row>
        <row r="2159">
          <cell r="T2159">
            <v>-7645201</v>
          </cell>
          <cell r="AX2159" t="str">
            <v>Correctivo</v>
          </cell>
          <cell r="AY2159" t="str">
            <v>HOSPITAL GUILLERMO GRANT BENAVENTE</v>
          </cell>
        </row>
        <row r="2160">
          <cell r="T2160">
            <v>-400000</v>
          </cell>
          <cell r="AX2160" t="str">
            <v>Correctivo</v>
          </cell>
          <cell r="AY2160" t="str">
            <v>HOSPITAL METROPOLITANO DE SANTIAGO</v>
          </cell>
        </row>
        <row r="2161">
          <cell r="T2161">
            <v>-400000</v>
          </cell>
          <cell r="AX2161" t="str">
            <v>Correctivo</v>
          </cell>
          <cell r="AY2161" t="str">
            <v>HOSPITAL METROPOLITANO DE SANTIAGO</v>
          </cell>
        </row>
        <row r="2162">
          <cell r="T2162">
            <v>-400000</v>
          </cell>
          <cell r="AX2162" t="str">
            <v>Correctivo</v>
          </cell>
          <cell r="AY2162" t="str">
            <v>HOSPITAL METROPOLITANO DE SANTIAGO</v>
          </cell>
        </row>
        <row r="2163">
          <cell r="T2163">
            <v>-450000</v>
          </cell>
          <cell r="AX2163" t="str">
            <v>Correctivo</v>
          </cell>
          <cell r="AY2163" t="str">
            <v>UC CHRISTUS SERVICIOS AMBULATORIOS SPA</v>
          </cell>
        </row>
        <row r="2164">
          <cell r="T2164">
            <v>-450000</v>
          </cell>
          <cell r="AX2164" t="str">
            <v>Correctivo</v>
          </cell>
          <cell r="AY2164" t="str">
            <v>UC CHRISTUS SERVICIOS AMBULATORIOS SPA</v>
          </cell>
        </row>
        <row r="2165">
          <cell r="T2165">
            <v>-1321000</v>
          </cell>
          <cell r="AX2165" t="str">
            <v>Correctivo</v>
          </cell>
          <cell r="AY2165" t="str">
            <v>SOCIEDAD MEDICA E IMAGENEOLOGICA ANCUD LTDA</v>
          </cell>
        </row>
        <row r="2166">
          <cell r="T2166">
            <v>-232753</v>
          </cell>
          <cell r="AX2166" t="str">
            <v>Correctivo</v>
          </cell>
          <cell r="AY2166" t="str">
            <v>HOSPITAL METROPOLITANO DE SANTIAGO</v>
          </cell>
        </row>
        <row r="2167">
          <cell r="T2167">
            <v>-224376</v>
          </cell>
          <cell r="AX2167" t="str">
            <v>Correctivo</v>
          </cell>
          <cell r="AY2167" t="str">
            <v>HOSPITAL METROPOLITANO DE SANTIAGO</v>
          </cell>
        </row>
        <row r="2168">
          <cell r="T2168">
            <v>-2137176</v>
          </cell>
          <cell r="AX2168" t="str">
            <v>Correctivo</v>
          </cell>
          <cell r="AY2168" t="str">
            <v>HOSPITAL GUILLERMO GRANT BENAVENTE</v>
          </cell>
        </row>
        <row r="2169">
          <cell r="T2169">
            <v>-2367750</v>
          </cell>
          <cell r="AX2169" t="str">
            <v>Correctivo</v>
          </cell>
          <cell r="AY2169">
            <v>0</v>
          </cell>
        </row>
        <row r="2170">
          <cell r="T2170">
            <v>-99012</v>
          </cell>
          <cell r="AX2170" t="str">
            <v>Correctivo</v>
          </cell>
          <cell r="AY2170">
            <v>0</v>
          </cell>
        </row>
        <row r="2171">
          <cell r="T2171">
            <v>-89370</v>
          </cell>
          <cell r="AX2171" t="str">
            <v>Correctivo</v>
          </cell>
          <cell r="AY2171" t="str">
            <v>HOSPITAL GUILLERMO GRANT BENAVENTE</v>
          </cell>
        </row>
        <row r="2172">
          <cell r="T2172">
            <v>-77792</v>
          </cell>
          <cell r="AX2172" t="str">
            <v>Correctivo</v>
          </cell>
          <cell r="AY2172" t="str">
            <v>HOSPITAL DEL SALVADOR</v>
          </cell>
        </row>
        <row r="2173">
          <cell r="T2173">
            <v>-77792</v>
          </cell>
          <cell r="AX2173" t="str">
            <v>Correctivo</v>
          </cell>
          <cell r="AY2173" t="str">
            <v>HOSPITAL DEL SALVADOR</v>
          </cell>
        </row>
        <row r="2174">
          <cell r="T2174">
            <v>-518848</v>
          </cell>
          <cell r="AX2174" t="str">
            <v>Correctivo</v>
          </cell>
          <cell r="AY2174" t="str">
            <v>HOSPITAL EXEQUIEL GONZALEZ CORTES</v>
          </cell>
        </row>
        <row r="2175">
          <cell r="T2175">
            <v>-294100</v>
          </cell>
          <cell r="AX2175" t="str">
            <v>Correctivo</v>
          </cell>
          <cell r="AY2175">
            <v>0</v>
          </cell>
        </row>
        <row r="2176">
          <cell r="T2176">
            <v>-569500</v>
          </cell>
          <cell r="AX2176" t="str">
            <v>Correctivo</v>
          </cell>
          <cell r="AY2176">
            <v>0</v>
          </cell>
        </row>
        <row r="2177">
          <cell r="T2177">
            <v>-775778</v>
          </cell>
          <cell r="AX2177" t="str">
            <v>Correctivo</v>
          </cell>
          <cell r="AY2177" t="str">
            <v>HOSPITAL EXEQUIEL GONZALEZ CORTES</v>
          </cell>
        </row>
        <row r="2178">
          <cell r="T2178">
            <v>-1059230</v>
          </cell>
          <cell r="AX2178" t="str">
            <v>Correctivo</v>
          </cell>
          <cell r="AY2178" t="str">
            <v>HOSPITAL PENCO -LIRQUEN</v>
          </cell>
        </row>
        <row r="2179">
          <cell r="T2179">
            <v>-403246</v>
          </cell>
          <cell r="AX2179" t="str">
            <v>Correctivo</v>
          </cell>
          <cell r="AY2179" t="str">
            <v>HOSPITAL DEL SALVADOR</v>
          </cell>
        </row>
        <row r="2180">
          <cell r="T2180">
            <v>-861000</v>
          </cell>
          <cell r="AX2180" t="str">
            <v>Correctivo</v>
          </cell>
          <cell r="AY2180" t="str">
            <v>HOSPITAL DEL SALVADOR</v>
          </cell>
        </row>
        <row r="2181">
          <cell r="T2181">
            <v>-380625</v>
          </cell>
          <cell r="AX2181" t="str">
            <v>Correctivo</v>
          </cell>
          <cell r="AY2181" t="str">
            <v>HOSPITAL DEL SALVADOR</v>
          </cell>
        </row>
        <row r="2182">
          <cell r="T2182">
            <v>-380625</v>
          </cell>
          <cell r="AX2182" t="str">
            <v>Correctivo</v>
          </cell>
          <cell r="AY2182" t="str">
            <v>HOSPITAL DEL SALVADOR</v>
          </cell>
        </row>
        <row r="2183">
          <cell r="T2183">
            <v>-735000</v>
          </cell>
          <cell r="AX2183" t="str">
            <v>Correctivo</v>
          </cell>
          <cell r="AY2183" t="str">
            <v>HOSPITAL DEL SALVADOR</v>
          </cell>
        </row>
        <row r="2184">
          <cell r="T2184">
            <v>-239700</v>
          </cell>
          <cell r="AX2184" t="str">
            <v>Correctivo</v>
          </cell>
          <cell r="AY2184">
            <v>0</v>
          </cell>
        </row>
        <row r="2185">
          <cell r="T2185">
            <v>-1039810</v>
          </cell>
          <cell r="AX2185" t="str">
            <v>Correctivo</v>
          </cell>
          <cell r="AY2185" t="str">
            <v>HOSPITAL EXEQUIEL GONZALEZ CORTES</v>
          </cell>
        </row>
        <row r="2186">
          <cell r="T2186">
            <v>-651022</v>
          </cell>
          <cell r="AX2186" t="str">
            <v>Correctivo</v>
          </cell>
          <cell r="AY2186" t="str">
            <v>CENTRO DE OFTALMOLOGIA DR.DAVID BITRAN S.A.</v>
          </cell>
        </row>
        <row r="2187">
          <cell r="T2187">
            <v>-200585</v>
          </cell>
          <cell r="AX2187" t="str">
            <v>Correctivo</v>
          </cell>
          <cell r="AY2187" t="str">
            <v>CENTRO DE OFTALMOLOGIA DR.DAVID BITRAN S.A.</v>
          </cell>
        </row>
        <row r="2188">
          <cell r="T2188">
            <v>-462398</v>
          </cell>
          <cell r="AX2188" t="str">
            <v>Correctivo</v>
          </cell>
          <cell r="AY2188" t="str">
            <v>HOSPITAL EXEQUIEL GONZALEZ CORTES</v>
          </cell>
        </row>
        <row r="2189">
          <cell r="T2189">
            <v>-382810</v>
          </cell>
          <cell r="AX2189" t="str">
            <v>Correctivo</v>
          </cell>
          <cell r="AY2189" t="str">
            <v>HOSPITAL EXEQUIEL GONZALEZ CORTES</v>
          </cell>
        </row>
        <row r="2190">
          <cell r="T2190">
            <v>-342861</v>
          </cell>
          <cell r="AX2190" t="str">
            <v>Correctivo</v>
          </cell>
          <cell r="AY2190" t="str">
            <v>HOSPITAL EXEQUIEL GONZALEZ CORTES</v>
          </cell>
        </row>
        <row r="2191">
          <cell r="T2191">
            <v>-235313</v>
          </cell>
          <cell r="AX2191" t="str">
            <v>Correctivo</v>
          </cell>
          <cell r="AY2191" t="str">
            <v>CLÍNICA INTERMEDICAL LTDA.</v>
          </cell>
        </row>
        <row r="2192">
          <cell r="T2192">
            <v>-4620000</v>
          </cell>
          <cell r="AX2192" t="str">
            <v>Correctivo</v>
          </cell>
          <cell r="AY2192" t="str">
            <v>SOCIEDAD MEDICA E IMAGENEOLOGICA ANCUD LTDA</v>
          </cell>
        </row>
        <row r="2193">
          <cell r="T2193">
            <v>-755600</v>
          </cell>
          <cell r="AX2193" t="str">
            <v>Correctivo</v>
          </cell>
          <cell r="AY2193" t="str">
            <v>HOSPITAL METROPOLITANO DE SANTIAGO</v>
          </cell>
        </row>
        <row r="2194">
          <cell r="T2194">
            <v>-1188026.3600000001</v>
          </cell>
          <cell r="AX2194" t="str">
            <v>Correctivo</v>
          </cell>
          <cell r="AY2194" t="str">
            <v>CLÍNICA INTERMEDICAL LTDA.</v>
          </cell>
        </row>
        <row r="2195">
          <cell r="T2195">
            <v>-1241333</v>
          </cell>
          <cell r="AX2195" t="str">
            <v>Correctivo</v>
          </cell>
          <cell r="AY2195">
            <v>0</v>
          </cell>
        </row>
        <row r="2196">
          <cell r="T2196">
            <v>-83768</v>
          </cell>
          <cell r="AX2196" t="str">
            <v>Correctivo</v>
          </cell>
          <cell r="AY2196" t="str">
            <v>HOSPITAL EXEQUIEL GONZALEZ CORTES</v>
          </cell>
        </row>
        <row r="2197">
          <cell r="T2197">
            <v>-537151</v>
          </cell>
          <cell r="AX2197" t="str">
            <v>Preventivo</v>
          </cell>
          <cell r="AY2197" t="str">
            <v>HOSPITAL METROPOLITANO DE SANTIAGO</v>
          </cell>
        </row>
        <row r="2198">
          <cell r="T2198">
            <v>-537151</v>
          </cell>
          <cell r="AX2198" t="str">
            <v>Preventivo</v>
          </cell>
          <cell r="AY2198" t="str">
            <v>HOSPITAL METROPOLITANO DE SANTIAGO</v>
          </cell>
        </row>
        <row r="2199">
          <cell r="T2199">
            <v>-14536863</v>
          </cell>
          <cell r="AX2199" t="str">
            <v>Preventivo</v>
          </cell>
          <cell r="AY2199" t="str">
            <v>HOSPITAL COMPLEJO ASISTENCIAL PADRE LAS CASAS</v>
          </cell>
        </row>
        <row r="2200">
          <cell r="T2200">
            <v>-78514</v>
          </cell>
          <cell r="AX2200" t="str">
            <v>Preventivo</v>
          </cell>
          <cell r="AY2200" t="str">
            <v>HOSPITAL SAN JOSÉ</v>
          </cell>
        </row>
        <row r="2201">
          <cell r="T2201">
            <v>-190000</v>
          </cell>
          <cell r="AX2201" t="str">
            <v>Correctivo</v>
          </cell>
          <cell r="AY2201" t="str">
            <v>HOSPITAL VICTOR RIOS RUIZ</v>
          </cell>
        </row>
        <row r="2202">
          <cell r="T2202">
            <v>-352500</v>
          </cell>
          <cell r="AX2202" t="str">
            <v>Correctivo</v>
          </cell>
          <cell r="AY2202" t="str">
            <v>HOSPITAL VICTOR RIOS RUIZ</v>
          </cell>
        </row>
        <row r="2203">
          <cell r="T2203">
            <v>-139692</v>
          </cell>
          <cell r="AX2203" t="str">
            <v>Correctivo</v>
          </cell>
          <cell r="AY2203" t="str">
            <v>SERV DE SALUD BÍO BÍO - HOSPITAL DE HUEPIL</v>
          </cell>
        </row>
        <row r="2204">
          <cell r="T2204">
            <v>-139692</v>
          </cell>
          <cell r="AX2204" t="str">
            <v>Correctivo</v>
          </cell>
          <cell r="AY2204" t="str">
            <v>SERV DE SALUD BÍO BÍO - HOSPITAL DE HUEPIL</v>
          </cell>
        </row>
        <row r="2205">
          <cell r="T2205">
            <v>-159438</v>
          </cell>
          <cell r="AX2205" t="str">
            <v>Correctivo</v>
          </cell>
          <cell r="AY2205" t="str">
            <v>SERV DE SALUD BÍO BÍO - HOSPITAL DE HUEPIL</v>
          </cell>
        </row>
        <row r="2206">
          <cell r="T2206">
            <v>-145111</v>
          </cell>
          <cell r="AX2206" t="str">
            <v>Correctivo</v>
          </cell>
          <cell r="AY2206" t="str">
            <v>SERV DE SALUD BÍO BÍO - HOSPITAL DE HUEPIL</v>
          </cell>
        </row>
        <row r="2207">
          <cell r="T2207">
            <v>-89837</v>
          </cell>
          <cell r="AX2207" t="str">
            <v>Correctivo</v>
          </cell>
          <cell r="AY2207" t="str">
            <v>SERV DE SALUD BÍO BÍO - HOSPITAL DE HUEPIL</v>
          </cell>
        </row>
        <row r="2208">
          <cell r="T2208">
            <v>-152219</v>
          </cell>
          <cell r="AX2208" t="str">
            <v>Correctivo</v>
          </cell>
          <cell r="AY2208" t="str">
            <v>SERV DE SALUD BÍO BÍO - HOSPITAL DE HUEPIL</v>
          </cell>
        </row>
        <row r="2209">
          <cell r="T2209">
            <v>-152219</v>
          </cell>
          <cell r="AX2209" t="str">
            <v>Correctivo</v>
          </cell>
          <cell r="AY2209" t="str">
            <v>SERV DE SALUD BÍO BÍO - HOSPITAL DE HUEPIL</v>
          </cell>
        </row>
        <row r="2210">
          <cell r="T2210">
            <v>-152219</v>
          </cell>
          <cell r="AX2210" t="str">
            <v>Correctivo</v>
          </cell>
          <cell r="AY2210" t="str">
            <v>SERV DE SALUD BÍO BÍO - HOSPITAL DE HUEPIL</v>
          </cell>
        </row>
        <row r="2211">
          <cell r="T2211">
            <v>-152219</v>
          </cell>
          <cell r="AX2211" t="str">
            <v>Correctivo</v>
          </cell>
          <cell r="AY2211" t="str">
            <v>SERV DE SALUD BÍO BÍO - HOSPITAL DE HUEPIL</v>
          </cell>
        </row>
        <row r="2212">
          <cell r="T2212">
            <v>-387889</v>
          </cell>
          <cell r="AX2212" t="str">
            <v>Correctivo</v>
          </cell>
          <cell r="AY2212" t="str">
            <v>HOSPITAL SAN JOSÉ</v>
          </cell>
        </row>
        <row r="2213">
          <cell r="T2213">
            <v>-775778</v>
          </cell>
          <cell r="AX2213" t="str">
            <v>Correctivo</v>
          </cell>
          <cell r="AY2213">
            <v>0</v>
          </cell>
        </row>
        <row r="2214">
          <cell r="T2214">
            <v>-140000</v>
          </cell>
          <cell r="AX2214" t="str">
            <v>Correctivo</v>
          </cell>
          <cell r="AY2214" t="str">
            <v>HOSPITAL SAN JOSÉ</v>
          </cell>
        </row>
        <row r="2215">
          <cell r="T2215">
            <v>-157395</v>
          </cell>
          <cell r="AX2215" t="str">
            <v>Correctivo</v>
          </cell>
          <cell r="AY2215" t="str">
            <v>HOSPITAL DEL SALVADOR</v>
          </cell>
        </row>
        <row r="2216">
          <cell r="T2216">
            <v>-630000</v>
          </cell>
          <cell r="AX2216" t="str">
            <v>Correctivo</v>
          </cell>
          <cell r="AY2216" t="str">
            <v>INSUMOS Y SERVICIOS MEDICOS S.A.</v>
          </cell>
        </row>
        <row r="2217">
          <cell r="T2217">
            <v>-1307250</v>
          </cell>
          <cell r="AX2217" t="str">
            <v>Correctivo</v>
          </cell>
          <cell r="AY2217" t="str">
            <v>HOSPITAL SAN JOSÉ</v>
          </cell>
        </row>
        <row r="2218">
          <cell r="T2218">
            <v>-1223839</v>
          </cell>
          <cell r="AX2218" t="str">
            <v>Correctivo</v>
          </cell>
          <cell r="AY2218">
            <v>0</v>
          </cell>
        </row>
        <row r="2219">
          <cell r="T2219">
            <v>-1100000</v>
          </cell>
          <cell r="AX2219" t="str">
            <v>Correctivo</v>
          </cell>
          <cell r="AY2219" t="str">
            <v>HOSPITAL DE SAN CARLOS</v>
          </cell>
        </row>
        <row r="2220">
          <cell r="T2220">
            <v>-3676491</v>
          </cell>
          <cell r="AX2220" t="str">
            <v>Preventivo</v>
          </cell>
          <cell r="AY2220">
            <v>0</v>
          </cell>
        </row>
        <row r="2221">
          <cell r="T2221">
            <v>-1363594</v>
          </cell>
          <cell r="AX2221" t="str">
            <v>Preventivo</v>
          </cell>
          <cell r="AY2221">
            <v>0</v>
          </cell>
        </row>
        <row r="2222">
          <cell r="T2222">
            <v>-676114</v>
          </cell>
          <cell r="AX2222" t="str">
            <v>Preventivo</v>
          </cell>
          <cell r="AY2222">
            <v>0</v>
          </cell>
        </row>
        <row r="2223">
          <cell r="T2223">
            <v>-891686</v>
          </cell>
          <cell r="AX2223" t="str">
            <v>Preventivo</v>
          </cell>
          <cell r="AY2223">
            <v>0</v>
          </cell>
        </row>
        <row r="2224">
          <cell r="T2224">
            <v>-36000</v>
          </cell>
          <cell r="AX2224" t="str">
            <v>Preventivo</v>
          </cell>
          <cell r="AY2224" t="str">
            <v>HOSPITAL DE SAN CARLOS</v>
          </cell>
        </row>
        <row r="2225">
          <cell r="T2225">
            <v>-3769262</v>
          </cell>
          <cell r="AX2225" t="str">
            <v>Preventivo</v>
          </cell>
          <cell r="AY2225" t="str">
            <v>HOSPITAL CLINICO DE LA FUERZA AEREA FACH GRAL DR RAUL YAZIGI JAUREGUI</v>
          </cell>
        </row>
        <row r="2226">
          <cell r="T2226">
            <v>-1008403</v>
          </cell>
          <cell r="AX2226" t="str">
            <v>Preventivo</v>
          </cell>
          <cell r="AY2226" t="str">
            <v>HOSPITAL NACIMIENTO</v>
          </cell>
        </row>
        <row r="2227">
          <cell r="T2227">
            <v>-672269</v>
          </cell>
          <cell r="AX2227" t="str">
            <v>Preventivo</v>
          </cell>
          <cell r="AY2227" t="str">
            <v>HOSPITAL NACIMIENTO</v>
          </cell>
        </row>
        <row r="2228">
          <cell r="T2228">
            <v>-7412558</v>
          </cell>
          <cell r="AX2228" t="str">
            <v>Preventivo</v>
          </cell>
          <cell r="AY2228" t="str">
            <v>HOSPITAL CLINICO DE LA FUERZA AEREA FACH GRAL DR RAUL YAZIGI JAUREGUI</v>
          </cell>
        </row>
        <row r="2229">
          <cell r="T2229">
            <v>-3706995</v>
          </cell>
          <cell r="AX2229" t="str">
            <v>Preventivo</v>
          </cell>
          <cell r="AY2229" t="str">
            <v>HOSPITAL CLINICO DE LA FUERZA AEREA FACH GRAL DR RAUL YAZIGI JAUREGUI</v>
          </cell>
        </row>
        <row r="2230">
          <cell r="T2230">
            <v>-3596714</v>
          </cell>
          <cell r="AX2230" t="str">
            <v>Preventivo</v>
          </cell>
          <cell r="AY2230" t="str">
            <v>HOSPITAL CLINICO DE LA FUERZA AEREA FACH GRAL DR RAUL YAZIGI JAUREGUI</v>
          </cell>
        </row>
        <row r="2231">
          <cell r="T2231">
            <v>-228832</v>
          </cell>
          <cell r="AX2231" t="str">
            <v>Preventivo</v>
          </cell>
          <cell r="AY2231" t="str">
            <v>INSTITUTO NACIONAL DEL CANCER</v>
          </cell>
        </row>
        <row r="2232">
          <cell r="T2232">
            <v>-243944</v>
          </cell>
          <cell r="AX2232" t="str">
            <v>Preventivo</v>
          </cell>
          <cell r="AY2232" t="str">
            <v>INSUMOS Y SERVICIOS MEDICOS S.A.</v>
          </cell>
        </row>
        <row r="2233">
          <cell r="T2233">
            <v>-577889</v>
          </cell>
          <cell r="AX2233" t="str">
            <v>Preventivo</v>
          </cell>
          <cell r="AY2233" t="str">
            <v>HOSPITAL CARLOS VAN BUREN</v>
          </cell>
        </row>
        <row r="2234">
          <cell r="T2234">
            <v>-212552</v>
          </cell>
          <cell r="AX2234" t="str">
            <v>Preventivo</v>
          </cell>
          <cell r="AY2234" t="str">
            <v>HOSPITAL CARLOS VAN BUREN</v>
          </cell>
        </row>
        <row r="2235">
          <cell r="T2235">
            <v>-17895</v>
          </cell>
          <cell r="AX2235" t="str">
            <v>Correctivo</v>
          </cell>
          <cell r="AY2235">
            <v>0</v>
          </cell>
        </row>
        <row r="2236">
          <cell r="T2236">
            <v>-4100</v>
          </cell>
          <cell r="AX2236" t="str">
            <v>Correctivo</v>
          </cell>
          <cell r="AY2236">
            <v>0</v>
          </cell>
        </row>
        <row r="2237">
          <cell r="T2237">
            <v>-316000</v>
          </cell>
          <cell r="AX2237" t="str">
            <v>Correctivo</v>
          </cell>
          <cell r="AY2237">
            <v>0</v>
          </cell>
        </row>
        <row r="2238">
          <cell r="T2238">
            <v>-316000</v>
          </cell>
          <cell r="AX2238" t="str">
            <v>Correctivo</v>
          </cell>
          <cell r="AY2238">
            <v>0</v>
          </cell>
        </row>
        <row r="2239">
          <cell r="T2239">
            <v>-316000</v>
          </cell>
          <cell r="AX2239" t="str">
            <v>Correctivo</v>
          </cell>
          <cell r="AY2239">
            <v>0</v>
          </cell>
        </row>
        <row r="2240">
          <cell r="T2240">
            <v>-41526</v>
          </cell>
          <cell r="AX2240" t="str">
            <v>Correctivo</v>
          </cell>
          <cell r="AY2240" t="str">
            <v>HOSPITAL CARLOS VAN BUREN</v>
          </cell>
        </row>
        <row r="2241">
          <cell r="T2241">
            <v>-603016</v>
          </cell>
          <cell r="AX2241" t="str">
            <v>Correctivo</v>
          </cell>
          <cell r="AY2241" t="str">
            <v>HOSPITAL CARLOS VAN BUREN</v>
          </cell>
        </row>
        <row r="2242">
          <cell r="T2242">
            <v>-132696</v>
          </cell>
          <cell r="AX2242" t="str">
            <v>Correctivo</v>
          </cell>
          <cell r="AY2242" t="str">
            <v>HOSPITAL CARLOS VAN BUREN</v>
          </cell>
        </row>
        <row r="2243">
          <cell r="T2243">
            <v>-538944</v>
          </cell>
          <cell r="AX2243" t="str">
            <v>Correctivo</v>
          </cell>
          <cell r="AY2243" t="str">
            <v>HOSPITAL DE YUMBEL</v>
          </cell>
        </row>
        <row r="2244">
          <cell r="T2244">
            <v>-351750</v>
          </cell>
          <cell r="AX2244" t="str">
            <v>Correctivo</v>
          </cell>
          <cell r="AY2244" t="str">
            <v>HOSPITAL CARLOS VAN BUREN</v>
          </cell>
        </row>
        <row r="2245">
          <cell r="T2245">
            <v>-66360</v>
          </cell>
          <cell r="AX2245" t="str">
            <v>Correctivo</v>
          </cell>
          <cell r="AY2245" t="str">
            <v>HOSPITAL CARLOS VAN BUREN</v>
          </cell>
        </row>
        <row r="2246">
          <cell r="T2246">
            <v>-22364</v>
          </cell>
          <cell r="AX2246" t="str">
            <v>Correctivo</v>
          </cell>
          <cell r="AY2246" t="str">
            <v>HOSPITAL CARLOS VAN BUREN</v>
          </cell>
        </row>
        <row r="2247">
          <cell r="T2247">
            <v>-59366</v>
          </cell>
          <cell r="AX2247" t="str">
            <v>Correctivo</v>
          </cell>
          <cell r="AY2247">
            <v>0</v>
          </cell>
        </row>
        <row r="2248">
          <cell r="T2248">
            <v>-152219</v>
          </cell>
          <cell r="AX2248" t="str">
            <v>Correctivo</v>
          </cell>
          <cell r="AY2248">
            <v>0</v>
          </cell>
        </row>
        <row r="2249">
          <cell r="T2249">
            <v>-152219</v>
          </cell>
          <cell r="AX2249" t="str">
            <v>Correctivo</v>
          </cell>
          <cell r="AY2249" t="str">
            <v>UC CHRISTUS SERVICIOS AMBULATORIOS SPA</v>
          </cell>
        </row>
        <row r="2250">
          <cell r="T2250">
            <v>-73188</v>
          </cell>
          <cell r="AX2250" t="str">
            <v>Correctivo</v>
          </cell>
          <cell r="AY2250" t="str">
            <v>HOSPITAL CLINICO HERMINDA MARTIN CHILLAN</v>
          </cell>
        </row>
        <row r="2251">
          <cell r="T2251">
            <v>-47623</v>
          </cell>
          <cell r="AX2251" t="str">
            <v>Correctivo</v>
          </cell>
          <cell r="AY2251" t="str">
            <v>HOSPITAL REGIONAL DE ARICA DR. JUAN NOÉ CREVANI</v>
          </cell>
        </row>
        <row r="2252">
          <cell r="T2252">
            <v>-70770</v>
          </cell>
          <cell r="AX2252" t="str">
            <v>Correctivo</v>
          </cell>
          <cell r="AY2252" t="str">
            <v>HOSPITAL REGIONAL DE ARICA DR. JUAN NOÉ CREVANI</v>
          </cell>
        </row>
        <row r="2253">
          <cell r="T2253">
            <v>-2124852</v>
          </cell>
          <cell r="AX2253" t="str">
            <v>Correctivo</v>
          </cell>
          <cell r="AY2253" t="str">
            <v>HOSPITAL REGIONAL DE ARICA DR. JUAN NOÉ CREVANI</v>
          </cell>
        </row>
        <row r="2254">
          <cell r="T2254">
            <v>-1281030</v>
          </cell>
          <cell r="AX2254" t="str">
            <v>Correctivo</v>
          </cell>
          <cell r="AY2254" t="str">
            <v>HOSPITAL REGIONAL DE ARICA DR. JUAN NOÉ CREVANI</v>
          </cell>
        </row>
        <row r="2255">
          <cell r="T2255">
            <v>-150000</v>
          </cell>
          <cell r="AX2255" t="str">
            <v>Correctivo</v>
          </cell>
          <cell r="AY2255" t="str">
            <v>HOSPITAL CARLOS VAN BUREN</v>
          </cell>
        </row>
        <row r="2256">
          <cell r="T2256">
            <v>-1223839</v>
          </cell>
          <cell r="AX2256" t="str">
            <v>Correctivo</v>
          </cell>
          <cell r="AY2256">
            <v>0</v>
          </cell>
        </row>
        <row r="2257">
          <cell r="T2257">
            <v>-6019104</v>
          </cell>
          <cell r="AX2257" t="str">
            <v>Correctivo</v>
          </cell>
          <cell r="AY2257" t="str">
            <v>SERVICIO DE SALUD OSORNO</v>
          </cell>
        </row>
        <row r="2258">
          <cell r="T2258">
            <v>-3753526</v>
          </cell>
          <cell r="AX2258" t="str">
            <v>Correctivo</v>
          </cell>
          <cell r="AY2258" t="str">
            <v>HOSPITAL CLINICO DE LA FUERZA AEREA FACH GRAL DR RAUL YAZIGI JAUREGUI</v>
          </cell>
        </row>
        <row r="2259">
          <cell r="T2259">
            <v>-490196</v>
          </cell>
          <cell r="AX2259" t="str">
            <v>Correctivo</v>
          </cell>
          <cell r="AY2259" t="str">
            <v>INSTITUTO NACIONAL DEL CANCER</v>
          </cell>
        </row>
        <row r="2260">
          <cell r="T2260">
            <v>-2901465</v>
          </cell>
          <cell r="AX2260" t="str">
            <v>Correctivo</v>
          </cell>
          <cell r="AY2260" t="str">
            <v>HOSPITAL EXEQUIEL GONZALEZ CORTES</v>
          </cell>
        </row>
        <row r="2261">
          <cell r="T2261">
            <v>-3880538</v>
          </cell>
          <cell r="AX2261" t="str">
            <v>Correctivo</v>
          </cell>
          <cell r="AY2261" t="str">
            <v>HOSPITAL EXEQUIEL GONZALEZ CORTES</v>
          </cell>
        </row>
        <row r="2262">
          <cell r="T2262">
            <v>-1638654</v>
          </cell>
          <cell r="AX2262" t="str">
            <v>Correctivo</v>
          </cell>
          <cell r="AY2262">
            <v>0</v>
          </cell>
        </row>
        <row r="2263">
          <cell r="T2263">
            <v>-5459898</v>
          </cell>
          <cell r="AX2263" t="str">
            <v>Correctivo</v>
          </cell>
          <cell r="AY2263">
            <v>0</v>
          </cell>
        </row>
        <row r="2264">
          <cell r="T2264">
            <v>-314404</v>
          </cell>
          <cell r="AX2264" t="str">
            <v>Correctivo</v>
          </cell>
          <cell r="AY2264">
            <v>0</v>
          </cell>
        </row>
        <row r="2265">
          <cell r="T2265">
            <v>-3581699</v>
          </cell>
          <cell r="AX2265" t="str">
            <v>Correctivo</v>
          </cell>
          <cell r="AY2265" t="str">
            <v>HOSPITAL CLINICO DE LA FUERZA AEREA FACH GRAL DR RAUL YAZIGI JAUREGUI</v>
          </cell>
        </row>
        <row r="2266">
          <cell r="T2266">
            <v>-5459898</v>
          </cell>
          <cell r="AX2266" t="str">
            <v>Correctivo</v>
          </cell>
          <cell r="AY2266">
            <v>0</v>
          </cell>
        </row>
        <row r="2267">
          <cell r="T2267">
            <v>-1929204</v>
          </cell>
          <cell r="AX2267" t="str">
            <v>Correctivo</v>
          </cell>
          <cell r="AY2267" t="str">
            <v>SERVICIO DE SALUD OSORNO</v>
          </cell>
        </row>
        <row r="2268">
          <cell r="T2268">
            <v>-4195312</v>
          </cell>
          <cell r="AX2268" t="str">
            <v>Correctivo</v>
          </cell>
          <cell r="AY2268" t="str">
            <v>HOSPITAL DR. GUSTAVO FRICKE</v>
          </cell>
        </row>
        <row r="2269">
          <cell r="T2269">
            <v>-549642</v>
          </cell>
          <cell r="AX2269" t="str">
            <v>Correctivo</v>
          </cell>
          <cell r="AY2269" t="str">
            <v>HOSPITAL METROPOLITANO DE SANTIAGO</v>
          </cell>
        </row>
        <row r="2270">
          <cell r="T2270">
            <v>-5042017</v>
          </cell>
          <cell r="AX2270" t="str">
            <v>Correctivo</v>
          </cell>
          <cell r="AY2270" t="str">
            <v>HOSPITAL NACIMIENTO</v>
          </cell>
        </row>
        <row r="2271">
          <cell r="T2271">
            <v>-1432992</v>
          </cell>
          <cell r="AX2271" t="str">
            <v>Correctivo</v>
          </cell>
          <cell r="AY2271" t="str">
            <v>SERV DE SALUD BÍO BÍO - HOSPITAL DE HUEPIL</v>
          </cell>
        </row>
        <row r="2272">
          <cell r="T2272">
            <v>-1223839</v>
          </cell>
          <cell r="AX2272" t="str">
            <v>Correctivo</v>
          </cell>
          <cell r="AY2272" t="str">
            <v>DIPRECA FONDO HOSPITAL</v>
          </cell>
        </row>
        <row r="2273">
          <cell r="T2273">
            <v>-1741625</v>
          </cell>
          <cell r="AX2273" t="str">
            <v>Correctivo</v>
          </cell>
          <cell r="AY2273" t="str">
            <v>HOSPITAL METROPOLITANO DE SANTIAGO</v>
          </cell>
        </row>
        <row r="2274">
          <cell r="T2274">
            <v>-1929204</v>
          </cell>
          <cell r="AX2274" t="str">
            <v>Correctivo</v>
          </cell>
          <cell r="AY2274" t="str">
            <v>SERVICIO DE SALUD OSORNO</v>
          </cell>
        </row>
        <row r="2275">
          <cell r="T2275">
            <v>-7335225</v>
          </cell>
          <cell r="AX2275" t="str">
            <v>Correctivo</v>
          </cell>
          <cell r="AY2275" t="str">
            <v>HOSPITAL CLINICO DE LA FUERZA AEREA FACH GRAL DR RAUL YAZIGI JAUREGUI</v>
          </cell>
        </row>
        <row r="2276">
          <cell r="T2276">
            <v>-776170</v>
          </cell>
          <cell r="AX2276" t="str">
            <v>Correctivo</v>
          </cell>
          <cell r="AY2276" t="str">
            <v>HOSPITAL MILITAR DE SANTIAGO</v>
          </cell>
        </row>
        <row r="2277">
          <cell r="T2277">
            <v>-5042017</v>
          </cell>
          <cell r="AX2277" t="str">
            <v>Correctivo</v>
          </cell>
          <cell r="AY2277" t="str">
            <v>HOSPITAL NACIMIENTO</v>
          </cell>
        </row>
        <row r="2278">
          <cell r="T2278">
            <v>-700000</v>
          </cell>
          <cell r="AX2278" t="str">
            <v>Correctivo</v>
          </cell>
          <cell r="AY2278" t="str">
            <v>HOSPITAL CARLOS VAN BUREN</v>
          </cell>
        </row>
        <row r="2279">
          <cell r="T2279">
            <v>-3676491</v>
          </cell>
          <cell r="AX2279" t="str">
            <v>Correctivo</v>
          </cell>
          <cell r="AY2279">
            <v>0</v>
          </cell>
        </row>
        <row r="2280">
          <cell r="T2280">
            <v>-676114</v>
          </cell>
          <cell r="AX2280" t="str">
            <v>Correctivo</v>
          </cell>
          <cell r="AY2280">
            <v>0</v>
          </cell>
        </row>
        <row r="2281">
          <cell r="T2281">
            <v>-891686</v>
          </cell>
          <cell r="AX2281" t="str">
            <v>Correctivo</v>
          </cell>
          <cell r="AY2281">
            <v>0</v>
          </cell>
        </row>
        <row r="2282">
          <cell r="T2282">
            <v>-582851</v>
          </cell>
          <cell r="AX2282" t="str">
            <v>Correctivo</v>
          </cell>
          <cell r="AY2282" t="str">
            <v>HOSPITAL DEL PROFESOR</v>
          </cell>
        </row>
        <row r="2283">
          <cell r="T2283">
            <v>-582851</v>
          </cell>
          <cell r="AX2283" t="str">
            <v>Correctivo</v>
          </cell>
          <cell r="AY2283" t="str">
            <v>HOSPITAL DEL PROFESOR</v>
          </cell>
        </row>
        <row r="2284">
          <cell r="T2284">
            <v>-1363594</v>
          </cell>
          <cell r="AX2284" t="str">
            <v>Correctivo</v>
          </cell>
          <cell r="AY2284">
            <v>0</v>
          </cell>
        </row>
        <row r="2285">
          <cell r="T2285">
            <v>-1291333</v>
          </cell>
          <cell r="AX2285" t="str">
            <v>Correctivo</v>
          </cell>
          <cell r="AY2285" t="str">
            <v>HOSPITAL REGIONAL DE ARICA DR. JUAN NOÉ CREVANI</v>
          </cell>
        </row>
        <row r="2286">
          <cell r="T2286">
            <v>-150321</v>
          </cell>
          <cell r="AX2286" t="str">
            <v>Correctivo</v>
          </cell>
          <cell r="AY2286">
            <v>0</v>
          </cell>
        </row>
        <row r="2287">
          <cell r="T2287">
            <v>-44458</v>
          </cell>
          <cell r="AX2287" t="str">
            <v>Correctivo</v>
          </cell>
          <cell r="AY2287" t="str">
            <v>HOSPITAL REGIONAL DE ARICA DR. JUAN NOÉ CREVANI</v>
          </cell>
        </row>
        <row r="2288">
          <cell r="T2288">
            <v>-354701</v>
          </cell>
          <cell r="AX2288" t="str">
            <v>Correctivo</v>
          </cell>
          <cell r="AY2288" t="str">
            <v>CLINICA SANATORIO ALEMAN</v>
          </cell>
        </row>
        <row r="2289">
          <cell r="T2289">
            <v>-1622579</v>
          </cell>
          <cell r="AX2289" t="str">
            <v>Correctivo</v>
          </cell>
          <cell r="AY2289" t="str">
            <v>CLINICA SANATORIO ALEMAN</v>
          </cell>
        </row>
        <row r="2290">
          <cell r="T2290">
            <v>-9790709</v>
          </cell>
          <cell r="AX2290" t="str">
            <v>Correctivo</v>
          </cell>
          <cell r="AY2290">
            <v>0</v>
          </cell>
        </row>
        <row r="2291">
          <cell r="T2291">
            <v>-3706995</v>
          </cell>
          <cell r="AX2291" t="str">
            <v>Correctivo</v>
          </cell>
          <cell r="AY2291" t="str">
            <v>HOSPITAL CLINICO DE LA FUERZA AEREA FACH GRAL DR RAUL YAZIGI JAUREGUI</v>
          </cell>
        </row>
        <row r="2292">
          <cell r="T2292">
            <v>0</v>
          </cell>
          <cell r="AX2292" t="str">
            <v>Preventivo</v>
          </cell>
          <cell r="AY2292" t="str">
            <v>HOSPITAL CLINICO DE LA FUERZA AEREA FACH GRAL DR RAUL YAZIGI JAUREGUI</v>
          </cell>
        </row>
        <row r="2293">
          <cell r="T2293">
            <v>-6019104</v>
          </cell>
          <cell r="AX2293" t="str">
            <v>Preventivo</v>
          </cell>
          <cell r="AY2293" t="str">
            <v>SERVICIO DE SALUD OSORNO</v>
          </cell>
        </row>
        <row r="2294">
          <cell r="T2294">
            <v>-1137600</v>
          </cell>
          <cell r="AX2294" t="str">
            <v>Preventivo</v>
          </cell>
          <cell r="AY2294" t="str">
            <v>HOSPITAL CARLOS VAN BUREN</v>
          </cell>
        </row>
        <row r="2295">
          <cell r="T2295">
            <v>100000</v>
          </cell>
          <cell r="AX2295" t="str">
            <v>Correctivo</v>
          </cell>
          <cell r="AY2295" t="str">
            <v>HOSPITAL SAN PABLO DE COQUIMBO</v>
          </cell>
        </row>
        <row r="2296">
          <cell r="T2296">
            <v>1100000</v>
          </cell>
          <cell r="AX2296" t="str">
            <v>Correctivo</v>
          </cell>
          <cell r="AY2296" t="str">
            <v>HOSPITAL SAN PABLO DE COQUIMBO</v>
          </cell>
        </row>
        <row r="2297">
          <cell r="T2297">
            <v>10000</v>
          </cell>
          <cell r="AX2297" t="str">
            <v>Preventivo</v>
          </cell>
          <cell r="AY2297">
            <v>0</v>
          </cell>
        </row>
        <row r="2298">
          <cell r="T2298">
            <v>5000</v>
          </cell>
          <cell r="AX2298" t="str">
            <v>Preventivo</v>
          </cell>
          <cell r="AY2298" t="str">
            <v>INTEGRAMEDICA S.A (Las Condes)</v>
          </cell>
        </row>
        <row r="2299">
          <cell r="T2299">
            <v>25000</v>
          </cell>
          <cell r="AX2299" t="str">
            <v>Preventivo</v>
          </cell>
          <cell r="AY2299" t="str">
            <v>SOCIEDAD CONCESIONARIA METROPOLITANA DE SALUD S.A.</v>
          </cell>
        </row>
        <row r="2300">
          <cell r="T2300">
            <v>10000</v>
          </cell>
          <cell r="AX2300" t="str">
            <v>Preventivo</v>
          </cell>
          <cell r="AY2300" t="str">
            <v>SOCIEDAD CMA-COSTANERA S.A.</v>
          </cell>
        </row>
        <row r="2301">
          <cell r="T2301">
            <v>-355271942</v>
          </cell>
          <cell r="AX2301" t="str">
            <v>Correctivo</v>
          </cell>
          <cell r="AY2301" t="e">
            <v>#N/A</v>
          </cell>
        </row>
        <row r="2302">
          <cell r="AY2302" t="str">
            <v>HOSPITAL DE TALCA</v>
          </cell>
        </row>
      </sheetData>
      <sheetData sheetId="11"/>
      <sheetData sheetId="12">
        <row r="1">
          <cell r="F1" t="str">
            <v>Nombre BBDD</v>
          </cell>
          <cell r="AB1" t="str">
            <v>Facturación anual</v>
          </cell>
        </row>
        <row r="2">
          <cell r="F2" t="str">
            <v>EJERCITO DE CHILE CENTRAL ODONTOLOGICA D</v>
          </cell>
          <cell r="AB2">
            <v>8095388.3600000003</v>
          </cell>
        </row>
        <row r="3">
          <cell r="F3" t="str">
            <v>JOHNSON &amp; JOHNSON DE CHILE S.A.</v>
          </cell>
          <cell r="AB3">
            <v>46824372.240000002</v>
          </cell>
        </row>
        <row r="4">
          <cell r="F4" t="str">
            <v>HOSPITAL CLINICO SAN BORJA-ARRIARAN</v>
          </cell>
          <cell r="AB4">
            <v>43089900</v>
          </cell>
        </row>
        <row r="5">
          <cell r="F5" t="str">
            <v>HOSPITAL DE ANDACOLLO</v>
          </cell>
          <cell r="AB5">
            <v>7983192</v>
          </cell>
        </row>
        <row r="6">
          <cell r="F6" t="str">
            <v>I MUNICIPALIDAD DE VICUÑA</v>
          </cell>
          <cell r="AB6">
            <v>7865452</v>
          </cell>
        </row>
        <row r="7">
          <cell r="F7" t="str">
            <v>UC CHRISTUS SERVICIOS AMBULATORIOS SPA</v>
          </cell>
          <cell r="AB7">
            <v>9689766.6400000006</v>
          </cell>
        </row>
        <row r="8">
          <cell r="F8" t="str">
            <v>UC CHRISTUS SERVICIOS AMBULATORIOS SPA</v>
          </cell>
          <cell r="AB8">
            <v>12919688.84</v>
          </cell>
        </row>
        <row r="9">
          <cell r="F9" t="str">
            <v>HOSPITAL MILITAR DE SANTIAGO</v>
          </cell>
          <cell r="AB9">
            <v>9390523.8000000007</v>
          </cell>
        </row>
        <row r="10">
          <cell r="F10" t="str">
            <v>HOSPITAL PENCO -LIRQUEN</v>
          </cell>
          <cell r="AB10">
            <v>6285796</v>
          </cell>
        </row>
        <row r="11">
          <cell r="F11" t="str">
            <v>INSUMOS Y SERVICIOS MEDICOS S.A.</v>
          </cell>
          <cell r="AB11">
            <v>224384595.71999997</v>
          </cell>
        </row>
        <row r="12">
          <cell r="F12" t="str">
            <v>SERVICIOS CLINICOS DEL DESARROLLO S.A</v>
          </cell>
          <cell r="AB12">
            <v>5462368.4399999995</v>
          </cell>
        </row>
        <row r="13">
          <cell r="F13" t="str">
            <v>SERVICIO NACIONAL DE SALUD HOSPITAL DE LOTA</v>
          </cell>
          <cell r="AB13">
            <v>12959794</v>
          </cell>
        </row>
        <row r="14">
          <cell r="F14" t="str">
            <v>UNIVERSIDAD FINIS TERRAE</v>
          </cell>
          <cell r="AB14">
            <v>5557366.1399999997</v>
          </cell>
        </row>
        <row r="15">
          <cell r="F15" t="str">
            <v>SERV DE SALUD BÍO BÍO - HOSPITAL DE HUEPIL</v>
          </cell>
          <cell r="AB15">
            <v>2865984</v>
          </cell>
        </row>
        <row r="16">
          <cell r="F16" t="str">
            <v>HOSPITAL NAVAL ALMIRANTE ADRIAZOLA</v>
          </cell>
          <cell r="AB16">
            <v>6385000</v>
          </cell>
        </row>
        <row r="17">
          <cell r="F17" t="str">
            <v>HOSPITAL DR. HERNAN HENRIQUEZ ARAVENA</v>
          </cell>
          <cell r="AB17">
            <v>5048148</v>
          </cell>
        </row>
        <row r="18">
          <cell r="F18" t="str">
            <v>HOSPITAL DR. HERNAN HENRIQUEZ ARAVENA</v>
          </cell>
          <cell r="AB18">
            <v>4917608</v>
          </cell>
        </row>
        <row r="19">
          <cell r="F19" t="str">
            <v>INSTITUTO NACIONAL DEL CANCER</v>
          </cell>
          <cell r="AB19">
            <v>2669508</v>
          </cell>
        </row>
        <row r="20">
          <cell r="F20" t="str">
            <v>INSTITUTO NACIONAL DEL CANCER</v>
          </cell>
          <cell r="AB20">
            <v>5882352</v>
          </cell>
        </row>
        <row r="21">
          <cell r="F21" t="str">
            <v>HOSPITAL NACIMIENTO</v>
          </cell>
          <cell r="AB21">
            <v>5042016</v>
          </cell>
        </row>
        <row r="22">
          <cell r="F22" t="str">
            <v>CLINICA WLK SA</v>
          </cell>
          <cell r="AB22">
            <v>3206172.8</v>
          </cell>
        </row>
        <row r="23">
          <cell r="F23" t="str">
            <v>INSTITUTO OFTALMOLÓGICO PUERTA DEL SOL S.A.</v>
          </cell>
          <cell r="AB23">
            <v>3280788</v>
          </cell>
        </row>
        <row r="24">
          <cell r="F24" t="str">
            <v>SOCIEDAD CONCESIONARIA METROPOLITANA DE SALUD S.A.</v>
          </cell>
          <cell r="AB24">
            <v>255900086.75999999</v>
          </cell>
        </row>
        <row r="25">
          <cell r="F25" t="str">
            <v>CORPORACION DE AYUDA AL NIÑO QUEMADO</v>
          </cell>
          <cell r="AB25">
            <v>3562414.1999999997</v>
          </cell>
        </row>
        <row r="26">
          <cell r="F26" t="str">
            <v>CORP MUNICIPAL DE EDUCACION Y SERVICIOS RAMON FREIRE</v>
          </cell>
          <cell r="AB26">
            <v>2731975.86</v>
          </cell>
        </row>
        <row r="27">
          <cell r="F27" t="str">
            <v>HOSPITAL  PITRUFQUEN</v>
          </cell>
          <cell r="AB27">
            <v>20719701</v>
          </cell>
        </row>
        <row r="28">
          <cell r="F28" t="str">
            <v>HOSPITAL BARROS LUCO TRUDEAU</v>
          </cell>
          <cell r="AB28">
            <v>14588952</v>
          </cell>
        </row>
        <row r="29">
          <cell r="F29" t="str">
            <v>HOSPITAL SAN LUIS BUIN</v>
          </cell>
          <cell r="AB29">
            <v>5571468</v>
          </cell>
        </row>
        <row r="30">
          <cell r="F30" t="str">
            <v>HOSPITAL SAN LUIS BUIN</v>
          </cell>
          <cell r="AB30">
            <v>7128840</v>
          </cell>
        </row>
        <row r="31">
          <cell r="F31" t="str">
            <v>HOSPITAL REGIONAL DE ARICA DR. JUAN NOÉ CREVANI</v>
          </cell>
          <cell r="AB31">
            <v>13555716</v>
          </cell>
        </row>
        <row r="32">
          <cell r="F32" t="str">
            <v xml:space="preserve">HOSPITAL SAN CAMILO  </v>
          </cell>
          <cell r="AB32">
            <v>28151280</v>
          </cell>
        </row>
        <row r="33">
          <cell r="F33" t="str">
            <v>CORPORACION MUNICIPAL DE CONCHALI</v>
          </cell>
          <cell r="AB33">
            <v>3984200</v>
          </cell>
        </row>
        <row r="34">
          <cell r="F34" t="str">
            <v>HOSPITAL DE ILLAPEL</v>
          </cell>
          <cell r="AB34">
            <v>3429404</v>
          </cell>
        </row>
        <row r="35">
          <cell r="F35" t="str">
            <v>UNIVERSIDAD DE VALPARAISO</v>
          </cell>
          <cell r="AB35">
            <v>12062334.48</v>
          </cell>
        </row>
        <row r="36">
          <cell r="F36" t="str">
            <v>COMPLEJO ASISTENCIAL DR.SOTERO DEL RIO</v>
          </cell>
          <cell r="AB36">
            <v>39022480</v>
          </cell>
        </row>
        <row r="37">
          <cell r="F37" t="str">
            <v>DIPRECA FONDO HOSPITAL</v>
          </cell>
          <cell r="AB37">
            <v>4895356</v>
          </cell>
        </row>
        <row r="38">
          <cell r="F38" t="str">
            <v>HOSPITAL DE PUERTO MONTT</v>
          </cell>
          <cell r="AB38">
            <v>20650020</v>
          </cell>
        </row>
        <row r="39">
          <cell r="F39" t="str">
            <v>SERVICIO DE SALUD OSORNO</v>
          </cell>
          <cell r="AB39">
            <v>6634620</v>
          </cell>
        </row>
        <row r="40">
          <cell r="F40" t="str">
            <v>SERVICIO DE SALUD OSORNO</v>
          </cell>
          <cell r="AB40">
            <v>31793220</v>
          </cell>
        </row>
        <row r="41">
          <cell r="F41" t="str">
            <v>HOSPITAL DEL SALVADOR</v>
          </cell>
          <cell r="AB41">
            <v>23803992</v>
          </cell>
        </row>
        <row r="42">
          <cell r="F42" t="str">
            <v>HOSPITAL DE PUERTO AYSEN</v>
          </cell>
          <cell r="AB42">
            <v>32720636</v>
          </cell>
        </row>
        <row r="43">
          <cell r="F43" t="str">
            <v>CESFAM MIRAFLORES</v>
          </cell>
          <cell r="AB43">
            <v>7970308.0800000001</v>
          </cell>
        </row>
        <row r="44">
          <cell r="F44" t="str">
            <v>CENTRO DE OFTALMOLOGIA DR.DAVID BITRAN S.A.</v>
          </cell>
          <cell r="AB44">
            <v>3613079.64</v>
          </cell>
        </row>
        <row r="45">
          <cell r="F45" t="str">
            <v>HOSPITAL DEL SALVADOR</v>
          </cell>
          <cell r="AB45">
            <v>5558576</v>
          </cell>
        </row>
        <row r="46">
          <cell r="F46" t="str">
            <v>HOSPITAL DE QUELLON</v>
          </cell>
          <cell r="AB46">
            <v>0</v>
          </cell>
        </row>
        <row r="47">
          <cell r="F47" t="str">
            <v>I.MUNICIPALIDAD DE LA UNION</v>
          </cell>
          <cell r="AB47">
            <v>3308250</v>
          </cell>
        </row>
        <row r="48">
          <cell r="F48" t="str">
            <v>HOSPITAL DR. GUSTAVO FRICKE</v>
          </cell>
          <cell r="AB48">
            <v>50135042.519999996</v>
          </cell>
        </row>
        <row r="49">
          <cell r="F49" t="str">
            <v>HOSPITAL CLAUDIO VICUÑA</v>
          </cell>
          <cell r="AB49">
            <v>0</v>
          </cell>
        </row>
        <row r="50">
          <cell r="F50" t="str">
            <v>HOSPITAL DE TALCA</v>
          </cell>
          <cell r="AB50">
            <v>0</v>
          </cell>
        </row>
        <row r="51">
          <cell r="F51" t="str">
            <v>SERVICIO DE SALUD RELONCAVI</v>
          </cell>
          <cell r="AB51">
            <v>0</v>
          </cell>
        </row>
        <row r="52">
          <cell r="F52" t="str">
            <v>HOSPITAL GUILLERMO GRANT BENAVENTE</v>
          </cell>
          <cell r="AB52">
            <v>39582.379999999997</v>
          </cell>
        </row>
        <row r="53">
          <cell r="F53" t="str">
            <v>INTEGRAMEDICA S.A (Las Condes)</v>
          </cell>
          <cell r="AB53">
            <v>2485056</v>
          </cell>
        </row>
        <row r="54">
          <cell r="F54" t="str">
            <v>HOSPITAL EXEQUIEL GONZALEZ CORTES</v>
          </cell>
          <cell r="AB54">
            <v>46566456</v>
          </cell>
        </row>
        <row r="55">
          <cell r="F55" t="str">
            <v>HOSPITAL SAN JOSÉ</v>
          </cell>
          <cell r="AB55">
            <v>14306076</v>
          </cell>
        </row>
        <row r="56">
          <cell r="F56" t="str">
            <v>HOSPITAL SAN JOSÉ</v>
          </cell>
          <cell r="AB56">
            <v>6989760</v>
          </cell>
        </row>
        <row r="57">
          <cell r="F57" t="str">
            <v>HOSPITAL BARROS LUCO TRUDEAU</v>
          </cell>
          <cell r="AB57">
            <v>6388202</v>
          </cell>
        </row>
        <row r="58">
          <cell r="F58" t="str">
            <v>HOSPITAL DR. LUIS TISNE B.</v>
          </cell>
          <cell r="AB58">
            <v>18481804.919999998</v>
          </cell>
        </row>
        <row r="59">
          <cell r="F59" t="str">
            <v>HOSPITAL DE CURICO</v>
          </cell>
          <cell r="AB59">
            <v>1369154.52</v>
          </cell>
        </row>
        <row r="60">
          <cell r="F60" t="str">
            <v>CLINICA BUPA ANTOFAGASTA SA</v>
          </cell>
          <cell r="AB60">
            <v>8378798.1600000001</v>
          </cell>
        </row>
        <row r="61">
          <cell r="F61" t="str">
            <v>HOSPITAL DE CURICO</v>
          </cell>
          <cell r="AB61">
            <v>2729949</v>
          </cell>
        </row>
        <row r="62">
          <cell r="F62" t="str">
            <v>HOSPITAL DE URGENCIA ASISTENCIA PUBLICA DR. ALEJ</v>
          </cell>
          <cell r="AB62">
            <v>5463960</v>
          </cell>
        </row>
        <row r="63">
          <cell r="F63" t="str">
            <v>CLÍNICA INTERMEDICAL LTDA.</v>
          </cell>
          <cell r="AB63">
            <v>3324919.92</v>
          </cell>
        </row>
        <row r="64">
          <cell r="F64" t="str">
            <v>HOSPITAL DE URGENCIA ASISTENCIA PUBLICA DR. ALEJ</v>
          </cell>
          <cell r="AB64">
            <v>3926068</v>
          </cell>
        </row>
        <row r="65">
          <cell r="F65" t="str">
            <v>HOSPITAL DE PURRANQUE</v>
          </cell>
          <cell r="AB65">
            <v>9848000</v>
          </cell>
        </row>
        <row r="66">
          <cell r="F66" t="str">
            <v>HOSPITAL DE QUILACAHUIN</v>
          </cell>
          <cell r="AB66">
            <v>2195246</v>
          </cell>
        </row>
        <row r="67">
          <cell r="F67" t="str">
            <v>HOSPITAL RIO NEGRO</v>
          </cell>
          <cell r="AB67">
            <v>4810372</v>
          </cell>
        </row>
        <row r="68">
          <cell r="F68" t="str">
            <v>HOSPITAL DE MISION SAN JUAN DE LA COSTA</v>
          </cell>
          <cell r="AB68">
            <v>2195246</v>
          </cell>
        </row>
        <row r="69">
          <cell r="F69" t="str">
            <v>HOSPITAL METROPOLITANO DE SANTIAGO</v>
          </cell>
          <cell r="AB69">
            <v>20899496.640000001</v>
          </cell>
        </row>
        <row r="70">
          <cell r="F70" t="str">
            <v>INSTITUTO DE DIAGNOSTICO S.A.</v>
          </cell>
          <cell r="AB70">
            <v>34574417.280000001</v>
          </cell>
        </row>
        <row r="71">
          <cell r="F71" t="str">
            <v>CLINICA WLK SA</v>
          </cell>
          <cell r="AB71">
            <v>28151280</v>
          </cell>
        </row>
      </sheetData>
      <sheetData sheetId="13">
        <row r="2">
          <cell r="B2" t="str">
            <v>PIPELINE COMERCIAL</v>
          </cell>
          <cell r="M2">
            <v>1</v>
          </cell>
        </row>
        <row r="3">
          <cell r="B3">
            <v>2</v>
          </cell>
          <cell r="L3">
            <v>9</v>
          </cell>
          <cell r="M3">
            <v>10</v>
          </cell>
        </row>
        <row r="4">
          <cell r="B4" t="str">
            <v>Año</v>
          </cell>
          <cell r="E4" t="str">
            <v>Nombre Analisis</v>
          </cell>
          <cell r="L4" t="str">
            <v>Probabilidad de venta (%)</v>
          </cell>
          <cell r="M4" t="str">
            <v>Monto Negocio</v>
          </cell>
        </row>
        <row r="5">
          <cell r="B5">
            <v>2026</v>
          </cell>
          <cell r="E5">
            <v>0</v>
          </cell>
          <cell r="L5">
            <v>0</v>
          </cell>
          <cell r="M5">
            <v>136023407</v>
          </cell>
        </row>
        <row r="6">
          <cell r="B6">
            <v>2026</v>
          </cell>
          <cell r="E6" t="str">
            <v>CESFAM MIRAFLORES</v>
          </cell>
          <cell r="L6">
            <v>0.3</v>
          </cell>
          <cell r="M6">
            <v>51000000</v>
          </cell>
        </row>
        <row r="7">
          <cell r="B7">
            <v>2025</v>
          </cell>
          <cell r="E7">
            <v>0</v>
          </cell>
          <cell r="L7">
            <v>0</v>
          </cell>
          <cell r="M7">
            <v>436703000</v>
          </cell>
        </row>
        <row r="8">
          <cell r="B8">
            <v>2026</v>
          </cell>
          <cell r="E8" t="str">
            <v>HOSPITAL CLINICO DE LA FUERZA AEREA FACH GRAL DR RAUL YAZIGI JAUREGUI</v>
          </cell>
          <cell r="L8">
            <v>0.6</v>
          </cell>
          <cell r="M8">
            <v>71340683</v>
          </cell>
        </row>
        <row r="9">
          <cell r="B9">
            <v>2026</v>
          </cell>
          <cell r="E9">
            <v>0</v>
          </cell>
          <cell r="L9">
            <v>0.30000000000000004</v>
          </cell>
          <cell r="M9">
            <v>100000000</v>
          </cell>
        </row>
        <row r="10">
          <cell r="B10">
            <v>2026</v>
          </cell>
          <cell r="E10">
            <v>0</v>
          </cell>
          <cell r="L10">
            <v>0</v>
          </cell>
          <cell r="M10">
            <v>770000000</v>
          </cell>
        </row>
        <row r="11">
          <cell r="B11">
            <v>2026</v>
          </cell>
          <cell r="E11">
            <v>0</v>
          </cell>
          <cell r="L11">
            <v>0</v>
          </cell>
          <cell r="M11">
            <v>408852387</v>
          </cell>
        </row>
        <row r="12">
          <cell r="B12">
            <v>2026</v>
          </cell>
          <cell r="E12">
            <v>0</v>
          </cell>
          <cell r="L12">
            <v>0</v>
          </cell>
          <cell r="M12">
            <v>62528476</v>
          </cell>
        </row>
        <row r="13">
          <cell r="B13">
            <v>2026</v>
          </cell>
          <cell r="E13" t="str">
            <v>INSTITUTO NACIONAL DEL TORAX</v>
          </cell>
          <cell r="L13">
            <v>0</v>
          </cell>
          <cell r="M13">
            <v>20000000</v>
          </cell>
        </row>
        <row r="14">
          <cell r="B14">
            <v>2026</v>
          </cell>
          <cell r="E14" t="str">
            <v>HOSPITAL DEL PROFESOR</v>
          </cell>
          <cell r="L14">
            <v>0</v>
          </cell>
          <cell r="M14">
            <v>18000000</v>
          </cell>
        </row>
        <row r="15">
          <cell r="B15">
            <v>2026</v>
          </cell>
          <cell r="E15" t="str">
            <v>HOSPITAL DEL PROFESOR</v>
          </cell>
          <cell r="L15">
            <v>0</v>
          </cell>
          <cell r="M15">
            <v>4000000</v>
          </cell>
        </row>
        <row r="16">
          <cell r="B16">
            <v>2026</v>
          </cell>
          <cell r="E16" t="str">
            <v>HOSPITAL DE URGENCIA ASISTENCIA PUBLICA DR. ALEJ</v>
          </cell>
          <cell r="L16">
            <v>0</v>
          </cell>
          <cell r="M16">
            <v>2000000</v>
          </cell>
        </row>
        <row r="17">
          <cell r="B17">
            <v>2026</v>
          </cell>
          <cell r="E17" t="str">
            <v>HOSPITAL DEL PROFESOR</v>
          </cell>
          <cell r="L17">
            <v>0</v>
          </cell>
          <cell r="M17">
            <v>89000000</v>
          </cell>
        </row>
        <row r="18">
          <cell r="B18">
            <v>2026</v>
          </cell>
          <cell r="E18">
            <v>0</v>
          </cell>
          <cell r="L18">
            <v>0</v>
          </cell>
          <cell r="M18">
            <v>65000000</v>
          </cell>
        </row>
        <row r="19">
          <cell r="B19">
            <v>2027</v>
          </cell>
          <cell r="E19" t="str">
            <v>SERVICIO SALUD O'HIGGINS</v>
          </cell>
          <cell r="L19">
            <v>0.3</v>
          </cell>
          <cell r="M19">
            <v>900000000</v>
          </cell>
        </row>
        <row r="20">
          <cell r="B20">
            <v>2026</v>
          </cell>
          <cell r="E20">
            <v>0</v>
          </cell>
          <cell r="L20">
            <v>0.5</v>
          </cell>
          <cell r="M20">
            <v>60000000</v>
          </cell>
        </row>
        <row r="21">
          <cell r="B21">
            <v>2026</v>
          </cell>
          <cell r="E21" t="str">
            <v>DIPRECA FONDO HOSPITAL</v>
          </cell>
          <cell r="L21">
            <v>0.5</v>
          </cell>
          <cell r="M21">
            <v>60000000</v>
          </cell>
        </row>
        <row r="22">
          <cell r="B22">
            <v>2026</v>
          </cell>
          <cell r="E22" t="str">
            <v>UC CHRISTUS SERVICIOS AMBULATORIOS SPA</v>
          </cell>
          <cell r="L22">
            <v>0</v>
          </cell>
          <cell r="M22">
            <v>60000000</v>
          </cell>
        </row>
        <row r="23">
          <cell r="B23">
            <v>2026</v>
          </cell>
          <cell r="E23" t="str">
            <v>CLINICA BUPA ANTOFAGASTA SA</v>
          </cell>
          <cell r="L23">
            <v>0</v>
          </cell>
          <cell r="M23">
            <v>112000000</v>
          </cell>
        </row>
        <row r="24">
          <cell r="B24">
            <v>2026</v>
          </cell>
          <cell r="E24" t="str">
            <v>CLINICA ALEMANA DE SANTIAGO S A</v>
          </cell>
          <cell r="L24">
            <v>0.4</v>
          </cell>
          <cell r="M24">
            <v>107000000</v>
          </cell>
        </row>
        <row r="25">
          <cell r="B25">
            <v>2026</v>
          </cell>
          <cell r="E25" t="str">
            <v>CLINICA MEDS LTDA</v>
          </cell>
          <cell r="L25">
            <v>0.4</v>
          </cell>
          <cell r="M25">
            <v>330000000</v>
          </cell>
        </row>
        <row r="26">
          <cell r="B26">
            <v>2026</v>
          </cell>
          <cell r="E26" t="str">
            <v>HOSPITAL DE PUERTO AYSEN</v>
          </cell>
          <cell r="L26">
            <v>0.4</v>
          </cell>
          <cell r="M26">
            <v>110000000</v>
          </cell>
        </row>
        <row r="27">
          <cell r="B27">
            <v>2027</v>
          </cell>
          <cell r="E27" t="str">
            <v>HOSPITAL BARROS LUCO TRUDEAU</v>
          </cell>
          <cell r="L27">
            <v>0</v>
          </cell>
          <cell r="M27">
            <v>800000000</v>
          </cell>
        </row>
        <row r="28">
          <cell r="B28">
            <v>2026</v>
          </cell>
          <cell r="E28" t="str">
            <v>HOSPITAL REGIONAL DE ANTOFAGASTA</v>
          </cell>
          <cell r="L28">
            <v>0.5</v>
          </cell>
          <cell r="M28">
            <v>27000000</v>
          </cell>
        </row>
        <row r="29">
          <cell r="B29">
            <v>2026</v>
          </cell>
          <cell r="E29" t="str">
            <v>HOSPITAL CARLOS CISTERNA DE CALAMA</v>
          </cell>
          <cell r="L29">
            <v>0.4</v>
          </cell>
          <cell r="M29">
            <v>258000000</v>
          </cell>
        </row>
        <row r="30">
          <cell r="B30">
            <v>2026</v>
          </cell>
          <cell r="E30" t="str">
            <v>HOSPITAL SAN JOSÉ</v>
          </cell>
          <cell r="L30">
            <v>0.2</v>
          </cell>
          <cell r="M30">
            <v>200000000</v>
          </cell>
        </row>
        <row r="31">
          <cell r="B31">
            <v>2026</v>
          </cell>
          <cell r="E31" t="str">
            <v>HOSPITAL SAN JOSÉ</v>
          </cell>
          <cell r="L31">
            <v>0.7</v>
          </cell>
          <cell r="M31">
            <v>96000000</v>
          </cell>
        </row>
        <row r="32">
          <cell r="B32">
            <v>2026</v>
          </cell>
          <cell r="E32" t="str">
            <v>INSTITUTO NACIONAL DEL CANCER</v>
          </cell>
          <cell r="L32">
            <v>0.2</v>
          </cell>
          <cell r="M32">
            <v>130000000</v>
          </cell>
        </row>
        <row r="33">
          <cell r="B33">
            <v>2026</v>
          </cell>
          <cell r="E33" t="str">
            <v>INSTITUTO NACIONAL DEL CANCER</v>
          </cell>
          <cell r="L33">
            <v>0.2</v>
          </cell>
          <cell r="M33">
            <v>500000000</v>
          </cell>
        </row>
        <row r="34">
          <cell r="B34">
            <v>2026</v>
          </cell>
          <cell r="E34">
            <v>0</v>
          </cell>
          <cell r="L34">
            <v>0</v>
          </cell>
          <cell r="M34">
            <v>300000000</v>
          </cell>
        </row>
        <row r="35">
          <cell r="B35">
            <v>2026</v>
          </cell>
          <cell r="E35">
            <v>0</v>
          </cell>
          <cell r="L35">
            <v>0.3</v>
          </cell>
          <cell r="M35">
            <v>90000000</v>
          </cell>
        </row>
        <row r="36">
          <cell r="B36">
            <v>2026</v>
          </cell>
          <cell r="E36">
            <v>0</v>
          </cell>
          <cell r="L36">
            <v>0</v>
          </cell>
          <cell r="M36">
            <v>290000000</v>
          </cell>
        </row>
        <row r="37">
          <cell r="B37">
            <v>2025</v>
          </cell>
          <cell r="E37" t="str">
            <v>INSTITUTO DE DIAGNOSTICO S.A.</v>
          </cell>
          <cell r="L37">
            <v>0.99999999999999989</v>
          </cell>
          <cell r="M37">
            <v>88000000</v>
          </cell>
        </row>
        <row r="38">
          <cell r="B38">
            <v>2026</v>
          </cell>
          <cell r="E38" t="str">
            <v>SERVICIO DE SALUD CONCEPCION</v>
          </cell>
          <cell r="L38">
            <v>0.4</v>
          </cell>
          <cell r="M38">
            <v>750000000</v>
          </cell>
        </row>
        <row r="39">
          <cell r="B39">
            <v>2026</v>
          </cell>
          <cell r="E39" t="str">
            <v>SERVICIO DE SALUD OSORNO</v>
          </cell>
          <cell r="L39">
            <v>0.5</v>
          </cell>
          <cell r="M39">
            <v>300000000</v>
          </cell>
        </row>
        <row r="40">
          <cell r="B40">
            <v>2026</v>
          </cell>
          <cell r="E40" t="str">
            <v>SERVICIO DE SALUD RELONCAVI</v>
          </cell>
          <cell r="L40">
            <v>0.5</v>
          </cell>
          <cell r="M40">
            <v>66800000</v>
          </cell>
        </row>
        <row r="41">
          <cell r="B41">
            <v>2026</v>
          </cell>
          <cell r="E41" t="str">
            <v>HOSPITAL GUILLERMO GRANT BENAVENTE</v>
          </cell>
          <cell r="L41">
            <v>0.3</v>
          </cell>
          <cell r="M41">
            <v>584660000</v>
          </cell>
        </row>
        <row r="42">
          <cell r="B42">
            <v>2026</v>
          </cell>
          <cell r="E42" t="str">
            <v>GOBIERNO REGIONAL DE LOS RIOS</v>
          </cell>
          <cell r="L42">
            <v>0.4</v>
          </cell>
          <cell r="M42">
            <v>198000000</v>
          </cell>
        </row>
        <row r="43">
          <cell r="B43">
            <v>2026</v>
          </cell>
          <cell r="E43" t="str">
            <v>UNIVERSIDAD DE CONCEPCION</v>
          </cell>
          <cell r="L43">
            <v>0.6</v>
          </cell>
          <cell r="M43">
            <v>78000000</v>
          </cell>
        </row>
        <row r="44">
          <cell r="B44">
            <v>2026</v>
          </cell>
          <cell r="E44">
            <v>0</v>
          </cell>
          <cell r="L44">
            <v>0.3</v>
          </cell>
          <cell r="M44">
            <v>500000000</v>
          </cell>
        </row>
        <row r="45">
          <cell r="B45">
            <v>2026</v>
          </cell>
          <cell r="E45" t="str">
            <v>SERVICIO DE SALUD OSORNO</v>
          </cell>
          <cell r="L45">
            <v>0.99999999999999989</v>
          </cell>
          <cell r="M45">
            <v>193586000</v>
          </cell>
        </row>
        <row r="46">
          <cell r="B46">
            <v>2026</v>
          </cell>
          <cell r="E46">
            <v>0</v>
          </cell>
          <cell r="L46">
            <v>0.3</v>
          </cell>
          <cell r="M46">
            <v>187000000</v>
          </cell>
        </row>
        <row r="47">
          <cell r="B47">
            <v>2026</v>
          </cell>
          <cell r="E47">
            <v>0</v>
          </cell>
          <cell r="L47">
            <v>0.5</v>
          </cell>
          <cell r="M47">
            <v>140000000</v>
          </cell>
        </row>
        <row r="48">
          <cell r="B48">
            <v>2026</v>
          </cell>
          <cell r="E48" t="str">
            <v>HOSPITAL DE CARAHUE</v>
          </cell>
          <cell r="L48">
            <v>0.4</v>
          </cell>
          <cell r="M48">
            <v>119000000</v>
          </cell>
        </row>
        <row r="49">
          <cell r="B49">
            <v>2026</v>
          </cell>
          <cell r="E49">
            <v>0</v>
          </cell>
          <cell r="L49">
            <v>0.4</v>
          </cell>
          <cell r="M49">
            <v>108000000</v>
          </cell>
        </row>
        <row r="50">
          <cell r="B50">
            <v>2026</v>
          </cell>
          <cell r="E50" t="str">
            <v>SERVICIO DE SALUD RELONCAVI</v>
          </cell>
          <cell r="L50">
            <v>0.3</v>
          </cell>
          <cell r="M50">
            <v>104000000</v>
          </cell>
        </row>
        <row r="51">
          <cell r="B51">
            <v>2026</v>
          </cell>
          <cell r="E51" t="str">
            <v>SERVICIO DE SALUD CONCEPCION</v>
          </cell>
          <cell r="L51">
            <v>0.4</v>
          </cell>
          <cell r="M51">
            <v>100000000</v>
          </cell>
        </row>
        <row r="52">
          <cell r="B52">
            <v>2026</v>
          </cell>
          <cell r="E52">
            <v>0</v>
          </cell>
          <cell r="L52">
            <v>0.3</v>
          </cell>
          <cell r="M52">
            <v>90671000</v>
          </cell>
        </row>
        <row r="53">
          <cell r="B53">
            <v>2026</v>
          </cell>
          <cell r="E53" t="str">
            <v>I.MUNICIPALIDAD DE LA UNION</v>
          </cell>
          <cell r="L53">
            <v>0.4</v>
          </cell>
          <cell r="M53">
            <v>72000000</v>
          </cell>
        </row>
        <row r="54">
          <cell r="B54">
            <v>2026</v>
          </cell>
          <cell r="E54" t="str">
            <v>HOSPITAL PENCO -LIRQUEN</v>
          </cell>
          <cell r="L54">
            <v>0.4</v>
          </cell>
          <cell r="M54">
            <v>71000000</v>
          </cell>
        </row>
        <row r="55">
          <cell r="B55">
            <v>2026</v>
          </cell>
          <cell r="E55" t="str">
            <v>EJERCITO DE CHILE CENTRAL ODONTOLOGICA D</v>
          </cell>
          <cell r="L55">
            <v>0.3</v>
          </cell>
          <cell r="M55">
            <v>62000000</v>
          </cell>
        </row>
        <row r="56">
          <cell r="B56">
            <v>2026</v>
          </cell>
          <cell r="E56">
            <v>0</v>
          </cell>
          <cell r="L56">
            <v>0.5</v>
          </cell>
          <cell r="M56">
            <v>140000000</v>
          </cell>
        </row>
        <row r="57">
          <cell r="B57">
            <v>2026</v>
          </cell>
          <cell r="E57" t="str">
            <v>HOSPITAL RIO NEGRO</v>
          </cell>
          <cell r="L57">
            <v>0.4</v>
          </cell>
          <cell r="M57">
            <v>200000000</v>
          </cell>
        </row>
        <row r="58">
          <cell r="B58">
            <v>2027</v>
          </cell>
          <cell r="E58">
            <v>0</v>
          </cell>
          <cell r="L58">
            <v>1</v>
          </cell>
          <cell r="M58">
            <v>190725673</v>
          </cell>
        </row>
        <row r="59">
          <cell r="B59">
            <v>2026</v>
          </cell>
          <cell r="E59">
            <v>0</v>
          </cell>
          <cell r="L59">
            <v>0.6</v>
          </cell>
          <cell r="M59">
            <v>57000000</v>
          </cell>
        </row>
        <row r="60">
          <cell r="B60">
            <v>2026</v>
          </cell>
          <cell r="E60" t="str">
            <v>SERVICIO DE SALUD RELONCAVI</v>
          </cell>
          <cell r="L60">
            <v>0.5</v>
          </cell>
          <cell r="M60">
            <v>83700000</v>
          </cell>
        </row>
        <row r="61">
          <cell r="B61">
            <v>2026</v>
          </cell>
          <cell r="E61" t="str">
            <v>UNIVERSIDAD AUTONOMA DE CHILE</v>
          </cell>
          <cell r="L61">
            <v>0.5</v>
          </cell>
          <cell r="M61">
            <v>65000000</v>
          </cell>
        </row>
        <row r="62">
          <cell r="B62">
            <v>2026</v>
          </cell>
          <cell r="E62" t="str">
            <v>HOSPITAL DE TOME</v>
          </cell>
          <cell r="L62">
            <v>0.5</v>
          </cell>
          <cell r="M62">
            <v>59000000</v>
          </cell>
        </row>
        <row r="63">
          <cell r="B63">
            <v>2026</v>
          </cell>
          <cell r="E63" t="str">
            <v>HOSPITAL VICTORIA</v>
          </cell>
          <cell r="L63">
            <v>0.5</v>
          </cell>
          <cell r="M63">
            <v>55000000</v>
          </cell>
        </row>
        <row r="64">
          <cell r="B64">
            <v>2026</v>
          </cell>
          <cell r="E64">
            <v>0</v>
          </cell>
          <cell r="L64">
            <v>0</v>
          </cell>
          <cell r="M64">
            <v>290000000</v>
          </cell>
        </row>
        <row r="65">
          <cell r="B65">
            <v>2026</v>
          </cell>
          <cell r="E65" t="str">
            <v>HOSPITAL DE VILLARRICA</v>
          </cell>
          <cell r="L65">
            <v>0.5</v>
          </cell>
          <cell r="M65">
            <v>58000000</v>
          </cell>
        </row>
        <row r="66">
          <cell r="B66">
            <v>2026</v>
          </cell>
          <cell r="E66">
            <v>0</v>
          </cell>
          <cell r="L66">
            <v>0.5</v>
          </cell>
          <cell r="M66">
            <v>45000000</v>
          </cell>
        </row>
        <row r="67">
          <cell r="B67">
            <v>2026</v>
          </cell>
          <cell r="E67">
            <v>0</v>
          </cell>
          <cell r="L67">
            <v>0.5</v>
          </cell>
          <cell r="M67">
            <v>152000000</v>
          </cell>
        </row>
        <row r="68">
          <cell r="B68">
            <v>2026</v>
          </cell>
          <cell r="E68" t="str">
            <v>INSUMOS Y SERVICIOS MEDICOS S.A.</v>
          </cell>
          <cell r="L68">
            <v>0.30000000000000004</v>
          </cell>
          <cell r="M68">
            <v>750000000</v>
          </cell>
        </row>
        <row r="69">
          <cell r="B69">
            <v>2026</v>
          </cell>
          <cell r="E69" t="str">
            <v>HOSPITAL MILITAR DE SANTIAGO</v>
          </cell>
          <cell r="L69">
            <v>0.4</v>
          </cell>
          <cell r="M69">
            <v>300000000</v>
          </cell>
        </row>
        <row r="70">
          <cell r="B70">
            <v>2026</v>
          </cell>
          <cell r="E70">
            <v>0</v>
          </cell>
          <cell r="L70">
            <v>0.6</v>
          </cell>
          <cell r="M70">
            <v>300000000</v>
          </cell>
        </row>
        <row r="71">
          <cell r="B71">
            <v>2026</v>
          </cell>
          <cell r="E71">
            <v>0</v>
          </cell>
          <cell r="L71">
            <v>0</v>
          </cell>
          <cell r="M71">
            <v>135000000</v>
          </cell>
        </row>
        <row r="72">
          <cell r="B72">
            <v>2026</v>
          </cell>
          <cell r="E72" t="str">
            <v>INSTITUTO DE DIAGNOSTICO S.A.</v>
          </cell>
          <cell r="L72">
            <v>0.6</v>
          </cell>
          <cell r="M72">
            <v>120000000</v>
          </cell>
        </row>
        <row r="73">
          <cell r="B73">
            <v>2026</v>
          </cell>
          <cell r="E73">
            <v>0</v>
          </cell>
          <cell r="L73">
            <v>0</v>
          </cell>
          <cell r="M73">
            <v>266000000</v>
          </cell>
        </row>
        <row r="74">
          <cell r="B74">
            <v>2026</v>
          </cell>
          <cell r="E74">
            <v>0</v>
          </cell>
          <cell r="L74">
            <v>0</v>
          </cell>
          <cell r="M74">
            <v>127000000</v>
          </cell>
        </row>
        <row r="75">
          <cell r="B75">
            <v>2026</v>
          </cell>
          <cell r="E75">
            <v>0</v>
          </cell>
          <cell r="L75">
            <v>0.99999999999999989</v>
          </cell>
          <cell r="M75">
            <v>1100000000</v>
          </cell>
        </row>
        <row r="76">
          <cell r="B76">
            <v>2026</v>
          </cell>
          <cell r="E76" t="str">
            <v>INSTITUTO DE DIAGNOSTICO S.A.</v>
          </cell>
          <cell r="L76">
            <v>0.4</v>
          </cell>
          <cell r="M76">
            <v>124000000</v>
          </cell>
        </row>
        <row r="77">
          <cell r="B77">
            <v>2026</v>
          </cell>
          <cell r="E77">
            <v>0</v>
          </cell>
          <cell r="L77">
            <v>0.4</v>
          </cell>
          <cell r="M77">
            <v>63000000</v>
          </cell>
        </row>
        <row r="78">
          <cell r="B78">
            <v>2026</v>
          </cell>
          <cell r="E78" t="str">
            <v>HOSPITAL DEL PROFESOR</v>
          </cell>
          <cell r="L78">
            <v>0.4</v>
          </cell>
          <cell r="M78">
            <v>84000000</v>
          </cell>
        </row>
        <row r="79">
          <cell r="B79">
            <v>2026</v>
          </cell>
          <cell r="E79" t="str">
            <v>HOSPITAL DR. LUIS TISNE B.</v>
          </cell>
          <cell r="L79">
            <v>0.4</v>
          </cell>
          <cell r="M79">
            <v>28000000</v>
          </cell>
        </row>
        <row r="80">
          <cell r="B80">
            <v>2026</v>
          </cell>
          <cell r="E80">
            <v>0</v>
          </cell>
          <cell r="L80">
            <v>0.4</v>
          </cell>
          <cell r="M80">
            <v>60000000</v>
          </cell>
        </row>
        <row r="81">
          <cell r="B81">
            <v>2026</v>
          </cell>
          <cell r="E81">
            <v>0</v>
          </cell>
          <cell r="L81">
            <v>0.4</v>
          </cell>
          <cell r="M81">
            <v>114000000</v>
          </cell>
        </row>
        <row r="82">
          <cell r="B82">
            <v>2026</v>
          </cell>
          <cell r="E82" t="str">
            <v>SERVICIO DE SALUD RELONCAVI</v>
          </cell>
          <cell r="L82">
            <v>0.89999999999999991</v>
          </cell>
          <cell r="M82">
            <v>110000000</v>
          </cell>
        </row>
        <row r="83">
          <cell r="B83">
            <v>2026</v>
          </cell>
          <cell r="E83" t="str">
            <v>SERVICIO DE SALUD RELONCAVI</v>
          </cell>
          <cell r="L83">
            <v>0.89999999999999991</v>
          </cell>
          <cell r="M83">
            <v>140000000</v>
          </cell>
        </row>
        <row r="84">
          <cell r="B84">
            <v>2026</v>
          </cell>
          <cell r="E84">
            <v>0</v>
          </cell>
          <cell r="L84">
            <v>0.5</v>
          </cell>
          <cell r="M84">
            <v>183000000</v>
          </cell>
        </row>
        <row r="85">
          <cell r="B85">
            <v>2026</v>
          </cell>
          <cell r="E85" t="str">
            <v>HOSPITAL COMPLEJO ASISTENCIAL PADRE LAS CASAS</v>
          </cell>
          <cell r="L85">
            <v>0.5</v>
          </cell>
          <cell r="M85">
            <v>145000000</v>
          </cell>
        </row>
        <row r="86">
          <cell r="B86">
            <v>2026</v>
          </cell>
          <cell r="E86" t="str">
            <v>HOSPITAL COMPLEJO ASISTENCIAL PADRE LAS CASAS</v>
          </cell>
          <cell r="L86">
            <v>0.5</v>
          </cell>
          <cell r="M86">
            <v>92000000</v>
          </cell>
        </row>
        <row r="87">
          <cell r="B87">
            <v>2026</v>
          </cell>
          <cell r="E87" t="str">
            <v>CLINICA BIO-BIO S.A.</v>
          </cell>
          <cell r="L87">
            <v>0.5</v>
          </cell>
          <cell r="M87">
            <v>18000000</v>
          </cell>
        </row>
        <row r="88">
          <cell r="B88">
            <v>2026</v>
          </cell>
          <cell r="E88">
            <v>0</v>
          </cell>
          <cell r="L88">
            <v>0.5</v>
          </cell>
          <cell r="M88">
            <v>131000000</v>
          </cell>
        </row>
        <row r="89">
          <cell r="B89">
            <v>2026</v>
          </cell>
          <cell r="E89">
            <v>0</v>
          </cell>
          <cell r="L89">
            <v>0.89999999999999991</v>
          </cell>
          <cell r="M89">
            <v>105000000</v>
          </cell>
        </row>
        <row r="90">
          <cell r="B90">
            <v>2026</v>
          </cell>
          <cell r="E90">
            <v>0</v>
          </cell>
          <cell r="L90">
            <v>0.4</v>
          </cell>
          <cell r="M90">
            <v>1500000000</v>
          </cell>
        </row>
        <row r="91">
          <cell r="E91" t="e">
            <v>#N/A</v>
          </cell>
        </row>
        <row r="92">
          <cell r="E92" t="e">
            <v>#N/A</v>
          </cell>
        </row>
        <row r="93">
          <cell r="E93" t="e">
            <v>#N/A</v>
          </cell>
        </row>
        <row r="94">
          <cell r="E94" t="e">
            <v>#N/A</v>
          </cell>
        </row>
        <row r="95">
          <cell r="E95" t="e">
            <v>#N/A</v>
          </cell>
        </row>
        <row r="96">
          <cell r="E96" t="e">
            <v>#N/A</v>
          </cell>
        </row>
        <row r="97">
          <cell r="E97" t="e">
            <v>#N/A</v>
          </cell>
        </row>
        <row r="98">
          <cell r="E98" t="e">
            <v>#N/A</v>
          </cell>
        </row>
        <row r="99">
          <cell r="E99" t="e">
            <v>#N/A</v>
          </cell>
        </row>
        <row r="100">
          <cell r="E100" t="e">
            <v>#N/A</v>
          </cell>
        </row>
        <row r="101">
          <cell r="E101" t="e">
            <v>#N/A</v>
          </cell>
        </row>
        <row r="102">
          <cell r="E102" t="e">
            <v>#N/A</v>
          </cell>
        </row>
        <row r="103">
          <cell r="E103" t="e">
            <v>#N/A</v>
          </cell>
        </row>
        <row r="104">
          <cell r="E104" t="e">
            <v>#N/A</v>
          </cell>
        </row>
        <row r="105">
          <cell r="E105" t="e">
            <v>#N/A</v>
          </cell>
        </row>
        <row r="106">
          <cell r="E106" t="e">
            <v>#N/A</v>
          </cell>
        </row>
        <row r="107">
          <cell r="B107" t="str">
            <v>x</v>
          </cell>
          <cell r="E107" t="str">
            <v>x</v>
          </cell>
          <cell r="L107" t="str">
            <v>x</v>
          </cell>
          <cell r="M107" t="str">
            <v>x</v>
          </cell>
        </row>
      </sheetData>
      <sheetData sheetId="14">
        <row r="2">
          <cell r="B2" t="str">
            <v>PIPELINE COMERCIAL</v>
          </cell>
          <cell r="K2">
            <v>1</v>
          </cell>
        </row>
        <row r="3">
          <cell r="B3">
            <v>2</v>
          </cell>
          <cell r="J3">
            <v>9</v>
          </cell>
          <cell r="K3">
            <v>10</v>
          </cell>
        </row>
        <row r="4">
          <cell r="B4" t="str">
            <v>Año</v>
          </cell>
          <cell r="E4" t="str">
            <v>Nombre Analisis</v>
          </cell>
          <cell r="J4" t="str">
            <v>Probabilidad de venta (%)</v>
          </cell>
          <cell r="K4" t="str">
            <v>Monto Negocio</v>
          </cell>
        </row>
        <row r="5">
          <cell r="B5">
            <v>2026</v>
          </cell>
          <cell r="E5">
            <v>0</v>
          </cell>
          <cell r="J5">
            <v>0.6</v>
          </cell>
          <cell r="K5">
            <v>980000000</v>
          </cell>
        </row>
        <row r="6">
          <cell r="B6">
            <v>2025</v>
          </cell>
          <cell r="E6" t="str">
            <v>ACHS</v>
          </cell>
          <cell r="J6">
            <v>1</v>
          </cell>
          <cell r="K6">
            <v>100000000</v>
          </cell>
        </row>
        <row r="7">
          <cell r="B7">
            <v>2025</v>
          </cell>
          <cell r="E7" t="str">
            <v>INTEGRAMEDICA S.A (Las Condes)</v>
          </cell>
          <cell r="J7">
            <v>1</v>
          </cell>
          <cell r="K7">
            <v>9910096</v>
          </cell>
        </row>
        <row r="8">
          <cell r="B8">
            <v>2026</v>
          </cell>
          <cell r="E8" t="str">
            <v>HOSPITAL CLINICO DE LA FUERZA AEREA FACH GRAL DR RAUL YAZIGI JAUREGUI</v>
          </cell>
          <cell r="J8">
            <v>0.5</v>
          </cell>
          <cell r="K8">
            <v>330000000</v>
          </cell>
        </row>
        <row r="9">
          <cell r="B9">
            <v>2026</v>
          </cell>
          <cell r="E9">
            <v>0</v>
          </cell>
          <cell r="J9">
            <v>0.6</v>
          </cell>
          <cell r="K9">
            <v>280000000</v>
          </cell>
        </row>
        <row r="10">
          <cell r="B10">
            <v>2025</v>
          </cell>
          <cell r="E10" t="str">
            <v>UC CHRISTUS SERVICIOS AMBULATORIOS SPA</v>
          </cell>
          <cell r="J10">
            <v>1</v>
          </cell>
          <cell r="K10">
            <v>73475711</v>
          </cell>
        </row>
        <row r="11">
          <cell r="B11">
            <v>2026</v>
          </cell>
          <cell r="E11">
            <v>0</v>
          </cell>
          <cell r="J11">
            <v>0.2</v>
          </cell>
          <cell r="K11">
            <v>120000000</v>
          </cell>
        </row>
        <row r="12">
          <cell r="B12">
            <v>2026</v>
          </cell>
          <cell r="E12">
            <v>0</v>
          </cell>
          <cell r="J12">
            <v>0.4</v>
          </cell>
          <cell r="K12">
            <v>100000000</v>
          </cell>
        </row>
        <row r="13">
          <cell r="B13">
            <v>2026</v>
          </cell>
          <cell r="E13">
            <v>0</v>
          </cell>
          <cell r="J13">
            <v>0.5</v>
          </cell>
          <cell r="K13">
            <v>150000000</v>
          </cell>
        </row>
        <row r="14">
          <cell r="B14">
            <v>2025</v>
          </cell>
          <cell r="E14" t="str">
            <v>HOSPITAL DEL SALVADOR</v>
          </cell>
          <cell r="J14">
            <v>1</v>
          </cell>
          <cell r="K14">
            <v>308000000</v>
          </cell>
        </row>
        <row r="15">
          <cell r="B15">
            <v>2025</v>
          </cell>
          <cell r="E15" t="str">
            <v>HOSPITAL DEL SALVADOR</v>
          </cell>
          <cell r="J15">
            <v>1</v>
          </cell>
          <cell r="K15">
            <v>40000000</v>
          </cell>
        </row>
        <row r="16">
          <cell r="B16">
            <v>2025</v>
          </cell>
          <cell r="E16" t="str">
            <v>HOSPITAL REGIONAL DE ARICA DR. JUAN NOÉ CREVANI</v>
          </cell>
          <cell r="J16">
            <v>0</v>
          </cell>
          <cell r="K16">
            <v>189000000</v>
          </cell>
        </row>
        <row r="17">
          <cell r="B17">
            <v>2026</v>
          </cell>
          <cell r="E17">
            <v>0</v>
          </cell>
          <cell r="J17">
            <v>0.5</v>
          </cell>
          <cell r="K17">
            <v>320000000</v>
          </cell>
        </row>
        <row r="18">
          <cell r="B18">
            <v>2026</v>
          </cell>
          <cell r="E18" t="str">
            <v>HOSPITAL DE COPIAPO</v>
          </cell>
          <cell r="J18">
            <v>0.5</v>
          </cell>
          <cell r="K18">
            <v>280000000</v>
          </cell>
        </row>
        <row r="19">
          <cell r="B19">
            <v>2026</v>
          </cell>
          <cell r="E19">
            <v>0</v>
          </cell>
          <cell r="J19">
            <v>0.2</v>
          </cell>
          <cell r="K19">
            <v>275000000</v>
          </cell>
        </row>
        <row r="20">
          <cell r="B20">
            <v>2026</v>
          </cell>
          <cell r="E20" t="str">
            <v>HOSPITAL DE IQUIQUE</v>
          </cell>
          <cell r="J20">
            <v>0.5</v>
          </cell>
          <cell r="K20">
            <v>380000000</v>
          </cell>
        </row>
        <row r="21">
          <cell r="B21">
            <v>2026</v>
          </cell>
          <cell r="E21" t="str">
            <v xml:space="preserve">HOSPITAL SAN CAMILO  </v>
          </cell>
          <cell r="J21">
            <v>0.5</v>
          </cell>
          <cell r="K21">
            <v>280000000</v>
          </cell>
        </row>
        <row r="22">
          <cell r="B22">
            <v>2026</v>
          </cell>
          <cell r="E22">
            <v>0</v>
          </cell>
          <cell r="J22">
            <v>0.2</v>
          </cell>
          <cell r="K22">
            <v>110000000</v>
          </cell>
        </row>
        <row r="23">
          <cell r="B23">
            <v>2026</v>
          </cell>
          <cell r="E23" t="str">
            <v>SERVICIO DE SALUD OSORNO</v>
          </cell>
          <cell r="J23">
            <v>0.4</v>
          </cell>
          <cell r="K23">
            <v>180000000</v>
          </cell>
        </row>
        <row r="24">
          <cell r="B24">
            <v>2026</v>
          </cell>
          <cell r="E24" t="str">
            <v>SERVICIO DE SALUD MAGALLANES</v>
          </cell>
          <cell r="J24">
            <v>0</v>
          </cell>
          <cell r="K24">
            <v>130000000</v>
          </cell>
        </row>
        <row r="25">
          <cell r="B25">
            <v>2026</v>
          </cell>
          <cell r="E25" t="str">
            <v>HOSPITAL DE PUERTO MONTT</v>
          </cell>
          <cell r="J25">
            <v>0.7</v>
          </cell>
          <cell r="K25">
            <v>109000000</v>
          </cell>
        </row>
        <row r="26">
          <cell r="B26">
            <v>2027</v>
          </cell>
          <cell r="E26">
            <v>0</v>
          </cell>
          <cell r="J26">
            <v>0.4</v>
          </cell>
          <cell r="K26">
            <v>350000000</v>
          </cell>
        </row>
        <row r="27">
          <cell r="B27">
            <v>2027</v>
          </cell>
          <cell r="E27">
            <v>0</v>
          </cell>
          <cell r="J27">
            <v>0.4</v>
          </cell>
          <cell r="K27">
            <v>290000000</v>
          </cell>
        </row>
        <row r="28">
          <cell r="B28">
            <v>2025</v>
          </cell>
          <cell r="E28" t="str">
            <v>CLÍNICA ANDES SALUD PUERTO MONTT S.A.</v>
          </cell>
          <cell r="J28">
            <v>0.99999999999999989</v>
          </cell>
          <cell r="K28">
            <v>128863863</v>
          </cell>
        </row>
        <row r="29">
          <cell r="B29">
            <v>2025</v>
          </cell>
          <cell r="E29">
            <v>0</v>
          </cell>
          <cell r="J29">
            <v>1</v>
          </cell>
          <cell r="K29">
            <v>26594166</v>
          </cell>
        </row>
        <row r="30">
          <cell r="B30">
            <v>2025</v>
          </cell>
          <cell r="E30" t="str">
            <v>DIPRECA FONDO HOSPITAL</v>
          </cell>
          <cell r="J30">
            <v>1</v>
          </cell>
          <cell r="K30">
            <v>192149601</v>
          </cell>
        </row>
        <row r="31">
          <cell r="B31">
            <v>2026</v>
          </cell>
          <cell r="E31" t="str">
            <v>CLINICA MEDS LTDA</v>
          </cell>
          <cell r="J31">
            <v>0.99999999999999989</v>
          </cell>
          <cell r="K31">
            <v>330578800</v>
          </cell>
        </row>
        <row r="32">
          <cell r="B32">
            <v>2026</v>
          </cell>
          <cell r="E32">
            <v>0</v>
          </cell>
          <cell r="J32">
            <v>0.5</v>
          </cell>
          <cell r="K32">
            <v>350000000</v>
          </cell>
        </row>
        <row r="33">
          <cell r="B33">
            <v>2025</v>
          </cell>
          <cell r="E33">
            <v>0</v>
          </cell>
          <cell r="J33">
            <v>1</v>
          </cell>
          <cell r="K33">
            <v>129882911</v>
          </cell>
        </row>
        <row r="34">
          <cell r="B34">
            <v>2026</v>
          </cell>
          <cell r="E34" t="str">
            <v>HOSPITAL DR. GUSTAVO FRICKE</v>
          </cell>
          <cell r="J34">
            <v>0.3</v>
          </cell>
          <cell r="K34">
            <v>300000000</v>
          </cell>
        </row>
        <row r="35">
          <cell r="B35">
            <v>2026</v>
          </cell>
          <cell r="E35">
            <v>0</v>
          </cell>
          <cell r="J35">
            <v>0.2</v>
          </cell>
          <cell r="K35">
            <v>150000000</v>
          </cell>
        </row>
        <row r="36">
          <cell r="B36">
            <v>2026</v>
          </cell>
          <cell r="E36" t="str">
            <v>HOSPITAL GUILLERMO GRANT BENAVENTE</v>
          </cell>
          <cell r="J36">
            <v>0.30000000000000004</v>
          </cell>
          <cell r="K36">
            <v>250000000</v>
          </cell>
        </row>
        <row r="37">
          <cell r="B37">
            <v>2026</v>
          </cell>
          <cell r="E37" t="str">
            <v>HOSPITAL GUILLERMO GRANT BENAVENTE</v>
          </cell>
          <cell r="J37">
            <v>0</v>
          </cell>
          <cell r="K37">
            <v>241000000</v>
          </cell>
        </row>
        <row r="38">
          <cell r="B38">
            <v>2025</v>
          </cell>
          <cell r="E38">
            <v>0</v>
          </cell>
          <cell r="J38">
            <v>0</v>
          </cell>
          <cell r="K38">
            <v>150000000</v>
          </cell>
        </row>
        <row r="39">
          <cell r="B39">
            <v>2026</v>
          </cell>
          <cell r="E39" t="str">
            <v>HOSPITAL DR. HERNAN HENRIQUEZ ARAVENA</v>
          </cell>
          <cell r="J39">
            <v>0.5</v>
          </cell>
          <cell r="K39">
            <v>170000000</v>
          </cell>
        </row>
        <row r="40">
          <cell r="B40">
            <v>2027</v>
          </cell>
          <cell r="E40" t="str">
            <v>I.MUNICIPALIDAD DE LA UNION</v>
          </cell>
          <cell r="J40">
            <v>0.5</v>
          </cell>
          <cell r="K40">
            <v>580000000</v>
          </cell>
        </row>
        <row r="41">
          <cell r="B41">
            <v>2025</v>
          </cell>
          <cell r="E41">
            <v>0</v>
          </cell>
          <cell r="J41">
            <v>1</v>
          </cell>
          <cell r="K41">
            <v>168000000</v>
          </cell>
        </row>
        <row r="42">
          <cell r="B42">
            <v>2026</v>
          </cell>
          <cell r="E42" t="str">
            <v>HOSPITAL  PITRUFQUEN</v>
          </cell>
          <cell r="J42">
            <v>0</v>
          </cell>
          <cell r="K42">
            <v>127684040</v>
          </cell>
        </row>
        <row r="43">
          <cell r="B43">
            <v>2026</v>
          </cell>
          <cell r="E43" t="str">
            <v>HOSPITAL  PITRUFQUEN</v>
          </cell>
          <cell r="J43">
            <v>0</v>
          </cell>
          <cell r="K43">
            <v>130000000</v>
          </cell>
        </row>
        <row r="44">
          <cell r="B44">
            <v>2026</v>
          </cell>
          <cell r="E44">
            <v>0</v>
          </cell>
          <cell r="J44">
            <v>0.5</v>
          </cell>
          <cell r="K44">
            <v>88443155</v>
          </cell>
        </row>
        <row r="45">
          <cell r="B45">
            <v>2026</v>
          </cell>
          <cell r="E45">
            <v>0</v>
          </cell>
          <cell r="J45">
            <v>0.5</v>
          </cell>
          <cell r="K45">
            <v>80000000</v>
          </cell>
        </row>
        <row r="46">
          <cell r="B46">
            <v>2026</v>
          </cell>
          <cell r="E46">
            <v>0</v>
          </cell>
          <cell r="J46">
            <v>0.5</v>
          </cell>
          <cell r="K46">
            <v>230000000</v>
          </cell>
        </row>
        <row r="47">
          <cell r="B47">
            <v>2026</v>
          </cell>
          <cell r="E47">
            <v>0</v>
          </cell>
          <cell r="J47">
            <v>0.6</v>
          </cell>
          <cell r="K47">
            <v>15000000</v>
          </cell>
        </row>
        <row r="48">
          <cell r="B48">
            <v>2026</v>
          </cell>
          <cell r="E48" t="str">
            <v>CLINICA ALEMANA DE SANTIAGO S A</v>
          </cell>
          <cell r="J48">
            <v>0.5</v>
          </cell>
          <cell r="K48">
            <v>20000000</v>
          </cell>
        </row>
        <row r="49">
          <cell r="B49">
            <v>2026</v>
          </cell>
          <cell r="E49" t="str">
            <v>CLINICA ALEMANA DE SANTIAGO S A</v>
          </cell>
          <cell r="J49">
            <v>0.5</v>
          </cell>
          <cell r="K49">
            <v>57000000</v>
          </cell>
        </row>
        <row r="50">
          <cell r="B50">
            <v>2026</v>
          </cell>
          <cell r="E50">
            <v>0</v>
          </cell>
          <cell r="J50">
            <v>0.6</v>
          </cell>
          <cell r="K50">
            <v>182000000</v>
          </cell>
        </row>
        <row r="51">
          <cell r="B51">
            <v>2026</v>
          </cell>
          <cell r="E51">
            <v>0</v>
          </cell>
          <cell r="J51">
            <v>0.5</v>
          </cell>
          <cell r="K51">
            <v>300000000</v>
          </cell>
        </row>
        <row r="52">
          <cell r="B52">
            <v>2026</v>
          </cell>
          <cell r="E52">
            <v>0</v>
          </cell>
          <cell r="J52">
            <v>0</v>
          </cell>
          <cell r="K52">
            <v>132365833</v>
          </cell>
        </row>
        <row r="53">
          <cell r="B53">
            <v>2025</v>
          </cell>
          <cell r="E53">
            <v>0</v>
          </cell>
          <cell r="J53">
            <v>0</v>
          </cell>
          <cell r="K53">
            <v>142000000</v>
          </cell>
        </row>
        <row r="54">
          <cell r="B54">
            <v>2026</v>
          </cell>
          <cell r="E54" t="str">
            <v>HOSPITAL VICTOR RIOS RUIZ</v>
          </cell>
          <cell r="J54">
            <v>0.7</v>
          </cell>
          <cell r="K54">
            <v>150000000</v>
          </cell>
        </row>
        <row r="55">
          <cell r="B55">
            <v>2026</v>
          </cell>
          <cell r="E55">
            <v>0</v>
          </cell>
          <cell r="J55">
            <v>0.4</v>
          </cell>
          <cell r="K55">
            <v>99000000</v>
          </cell>
        </row>
        <row r="56">
          <cell r="B56">
            <v>2026</v>
          </cell>
          <cell r="E56">
            <v>0</v>
          </cell>
          <cell r="J56">
            <v>0.7</v>
          </cell>
          <cell r="K56">
            <v>300000000</v>
          </cell>
        </row>
        <row r="57">
          <cell r="B57">
            <v>2025</v>
          </cell>
          <cell r="E57" t="str">
            <v>CLINICA UNIVERSIDAD DE LOS ANDES SAN BERNARDO</v>
          </cell>
          <cell r="J57">
            <v>1</v>
          </cell>
          <cell r="K57">
            <v>19782500</v>
          </cell>
        </row>
        <row r="58">
          <cell r="B58">
            <v>2026</v>
          </cell>
          <cell r="E58" t="str">
            <v>CLINICA ALEMANA DE SANTIAGO S A</v>
          </cell>
          <cell r="J58">
            <v>0.4</v>
          </cell>
          <cell r="K58">
            <v>380000000</v>
          </cell>
        </row>
        <row r="59">
          <cell r="B59">
            <v>2025</v>
          </cell>
          <cell r="E59" t="str">
            <v>SERVICIO DE SALUD RELONCAVI</v>
          </cell>
          <cell r="J59">
            <v>1</v>
          </cell>
          <cell r="K59">
            <v>12100000</v>
          </cell>
        </row>
        <row r="60">
          <cell r="B60">
            <v>2025</v>
          </cell>
          <cell r="E60">
            <v>0</v>
          </cell>
          <cell r="J60">
            <v>1</v>
          </cell>
          <cell r="K60">
            <v>148553111</v>
          </cell>
        </row>
        <row r="61">
          <cell r="B61">
            <v>2027</v>
          </cell>
          <cell r="E61">
            <v>0</v>
          </cell>
          <cell r="J61">
            <v>0.30000000000000004</v>
          </cell>
          <cell r="K61">
            <v>1350000000</v>
          </cell>
        </row>
        <row r="62">
          <cell r="B62">
            <v>2026</v>
          </cell>
          <cell r="E62" t="str">
            <v>HOSPITAL DE SAN CARLOS</v>
          </cell>
          <cell r="J62">
            <v>0.1</v>
          </cell>
          <cell r="K62">
            <v>250000000</v>
          </cell>
        </row>
        <row r="63">
          <cell r="B63">
            <v>2026</v>
          </cell>
          <cell r="E63" t="str">
            <v>HOSPITAL LAS HIGUERAS</v>
          </cell>
          <cell r="J63">
            <v>0.30000000000000004</v>
          </cell>
          <cell r="K63">
            <v>330000000</v>
          </cell>
        </row>
        <row r="64">
          <cell r="B64">
            <v>2028</v>
          </cell>
          <cell r="E64" t="str">
            <v>INSTITUTO NACIONAL DEL CANCER</v>
          </cell>
          <cell r="J64">
            <v>0.2</v>
          </cell>
          <cell r="K64">
            <v>1600000000</v>
          </cell>
        </row>
        <row r="65">
          <cell r="B65">
            <v>2026</v>
          </cell>
          <cell r="E65" t="str">
            <v>HOSPITAL ROBERTO DEL RIO</v>
          </cell>
          <cell r="J65">
            <v>0.30000000000000004</v>
          </cell>
          <cell r="K65">
            <v>222373434</v>
          </cell>
        </row>
        <row r="66">
          <cell r="B66">
            <v>2026</v>
          </cell>
          <cell r="E66" t="str">
            <v>SOCIEDAD CONCESIONARIA METROPOLITANA DE SALUD S.A.</v>
          </cell>
          <cell r="J66">
            <v>0.5</v>
          </cell>
          <cell r="K66">
            <v>180000000</v>
          </cell>
        </row>
        <row r="67">
          <cell r="B67">
            <v>2026</v>
          </cell>
          <cell r="E67" t="str">
            <v>HOSPITAL EL CARMEN DR. LUIS VALENTIN FERRADA</v>
          </cell>
          <cell r="J67">
            <v>0.30000000000000004</v>
          </cell>
          <cell r="K67">
            <v>670000000</v>
          </cell>
        </row>
        <row r="68">
          <cell r="B68">
            <v>2026</v>
          </cell>
          <cell r="E68">
            <v>0</v>
          </cell>
          <cell r="J68">
            <v>0.30000000000000004</v>
          </cell>
          <cell r="K68">
            <v>162681500</v>
          </cell>
        </row>
        <row r="69">
          <cell r="B69">
            <v>2026</v>
          </cell>
          <cell r="E69" t="str">
            <v>HOSPITAL SAN JOSÉ</v>
          </cell>
          <cell r="J69">
            <v>0.30000000000000004</v>
          </cell>
          <cell r="K69">
            <v>120000000</v>
          </cell>
        </row>
        <row r="70">
          <cell r="B70">
            <v>2026</v>
          </cell>
          <cell r="E70">
            <v>0</v>
          </cell>
          <cell r="J70">
            <v>0.30000000000000004</v>
          </cell>
          <cell r="K70">
            <v>150000000</v>
          </cell>
        </row>
        <row r="71">
          <cell r="B71">
            <v>2026</v>
          </cell>
          <cell r="E71">
            <v>0</v>
          </cell>
          <cell r="J71">
            <v>0.30000000000000004</v>
          </cell>
          <cell r="K71">
            <v>160000000</v>
          </cell>
        </row>
        <row r="72">
          <cell r="B72">
            <v>2026</v>
          </cell>
          <cell r="E72" t="str">
            <v>HOSPITAL EDUARDO PEREIRA</v>
          </cell>
          <cell r="J72">
            <v>0.4</v>
          </cell>
          <cell r="K72">
            <v>711000000</v>
          </cell>
        </row>
        <row r="73">
          <cell r="B73">
            <v>2026</v>
          </cell>
          <cell r="E73" t="str">
            <v>HOSPITAL BASE DE VALDIVIA</v>
          </cell>
          <cell r="J73">
            <v>0.30000000000000004</v>
          </cell>
          <cell r="K73">
            <v>300000000</v>
          </cell>
        </row>
        <row r="74">
          <cell r="B74">
            <v>2026</v>
          </cell>
          <cell r="E74" t="str">
            <v>UC CHRISTUS SERVICIOS AMBULATORIOS SPA</v>
          </cell>
          <cell r="J74">
            <v>0.30000000000000004</v>
          </cell>
          <cell r="K74">
            <v>557000000</v>
          </cell>
        </row>
        <row r="75">
          <cell r="B75">
            <v>2026</v>
          </cell>
          <cell r="E75" t="str">
            <v>HOSPITAL SAN PABLO DE COQUIMBO</v>
          </cell>
          <cell r="J75">
            <v>0.6</v>
          </cell>
          <cell r="K75">
            <v>33000000</v>
          </cell>
        </row>
        <row r="76">
          <cell r="B76">
            <v>2026</v>
          </cell>
          <cell r="E76">
            <v>0</v>
          </cell>
          <cell r="J76">
            <v>0.5</v>
          </cell>
          <cell r="K76">
            <v>55000000</v>
          </cell>
        </row>
        <row r="77">
          <cell r="B77">
            <v>2026</v>
          </cell>
          <cell r="E77" t="str">
            <v>CLÍNICA INTERMEDICAL LTDA.</v>
          </cell>
          <cell r="J77">
            <v>0.5</v>
          </cell>
          <cell r="K77">
            <v>65000000</v>
          </cell>
        </row>
        <row r="78">
          <cell r="B78">
            <v>2026</v>
          </cell>
          <cell r="E78">
            <v>0</v>
          </cell>
          <cell r="J78">
            <v>0.7</v>
          </cell>
          <cell r="K78">
            <v>850000000</v>
          </cell>
        </row>
        <row r="79">
          <cell r="B79">
            <v>2026</v>
          </cell>
          <cell r="E79">
            <v>0</v>
          </cell>
          <cell r="J79">
            <v>0.5</v>
          </cell>
          <cell r="K79">
            <v>450000000</v>
          </cell>
        </row>
        <row r="80">
          <cell r="B80">
            <v>2026</v>
          </cell>
          <cell r="E80">
            <v>0</v>
          </cell>
          <cell r="J80">
            <v>0.5</v>
          </cell>
          <cell r="K80">
            <v>550000000</v>
          </cell>
        </row>
        <row r="81">
          <cell r="B81">
            <v>2026</v>
          </cell>
          <cell r="E81" t="str">
            <v>HOSPITAL DE PUERTO MONTT</v>
          </cell>
          <cell r="J81">
            <v>1</v>
          </cell>
          <cell r="K81">
            <v>30000000</v>
          </cell>
        </row>
        <row r="82">
          <cell r="B82">
            <v>2026</v>
          </cell>
          <cell r="E82" t="str">
            <v>SERVICIO DE SALUD OSORNO</v>
          </cell>
          <cell r="J82">
            <v>0.3</v>
          </cell>
          <cell r="K82">
            <v>30000000</v>
          </cell>
        </row>
        <row r="83">
          <cell r="B83">
            <v>2026</v>
          </cell>
          <cell r="E83">
            <v>0</v>
          </cell>
          <cell r="J83">
            <v>0.5</v>
          </cell>
          <cell r="K83">
            <v>1300000000</v>
          </cell>
        </row>
        <row r="84">
          <cell r="B84">
            <v>2026</v>
          </cell>
          <cell r="E84" t="str">
            <v>HOSPITAL LA SERENA</v>
          </cell>
          <cell r="J84">
            <v>0.5</v>
          </cell>
          <cell r="K84">
            <v>1300000000</v>
          </cell>
        </row>
        <row r="85">
          <cell r="B85">
            <v>2026</v>
          </cell>
          <cell r="E85">
            <v>0</v>
          </cell>
          <cell r="J85">
            <v>0.3</v>
          </cell>
          <cell r="K85">
            <v>500000000</v>
          </cell>
        </row>
        <row r="86">
          <cell r="B86">
            <v>2026</v>
          </cell>
          <cell r="E86" t="str">
            <v>HOSPITAL DE IQUIQUE</v>
          </cell>
          <cell r="J86">
            <v>0.3</v>
          </cell>
          <cell r="K86">
            <v>500000000</v>
          </cell>
        </row>
        <row r="87">
          <cell r="B87">
            <v>2026</v>
          </cell>
          <cell r="E87" t="str">
            <v>HOSPITAL CLINICO SAN BORJA-ARRIARAN</v>
          </cell>
          <cell r="J87">
            <v>0.5</v>
          </cell>
          <cell r="K87">
            <v>10000000</v>
          </cell>
        </row>
        <row r="88">
          <cell r="B88">
            <v>2026</v>
          </cell>
          <cell r="E88">
            <v>0</v>
          </cell>
          <cell r="J88">
            <v>0.4</v>
          </cell>
          <cell r="K88">
            <v>300000000</v>
          </cell>
        </row>
        <row r="89">
          <cell r="B89">
            <v>2026</v>
          </cell>
          <cell r="E89">
            <v>0</v>
          </cell>
          <cell r="J89">
            <v>0.3</v>
          </cell>
          <cell r="K89">
            <v>700000000</v>
          </cell>
        </row>
        <row r="90">
          <cell r="B90">
            <v>2026</v>
          </cell>
          <cell r="E90" t="str">
            <v>HOSPITAL ROBERTO DEL RIO</v>
          </cell>
          <cell r="J90">
            <v>0.3</v>
          </cell>
          <cell r="K90">
            <v>280000000</v>
          </cell>
        </row>
        <row r="91">
          <cell r="B91">
            <v>2026</v>
          </cell>
          <cell r="E91" t="str">
            <v>HOSPITAL REGIONAL DE RANCAGUA</v>
          </cell>
          <cell r="J91">
            <v>0.3</v>
          </cell>
          <cell r="K91">
            <v>1200000000</v>
          </cell>
        </row>
        <row r="92">
          <cell r="B92">
            <v>2026</v>
          </cell>
          <cell r="E92" t="str">
            <v>SERVICIO SALUD O'HIGGINS</v>
          </cell>
          <cell r="J92">
            <v>0.4</v>
          </cell>
          <cell r="K92">
            <v>14000000</v>
          </cell>
        </row>
        <row r="93">
          <cell r="B93">
            <v>2026</v>
          </cell>
          <cell r="E93">
            <v>0</v>
          </cell>
          <cell r="J93">
            <v>0.3</v>
          </cell>
          <cell r="K93">
            <v>350000000</v>
          </cell>
        </row>
        <row r="94">
          <cell r="E94" t="e">
            <v>#N/A</v>
          </cell>
        </row>
        <row r="95">
          <cell r="E95" t="e">
            <v>#N/A</v>
          </cell>
        </row>
        <row r="96">
          <cell r="E96" t="e">
            <v>#N/A</v>
          </cell>
        </row>
        <row r="97">
          <cell r="E97" t="e">
            <v>#N/A</v>
          </cell>
        </row>
        <row r="98">
          <cell r="E98" t="e">
            <v>#N/A</v>
          </cell>
        </row>
        <row r="99">
          <cell r="E99" t="e">
            <v>#N/A</v>
          </cell>
        </row>
        <row r="100">
          <cell r="E100" t="e">
            <v>#N/A</v>
          </cell>
        </row>
        <row r="101">
          <cell r="E101" t="e">
            <v>#N/A</v>
          </cell>
        </row>
        <row r="102">
          <cell r="E102" t="e">
            <v>#N/A</v>
          </cell>
        </row>
        <row r="103">
          <cell r="E103" t="e">
            <v>#N/A</v>
          </cell>
        </row>
        <row r="104">
          <cell r="E104" t="e">
            <v>#N/A</v>
          </cell>
        </row>
        <row r="105">
          <cell r="E105" t="e">
            <v>#N/A</v>
          </cell>
        </row>
        <row r="106">
          <cell r="E106" t="e">
            <v>#N/A</v>
          </cell>
        </row>
        <row r="107">
          <cell r="E107" t="e">
            <v>#N/A</v>
          </cell>
        </row>
        <row r="108">
          <cell r="E108" t="e">
            <v>#N/A</v>
          </cell>
        </row>
        <row r="109">
          <cell r="E109" t="e">
            <v>#N/A</v>
          </cell>
        </row>
        <row r="110">
          <cell r="E110" t="e">
            <v>#N/A</v>
          </cell>
        </row>
        <row r="111">
          <cell r="E111" t="e">
            <v>#N/A</v>
          </cell>
        </row>
        <row r="112">
          <cell r="E112" t="e">
            <v>#N/A</v>
          </cell>
        </row>
        <row r="113">
          <cell r="E113" t="e">
            <v>#N/A</v>
          </cell>
        </row>
        <row r="114">
          <cell r="E114" t="e">
            <v>#N/A</v>
          </cell>
        </row>
        <row r="115">
          <cell r="E115" t="e">
            <v>#N/A</v>
          </cell>
        </row>
        <row r="116">
          <cell r="E116" t="e">
            <v>#N/A</v>
          </cell>
        </row>
        <row r="117">
          <cell r="B117" t="str">
            <v>x</v>
          </cell>
          <cell r="J117" t="str">
            <v>x</v>
          </cell>
          <cell r="K117" t="str">
            <v>x</v>
          </cell>
        </row>
      </sheetData>
      <sheetData sheetId="15">
        <row r="2">
          <cell r="B2" t="str">
            <v>PIPELINE COMERCIAL</v>
          </cell>
          <cell r="K2">
            <v>1</v>
          </cell>
        </row>
        <row r="3">
          <cell r="B3">
            <v>2</v>
          </cell>
          <cell r="J3">
            <v>9</v>
          </cell>
          <cell r="K3">
            <v>10</v>
          </cell>
        </row>
        <row r="4">
          <cell r="B4" t="str">
            <v>Año</v>
          </cell>
          <cell r="E4" t="str">
            <v>Nombre Analisis</v>
          </cell>
          <cell r="J4" t="str">
            <v>Probabilidad de venta (%)</v>
          </cell>
          <cell r="K4" t="str">
            <v>Monto Negocio</v>
          </cell>
        </row>
        <row r="5">
          <cell r="B5">
            <v>2026</v>
          </cell>
          <cell r="E5" t="str">
            <v>UNIVERSIDAD DE VALPARAISO</v>
          </cell>
          <cell r="J5">
            <v>0.5</v>
          </cell>
          <cell r="K5">
            <v>298586640</v>
          </cell>
        </row>
        <row r="6">
          <cell r="B6">
            <v>2026</v>
          </cell>
          <cell r="E6">
            <v>0</v>
          </cell>
          <cell r="J6">
            <v>0.5</v>
          </cell>
          <cell r="K6">
            <v>202000000</v>
          </cell>
        </row>
        <row r="7">
          <cell r="B7">
            <v>2026</v>
          </cell>
          <cell r="E7">
            <v>0</v>
          </cell>
          <cell r="J7">
            <v>0.1</v>
          </cell>
          <cell r="K7">
            <v>550000000</v>
          </cell>
        </row>
        <row r="8">
          <cell r="B8">
            <v>2026</v>
          </cell>
          <cell r="E8">
            <v>0</v>
          </cell>
          <cell r="J8">
            <v>0.3</v>
          </cell>
          <cell r="K8">
            <v>8000000</v>
          </cell>
        </row>
        <row r="9">
          <cell r="B9">
            <v>2025</v>
          </cell>
          <cell r="E9" t="str">
            <v>CLINICA ALEMANA DE SANTIAGO S A</v>
          </cell>
          <cell r="J9">
            <v>0</v>
          </cell>
          <cell r="K9">
            <v>600000</v>
          </cell>
        </row>
        <row r="10">
          <cell r="B10">
            <v>2026</v>
          </cell>
          <cell r="E10" t="str">
            <v>INSTITUTO DE DIAGNOSTICO S.A.</v>
          </cell>
          <cell r="J10">
            <v>0.5</v>
          </cell>
          <cell r="K10">
            <v>5000000</v>
          </cell>
        </row>
        <row r="11">
          <cell r="B11">
            <v>2026</v>
          </cell>
          <cell r="E11">
            <v>0</v>
          </cell>
          <cell r="J11">
            <v>0.3</v>
          </cell>
          <cell r="K11">
            <v>20000000</v>
          </cell>
        </row>
        <row r="12">
          <cell r="B12">
            <v>2026</v>
          </cell>
          <cell r="E12" t="str">
            <v>LJ AUTOMOTRIZ LTDA</v>
          </cell>
          <cell r="J12">
            <v>0.6</v>
          </cell>
          <cell r="K12">
            <v>15000000</v>
          </cell>
        </row>
        <row r="13">
          <cell r="B13">
            <v>2026</v>
          </cell>
          <cell r="E13" t="str">
            <v>CLINICA ALEMANA DE SANTIAGO S A</v>
          </cell>
          <cell r="J13">
            <v>0.6</v>
          </cell>
          <cell r="K13">
            <v>204863736</v>
          </cell>
        </row>
        <row r="14">
          <cell r="B14">
            <v>2026</v>
          </cell>
          <cell r="E14">
            <v>0</v>
          </cell>
          <cell r="J14">
            <v>0.9</v>
          </cell>
          <cell r="K14">
            <v>26523147</v>
          </cell>
        </row>
        <row r="15">
          <cell r="B15">
            <v>2027</v>
          </cell>
          <cell r="E15">
            <v>0</v>
          </cell>
          <cell r="J15">
            <v>0.2</v>
          </cell>
          <cell r="K15">
            <v>1575000000</v>
          </cell>
        </row>
        <row r="16">
          <cell r="B16">
            <v>2026</v>
          </cell>
          <cell r="E16" t="str">
            <v xml:space="preserve">DOMINION SPA </v>
          </cell>
          <cell r="J16">
            <v>0.99999999999999989</v>
          </cell>
          <cell r="K16">
            <v>274362245</v>
          </cell>
        </row>
        <row r="17">
          <cell r="B17">
            <v>2026</v>
          </cell>
          <cell r="E17">
            <v>0</v>
          </cell>
          <cell r="J17">
            <v>0.30000000000000004</v>
          </cell>
          <cell r="K17">
            <v>300000000</v>
          </cell>
        </row>
        <row r="18">
          <cell r="E18" t="e">
            <v>#N/A</v>
          </cell>
        </row>
        <row r="19">
          <cell r="E19" t="e">
            <v>#N/A</v>
          </cell>
        </row>
        <row r="20">
          <cell r="E20" t="e">
            <v>#N/A</v>
          </cell>
        </row>
        <row r="21">
          <cell r="E21" t="e">
            <v>#N/A</v>
          </cell>
        </row>
        <row r="22">
          <cell r="E22" t="e">
            <v>#N/A</v>
          </cell>
        </row>
        <row r="23">
          <cell r="E23" t="e">
            <v>#N/A</v>
          </cell>
        </row>
        <row r="24">
          <cell r="E24" t="e">
            <v>#N/A</v>
          </cell>
        </row>
        <row r="25">
          <cell r="E25" t="e">
            <v>#N/A</v>
          </cell>
        </row>
        <row r="26">
          <cell r="E26" t="e">
            <v>#N/A</v>
          </cell>
        </row>
        <row r="27">
          <cell r="E27" t="e">
            <v>#N/A</v>
          </cell>
        </row>
        <row r="28">
          <cell r="E28" t="e">
            <v>#N/A</v>
          </cell>
        </row>
        <row r="29">
          <cell r="E29" t="e">
            <v>#N/A</v>
          </cell>
        </row>
        <row r="30">
          <cell r="E30" t="e">
            <v>#N/A</v>
          </cell>
        </row>
        <row r="31">
          <cell r="E31" t="e">
            <v>#N/A</v>
          </cell>
        </row>
        <row r="32">
          <cell r="E32" t="e">
            <v>#N/A</v>
          </cell>
        </row>
        <row r="33">
          <cell r="E33" t="e">
            <v>#N/A</v>
          </cell>
        </row>
        <row r="34">
          <cell r="E34" t="e">
            <v>#N/A</v>
          </cell>
        </row>
        <row r="35">
          <cell r="E35" t="e">
            <v>#N/A</v>
          </cell>
        </row>
        <row r="36">
          <cell r="E36" t="e">
            <v>#N/A</v>
          </cell>
        </row>
        <row r="37">
          <cell r="E37" t="e">
            <v>#N/A</v>
          </cell>
        </row>
        <row r="38">
          <cell r="E38" t="e">
            <v>#N/A</v>
          </cell>
        </row>
        <row r="39">
          <cell r="E39" t="e">
            <v>#N/A</v>
          </cell>
        </row>
        <row r="40">
          <cell r="E40" t="e">
            <v>#N/A</v>
          </cell>
        </row>
        <row r="41">
          <cell r="E41" t="e">
            <v>#N/A</v>
          </cell>
        </row>
        <row r="42">
          <cell r="E42" t="e">
            <v>#N/A</v>
          </cell>
        </row>
        <row r="43">
          <cell r="E43" t="e">
            <v>#N/A</v>
          </cell>
        </row>
        <row r="44">
          <cell r="E44" t="e">
            <v>#N/A</v>
          </cell>
        </row>
        <row r="45">
          <cell r="E45" t="e">
            <v>#N/A</v>
          </cell>
        </row>
        <row r="46">
          <cell r="E46" t="e">
            <v>#N/A</v>
          </cell>
        </row>
        <row r="47">
          <cell r="E47" t="e">
            <v>#N/A</v>
          </cell>
        </row>
        <row r="48">
          <cell r="E48" t="e">
            <v>#N/A</v>
          </cell>
        </row>
        <row r="49">
          <cell r="E49" t="e">
            <v>#N/A</v>
          </cell>
        </row>
        <row r="50">
          <cell r="E50" t="e">
            <v>#N/A</v>
          </cell>
        </row>
        <row r="51">
          <cell r="E51" t="e">
            <v>#N/A</v>
          </cell>
        </row>
        <row r="52">
          <cell r="E52" t="e">
            <v>#N/A</v>
          </cell>
        </row>
        <row r="53">
          <cell r="E53" t="e">
            <v>#N/A</v>
          </cell>
        </row>
        <row r="54">
          <cell r="E54" t="e">
            <v>#N/A</v>
          </cell>
        </row>
        <row r="55">
          <cell r="E55" t="e">
            <v>#N/A</v>
          </cell>
        </row>
        <row r="56">
          <cell r="E56" t="e">
            <v>#N/A</v>
          </cell>
        </row>
        <row r="57">
          <cell r="E57" t="e">
            <v>#N/A</v>
          </cell>
        </row>
        <row r="58">
          <cell r="E58" t="e">
            <v>#N/A</v>
          </cell>
        </row>
        <row r="59">
          <cell r="E59" t="e">
            <v>#N/A</v>
          </cell>
        </row>
        <row r="60">
          <cell r="E60" t="e">
            <v>#N/A</v>
          </cell>
        </row>
        <row r="61">
          <cell r="E61" t="e">
            <v>#N/A</v>
          </cell>
        </row>
        <row r="62">
          <cell r="E62" t="e">
            <v>#N/A</v>
          </cell>
        </row>
        <row r="63">
          <cell r="E63" t="e">
            <v>#N/A</v>
          </cell>
        </row>
        <row r="64">
          <cell r="E64" t="e">
            <v>#N/A</v>
          </cell>
        </row>
        <row r="65">
          <cell r="E65" t="e">
            <v>#N/A</v>
          </cell>
        </row>
        <row r="66">
          <cell r="E66" t="e">
            <v>#N/A</v>
          </cell>
        </row>
        <row r="67">
          <cell r="E67" t="e">
            <v>#N/A</v>
          </cell>
        </row>
        <row r="68">
          <cell r="E68" t="e">
            <v>#N/A</v>
          </cell>
        </row>
        <row r="69">
          <cell r="E69" t="e">
            <v>#N/A</v>
          </cell>
        </row>
        <row r="70">
          <cell r="E70" t="e">
            <v>#N/A</v>
          </cell>
        </row>
        <row r="71">
          <cell r="E71" t="e">
            <v>#N/A</v>
          </cell>
        </row>
        <row r="72">
          <cell r="E72" t="e">
            <v>#N/A</v>
          </cell>
        </row>
        <row r="73">
          <cell r="E73" t="e">
            <v>#N/A</v>
          </cell>
        </row>
        <row r="74">
          <cell r="E74" t="e">
            <v>#N/A</v>
          </cell>
        </row>
        <row r="75">
          <cell r="E75" t="e">
            <v>#N/A</v>
          </cell>
        </row>
        <row r="76">
          <cell r="E76" t="e">
            <v>#N/A</v>
          </cell>
        </row>
        <row r="77">
          <cell r="E77" t="e">
            <v>#N/A</v>
          </cell>
        </row>
        <row r="78">
          <cell r="E78" t="e">
            <v>#N/A</v>
          </cell>
        </row>
        <row r="79">
          <cell r="E79" t="e">
            <v>#N/A</v>
          </cell>
        </row>
        <row r="80">
          <cell r="E80" t="e">
            <v>#N/A</v>
          </cell>
        </row>
        <row r="81">
          <cell r="E81" t="e">
            <v>#N/A</v>
          </cell>
        </row>
        <row r="82">
          <cell r="E82" t="e">
            <v>#N/A</v>
          </cell>
        </row>
        <row r="83">
          <cell r="E83" t="e">
            <v>#N/A</v>
          </cell>
        </row>
        <row r="84">
          <cell r="E84" t="e">
            <v>#N/A</v>
          </cell>
        </row>
        <row r="85">
          <cell r="E85" t="e">
            <v>#N/A</v>
          </cell>
        </row>
        <row r="86">
          <cell r="E86" t="e">
            <v>#N/A</v>
          </cell>
        </row>
        <row r="87">
          <cell r="E87" t="e">
            <v>#N/A</v>
          </cell>
        </row>
        <row r="88">
          <cell r="E88" t="e">
            <v>#N/A</v>
          </cell>
        </row>
        <row r="89">
          <cell r="E89" t="e">
            <v>#N/A</v>
          </cell>
        </row>
        <row r="90">
          <cell r="E90" t="e">
            <v>#N/A</v>
          </cell>
        </row>
        <row r="91">
          <cell r="E91" t="e">
            <v>#N/A</v>
          </cell>
        </row>
        <row r="92">
          <cell r="E92" t="e">
            <v>#N/A</v>
          </cell>
        </row>
        <row r="93">
          <cell r="E93" t="e">
            <v>#N/A</v>
          </cell>
        </row>
        <row r="94">
          <cell r="E94" t="e">
            <v>#N/A</v>
          </cell>
        </row>
        <row r="95">
          <cell r="E95" t="e">
            <v>#N/A</v>
          </cell>
        </row>
        <row r="96">
          <cell r="E96" t="e">
            <v>#N/A</v>
          </cell>
        </row>
        <row r="97">
          <cell r="E97" t="e">
            <v>#N/A</v>
          </cell>
        </row>
        <row r="98">
          <cell r="E98" t="e">
            <v>#N/A</v>
          </cell>
        </row>
        <row r="99">
          <cell r="E99" t="e">
            <v>#N/A</v>
          </cell>
        </row>
        <row r="100">
          <cell r="E100" t="e">
            <v>#N/A</v>
          </cell>
        </row>
        <row r="101">
          <cell r="E101" t="e">
            <v>#N/A</v>
          </cell>
        </row>
        <row r="102">
          <cell r="E102" t="e">
            <v>#N/A</v>
          </cell>
        </row>
        <row r="103">
          <cell r="E103" t="e">
            <v>#N/A</v>
          </cell>
        </row>
        <row r="104">
          <cell r="B104" t="str">
            <v>x</v>
          </cell>
          <cell r="J104" t="str">
            <v>x</v>
          </cell>
          <cell r="K104" t="str">
            <v>x</v>
          </cell>
        </row>
      </sheetData>
      <sheetData sheetId="16"/>
      <sheetData sheetId="17">
        <row r="1">
          <cell r="A1" t="str">
            <v>Clientes</v>
          </cell>
          <cell r="B1" t="str">
            <v>Tipo de Cliente</v>
          </cell>
        </row>
        <row r="2">
          <cell r="A2" t="str">
            <v>INSUMOS Y SERVICIOS MEDICOS S.A.</v>
          </cell>
          <cell r="B2" t="str">
            <v>Privado</v>
          </cell>
        </row>
        <row r="3">
          <cell r="A3" t="str">
            <v>SOCIEDAD CONCESIONARIA METROPOLITANA DE SALUD S.A.</v>
          </cell>
          <cell r="B3" t="str">
            <v>Privado</v>
          </cell>
        </row>
        <row r="4">
          <cell r="A4" t="str">
            <v>DIPRECA FONDO HOSPITAL</v>
          </cell>
          <cell r="B4" t="str">
            <v>Público</v>
          </cell>
        </row>
        <row r="5">
          <cell r="A5" t="str">
            <v>SERVICIO DE SALUD OSORNO</v>
          </cell>
          <cell r="B5" t="str">
            <v>Público</v>
          </cell>
        </row>
        <row r="6">
          <cell r="A6" t="str">
            <v>CLÍNICA ANDES SALUD PUERTO MONTT S.A.</v>
          </cell>
          <cell r="B6" t="str">
            <v>Privado</v>
          </cell>
        </row>
        <row r="7">
          <cell r="A7" t="str">
            <v>I. MUNICIPALIDAD DE PUCON</v>
          </cell>
          <cell r="B7" t="str">
            <v>Público</v>
          </cell>
        </row>
        <row r="8">
          <cell r="A8" t="str">
            <v>SERVICIO DE SALUD RELONCAVI</v>
          </cell>
          <cell r="B8" t="str">
            <v>Público</v>
          </cell>
        </row>
        <row r="9">
          <cell r="A9" t="str">
            <v>HOSPITAL DEL SALVADOR</v>
          </cell>
          <cell r="B9" t="str">
            <v>Público</v>
          </cell>
        </row>
        <row r="10">
          <cell r="A10" t="str">
            <v>HOSPITAL CLINICO SAN BORJA-ARRIARAN</v>
          </cell>
          <cell r="B10" t="str">
            <v>Público</v>
          </cell>
        </row>
        <row r="11">
          <cell r="A11" t="str">
            <v>HOSPITAL EXEQUIEL GONZALEZ CORTES</v>
          </cell>
          <cell r="B11" t="str">
            <v>Público</v>
          </cell>
        </row>
        <row r="12">
          <cell r="A12" t="str">
            <v>JOHNSON &amp; JOHNSON DE CHILE S.A.</v>
          </cell>
          <cell r="B12" t="str">
            <v>Privado</v>
          </cell>
        </row>
        <row r="13">
          <cell r="A13" t="str">
            <v>CLINICA ANDES SALUD CONCEPCIÓN S.A.</v>
          </cell>
          <cell r="B13" t="str">
            <v>Privado</v>
          </cell>
        </row>
        <row r="14">
          <cell r="A14" t="str">
            <v>HOSPITAL CLINICO DE LA FUERZA AEREA FACH GRAL DR RAUL YAZIGI JAUREGUI</v>
          </cell>
          <cell r="B14" t="str">
            <v>Público</v>
          </cell>
        </row>
        <row r="15">
          <cell r="A15" t="str">
            <v>HOSPITAL REGIONAL DE ANTOFAGASTA</v>
          </cell>
          <cell r="B15" t="str">
            <v>Público</v>
          </cell>
        </row>
        <row r="16">
          <cell r="A16" t="str">
            <v>HOSPITAL SAN JOSÉ</v>
          </cell>
          <cell r="B16" t="str">
            <v>Público</v>
          </cell>
        </row>
        <row r="17">
          <cell r="A17" t="str">
            <v>HOSPITAL DR. HERNAN HENRIQUEZ ARAVENA</v>
          </cell>
          <cell r="B17" t="str">
            <v>Público</v>
          </cell>
        </row>
        <row r="18">
          <cell r="A18" t="str">
            <v>CLINICA MEDS LTDA</v>
          </cell>
          <cell r="B18" t="str">
            <v>Privado</v>
          </cell>
        </row>
        <row r="19">
          <cell r="A19" t="str">
            <v>HOSPITAL SAN PABLO DE COQUIMBO</v>
          </cell>
          <cell r="B19" t="str">
            <v>Público</v>
          </cell>
        </row>
        <row r="20">
          <cell r="A20" t="str">
            <v>HOSPITAL DR. LUIS TISNE B.</v>
          </cell>
          <cell r="B20" t="str">
            <v>Público</v>
          </cell>
        </row>
        <row r="21">
          <cell r="A21" t="str">
            <v>HOSPITAL CLAUDIO VICUÑA</v>
          </cell>
          <cell r="B21" t="str">
            <v>Público</v>
          </cell>
        </row>
        <row r="22">
          <cell r="A22" t="str">
            <v>HOSPITAL DE PUERTO MONTT</v>
          </cell>
          <cell r="B22" t="str">
            <v>Público</v>
          </cell>
        </row>
        <row r="23">
          <cell r="A23" t="str">
            <v>HOSPITAL METROPOLITANO DE SANTIAGO</v>
          </cell>
          <cell r="B23" t="str">
            <v>Público</v>
          </cell>
        </row>
        <row r="24">
          <cell r="A24" t="str">
            <v>HOSPITAL DE PUERTO AYSEN</v>
          </cell>
          <cell r="B24" t="str">
            <v>Público</v>
          </cell>
        </row>
        <row r="25">
          <cell r="A25" t="str">
            <v>INSTITUTO DE DIAGNOSTICO S.A.</v>
          </cell>
          <cell r="B25" t="str">
            <v>Privado</v>
          </cell>
        </row>
        <row r="26">
          <cell r="A26" t="str">
            <v>HOSPITAL COMPLEJO ASISTENCIAL PADRE LAS CASAS</v>
          </cell>
          <cell r="B26" t="str">
            <v>Público</v>
          </cell>
        </row>
        <row r="27">
          <cell r="A27" t="str">
            <v>HOSPITAL BARROS LUCO TRUDEAU</v>
          </cell>
          <cell r="B27" t="str">
            <v>Público</v>
          </cell>
        </row>
        <row r="28">
          <cell r="A28" t="str">
            <v>HOSPITAL VICTOR RIOS RUIZ</v>
          </cell>
          <cell r="B28" t="str">
            <v>Público</v>
          </cell>
        </row>
        <row r="29">
          <cell r="A29" t="str">
            <v>HOSPITAL CARLOS VAN BUREN</v>
          </cell>
          <cell r="B29" t="str">
            <v>Público</v>
          </cell>
        </row>
        <row r="30">
          <cell r="A30" t="str">
            <v>HOSPITAL VICTORIA</v>
          </cell>
          <cell r="B30" t="str">
            <v>Público</v>
          </cell>
        </row>
        <row r="31">
          <cell r="A31" t="str">
            <v>HOSPITAL REGIONAL DE ARICA DR. JUAN NOÉ CREVANI</v>
          </cell>
          <cell r="B31" t="str">
            <v>Público</v>
          </cell>
        </row>
        <row r="32">
          <cell r="A32" t="str">
            <v>COMPLEJO ASISTENCIAL DR.SOTERO DEL RIO</v>
          </cell>
          <cell r="B32" t="str">
            <v>Público</v>
          </cell>
        </row>
        <row r="33">
          <cell r="A33" t="str">
            <v>HOSPITAL PENCO -LIRQUEN</v>
          </cell>
          <cell r="B33" t="str">
            <v>Público</v>
          </cell>
        </row>
        <row r="34">
          <cell r="A34" t="str">
            <v>SERVICIO NACIONAL DE SALUD HOSPITAL DE LOTA</v>
          </cell>
          <cell r="B34" t="str">
            <v>Público</v>
          </cell>
        </row>
        <row r="35">
          <cell r="A35" t="str">
            <v>HOSPITAL GUILLERMO GRANT BENAVENTE</v>
          </cell>
          <cell r="B35" t="str">
            <v>Público</v>
          </cell>
        </row>
        <row r="36">
          <cell r="A36" t="str">
            <v>HOSPITAL DE PURRANQUE</v>
          </cell>
          <cell r="B36" t="str">
            <v>Público</v>
          </cell>
        </row>
        <row r="37">
          <cell r="A37" t="str">
            <v>UC CHRISTUS SERVICIOS AMBULATORIOS SPA</v>
          </cell>
          <cell r="B37" t="str">
            <v>Privado</v>
          </cell>
        </row>
        <row r="38">
          <cell r="A38" t="str">
            <v>HOSPITAL DE CURANILAHUE DR. RAFAEL AVARIA</v>
          </cell>
          <cell r="B38" t="str">
            <v>Público</v>
          </cell>
        </row>
        <row r="39">
          <cell r="A39" t="str">
            <v>HOSPITAL MILITAR DE SANTIAGO</v>
          </cell>
          <cell r="B39" t="str">
            <v>Público</v>
          </cell>
        </row>
        <row r="40">
          <cell r="A40" t="str">
            <v>HOSPITAL SAN LUIS BUIN</v>
          </cell>
          <cell r="B40" t="str">
            <v>Público</v>
          </cell>
        </row>
        <row r="41">
          <cell r="A41" t="str">
            <v>CLINICA ALEMANA DE SANTIAGO S A</v>
          </cell>
          <cell r="B41" t="str">
            <v>Privado</v>
          </cell>
        </row>
        <row r="42">
          <cell r="A42" t="str">
            <v>HOSPITAL  PITRUFQUEN</v>
          </cell>
          <cell r="B42" t="str">
            <v>Público</v>
          </cell>
        </row>
        <row r="43">
          <cell r="A43" t="str">
            <v>HOSPITAL EDUARDO PEREIRA</v>
          </cell>
          <cell r="B43" t="str">
            <v>Público</v>
          </cell>
        </row>
        <row r="44">
          <cell r="A44" t="str">
            <v>EJERCITO DE CHILE CENTRAL ODONTOLOGICA D</v>
          </cell>
          <cell r="B44" t="str">
            <v>Público</v>
          </cell>
        </row>
        <row r="45">
          <cell r="A45" t="str">
            <v>HOSPITAL DE ANDACOLLO</v>
          </cell>
          <cell r="B45" t="str">
            <v>Público</v>
          </cell>
        </row>
        <row r="46">
          <cell r="A46" t="str">
            <v>HOSPITAL LUIS CALVO MACKENNA</v>
          </cell>
          <cell r="B46" t="str">
            <v>Público</v>
          </cell>
        </row>
        <row r="47">
          <cell r="A47" t="str">
            <v>FUNDACIÓN OFTALMOLÓGICA LOS ANDES</v>
          </cell>
          <cell r="B47" t="str">
            <v>Privado</v>
          </cell>
        </row>
        <row r="48">
          <cell r="A48" t="str">
            <v>HOSPITAL DE CURICO</v>
          </cell>
          <cell r="B48" t="str">
            <v>Público</v>
          </cell>
        </row>
        <row r="49">
          <cell r="A49" t="str">
            <v>HOSPITAL DE URGENCIA ASISTENCIA PUBLICA DR. ALEJ</v>
          </cell>
          <cell r="B49" t="str">
            <v>Público</v>
          </cell>
        </row>
        <row r="50">
          <cell r="A50" t="str">
            <v>SOCIEDAD MEDICA E IMAGENEOLOGICA ANCUD LTDA</v>
          </cell>
          <cell r="B50" t="str">
            <v>Privado</v>
          </cell>
        </row>
        <row r="51">
          <cell r="A51" t="str">
            <v>INSTITUTO NACIONAL DEL CANCER</v>
          </cell>
          <cell r="B51" t="str">
            <v>Público</v>
          </cell>
        </row>
        <row r="52">
          <cell r="A52" t="str">
            <v>CLINICA LAS CONDES S.A.</v>
          </cell>
          <cell r="B52" t="str">
            <v>Privado</v>
          </cell>
        </row>
        <row r="53">
          <cell r="A53" t="str">
            <v>HOSPITAL NACIMIENTO</v>
          </cell>
          <cell r="B53" t="str">
            <v>Público</v>
          </cell>
        </row>
        <row r="54">
          <cell r="A54" t="str">
            <v>I.MUNICIPALIDAD DE INDEPENDENCIA</v>
          </cell>
          <cell r="B54" t="str">
            <v>Público</v>
          </cell>
        </row>
        <row r="55">
          <cell r="A55" t="str">
            <v>LABORATORIO CLINICO CENTRAL KOJCHEN Y COMPANIA LIMITADA</v>
          </cell>
          <cell r="B55" t="str">
            <v>Privado</v>
          </cell>
        </row>
        <row r="56">
          <cell r="A56" t="str">
            <v>SERVICIOS CLINICOS DEL DESARROLLO S.A</v>
          </cell>
          <cell r="B56" t="str">
            <v>Privado</v>
          </cell>
        </row>
        <row r="57">
          <cell r="A57" t="str">
            <v>CLÍNICA INTERMEDICAL LTDA.</v>
          </cell>
          <cell r="B57" t="str">
            <v>Privado</v>
          </cell>
        </row>
        <row r="58">
          <cell r="A58" t="str">
            <v>UNIVERSIDAD FINIS TERRAE</v>
          </cell>
          <cell r="B58" t="str">
            <v>Privado</v>
          </cell>
        </row>
        <row r="59">
          <cell r="A59" t="str">
            <v>SOCIEDAD CMA-COSTANERA S.A.</v>
          </cell>
          <cell r="B59" t="str">
            <v>Privado</v>
          </cell>
        </row>
        <row r="60">
          <cell r="A60" t="str">
            <v>ILUSTRE MUNICIPALIDAD DE LOS ALAMOS - DEPTO. SALUD</v>
          </cell>
          <cell r="B60" t="str">
            <v>Público</v>
          </cell>
        </row>
        <row r="61">
          <cell r="A61" t="str">
            <v>REDLASER CONCEPCION SPA</v>
          </cell>
          <cell r="B61" t="str">
            <v>Privado</v>
          </cell>
        </row>
        <row r="62">
          <cell r="A62" t="str">
            <v>UNIVERSIDAD DE VALPARAISO</v>
          </cell>
          <cell r="B62" t="str">
            <v>Privado</v>
          </cell>
        </row>
        <row r="63">
          <cell r="A63" t="str">
            <v>MEGASALUD S.A.</v>
          </cell>
          <cell r="B63" t="str">
            <v>Privado</v>
          </cell>
        </row>
        <row r="64">
          <cell r="A64" t="str">
            <v>HOSPITAL DE YUMBEL</v>
          </cell>
          <cell r="B64" t="str">
            <v>Público</v>
          </cell>
        </row>
        <row r="65">
          <cell r="A65" t="str">
            <v>CESFAM MIRAFLORES</v>
          </cell>
          <cell r="B65" t="str">
            <v>Público</v>
          </cell>
        </row>
        <row r="66">
          <cell r="A66" t="str">
            <v>HOSPITAL NAVAL ALMIRANTE ADRIAZOLA</v>
          </cell>
          <cell r="B66" t="str">
            <v>Público</v>
          </cell>
        </row>
        <row r="67">
          <cell r="A67" t="str">
            <v>CENTRO DE OFTALMOLOGIA DR.DAVID BITRAN S.A.</v>
          </cell>
          <cell r="B67" t="str">
            <v>Privado</v>
          </cell>
        </row>
        <row r="68">
          <cell r="A68" t="str">
            <v>CLINICA BUPA ANTOFAGASTA SA</v>
          </cell>
          <cell r="B68" t="str">
            <v>Privado</v>
          </cell>
        </row>
        <row r="69">
          <cell r="A69" t="str">
            <v>HOSPITAL RIO NEGRO</v>
          </cell>
          <cell r="B69" t="str">
            <v>Público</v>
          </cell>
        </row>
        <row r="70">
          <cell r="A70" t="str">
            <v>SERV DE SALUD BÍO BÍO - HOSPITAL DE HUEPIL</v>
          </cell>
          <cell r="B70" t="str">
            <v>Público</v>
          </cell>
        </row>
        <row r="71">
          <cell r="A71" t="str">
            <v xml:space="preserve">HOSPITAL SAN CAMILO  </v>
          </cell>
          <cell r="B71" t="str">
            <v>Público</v>
          </cell>
        </row>
        <row r="72">
          <cell r="A72" t="str">
            <v>INSTITUTO OFTALMOLÓGICO PUERTA DEL SOL S.A.</v>
          </cell>
          <cell r="B72" t="str">
            <v>Privado</v>
          </cell>
        </row>
        <row r="73">
          <cell r="A73" t="str">
            <v>HOSPITAL DR. GUSTAVO FRICKE</v>
          </cell>
          <cell r="B73" t="str">
            <v>Público</v>
          </cell>
        </row>
        <row r="74">
          <cell r="A74" t="str">
            <v>CORPORACION MUNICIPAL DE CONCHALI</v>
          </cell>
          <cell r="B74" t="str">
            <v>Público</v>
          </cell>
        </row>
        <row r="75">
          <cell r="A75" t="str">
            <v>I MUNICIPALIDAD DE VICUÑA</v>
          </cell>
          <cell r="B75" t="str">
            <v>Público</v>
          </cell>
        </row>
        <row r="76">
          <cell r="A76" t="str">
            <v>HOSPITAL DE ILLAPEL</v>
          </cell>
          <cell r="B76" t="str">
            <v>Público</v>
          </cell>
        </row>
        <row r="77">
          <cell r="A77" t="str">
            <v>I.MUNICIPALIDAD DE LA UNION</v>
          </cell>
          <cell r="B77" t="str">
            <v>Público</v>
          </cell>
        </row>
        <row r="78">
          <cell r="A78" t="str">
            <v>CLINICA WLK SA</v>
          </cell>
          <cell r="B78" t="str">
            <v>Privado</v>
          </cell>
        </row>
        <row r="79">
          <cell r="A79" t="str">
            <v>HOSPITAL DE QUILACAHUIN</v>
          </cell>
          <cell r="B79" t="str">
            <v>Público</v>
          </cell>
        </row>
        <row r="80">
          <cell r="A80" t="str">
            <v>HOSPITAL DE MISION SAN JUAN DE LA COSTA</v>
          </cell>
          <cell r="B80" t="str">
            <v>Público</v>
          </cell>
        </row>
        <row r="81">
          <cell r="A81" t="str">
            <v>CORPORACION DE AYUDA AL NIÑO QUEMADO</v>
          </cell>
          <cell r="B81" t="str">
            <v>Privado</v>
          </cell>
        </row>
        <row r="82">
          <cell r="A82" t="str">
            <v>CORP MUNICIPAL DE EDUCACION Y SERVICIOS RAMON FREIRE</v>
          </cell>
          <cell r="B82" t="str">
            <v>Público</v>
          </cell>
        </row>
        <row r="83">
          <cell r="A83" t="str">
            <v>HOSPITAL DE TALCA</v>
          </cell>
          <cell r="B83" t="str">
            <v>Público</v>
          </cell>
        </row>
        <row r="84">
          <cell r="A84" t="str">
            <v>HOSPITAL DE QUELLON</v>
          </cell>
          <cell r="B84" t="str">
            <v>Público</v>
          </cell>
        </row>
        <row r="85">
          <cell r="A85" t="str">
            <v>INTEGRAMEDICA S.A (Las Condes)</v>
          </cell>
          <cell r="B85" t="str">
            <v>Privado</v>
          </cell>
        </row>
        <row r="86">
          <cell r="A86" t="str">
            <v>GOBIERNO REGIONAL LIBERTADOR BDO. O'HIGGINS</v>
          </cell>
          <cell r="B86" t="str">
            <v>Público</v>
          </cell>
        </row>
        <row r="87">
          <cell r="A87" t="str">
            <v>HOSPITAL DE LANCO</v>
          </cell>
          <cell r="B87" t="str">
            <v>Público</v>
          </cell>
        </row>
        <row r="88">
          <cell r="A88" t="str">
            <v>HOSPITAL CLINICO DE MAGALLANES</v>
          </cell>
          <cell r="B88" t="str">
            <v>Público</v>
          </cell>
        </row>
        <row r="89">
          <cell r="A89" t="str">
            <v>CESFAM CORDILLERA ANDINA</v>
          </cell>
          <cell r="B89" t="str">
            <v>Público</v>
          </cell>
        </row>
        <row r="90">
          <cell r="A90" t="str">
            <v>I. MUNICIPALIDAD DE QUILLOTA DPTO. SALUD</v>
          </cell>
          <cell r="B90" t="str">
            <v>Público</v>
          </cell>
        </row>
        <row r="91">
          <cell r="A91" t="str">
            <v>HOSPITAL CARLOS CISTERNA DE CALAMA</v>
          </cell>
          <cell r="B91" t="str">
            <v>Público</v>
          </cell>
        </row>
        <row r="92">
          <cell r="A92" t="str">
            <v>JUNAEB ALTOBIOBIO</v>
          </cell>
          <cell r="B92" t="str">
            <v>Público</v>
          </cell>
        </row>
        <row r="93">
          <cell r="A93" t="str">
            <v>JUNAEB MODULO FRUTILLAR</v>
          </cell>
          <cell r="B93" t="str">
            <v>Público</v>
          </cell>
        </row>
        <row r="94">
          <cell r="A94" t="str">
            <v>JUNAEB ESCUELA VICTOR DOMINGO SILVA</v>
          </cell>
          <cell r="B94" t="str">
            <v>Público</v>
          </cell>
        </row>
        <row r="95">
          <cell r="A95" t="str">
            <v>JUNAEB ESCUELA NUEVA ZELANDIA</v>
          </cell>
          <cell r="B95" t="str">
            <v>Público</v>
          </cell>
        </row>
        <row r="96">
          <cell r="A96" t="str">
            <v>CESFAM PENCAHUE</v>
          </cell>
          <cell r="B96" t="str">
            <v>Público</v>
          </cell>
        </row>
        <row r="97">
          <cell r="A97" t="str">
            <v>HOSPITAL BASE DE LINARES</v>
          </cell>
          <cell r="B97" t="str">
            <v>Público</v>
          </cell>
        </row>
        <row r="98">
          <cell r="A98" t="str">
            <v>HOSPITAL DE CASTRO</v>
          </cell>
          <cell r="B98" t="str">
            <v>Público</v>
          </cell>
        </row>
        <row r="99">
          <cell r="A99" t="str">
            <v>HOSPITAL DE OVALLE</v>
          </cell>
          <cell r="B99" t="str">
            <v>Público</v>
          </cell>
        </row>
        <row r="100">
          <cell r="A100" t="str">
            <v>CENTRO CLINICO MILITAR ARICA</v>
          </cell>
          <cell r="B100" t="str">
            <v>Privado</v>
          </cell>
        </row>
        <row r="101">
          <cell r="A101" t="str">
            <v xml:space="preserve">CESFAM CONSTITUCIÓN </v>
          </cell>
          <cell r="B101" t="str">
            <v>Público</v>
          </cell>
        </row>
        <row r="102">
          <cell r="A102" t="str">
            <v>CESFAM MARTA UGARTE QUILICURA</v>
          </cell>
          <cell r="B102" t="str">
            <v>Público</v>
          </cell>
        </row>
        <row r="103">
          <cell r="A103" t="str">
            <v>CESFAM VICTOR CASTRO</v>
          </cell>
          <cell r="B103" t="str">
            <v>Público</v>
          </cell>
        </row>
        <row r="104">
          <cell r="A104" t="str">
            <v>HOSPITAL COLLIPULLI</v>
          </cell>
          <cell r="B104" t="str">
            <v>Público</v>
          </cell>
        </row>
        <row r="105">
          <cell r="A105" t="str">
            <v>CESFAM ALERCE</v>
          </cell>
          <cell r="B105" t="str">
            <v>Público</v>
          </cell>
        </row>
        <row r="106">
          <cell r="A106" t="str">
            <v>HOSPITAL DE PUERTO OCTAY</v>
          </cell>
          <cell r="B106" t="str">
            <v>Público</v>
          </cell>
        </row>
        <row r="107">
          <cell r="A107" t="str">
            <v>CESFAM LONGAVI</v>
          </cell>
          <cell r="B107" t="str">
            <v>Público</v>
          </cell>
        </row>
        <row r="108">
          <cell r="A108" t="str">
            <v>UNIVERSIDAD DE CHILE</v>
          </cell>
          <cell r="B108" t="str">
            <v>Privado</v>
          </cell>
        </row>
        <row r="109">
          <cell r="A109" t="str">
            <v>HOSPITAL DE TRAIGUEN</v>
          </cell>
          <cell r="B109" t="str">
            <v>Público</v>
          </cell>
        </row>
        <row r="110">
          <cell r="A110" t="str">
            <v>CESFAM YERBAS BUENAS</v>
          </cell>
          <cell r="B110" t="str">
            <v>Público</v>
          </cell>
        </row>
        <row r="111">
          <cell r="A111" t="str">
            <v>CESFAM LOS CERROS</v>
          </cell>
          <cell r="B111" t="str">
            <v>Público</v>
          </cell>
        </row>
        <row r="112">
          <cell r="A112" t="str">
            <v>UNIVERSIDAD DE CONCEPCION</v>
          </cell>
          <cell r="B112" t="str">
            <v>Privado</v>
          </cell>
        </row>
        <row r="113">
          <cell r="A113" t="str">
            <v>CESFAM ARRAU MENDEZ PARRAL</v>
          </cell>
          <cell r="B113" t="str">
            <v>Público</v>
          </cell>
        </row>
        <row r="114">
          <cell r="A114" t="str">
            <v>HOSPITAL SANTA JUANA</v>
          </cell>
          <cell r="B114" t="str">
            <v>Público</v>
          </cell>
        </row>
        <row r="115">
          <cell r="A115" t="str">
            <v>INTEGRAMEDICA LA SERENA</v>
          </cell>
          <cell r="B115" t="str">
            <v>Privado</v>
          </cell>
        </row>
        <row r="116">
          <cell r="A116" t="str">
            <v>CENTRAL ODONTOLOGICA PRIMERA ZONA NAVAL VIÑA</v>
          </cell>
          <cell r="B116" t="str">
            <v>Privado</v>
          </cell>
        </row>
        <row r="117">
          <cell r="A117" t="str">
            <v>NORDEN NEW YORK</v>
          </cell>
          <cell r="B117" t="str">
            <v>Privado</v>
          </cell>
        </row>
        <row r="118">
          <cell r="A118" t="str">
            <v>DR. FRANCISCO ASTURIAS PEREZ</v>
          </cell>
          <cell r="B118" t="str">
            <v>Privado</v>
          </cell>
        </row>
        <row r="119">
          <cell r="A119" t="str">
            <v>CESFAM STEGGER</v>
          </cell>
          <cell r="B119" t="str">
            <v>Público</v>
          </cell>
        </row>
        <row r="120">
          <cell r="A120" t="str">
            <v>NORDEN</v>
          </cell>
          <cell r="B120" t="str">
            <v>Privado</v>
          </cell>
        </row>
        <row r="121">
          <cell r="A121" t="str">
            <v>CENTRO NORDEN AGUSTINAS 640</v>
          </cell>
          <cell r="B121" t="str">
            <v>Privado</v>
          </cell>
        </row>
        <row r="122">
          <cell r="A122" t="str">
            <v>CLINICA MUC SPA</v>
          </cell>
          <cell r="B122" t="str">
            <v>Privado</v>
          </cell>
        </row>
        <row r="123">
          <cell r="A123" t="str">
            <v>CESFAM COLINA</v>
          </cell>
          <cell r="B123" t="str">
            <v>Público</v>
          </cell>
        </row>
        <row r="124">
          <cell r="A124" t="str">
            <v>CESFAM JULIO CONTARDO URZUA DE TALCA</v>
          </cell>
          <cell r="B124" t="str">
            <v>Público</v>
          </cell>
        </row>
        <row r="125">
          <cell r="A125" t="str">
            <v>CESFAM MAGISTERIO, TALCA</v>
          </cell>
          <cell r="B125" t="str">
            <v>Público</v>
          </cell>
        </row>
        <row r="126">
          <cell r="A126" t="str">
            <v>CESFAM RIO CLARO</v>
          </cell>
          <cell r="B126" t="str">
            <v>Público</v>
          </cell>
        </row>
        <row r="127">
          <cell r="A127" t="str">
            <v>CESFAM EL SAUCE COQUIMBO</v>
          </cell>
          <cell r="B127" t="str">
            <v>Público</v>
          </cell>
        </row>
        <row r="128">
          <cell r="A128" t="str">
            <v>HOSPITAL DE LAUTARO</v>
          </cell>
          <cell r="B128" t="str">
            <v>Público</v>
          </cell>
        </row>
        <row r="129">
          <cell r="A129" t="str">
            <v>CESFAM VIOLETA PARRA (PUDAHUEL)</v>
          </cell>
          <cell r="B129" t="str">
            <v>Público</v>
          </cell>
        </row>
        <row r="130">
          <cell r="A130" t="str">
            <v>HOSPITAL FUTALEUFU</v>
          </cell>
          <cell r="B130" t="str">
            <v>Público</v>
          </cell>
        </row>
        <row r="131">
          <cell r="A131" t="str">
            <v>HOSPITAL DE FRUTILLAR</v>
          </cell>
          <cell r="B131" t="str">
            <v>Público</v>
          </cell>
        </row>
        <row r="132">
          <cell r="A132" t="str">
            <v>CESFAM SAN VICENTE TALCAHUANO</v>
          </cell>
          <cell r="B132" t="str">
            <v>Público</v>
          </cell>
        </row>
        <row r="133">
          <cell r="A133" t="str">
            <v>HOSPITAL DE SALAMANCA</v>
          </cell>
          <cell r="B133" t="str">
            <v>Público</v>
          </cell>
        </row>
        <row r="134">
          <cell r="A134" t="str">
            <v>HOSPITAL DE IQUIQUE</v>
          </cell>
          <cell r="B134" t="str">
            <v>Público</v>
          </cell>
        </row>
        <row r="135">
          <cell r="A135" t="str">
            <v>CLINICA SANATORIO ALEMAN</v>
          </cell>
          <cell r="B135" t="str">
            <v>Privado</v>
          </cell>
        </row>
        <row r="136">
          <cell r="A136" t="str">
            <v>HOSPITAL DE SANTA BARBARA</v>
          </cell>
          <cell r="B136" t="str">
            <v>Público</v>
          </cell>
        </row>
        <row r="137">
          <cell r="A137" t="str">
            <v>HOSPITAL LA LIGUA</v>
          </cell>
          <cell r="B137" t="str">
            <v>Público</v>
          </cell>
        </row>
        <row r="138">
          <cell r="A138" t="str">
            <v>HOSPITAL DE PARRAL</v>
          </cell>
          <cell r="B138" t="str">
            <v>Público</v>
          </cell>
        </row>
        <row r="139">
          <cell r="A139" t="str">
            <v>HOSPITAL SANTO TOMAS DE LIMACHE</v>
          </cell>
          <cell r="B139" t="str">
            <v>Público</v>
          </cell>
        </row>
        <row r="140">
          <cell r="A140" t="str">
            <v>UNIVERSIDAD DEL DESARROLLO CONCEPCION</v>
          </cell>
          <cell r="B140" t="str">
            <v>Privado</v>
          </cell>
        </row>
        <row r="141">
          <cell r="A141" t="str">
            <v>HOSPITAL DE ANGOL</v>
          </cell>
          <cell r="B141" t="str">
            <v>Público</v>
          </cell>
        </row>
        <row r="142">
          <cell r="A142" t="str">
            <v>HOSPITAL DE QUILLOTA</v>
          </cell>
          <cell r="B142" t="str">
            <v>Público</v>
          </cell>
        </row>
        <row r="143">
          <cell r="A143" t="str">
            <v>CLINICA UNIVERSITARIA CONCEPCION</v>
          </cell>
          <cell r="B143" t="str">
            <v>Privado</v>
          </cell>
        </row>
        <row r="144">
          <cell r="A144" t="str">
            <v>CLINICA HOGAR BUENA SALUD S.P.A</v>
          </cell>
          <cell r="B144" t="str">
            <v>Privado</v>
          </cell>
        </row>
        <row r="145">
          <cell r="A145" t="str">
            <v>UNIVERSIDAD DE LA FRONTERA</v>
          </cell>
          <cell r="B145" t="str">
            <v>Privado</v>
          </cell>
        </row>
        <row r="146">
          <cell r="A146" t="str">
            <v>HOSPITAL LA SERENA</v>
          </cell>
          <cell r="B146" t="str">
            <v>Público</v>
          </cell>
        </row>
        <row r="147">
          <cell r="A147" t="str">
            <v>CLINICA BIO-BIO S.A.</v>
          </cell>
          <cell r="B147" t="str">
            <v>Privado</v>
          </cell>
        </row>
        <row r="148">
          <cell r="A148" t="str">
            <v>POLICIA DE INVESTIGACIONES DE CHILE</v>
          </cell>
          <cell r="B148" t="str">
            <v>Privado</v>
          </cell>
        </row>
        <row r="149">
          <cell r="A149" t="str">
            <v>ODONTOESTETICA</v>
          </cell>
          <cell r="B149" t="str">
            <v>Privado</v>
          </cell>
        </row>
        <row r="150">
          <cell r="A150" t="str">
            <v>LA ARAUCANA SALUD S.A.</v>
          </cell>
          <cell r="B150" t="str">
            <v>Privado</v>
          </cell>
        </row>
        <row r="151">
          <cell r="A151" t="str">
            <v>SERVICIO DE SALUD ÑUBLE</v>
          </cell>
          <cell r="B151" t="str">
            <v>Público</v>
          </cell>
        </row>
        <row r="152">
          <cell r="A152" t="str">
            <v>ODONTOLOGIA GARCIA TOMASSOVICH S.A.</v>
          </cell>
          <cell r="B152" t="str">
            <v>Privado</v>
          </cell>
        </row>
        <row r="153">
          <cell r="A153" t="str">
            <v>INSTITUTO DE SALUD PUBLICA</v>
          </cell>
          <cell r="B153" t="str">
            <v>Público</v>
          </cell>
        </row>
        <row r="154">
          <cell r="A154" t="str">
            <v>HOSPITAL DE TOME</v>
          </cell>
          <cell r="B154" t="str">
            <v>Público</v>
          </cell>
        </row>
        <row r="155">
          <cell r="A155" t="str">
            <v>FUND. DE DESARROLLO EDUC. Y TECN. LA ARAUCARIA</v>
          </cell>
          <cell r="B155" t="str">
            <v>Público</v>
          </cell>
        </row>
        <row r="156">
          <cell r="A156" t="str">
            <v>INTEGRAMEDICA EL TREBOL</v>
          </cell>
          <cell r="B156" t="str">
            <v>Privado</v>
          </cell>
        </row>
        <row r="157">
          <cell r="A157" t="str">
            <v>NORDEN  SEDE PEÑALOLEN</v>
          </cell>
          <cell r="B157" t="str">
            <v>Privado</v>
          </cell>
        </row>
        <row r="158">
          <cell r="A158" t="str">
            <v>INGENIERIA Y CONSTRUCCION COPAYAPU LIMITADA</v>
          </cell>
          <cell r="B158" t="str">
            <v>Privado</v>
          </cell>
        </row>
        <row r="159">
          <cell r="A159" t="str">
            <v>SERVICIO DE SALUD DEL MAULE</v>
          </cell>
          <cell r="B159" t="str">
            <v>Público</v>
          </cell>
        </row>
        <row r="160">
          <cell r="A160" t="str">
            <v>POLICIA DE INVESTIGACIONES ANTOFAGASTA</v>
          </cell>
          <cell r="B160" t="str">
            <v>Privado</v>
          </cell>
        </row>
        <row r="161">
          <cell r="A161" t="str">
            <v>CESFAM PEDRO PULGAR MELGAREJO</v>
          </cell>
          <cell r="B161" t="str">
            <v>Público</v>
          </cell>
        </row>
        <row r="162">
          <cell r="A162" t="str">
            <v>HOSPITAL DE HUASCO</v>
          </cell>
          <cell r="B162" t="str">
            <v>Público</v>
          </cell>
        </row>
        <row r="163">
          <cell r="A163" t="str">
            <v>CLINICA ORTHODENT</v>
          </cell>
          <cell r="B163" t="str">
            <v>Privado</v>
          </cell>
        </row>
        <row r="164">
          <cell r="A164" t="str">
            <v>SERVICIOS ODONTOLOGICOS BRIDENT LTDA</v>
          </cell>
          <cell r="B164" t="str">
            <v>Privado</v>
          </cell>
        </row>
        <row r="165">
          <cell r="A165" t="str">
            <v>CARABINEROS CHILLAN</v>
          </cell>
          <cell r="B165" t="str">
            <v>Privado</v>
          </cell>
        </row>
        <row r="166">
          <cell r="A166" t="str">
            <v>GENDARMERIA DE CHILE</v>
          </cell>
          <cell r="B166" t="str">
            <v>Privado</v>
          </cell>
        </row>
        <row r="167">
          <cell r="A167" t="str">
            <v>I. MUNICIPALIDAD DE PAINE</v>
          </cell>
          <cell r="B167" t="str">
            <v>Público</v>
          </cell>
        </row>
        <row r="168">
          <cell r="A168" t="str">
            <v>CESFAM ALEMANIA</v>
          </cell>
          <cell r="B168" t="str">
            <v>Público</v>
          </cell>
        </row>
        <row r="169">
          <cell r="A169" t="str">
            <v>CESFAM SAN RAFAEL</v>
          </cell>
          <cell r="B169" t="str">
            <v>Público</v>
          </cell>
        </row>
        <row r="170">
          <cell r="A170" t="str">
            <v>CESFAM FAUSTINO GONZALEZ</v>
          </cell>
          <cell r="B170" t="str">
            <v>Público</v>
          </cell>
        </row>
        <row r="171">
          <cell r="A171" t="str">
            <v>CESFAM N° 2 RANCAGUA</v>
          </cell>
          <cell r="B171" t="str">
            <v>Público</v>
          </cell>
        </row>
        <row r="172">
          <cell r="A172" t="str">
            <v>UNIVERSIDAD SAN SEBASTIAN</v>
          </cell>
          <cell r="B172" t="str">
            <v>Privado</v>
          </cell>
        </row>
        <row r="173">
          <cell r="A173" t="str">
            <v>UNIVERSIDAD ARTURO PRAT</v>
          </cell>
          <cell r="B173" t="str">
            <v>Privado</v>
          </cell>
        </row>
        <row r="174">
          <cell r="A174" t="str">
            <v>CESFAM NORPONIENTE DE CALAMA</v>
          </cell>
          <cell r="B174" t="str">
            <v>Público</v>
          </cell>
        </row>
        <row r="175">
          <cell r="A175" t="str">
            <v>CESFAM BOCA SUR</v>
          </cell>
          <cell r="B175" t="str">
            <v>Público</v>
          </cell>
        </row>
        <row r="176">
          <cell r="A176" t="str">
            <v>HOSPITAL DE CAUQUENES</v>
          </cell>
          <cell r="B176" t="str">
            <v>Público</v>
          </cell>
        </row>
        <row r="177">
          <cell r="A177" t="str">
            <v>HOSPITAL DEL PROFESOR</v>
          </cell>
          <cell r="B177" t="str">
            <v>Público</v>
          </cell>
        </row>
        <row r="178">
          <cell r="A178" t="str">
            <v>FUNDACION JOSEFINA MARTINEZ DE FERRARI</v>
          </cell>
          <cell r="B178" t="str">
            <v>Privado</v>
          </cell>
        </row>
        <row r="179">
          <cell r="A179" t="str">
            <v>HOSPITAL DE HUALAÑE</v>
          </cell>
          <cell r="B179" t="str">
            <v>Público</v>
          </cell>
        </row>
        <row r="180">
          <cell r="A180" t="str">
            <v>CESFAM FUTRONO</v>
          </cell>
          <cell r="B180" t="str">
            <v>Público</v>
          </cell>
        </row>
        <row r="181">
          <cell r="A181" t="str">
            <v>HOSPITAL DE MULCHEN</v>
          </cell>
          <cell r="B181" t="str">
            <v>Público</v>
          </cell>
        </row>
        <row r="182">
          <cell r="A182" t="str">
            <v>MUNICIPALIDAD DE STA.  JUANA</v>
          </cell>
          <cell r="B182" t="str">
            <v>Público</v>
          </cell>
        </row>
        <row r="183">
          <cell r="A183" t="str">
            <v>HOSPITAL DE COYHAIQUE</v>
          </cell>
          <cell r="B183" t="str">
            <v>Público</v>
          </cell>
        </row>
        <row r="184">
          <cell r="A184" t="str">
            <v>ONCOMED</v>
          </cell>
          <cell r="B184" t="str">
            <v>Privado</v>
          </cell>
        </row>
        <row r="185">
          <cell r="A185" t="str">
            <v>HOSPITAL DE FRESIA</v>
          </cell>
          <cell r="B185" t="str">
            <v>Público</v>
          </cell>
        </row>
        <row r="186">
          <cell r="A186" t="str">
            <v>SERVICIO DE SALUD VALPARAISO SN ANTONIO</v>
          </cell>
          <cell r="B186" t="str">
            <v>Público</v>
          </cell>
        </row>
        <row r="187">
          <cell r="A187" t="str">
            <v>HOSPITAL DE QUILPUE</v>
          </cell>
          <cell r="B187" t="str">
            <v>Público</v>
          </cell>
        </row>
        <row r="188">
          <cell r="A188" t="str">
            <v>CESFAM SAN FELIPE DEL REAL</v>
          </cell>
          <cell r="B188" t="str">
            <v>Público</v>
          </cell>
        </row>
        <row r="189">
          <cell r="A189" t="str">
            <v>INTEGRAMEDICA TALCA</v>
          </cell>
          <cell r="B189" t="str">
            <v>Privado</v>
          </cell>
        </row>
        <row r="190">
          <cell r="A190" t="str">
            <v>POLICENTER</v>
          </cell>
          <cell r="B190" t="str">
            <v>Privado</v>
          </cell>
        </row>
        <row r="191">
          <cell r="A191" t="str">
            <v>INSTITUTO NACIONAL DEL TORAX</v>
          </cell>
          <cell r="B191" t="str">
            <v>Público</v>
          </cell>
        </row>
        <row r="192">
          <cell r="A192" t="str">
            <v>ACHS</v>
          </cell>
          <cell r="B192" t="str">
            <v>Privado</v>
          </cell>
        </row>
        <row r="193">
          <cell r="A193" t="str">
            <v>HOSPITAL DE CONSTITUCION</v>
          </cell>
          <cell r="B193" t="str">
            <v>Público</v>
          </cell>
        </row>
        <row r="194">
          <cell r="A194" t="str">
            <v>HOSPITAL BASE DE VALDIVIA</v>
          </cell>
          <cell r="B194" t="str">
            <v>Público</v>
          </cell>
        </row>
        <row r="195">
          <cell r="A195" t="str">
            <v>HOSPITAL LAS HIGUERAS</v>
          </cell>
          <cell r="B195" t="str">
            <v>Público</v>
          </cell>
        </row>
        <row r="196">
          <cell r="A196" t="str">
            <v>SERVICIO DE SALUD CONCEPCION</v>
          </cell>
          <cell r="B196" t="str">
            <v>Público</v>
          </cell>
        </row>
        <row r="197">
          <cell r="A197" t="str">
            <v>S.S VIÑA DEL MAR-QUILLOTA</v>
          </cell>
          <cell r="B197" t="str">
            <v>Público</v>
          </cell>
        </row>
        <row r="198">
          <cell r="A198" t="str">
            <v>SERVICIO DE SALUD BIO-BIO</v>
          </cell>
          <cell r="B198" t="str">
            <v>Público</v>
          </cell>
        </row>
        <row r="199">
          <cell r="A199" t="str">
            <v>S. SALUD METROPOLITANO SUR ORIENTE</v>
          </cell>
          <cell r="B199" t="str">
            <v>Público</v>
          </cell>
        </row>
        <row r="200">
          <cell r="A200" t="str">
            <v>SERVICIO DE SALUD CHILOE</v>
          </cell>
          <cell r="B200" t="str">
            <v>Público</v>
          </cell>
        </row>
        <row r="201">
          <cell r="A201" t="str">
            <v>HOSPITAL REGIONAL DE RANCAGUA</v>
          </cell>
          <cell r="B201" t="str">
            <v>Público</v>
          </cell>
        </row>
        <row r="202">
          <cell r="A202" t="str">
            <v>HOSPITAL SAN JUAN DE DIOS</v>
          </cell>
          <cell r="B202" t="str">
            <v>Público</v>
          </cell>
        </row>
        <row r="203">
          <cell r="A203" t="str">
            <v>HOSPITAL DE COPIAPO</v>
          </cell>
          <cell r="B203" t="str">
            <v>Público</v>
          </cell>
        </row>
        <row r="204">
          <cell r="A204" t="str">
            <v>HOSPITAL DE CABILDO</v>
          </cell>
          <cell r="B204" t="str">
            <v>Público</v>
          </cell>
        </row>
        <row r="205">
          <cell r="A205" t="str">
            <v>INSTITUTO NACIONAL DE GERIATRIA</v>
          </cell>
          <cell r="B205" t="str">
            <v>Público</v>
          </cell>
        </row>
        <row r="206">
          <cell r="A206" t="str">
            <v>INSTITUTO DE SEGURIDAD DEL TRABAJO</v>
          </cell>
          <cell r="B206" t="str">
            <v>Público</v>
          </cell>
        </row>
        <row r="207">
          <cell r="A207" t="str">
            <v>CORP. MUNICIPAL DESARROLLO SOCIAL ANTOFAGASTA</v>
          </cell>
          <cell r="B207" t="str">
            <v>Público</v>
          </cell>
        </row>
        <row r="208">
          <cell r="A208" t="str">
            <v>HOSPITAL ROBERTO DEL RIO</v>
          </cell>
          <cell r="B208" t="str">
            <v>Público</v>
          </cell>
        </row>
        <row r="209">
          <cell r="A209" t="str">
            <v>CESFAM RAUL BRAÑES</v>
          </cell>
          <cell r="B209" t="str">
            <v>Público</v>
          </cell>
        </row>
        <row r="210">
          <cell r="A210" t="str">
            <v>PONTIFICIA UNIVERSIDAD CATOLICA DE CHILE</v>
          </cell>
          <cell r="B210" t="str">
            <v>Privado</v>
          </cell>
        </row>
        <row r="211">
          <cell r="A211" t="str">
            <v>HOSPITAL  SAN JOSE DE MAIPO</v>
          </cell>
          <cell r="B211" t="str">
            <v>Público</v>
          </cell>
        </row>
        <row r="212">
          <cell r="A212" t="str">
            <v>MUNICIPALIDAD BARNECHEA</v>
          </cell>
          <cell r="B212" t="str">
            <v>Público</v>
          </cell>
        </row>
        <row r="213">
          <cell r="A213" t="str">
            <v>HOSPITAL DE LA FLORIDA</v>
          </cell>
          <cell r="B213" t="str">
            <v>Público</v>
          </cell>
        </row>
        <row r="214">
          <cell r="A214" t="str">
            <v>INTEGRAMEDICA TOBALABA</v>
          </cell>
          <cell r="B214" t="str">
            <v>Privado</v>
          </cell>
        </row>
        <row r="215">
          <cell r="A215" t="str">
            <v>INTEGRAMEDICA MANQUEHUE</v>
          </cell>
          <cell r="B215" t="str">
            <v>Privado</v>
          </cell>
        </row>
        <row r="216">
          <cell r="A216" t="str">
            <v>INTEGRAMEDICA PLAZA OESTE</v>
          </cell>
          <cell r="B216" t="str">
            <v>Privado</v>
          </cell>
        </row>
        <row r="217">
          <cell r="A217" t="str">
            <v>INTEGRAMEDICA SAN MIGUEL</v>
          </cell>
          <cell r="B217" t="str">
            <v>Privado</v>
          </cell>
        </row>
        <row r="218">
          <cell r="A218" t="str">
            <v>INTEGRAMEDICA RANCAGUA</v>
          </cell>
          <cell r="B218" t="str">
            <v>Privado</v>
          </cell>
        </row>
        <row r="219">
          <cell r="A219" t="str">
            <v>INTEGRAMEDICA MAIPU</v>
          </cell>
          <cell r="B219" t="str">
            <v>Privado</v>
          </cell>
        </row>
        <row r="220">
          <cell r="A220" t="str">
            <v>INTEGRAMEDICA ALAMEDA</v>
          </cell>
          <cell r="B220" t="str">
            <v>Privado</v>
          </cell>
        </row>
        <row r="221">
          <cell r="A221" t="str">
            <v>INTEGRAMEDICA PUENTE ALTO</v>
          </cell>
          <cell r="B221" t="str">
            <v>Privado</v>
          </cell>
        </row>
        <row r="222">
          <cell r="A222" t="str">
            <v>INTEGRAMEDICA BANDERA</v>
          </cell>
          <cell r="B222" t="str">
            <v>Privado</v>
          </cell>
        </row>
        <row r="223">
          <cell r="A223" t="str">
            <v>INTEGRAMEDICA PLAZA SUR</v>
          </cell>
          <cell r="B223" t="str">
            <v>Privado</v>
          </cell>
        </row>
        <row r="224">
          <cell r="A224" t="str">
            <v>INTEGRAMEDICA SANTA LUCIA.</v>
          </cell>
          <cell r="B224" t="str">
            <v>Privado</v>
          </cell>
        </row>
        <row r="225">
          <cell r="A225" t="str">
            <v>UNIVERSIDAD DE ANTOFAGASTA</v>
          </cell>
          <cell r="B225" t="str">
            <v>Privado</v>
          </cell>
        </row>
        <row r="226">
          <cell r="A226" t="str">
            <v>LA ARAUCANA PUERTO MONTT</v>
          </cell>
          <cell r="B226" t="str">
            <v>Privado</v>
          </cell>
        </row>
        <row r="227">
          <cell r="A227" t="str">
            <v>CESFAM URBANO DE ILLAPEL</v>
          </cell>
          <cell r="B227" t="str">
            <v>Público</v>
          </cell>
        </row>
        <row r="228">
          <cell r="A228" t="str">
            <v>INTEGRAMEDICA BARCELONA</v>
          </cell>
          <cell r="B228" t="str">
            <v>Privado</v>
          </cell>
        </row>
        <row r="229">
          <cell r="A229" t="str">
            <v>CECOSF CERRO ESTANQUE DE TOME</v>
          </cell>
          <cell r="B229" t="str">
            <v>Público</v>
          </cell>
        </row>
        <row r="230">
          <cell r="A230" t="str">
            <v>CESFAM NAVIDAD</v>
          </cell>
          <cell r="B230" t="str">
            <v>Público</v>
          </cell>
        </row>
        <row r="231">
          <cell r="A231" t="str">
            <v>CESFAM LA CANELA</v>
          </cell>
          <cell r="B231" t="str">
            <v>Público</v>
          </cell>
        </row>
        <row r="232">
          <cell r="A232" t="str">
            <v>NORDEN VITACURA</v>
          </cell>
          <cell r="B232" t="str">
            <v>Privado</v>
          </cell>
        </row>
        <row r="233">
          <cell r="A233" t="str">
            <v>CESFAM COLBUN</v>
          </cell>
          <cell r="B233" t="str">
            <v>Público</v>
          </cell>
        </row>
        <row r="234">
          <cell r="A234" t="str">
            <v xml:space="preserve">DOMINION SPA </v>
          </cell>
          <cell r="B234" t="str">
            <v>Privado</v>
          </cell>
        </row>
        <row r="235">
          <cell r="A235" t="str">
            <v>SERVICIO DE SALUD METROPOLITANO SUR</v>
          </cell>
          <cell r="B235" t="str">
            <v>Público</v>
          </cell>
        </row>
        <row r="236">
          <cell r="A236" t="str">
            <v>CRS PEÑALOLEN CORDILLERA ORIENTE </v>
          </cell>
          <cell r="B236" t="str">
            <v>Público</v>
          </cell>
        </row>
        <row r="237">
          <cell r="A237" t="str">
            <v>CESFAM MACHALI</v>
          </cell>
          <cell r="B237" t="str">
            <v>Público</v>
          </cell>
        </row>
        <row r="238">
          <cell r="A238" t="str">
            <v>HOSPITAL DE PICHILEMU</v>
          </cell>
          <cell r="B238" t="str">
            <v>Público</v>
          </cell>
        </row>
        <row r="239">
          <cell r="A239" t="str">
            <v>SERVICIO DE SALUD TALCAHUANO</v>
          </cell>
          <cell r="B239" t="str">
            <v>Público</v>
          </cell>
        </row>
        <row r="240">
          <cell r="A240" t="str">
            <v>CESFAM ROMERAL</v>
          </cell>
          <cell r="B240" t="str">
            <v>Público</v>
          </cell>
        </row>
        <row r="241">
          <cell r="A241" t="str">
            <v>TECMEDENT</v>
          </cell>
          <cell r="B241" t="str">
            <v>Privado</v>
          </cell>
        </row>
        <row r="242">
          <cell r="A242" t="str">
            <v>CESFAM  DICHATO</v>
          </cell>
          <cell r="B242" t="str">
            <v>Público</v>
          </cell>
        </row>
        <row r="243">
          <cell r="A243" t="str">
            <v>SERVICIO SALUD O'HIGGINS</v>
          </cell>
          <cell r="B243" t="str">
            <v>Público</v>
          </cell>
        </row>
        <row r="244">
          <cell r="A244" t="str">
            <v>I. MUNICIPALIDAD DE LINARES</v>
          </cell>
          <cell r="B244" t="str">
            <v>Público</v>
          </cell>
        </row>
        <row r="245">
          <cell r="A245" t="str">
            <v>DIAGNORAD ANTOFAGASTA</v>
          </cell>
          <cell r="B245" t="str">
            <v>Privado</v>
          </cell>
        </row>
        <row r="246">
          <cell r="A246" t="str">
            <v>HOSPITAL DE QUINTEROS</v>
          </cell>
          <cell r="B246" t="str">
            <v>Público</v>
          </cell>
        </row>
        <row r="247">
          <cell r="A247" t="str">
            <v>CECOSF CHUMAQUITO</v>
          </cell>
          <cell r="B247" t="str">
            <v>Público</v>
          </cell>
        </row>
        <row r="248">
          <cell r="A248" t="str">
            <v>I. MUNICIPALIDAD DE LA CISTERNA</v>
          </cell>
          <cell r="B248" t="str">
            <v>Público</v>
          </cell>
        </row>
        <row r="249">
          <cell r="A249" t="str">
            <v>HOSPITAL LOS VILOS</v>
          </cell>
          <cell r="B249" t="str">
            <v>Público</v>
          </cell>
        </row>
        <row r="250">
          <cell r="A250" t="str">
            <v>MUNICIPALIDAD DE HUALPEN</v>
          </cell>
          <cell r="B250" t="str">
            <v>Público</v>
          </cell>
        </row>
        <row r="251">
          <cell r="A251" t="str">
            <v>CESFAM CAROL URZUA</v>
          </cell>
          <cell r="B251" t="str">
            <v>Público</v>
          </cell>
        </row>
        <row r="252">
          <cell r="A252" t="str">
            <v>CESFAM RENGO</v>
          </cell>
          <cell r="B252" t="str">
            <v>Público</v>
          </cell>
        </row>
        <row r="253">
          <cell r="A253" t="str">
            <v>HOSPITAL CLINICO HERMINDA MARTIN CHILLAN</v>
          </cell>
          <cell r="B253" t="str">
            <v>Público</v>
          </cell>
        </row>
        <row r="254">
          <cell r="A254" t="str">
            <v>LA ARAUCANA SALUD  SAN ANTONIO</v>
          </cell>
          <cell r="B254" t="str">
            <v>Privado</v>
          </cell>
        </row>
        <row r="255">
          <cell r="A255" t="str">
            <v>CESFAM CARLOS TRUPP TALCA</v>
          </cell>
          <cell r="B255" t="str">
            <v>Público</v>
          </cell>
        </row>
        <row r="256">
          <cell r="A256" t="str">
            <v>CESFAM ARAUCO</v>
          </cell>
          <cell r="B256" t="str">
            <v>Público</v>
          </cell>
        </row>
        <row r="257">
          <cell r="A257" t="str">
            <v>HOSPITAL SAN VICENTE TAGUA TAGUA</v>
          </cell>
          <cell r="B257" t="str">
            <v>Público</v>
          </cell>
        </row>
        <row r="258">
          <cell r="A258" t="str">
            <v>HOSPITAL EL CARMEN DR. LUIS VALENTIN FERRADA</v>
          </cell>
          <cell r="B258" t="str">
            <v>Público</v>
          </cell>
        </row>
        <row r="259">
          <cell r="A259" t="str">
            <v>HOSPITAL DE QUIRIHUE</v>
          </cell>
          <cell r="B259" t="str">
            <v>Público</v>
          </cell>
        </row>
        <row r="260">
          <cell r="A260" t="str">
            <v>INTEGRAMEDICA ESTACION CENTRAL</v>
          </cell>
          <cell r="B260" t="str">
            <v>Privado</v>
          </cell>
        </row>
        <row r="261">
          <cell r="A261" t="str">
            <v>SERVICIOS DE SALUD INTEGRALES  DE SALUD LTDA.</v>
          </cell>
          <cell r="B261" t="str">
            <v>Privado</v>
          </cell>
        </row>
        <row r="262">
          <cell r="A262" t="str">
            <v>INTEGRAMEDICA VESPUCIO</v>
          </cell>
          <cell r="B262" t="str">
            <v>Privado</v>
          </cell>
        </row>
        <row r="263">
          <cell r="A263" t="str">
            <v>LA ARAUCANA SALUD TEMUCO</v>
          </cell>
          <cell r="B263" t="str">
            <v>Privado</v>
          </cell>
        </row>
        <row r="264">
          <cell r="A264" t="str">
            <v>CESFAM SOL DE SEPTIEMBRE</v>
          </cell>
          <cell r="B264" t="str">
            <v>Público</v>
          </cell>
        </row>
        <row r="265">
          <cell r="A265" t="str">
            <v>LA ARAUCANA OSORNO</v>
          </cell>
          <cell r="B265" t="str">
            <v>Privado</v>
          </cell>
        </row>
        <row r="266">
          <cell r="A266" t="str">
            <v>CLINICA ODONTOLOGICA GEO LTDA</v>
          </cell>
          <cell r="B266" t="str">
            <v>Privado</v>
          </cell>
        </row>
        <row r="267">
          <cell r="A267" t="str">
            <v>CESFAM TALCA</v>
          </cell>
          <cell r="B267" t="str">
            <v>Público</v>
          </cell>
        </row>
        <row r="268">
          <cell r="A268" t="str">
            <v>INTEGRAMEDICA PLAZA EGAÑA</v>
          </cell>
          <cell r="B268" t="str">
            <v>Privado</v>
          </cell>
        </row>
        <row r="269">
          <cell r="A269" t="str">
            <v>CESFAM LA PINCOYA</v>
          </cell>
          <cell r="B269" t="str">
            <v>Público</v>
          </cell>
        </row>
        <row r="270">
          <cell r="A270" t="str">
            <v>CESFAM GOMEZ CARREÑO</v>
          </cell>
          <cell r="B270" t="str">
            <v>Público</v>
          </cell>
        </row>
        <row r="271">
          <cell r="A271" t="str">
            <v>INTEGRAMEDICA VIÑA DEL MAR</v>
          </cell>
          <cell r="B271" t="str">
            <v>Privado</v>
          </cell>
        </row>
        <row r="272">
          <cell r="A272" t="str">
            <v>CESFAM SANTA TERESA</v>
          </cell>
          <cell r="B272" t="str">
            <v>Público</v>
          </cell>
        </row>
        <row r="273">
          <cell r="A273" t="str">
            <v>CESFAM BETTY MUÑOZ</v>
          </cell>
          <cell r="B273" t="str">
            <v>Público</v>
          </cell>
        </row>
        <row r="274">
          <cell r="A274" t="str">
            <v>DRA. ALICIA GUAMBUGUETE</v>
          </cell>
          <cell r="B274" t="str">
            <v>Privado</v>
          </cell>
        </row>
        <row r="275">
          <cell r="A275" t="str">
            <v>CESFAM RODELILLO</v>
          </cell>
          <cell r="B275" t="str">
            <v>Público</v>
          </cell>
        </row>
        <row r="276">
          <cell r="A276" t="str">
            <v>CESFAM LAS AMERICAS</v>
          </cell>
          <cell r="B276" t="str">
            <v>Público</v>
          </cell>
        </row>
        <row r="277">
          <cell r="A277" t="str">
            <v>CESFAM CIRUJANO GUZMAN</v>
          </cell>
          <cell r="B277" t="str">
            <v>Público</v>
          </cell>
        </row>
        <row r="278">
          <cell r="A278" t="str">
            <v>CENTRO DENTAL MATIAS COUSIÑO</v>
          </cell>
          <cell r="B278" t="str">
            <v>Privado</v>
          </cell>
        </row>
        <row r="279">
          <cell r="A279" t="str">
            <v>INTEGRAMEDICA BIO BIO</v>
          </cell>
          <cell r="B279" t="str">
            <v>Privado</v>
          </cell>
        </row>
        <row r="280">
          <cell r="A280" t="str">
            <v>INTEGRAMEDICA PLAZA NORTE</v>
          </cell>
          <cell r="B280" t="str">
            <v>Privado</v>
          </cell>
        </row>
        <row r="281">
          <cell r="A281" t="str">
            <v>SONORAD HUERFANOS</v>
          </cell>
          <cell r="B281" t="str">
            <v>Privado</v>
          </cell>
        </row>
        <row r="282">
          <cell r="A282" t="str">
            <v>CESFAM MARCOS MACUADA</v>
          </cell>
          <cell r="B282" t="str">
            <v>Público</v>
          </cell>
        </row>
        <row r="283">
          <cell r="A283" t="str">
            <v>CESFAM JORGE JORDAN</v>
          </cell>
          <cell r="B283" t="str">
            <v>Público</v>
          </cell>
        </row>
        <row r="284">
          <cell r="A284" t="str">
            <v>I. MUNICIPALIDAD DE OVALLE</v>
          </cell>
          <cell r="B284" t="str">
            <v>Público</v>
          </cell>
        </row>
        <row r="285">
          <cell r="A285" t="str">
            <v>DENTALWISS LTDA.</v>
          </cell>
          <cell r="B285" t="str">
            <v>Privado</v>
          </cell>
        </row>
        <row r="286">
          <cell r="A286" t="str">
            <v>CESFAM LO BARNECHEA</v>
          </cell>
          <cell r="B286" t="str">
            <v>Público</v>
          </cell>
        </row>
        <row r="287">
          <cell r="A287" t="str">
            <v>UNIVERSIDAD SAN SEBASTIAN SEDE CONCPECION</v>
          </cell>
          <cell r="B287" t="str">
            <v>Privado</v>
          </cell>
        </row>
        <row r="288">
          <cell r="A288" t="str">
            <v>CESFAM LOMA COLORADA</v>
          </cell>
          <cell r="B288" t="str">
            <v>Público</v>
          </cell>
        </row>
        <row r="289">
          <cell r="A289" t="str">
            <v>HOSPITAL LITUECHE</v>
          </cell>
          <cell r="B289" t="str">
            <v>Público</v>
          </cell>
        </row>
        <row r="290">
          <cell r="A290" t="str">
            <v>CESFAM LORETO DE COLTAUCO</v>
          </cell>
          <cell r="B290" t="str">
            <v>Público</v>
          </cell>
        </row>
        <row r="291">
          <cell r="A291" t="str">
            <v>CECOSF EDUARDO FREI</v>
          </cell>
          <cell r="B291" t="str">
            <v>Público</v>
          </cell>
        </row>
        <row r="292">
          <cell r="A292" t="str">
            <v>POSTA LIMAHUIDA</v>
          </cell>
          <cell r="B292" t="str">
            <v>Privado</v>
          </cell>
        </row>
        <row r="293">
          <cell r="A293" t="str">
            <v>CESFAM CURICO CENTRO</v>
          </cell>
          <cell r="B293" t="str">
            <v>Público</v>
          </cell>
        </row>
        <row r="294">
          <cell r="A294" t="str">
            <v>CESFAM LLOLLEO</v>
          </cell>
          <cell r="B294" t="str">
            <v>Público</v>
          </cell>
        </row>
        <row r="295">
          <cell r="A295" t="str">
            <v>HOSPITAL ALTO HOSPICIO</v>
          </cell>
          <cell r="B295" t="str">
            <v>Público</v>
          </cell>
        </row>
        <row r="296">
          <cell r="A296" t="str">
            <v>HOSPITAL DE VILLARRICA</v>
          </cell>
          <cell r="B296" t="str">
            <v>Público</v>
          </cell>
        </row>
        <row r="297">
          <cell r="A297" t="str">
            <v>CLINICA PICHIMAPU SPA</v>
          </cell>
          <cell r="B297" t="str">
            <v>Privado</v>
          </cell>
        </row>
        <row r="298">
          <cell r="A298" t="str">
            <v>CESFAM THOMAS FENTON</v>
          </cell>
          <cell r="B298" t="str">
            <v>Público</v>
          </cell>
        </row>
        <row r="299">
          <cell r="A299" t="str">
            <v>SERVICIO DE SALUD MAGALLANES</v>
          </cell>
          <cell r="B299" t="str">
            <v>Público</v>
          </cell>
        </row>
        <row r="300">
          <cell r="A300" t="str">
            <v>CESFAM LAS TORRES</v>
          </cell>
          <cell r="B300" t="str">
            <v>Público</v>
          </cell>
        </row>
        <row r="301">
          <cell r="A301" t="str">
            <v>CLINICA UNIVERSIDAD DE LOS ANDES SAN BERNARDO</v>
          </cell>
          <cell r="B301" t="str">
            <v>Privado</v>
          </cell>
        </row>
        <row r="302">
          <cell r="A302" t="str">
            <v>CESFAM YANEQUEN NEGRETE</v>
          </cell>
          <cell r="B302" t="str">
            <v>Público</v>
          </cell>
        </row>
        <row r="303">
          <cell r="A303" t="str">
            <v>CESFAM ULTRAESTACION CHILLAN</v>
          </cell>
          <cell r="B303" t="str">
            <v>Público</v>
          </cell>
        </row>
        <row r="304">
          <cell r="A304" t="str">
            <v>HOSPITAL DE SAN CARLOS</v>
          </cell>
          <cell r="B304" t="str">
            <v>Público</v>
          </cell>
        </row>
        <row r="305">
          <cell r="A305" t="str">
            <v>LJ AUTOMOTRIZ LTDA</v>
          </cell>
          <cell r="B305" t="str">
            <v>Privado</v>
          </cell>
        </row>
        <row r="306">
          <cell r="A306" t="str">
            <v>SERVICIO DE SALUD METROPOLITANO CENTRAL</v>
          </cell>
          <cell r="B306" t="str">
            <v>Público</v>
          </cell>
        </row>
        <row r="307">
          <cell r="A307" t="str">
            <v>CLINICA ESTORIL</v>
          </cell>
          <cell r="B307" t="str">
            <v>Privado</v>
          </cell>
        </row>
        <row r="308">
          <cell r="A308" t="str">
            <v>KINEROD BUIN</v>
          </cell>
          <cell r="B308" t="str">
            <v>Privado</v>
          </cell>
        </row>
        <row r="309">
          <cell r="A309" t="str">
            <v>CENTRO ODONTOLOGICO MARITZA SALAS</v>
          </cell>
          <cell r="B309" t="str">
            <v>Privado</v>
          </cell>
        </row>
        <row r="310">
          <cell r="A310" t="str">
            <v>CESFAM PICA</v>
          </cell>
          <cell r="B310" t="str">
            <v>Público</v>
          </cell>
        </row>
        <row r="311">
          <cell r="A311" t="str">
            <v>HOSPITAL CLINICO IST VIÑA DEL MAR</v>
          </cell>
          <cell r="B311" t="str">
            <v>Público</v>
          </cell>
        </row>
        <row r="312">
          <cell r="A312" t="str">
            <v>CAPREDENA</v>
          </cell>
          <cell r="B312" t="str">
            <v>Privado</v>
          </cell>
        </row>
        <row r="313">
          <cell r="A313" t="str">
            <v>CLINICA REÑACA</v>
          </cell>
          <cell r="B313" t="str">
            <v>Privado</v>
          </cell>
        </row>
        <row r="314">
          <cell r="A314" t="str">
            <v>CESFAM TUCAPEL</v>
          </cell>
          <cell r="B314" t="str">
            <v>Público</v>
          </cell>
        </row>
        <row r="315">
          <cell r="A315" t="str">
            <v>HOSPITAL DE CARAHUE</v>
          </cell>
          <cell r="B315" t="str">
            <v>Público</v>
          </cell>
        </row>
        <row r="316">
          <cell r="A316" t="str">
            <v>UNIVERSIDAD AUTONOMA DE CHILE</v>
          </cell>
          <cell r="B316" t="str">
            <v>Privado</v>
          </cell>
        </row>
        <row r="317">
          <cell r="A317" t="str">
            <v>CESFAM SAGRADA FAMILIA CURICO</v>
          </cell>
          <cell r="B317" t="str">
            <v>Público</v>
          </cell>
        </row>
        <row r="318">
          <cell r="A318" t="str">
            <v>MUTUAL DE SEGURIDAD SANTIAGO</v>
          </cell>
          <cell r="B318" t="str">
            <v>Privado</v>
          </cell>
        </row>
        <row r="319">
          <cell r="A319" t="str">
            <v>INGELSERVICE</v>
          </cell>
          <cell r="B319" t="str">
            <v>Privado</v>
          </cell>
        </row>
        <row r="320">
          <cell r="A320" t="str">
            <v>CLINICA REDMEDICAL</v>
          </cell>
          <cell r="B320" t="str">
            <v>Privado</v>
          </cell>
        </row>
        <row r="321">
          <cell r="A321" t="str">
            <v>CENTRO REFERENCIAL DE SALUD DR SALVADOR ALLENDE GO</v>
          </cell>
          <cell r="B321" t="str">
            <v>Público</v>
          </cell>
        </row>
        <row r="322">
          <cell r="A322" t="str">
            <v>GOBIERNO REGIONAL DE LOS RIOS</v>
          </cell>
          <cell r="B322" t="str">
            <v>Público</v>
          </cell>
        </row>
        <row r="323">
          <cell r="A323" t="str">
            <v>MUNICIPALIDAD DE VITACURA</v>
          </cell>
          <cell r="B323" t="str">
            <v>Público</v>
          </cell>
        </row>
        <row r="324">
          <cell r="A324" t="str">
            <v>SALUD POR CHILE LIMITADA</v>
          </cell>
          <cell r="B324" t="str">
            <v>Privado</v>
          </cell>
        </row>
        <row r="325">
          <cell r="A325" t="str">
            <v>CENTRO CLINICO SAN BERNARDO</v>
          </cell>
          <cell r="B325" t="str">
            <v>Privado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7DF65-1862-4F91-AFBF-C65BCA48DFD1}" name="Tabla1" displayName="Tabla1" ref="A1:AN326" totalsRowShown="0" headerRowDxfId="81" totalsRowDxfId="80" headerRowBorderDxfId="78" tableBorderDxfId="79">
  <autoFilter ref="A1:AN326" xr:uid="{A05387F1-2C79-4CA9-B64E-F8E9B410119E}"/>
  <tableColumns count="40">
    <tableColumn id="1" xr3:uid="{D3A18642-6630-4030-A2BA-6C9D653257FA}" name="Cliente" dataDxfId="77"/>
    <tableColumn id="35" xr3:uid="{80108B84-C6C3-4182-8DEE-56AC206BC3D0}" name="Tipo de Cliente" dataDxfId="75" totalsRowDxfId="76">
      <calculatedColumnFormula>+VLOOKUP(Tabla1[[#This Row],[Cliente]],'[1]Público Privado'!$A$1:$B$325,2,FALSE)</calculatedColumnFormula>
    </tableColumn>
    <tableColumn id="30" xr3:uid="{06529050-580C-4DF3-9846-149B342970A6}" name="Ingreso 2025 - 2026" dataDxfId="73" totalsRowDxfId="74">
      <calculatedColumnFormula>+SUMIFS('[1]Facturacion a Fecha'!$T:$T,'[1]Facturacion a Fecha'!$AY:$AY,Tabla1[[#This Row],[Cliente]])</calculatedColumnFormula>
    </tableColumn>
    <tableColumn id="23" xr3:uid="{5B6D3F50-C9CC-4663-B20E-A94A2E3BEEF3}" name="Ingreso 2025 - 2026 Correctivo" dataDxfId="71" totalsRowDxfId="72">
      <calculatedColumnFormula>+SUMIFS('[1]Facturacion a Fecha'!$T:$T,'[1]Facturacion a Fecha'!$AY:$AY,Tabla1[[#This Row],[Cliente]],'[1]Facturacion a Fecha'!$AX:$AX,"Correctivo")</calculatedColumnFormula>
    </tableColumn>
    <tableColumn id="21" xr3:uid="{723CC674-35D3-4207-B56F-677828657913}" name="# Correctivo" dataDxfId="69" totalsRowDxfId="70">
      <calculatedColumnFormula>+COUNTIFS('[1]Facturacion a Fecha'!AY:AY,Tabla1[[#This Row],[Cliente]],'[1]Facturacion a Fecha'!AX:AX,"Correctivo")</calculatedColumnFormula>
    </tableColumn>
    <tableColumn id="24" xr3:uid="{2EA13CCC-C0C4-4D0F-936F-CD8A64AA3535}" name="Ingreso 2025 - 2026 Preventivo" dataDxfId="67" totalsRowDxfId="68">
      <calculatedColumnFormula>+SUMIFS('[1]Facturacion a Fecha'!$T:$T,'[1]Facturacion a Fecha'!$AY:$AY,Tabla1[[#This Row],[Cliente]],'[1]Facturacion a Fecha'!$AX:$AX,"Preventivo")</calculatedColumnFormula>
    </tableColumn>
    <tableColumn id="20" xr3:uid="{1FD0CA86-980D-44A0-9AB9-96CDBC1A244E}" name="# Preventivo" dataDxfId="65" totalsRowDxfId="66">
      <calculatedColumnFormula>+COUNTIFS('[1]Facturacion a Fecha'!AY:AY,Tabla1[[#This Row],[Cliente]],'[1]Facturacion a Fecha'!AX:AX,"Preventivo")</calculatedColumnFormula>
    </tableColumn>
    <tableColumn id="27" xr3:uid="{5A366383-B7CA-4B60-B872-83B758E98090}" name="Total" dataDxfId="63" totalsRowDxfId="64">
      <calculatedColumnFormula>+Tabla1[[#This Row],['# Preventivo]]+Tabla1[[#This Row],['# Correctivo]]</calculatedColumnFormula>
    </tableColumn>
    <tableColumn id="25" xr3:uid="{3412FA4B-8D1C-4EF3-BAA4-D25D2EE0C206}" name="$ C/P" dataDxfId="61" totalsRowDxfId="62">
      <calculatedColumnFormula>+IFERROR(Tabla1[[#This Row],[Ingreso 2025 - 2026 Correctivo]]/Tabla1[[#This Row],[Ingreso 2025 - 2026 Preventivo]],0)</calculatedColumnFormula>
    </tableColumn>
    <tableColumn id="22" xr3:uid="{F49832AF-914C-4C30-AD57-1464419B8488}" name="# C/P" dataDxfId="59" totalsRowDxfId="60" dataCellStyle="Millares [0]">
      <calculatedColumnFormula>+IFERROR(Tabla1[[#This Row],['# Correctivo]]/Tabla1[[#This Row],['# Preventivo]],0)</calculatedColumnFormula>
    </tableColumn>
    <tableColumn id="19" xr3:uid="{A099A6C5-7BDD-4721-9AC8-8CB5444376AE}" name="% Preventivo $" dataDxfId="57" totalsRowDxfId="58" dataCellStyle="Porcentaje">
      <calculatedColumnFormula>+IFERROR(Tabla1[[#This Row],[Ingreso 2025 - 2026 Preventivo]]/(Tabla1[[#This Row],[Ingreso 2025 - 2026 Correctivo]]+Tabla1[[#This Row],[Ingreso 2025 - 2026 Preventivo]]),0)</calculatedColumnFormula>
    </tableColumn>
    <tableColumn id="18" xr3:uid="{3F953784-AE31-4568-86E4-71C0D7D42A28}" name="% Correctivo $" dataDxfId="55" totalsRowDxfId="56" dataCellStyle="Porcentaje">
      <calculatedColumnFormula>1-Tabla1[[#This Row],[% Preventivo $]]</calculatedColumnFormula>
    </tableColumn>
    <tableColumn id="37" xr3:uid="{8B0EE942-584B-4261-BBF1-83FE229B395B}" name="BI Total" dataDxfId="53" totalsRowDxfId="54" dataCellStyle="Millares [0]">
      <calculatedColumnFormula>+COUNTIFS('[1]Base Instalada'!AA:AA,Tabla1[[#This Row],[Cliente]])</calculatedColumnFormula>
    </tableColumn>
    <tableColumn id="2" xr3:uid="{47617C2F-564A-4F55-881E-DE67FBE46DC6}" name="Check" dataDxfId="51" totalsRowDxfId="52" dataCellStyle="Millares [0]">
      <calculatedColumnFormula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calculatedColumnFormula>
    </tableColumn>
    <tableColumn id="50" xr3:uid="{ED719CE6-CB2E-420F-91FB-6FF453CBCF77}" name="# Equipos Instalados Esterilización" dataDxfId="49" totalsRowDxfId="50" dataCellStyle="Millares [0]">
      <calculatedColumnFormula>+COUNTIFS('[1]Base Instalada'!AA:AA,Tabla1[[#This Row],[Cliente]],'[1]Base Instalada'!Z:Z,"ESTERILIZACIÓN")</calculatedColumnFormula>
    </tableColumn>
    <tableColumn id="49" xr3:uid="{4035C60D-327E-496D-BCA4-309B399716A1}" name="# Equipos Instalados Dental" dataDxfId="47" totalsRowDxfId="48" dataCellStyle="Millares [0]">
      <calculatedColumnFormula>+COUNTIFS('[1]Base Instalada'!AA:AA,Tabla1[[#This Row],[Cliente]],'[1]Base Instalada'!Z:Z,"DENTAL")</calculatedColumnFormula>
    </tableColumn>
    <tableColumn id="48" xr3:uid="{2189BDA3-99B8-4B94-A4BC-EE8560153152}" name="# Equipos Instalados Endoscopía" dataDxfId="45" totalsRowDxfId="46" dataCellStyle="Millares [0]">
      <calculatedColumnFormula>+COUNTIFS('[1]Base Instalada'!AA:AA,Tabla1[[#This Row],[Cliente]],'[1]Base Instalada'!Z:Z,"ENDOSCOPÍA")</calculatedColumnFormula>
    </tableColumn>
    <tableColumn id="47" xr3:uid="{8F73C446-947A-470E-BFF3-9CD969EE4844}" name="# Equipos Instalados Incardia" dataDxfId="43" totalsRowDxfId="44" dataCellStyle="Millares [0]">
      <calculatedColumnFormula>+COUNTIFS('[1]Base Instalada'!AA:AA,Tabla1[[#This Row],[Cliente]],'[1]Base Instalada'!Z:Z,"INCARDIA")</calculatedColumnFormula>
    </tableColumn>
    <tableColumn id="46" xr3:uid="{C1F24FA4-D0E4-4C47-9034-D496DD64C62C}" name="# Equipos Instalados MMQ" dataDxfId="41" totalsRowDxfId="42" dataCellStyle="Millares [0]">
      <calculatedColumnFormula>+COUNTIFS('[1]Base Instalada'!AA:AA,Tabla1[[#This Row],[Cliente]],'[1]Base Instalada'!Z:Z,"MMQ")</calculatedColumnFormula>
    </tableColumn>
    <tableColumn id="45" xr3:uid="{73F2B187-8B1D-444A-8793-619362FA6A18}" name="# Equipos Instalados REAS" dataDxfId="39" totalsRowDxfId="40" dataCellStyle="Millares [0]">
      <calculatedColumnFormula>+COUNTIFS('[1]Base Instalada'!AA:AA,Tabla1[[#This Row],[Cliente]],'[1]Base Instalada'!Z:Z,"REAS")</calculatedColumnFormula>
    </tableColumn>
    <tableColumn id="44" xr3:uid="{B5F7B3A4-8571-48D9-B40F-E85C081315E9}" name="# Equipos Instalados Mobiliario Clinico" dataDxfId="37" totalsRowDxfId="38" dataCellStyle="Millares [0]">
      <calculatedColumnFormula>+COUNTIFS('[1]Base Instalada'!AA:AA,Tabla1[[#This Row],[Cliente]],'[1]Base Instalada'!Z:Z,"MOBILIARIO CLINICO")</calculatedColumnFormula>
    </tableColumn>
    <tableColumn id="32" xr3:uid="{3CD1C251-D104-4FCE-8A5B-7A9FEFA1A4B8}" name="# Equipos Instalados Mobiliario Otros" dataDxfId="35" totalsRowDxfId="36">
      <calculatedColumnFormula>+COUNTIFS('[1]Base Instalada'!AA:AA,Tabla1[[#This Row],[Cliente]],'[1]Base Instalada'!Z:Z,"OTRO")</calculatedColumnFormula>
    </tableColumn>
    <tableColumn id="29" xr3:uid="{56398AA9-7602-4215-BB78-5C12BBEACF6D}" name="Región" dataDxfId="33" totalsRowDxfId="34">
      <calculatedColumnFormula>TRIM(RIGHT(Y2,LEN(Y2)-FIND("@",SUBSTITUTE(Y2,",","@",LEN(Y2)-LEN(SUBSTITUTE(Y2,",",""))))))</calculatedColumnFormula>
    </tableColumn>
    <tableColumn id="26" xr3:uid="{D3CF9C27-0531-482F-AA19-A9E457087227}" name="Comuna" dataDxfId="31" totalsRowDxfId="32">
      <calculatedColumnFormula>TRIM(MID(Y2,FIND("@",SUBSTITUTE(Y2,",","@",LEN(Y2)-LEN(SUBSTITUTE(Y2,",",""))-1))+1,FIND("@",SUBSTITUTE(Y2,",","@",LEN(Y2)-LEN(SUBSTITUTE(Y2,",",""))))-FIND("@",SUBSTITUTE(Y2,",","@",LEN(Y2)-LEN(SUBSTITUTE(Y2,",",""))-1))-1))</calculatedColumnFormula>
    </tableColumn>
    <tableColumn id="4" xr3:uid="{8F15C77A-B403-4308-823C-A06F701C57E5}" name="Dirección" dataDxfId="29" totalsRowDxfId="30"/>
    <tableColumn id="5" xr3:uid="{1B75DC9D-591F-4E17-86AF-A5FA89C4C4F6}" name="# Contratos Vigentes " dataDxfId="27" totalsRowDxfId="28" dataCellStyle="Millares [0]">
      <calculatedColumnFormula>+COUNTIFS('[1]Pipeline TS'!$F:$F,Tabla1[[#This Row],[Cliente]])</calculatedColumnFormula>
    </tableColumn>
    <tableColumn id="17" xr3:uid="{DA7B5A46-7D62-4334-A7CD-03543CF405B8}" name="Pipeline 2026 $MM ESTERILIZACIÓN" dataDxfId="25" totalsRowDxfId="26" dataCellStyle="Millares [0]">
      <calculatedColumnFormula>SUMIFS('[1]Pipeline Esterilización'!M:M,'[1]Pipeline Esterilización'!E:E,Tabla1[[#This Row],[Cliente]],'[1]Pipeline Esterilización'!B:B,"2026",'[1]Pipeline Esterilización'!L:L,"&gt;0")</calculatedColumnFormula>
    </tableColumn>
    <tableColumn id="16" xr3:uid="{77F15493-BE85-4D48-BBA1-7D72866782B0}" name="Pipeline 2026 $MM ENDOSCOPÍA" dataDxfId="23" totalsRowDxfId="24" dataCellStyle="Millares [0]">
      <calculatedColumnFormula>+SUMIFS('[1]Pipeline Endoscopía'!K:K,'[1]Pipeline Endoscopía'!E:E,Tabla1[[#This Row],[Cliente]],'[1]Pipeline Endoscopía'!B:B,"2026",'[1]Pipeline Endoscopía'!J:J,"&gt;0")</calculatedColumnFormula>
    </tableColumn>
    <tableColumn id="8" xr3:uid="{A2B6A978-28BB-4C7E-992D-EC396AF014C7}" name="Pipeline 2026 $MM DENTAL" dataDxfId="21" totalsRowDxfId="22" dataCellStyle="Millares [0]">
      <calculatedColumnFormula>+SUMIFS('[1]Pipeline Dental'!K:K,'[1]Pipeline Dental'!E:E,Tabla1[[#This Row],[Cliente]],'[1]Pipeline Dental'!B:B,"2026",'[1]Pipeline Dental'!J:J,"&gt;0")</calculatedColumnFormula>
    </tableColumn>
    <tableColumn id="6" xr3:uid="{6BE18A53-C98B-432B-A56E-AF5A48BF1E36}" name="Pipeline 2026 $MM TECSERVICE" dataDxfId="19" totalsRowDxfId="20" dataCellStyle="Millares [0]">
      <calculatedColumnFormula>+SUMIFS('[1]Pipeline TS'!$AB:$AB,'[1]Pipeline TS'!$F:$F,Tabla1[[#This Row],[Cliente]])</calculatedColumnFormula>
    </tableColumn>
    <tableColumn id="36" xr3:uid="{D654E4A3-722E-44F8-8D78-C1FD16006AC4}" name="Pipeline 2026 $MM Total" dataDxfId="17" totalsRowDxfId="18" dataCellStyle="Millares [0]">
      <calculatedColumnFormula>+SUM(Tabla1[[#This Row],[Pipeline 2026 $MM ESTERILIZACIÓN]:[Pipeline 2026 $MM TECSERVICE]])</calculatedColumnFormula>
    </tableColumn>
    <tableColumn id="14" xr3:uid="{FE2CCA04-25C6-4859-8E27-69B63521EB41}" name="Latitud" dataDxfId="15" totalsRowDxfId="16"/>
    <tableColumn id="12" xr3:uid="{8F32B460-3EC3-4BF0-950D-ABEA7017E545}" name="Longitud" dataDxfId="13" totalsRowDxfId="14"/>
    <tableColumn id="7" xr3:uid="{39C72FAA-4C41-48F0-BA33-A4D698D6150A}" name="Con Contrato - Sin Contrato" dataDxfId="11" totalsRowDxfId="12">
      <calculatedColumnFormula>+IF(Tabla1[[#This Row],['# Contratos Vigentes ]]&gt;0,"SI","NO")</calculatedColumnFormula>
    </tableColumn>
    <tableColumn id="11" xr3:uid="{40C36D18-BE1E-4F12-8642-4B3DF7CA489A}" name="% Costo Serv. Directo" dataDxfId="9" totalsRowDxfId="10" dataCellStyle="Porcentaje"/>
    <tableColumn id="28" xr3:uid="{D373CC4C-90E7-4C9E-B4B7-639018890A09}" name="Margen $" dataDxfId="7" totalsRowDxfId="8" dataCellStyle="Porcentaje">
      <calculatedColumnFormula>+#REF!*Tabla1[[#This Row],[% Costo Serv. Directo]]</calculatedColumnFormula>
    </tableColumn>
    <tableColumn id="9" xr3:uid="{24E43400-44F5-4DEE-B6D7-48C495FABF24}" name="Nivel de Satisfacción Actual (1-5)" dataDxfId="5" totalsRowDxfId="6"/>
    <tableColumn id="3" xr3:uid="{A500538D-65D1-4F06-8E88-0B85FB18BC7B}" name="Potencial Pipeline" dataDxfId="3" totalsRowDxfId="4">
      <calculatedColumnFormula>+Tabla1[[#This Row],[Pipeline 2026 $MM ESTERILIZACIÓN]]*[1]Inputs!$C$7+[1]Inputs!$C$8*Tabla1[[#This Row],[Pipeline 2026 $MM ENDOSCOPÍA]]+[1]Inputs!$C$9*Tabla1[[#This Row],[Pipeline 2026 $MM DENTAL]]+Tabla1[[#This Row],[Pipeline 2026 $MM TECSERVICE]]</calculatedColumnFormula>
    </tableColumn>
    <tableColumn id="10" xr3:uid="{4DA68AF6-7390-4639-9EE6-D136734D9573}" name="Potencial Equipos" dataDxfId="2">
      <calculatedColumnFormula>+(Tabla1[[#This Row],[Pipeline 2026 $MM TECSERVICE]]=0)*(Tabla1[[#This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calculatedColumnFormula>
    </tableColumn>
    <tableColumn id="13" xr3:uid="{BED5EA7A-1589-41DD-9EB6-E935F8DC5023}" name="Potencial Total" dataDxfId="0" totalsRowDxfId="1">
      <calculatedColumnFormula>+Tabla1[[#This Row],[Potencial Equipos]]+Tabla1[[#This Row],[Potencial Pipeline]]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oogle.cl/maps/place/Hospital+San+Luis+de+Buin/@-33.7350413,-70.7396257,15z/data=!4m6!3m5!1s0x9663213e09b1ae8d:0xd3c9bd6dfb659f7b!8m2!3d-33.7350413!4d-70.7396257!16s%2Fg%2F11fp8yw1xb?entry=t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9923-4352-4794-8AF2-A74919BD246B}">
  <sheetPr>
    <tabColor rgb="FF0000FF"/>
  </sheetPr>
  <dimension ref="A1:AN326"/>
  <sheetViews>
    <sheetView showGridLines="0" tabSelected="1" zoomScale="70" zoomScaleNormal="70" workbookViewId="0"/>
  </sheetViews>
  <sheetFormatPr baseColWidth="10" defaultRowHeight="15" x14ac:dyDescent="0.25"/>
  <cols>
    <col min="1" max="1" width="82.140625" bestFit="1" customWidth="1"/>
    <col min="2" max="2" width="22" customWidth="1"/>
    <col min="3" max="3" width="28.140625" customWidth="1"/>
    <col min="4" max="4" width="40.7109375" style="26" customWidth="1"/>
    <col min="5" max="5" width="18.7109375" style="26" customWidth="1"/>
    <col min="6" max="6" width="41.140625" style="26" customWidth="1"/>
    <col min="7" max="7" width="19.140625" style="26" customWidth="1"/>
    <col min="8" max="8" width="10.7109375" style="90" customWidth="1"/>
    <col min="9" max="9" width="11.140625" style="62" customWidth="1"/>
    <col min="10" max="10" width="9.5703125" style="34" customWidth="1"/>
    <col min="11" max="11" width="21.7109375" style="34" customWidth="1"/>
    <col min="12" max="12" width="21.42578125" style="90" customWidth="1"/>
    <col min="13" max="13" width="15.28515625" style="34" customWidth="1"/>
    <col min="14" max="14" width="13.85546875" style="34" customWidth="1"/>
    <col min="15" max="15" width="41.42578125" style="34" customWidth="1"/>
    <col min="16" max="16" width="33.5703125" style="34" customWidth="1"/>
    <col min="17" max="17" width="39.7109375" style="34" customWidth="1"/>
    <col min="18" max="18" width="35.42578125" style="34" customWidth="1"/>
    <col min="19" max="19" width="31.5703125" style="34" customWidth="1"/>
    <col min="20" max="20" width="32.42578125" style="34" customWidth="1"/>
    <col min="21" max="21" width="45.85546875" style="62" customWidth="1"/>
    <col min="22" max="22" width="44" style="62" customWidth="1"/>
    <col min="23" max="23" width="25.85546875" style="62" bestFit="1" customWidth="1"/>
    <col min="24" max="24" width="21.42578125" style="62" customWidth="1"/>
    <col min="25" max="25" width="84.5703125" bestFit="1" customWidth="1"/>
    <col min="26" max="26" width="28.140625" bestFit="1" customWidth="1"/>
    <col min="27" max="27" width="44.85546875" bestFit="1" customWidth="1"/>
    <col min="28" max="28" width="41.5703125" bestFit="1" customWidth="1"/>
    <col min="29" max="29" width="35" bestFit="1" customWidth="1"/>
    <col min="30" max="30" width="40.5703125" bestFit="1" customWidth="1"/>
    <col min="31" max="31" width="31.42578125" bestFit="1" customWidth="1"/>
    <col min="32" max="32" width="22.7109375" bestFit="1" customWidth="1"/>
    <col min="33" max="33" width="22.42578125" bestFit="1" customWidth="1"/>
    <col min="34" max="34" width="33.85546875" bestFit="1" customWidth="1"/>
    <col min="35" max="35" width="26.7109375" bestFit="1" customWidth="1"/>
    <col min="36" max="36" width="14.42578125" bestFit="1" customWidth="1"/>
    <col min="37" max="37" width="40.140625" bestFit="1" customWidth="1"/>
    <col min="38" max="38" width="22.5703125" bestFit="1" customWidth="1"/>
    <col min="39" max="39" width="22.42578125" bestFit="1" customWidth="1"/>
    <col min="40" max="40" width="19.7109375" bestFit="1" customWidth="1"/>
  </cols>
  <sheetData>
    <row r="1" spans="1:40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7" t="s">
        <v>9</v>
      </c>
      <c r="K1" s="3" t="s">
        <v>10</v>
      </c>
      <c r="L1" s="3" t="s">
        <v>11</v>
      </c>
      <c r="M1" s="8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2" t="s">
        <v>22</v>
      </c>
      <c r="X1" s="12" t="s">
        <v>23</v>
      </c>
      <c r="Y1" s="13" t="s">
        <v>24</v>
      </c>
      <c r="Z1" s="14" t="s">
        <v>25</v>
      </c>
      <c r="AA1" s="15" t="s">
        <v>26</v>
      </c>
      <c r="AB1" s="16" t="s">
        <v>27</v>
      </c>
      <c r="AC1" s="15" t="s">
        <v>28</v>
      </c>
      <c r="AD1" s="17" t="s">
        <v>29</v>
      </c>
      <c r="AE1" s="17" t="s">
        <v>30</v>
      </c>
      <c r="AF1" s="18" t="s">
        <v>31</v>
      </c>
      <c r="AG1" s="13" t="s">
        <v>32</v>
      </c>
      <c r="AH1" s="9" t="s">
        <v>33</v>
      </c>
      <c r="AI1" s="19" t="s">
        <v>34</v>
      </c>
      <c r="AJ1" s="19" t="s">
        <v>35</v>
      </c>
      <c r="AK1" s="20" t="s">
        <v>36</v>
      </c>
      <c r="AL1" s="21" t="s">
        <v>37</v>
      </c>
      <c r="AM1" s="21" t="s">
        <v>38</v>
      </c>
      <c r="AN1" s="21" t="s">
        <v>39</v>
      </c>
    </row>
    <row r="2" spans="1:40" x14ac:dyDescent="0.25">
      <c r="A2" s="22" t="s">
        <v>40</v>
      </c>
      <c r="B2" t="str">
        <f>+VLOOKUP(Tabla1[[#This Row],[Cliente]],'[1]Público Privado'!$A$1:$B$325,2,FALSE)</f>
        <v>Privado</v>
      </c>
      <c r="C2" s="23">
        <f>+SUMIFS('[1]Facturacion a Fecha'!$T:$T,'[1]Facturacion a Fecha'!$AY:$AY,Tabla1[[#This Row],[Cliente]])</f>
        <v>528516799</v>
      </c>
      <c r="D2" s="24">
        <f>+SUMIFS('[1]Facturacion a Fecha'!$T:$T,'[1]Facturacion a Fecha'!$AY:$AY,Tabla1[[#This Row],[Cliente]],'[1]Facturacion a Fecha'!$AX:$AX,"Correctivo")</f>
        <v>487849006</v>
      </c>
      <c r="E2" s="25">
        <f>+COUNTIFS('[1]Facturacion a Fecha'!AY:AY,Tabla1[[#This Row],[Cliente]],'[1]Facturacion a Fecha'!AX:AX,"Correctivo")</f>
        <v>187</v>
      </c>
      <c r="F2" s="25">
        <f>+SUMIFS('[1]Facturacion a Fecha'!$T:$T,'[1]Facturacion a Fecha'!$AY:$AY,Tabla1[[#This Row],[Cliente]],'[1]Facturacion a Fecha'!$AX:$AX,"Preventivo")</f>
        <v>40667793</v>
      </c>
      <c r="G2" s="25">
        <f>+COUNTIFS('[1]Facturacion a Fecha'!AY:AY,Tabla1[[#This Row],[Cliente]],'[1]Facturacion a Fecha'!AX:AX,"Preventivo")</f>
        <v>24</v>
      </c>
      <c r="H2" s="26">
        <f>+Tabla1[[#This Row],['# Preventivo]]+Tabla1[[#This Row],['# Correctivo]]</f>
        <v>211</v>
      </c>
      <c r="I2" s="23">
        <f>+IFERROR(Tabla1[[#This Row],[Ingreso 2025 - 2026 Correctivo]]/Tabla1[[#This Row],[Ingreso 2025 - 2026 Preventivo]],0)</f>
        <v>11.995954784170364</v>
      </c>
      <c r="J2" s="27">
        <f>+IFERROR(Tabla1[[#This Row],['# Correctivo]]/Tabla1[[#This Row],['# Preventivo]],0)</f>
        <v>7.791666666666667</v>
      </c>
      <c r="K2" s="28">
        <f>+IFERROR(Tabla1[[#This Row],[Ingreso 2025 - 2026 Preventivo]]/(Tabla1[[#This Row],[Ingreso 2025 - 2026 Correctivo]]+Tabla1[[#This Row],[Ingreso 2025 - 2026 Preventivo]]),0)</f>
        <v>7.6947020561970822E-2</v>
      </c>
      <c r="L2" s="28">
        <f>1-Tabla1[[#This Row],[% Preventivo $]]</f>
        <v>0.92305297943802922</v>
      </c>
      <c r="M2" s="29">
        <f>+COUNTIFS('[1]Base Instalada'!AA:AA,Tabla1[[#This Row],[Cliente]])</f>
        <v>122</v>
      </c>
      <c r="N2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" s="29">
        <f>+COUNTIFS('[1]Base Instalada'!AA:AA,Tabla1[[#This Row],[Cliente]],'[1]Base Instalada'!Z:Z,"ESTERILIZACIÓN")</f>
        <v>87</v>
      </c>
      <c r="P2" s="29">
        <f>+COUNTIFS('[1]Base Instalada'!AA:AA,Tabla1[[#This Row],[Cliente]],'[1]Base Instalada'!Z:Z,"DENTAL")</f>
        <v>7</v>
      </c>
      <c r="Q2" s="29">
        <f>+COUNTIFS('[1]Base Instalada'!AA:AA,Tabla1[[#This Row],[Cliente]],'[1]Base Instalada'!Z:Z,"ENDOSCOPÍA")</f>
        <v>3</v>
      </c>
      <c r="R2" s="29">
        <f>+COUNTIFS('[1]Base Instalada'!AA:AA,Tabla1[[#This Row],[Cliente]],'[1]Base Instalada'!Z:Z,"INCARDIA")</f>
        <v>0</v>
      </c>
      <c r="S2" s="29">
        <f>+COUNTIFS('[1]Base Instalada'!AA:AA,Tabla1[[#This Row],[Cliente]],'[1]Base Instalada'!Z:Z,"MMQ")</f>
        <v>0</v>
      </c>
      <c r="T2" s="29">
        <f>+COUNTIFS('[1]Base Instalada'!AA:AA,Tabla1[[#This Row],[Cliente]],'[1]Base Instalada'!Z:Z,"REAS")</f>
        <v>0</v>
      </c>
      <c r="U2" s="30">
        <f>+COUNTIFS('[1]Base Instalada'!AA:AA,Tabla1[[#This Row],[Cliente]],'[1]Base Instalada'!Z:Z,"MOBILIARIO CLINICO")</f>
        <v>0</v>
      </c>
      <c r="V2" s="29">
        <f>+COUNTIFS('[1]Base Instalada'!AA:AA,Tabla1[[#This Row],[Cliente]],'[1]Base Instalada'!Z:Z,"OTRO")</f>
        <v>25</v>
      </c>
      <c r="W2" s="31" t="str">
        <f t="shared" ref="W2:W65" si="0">TRIM(RIGHT(Y2,LEN(Y2)-FIND("@",SUBSTITUTE(Y2,",","@",LEN(Y2)-LEN(SUBSTITUTE(Y2,",",""))))))</f>
        <v>Región Metropolitana</v>
      </c>
      <c r="X2" s="31" t="str">
        <f t="shared" ref="X2:X65" si="1">TRIM(MID(Y2,FIND("@",SUBSTITUTE(Y2,",","@",LEN(Y2)-LEN(SUBSTITUTE(Y2,",",""))-1))+1,FIND("@",SUBSTITUTE(Y2,",","@",LEN(Y2)-LEN(SUBSTITUTE(Y2,",",""))))-FIND("@",SUBSTITUTE(Y2,",","@",LEN(Y2)-LEN(SUBSTITUTE(Y2,",",""))-1))-1))</f>
        <v>Macul</v>
      </c>
      <c r="Y2" s="32" t="s">
        <v>41</v>
      </c>
      <c r="Z2" s="33">
        <f>+COUNTIFS('[1]Pipeline TS'!$F:$F,Tabla1[[#This Row],[Cliente]])</f>
        <v>1</v>
      </c>
      <c r="AA2" s="34">
        <f>SUMIFS('[1]Pipeline Esterilización'!M:M,'[1]Pipeline Esterilización'!E:E,Tabla1[[#This Row],[Cliente]],'[1]Pipeline Esterilización'!B:B,"2026",'[1]Pipeline Esterilización'!L:L,"&gt;0")</f>
        <v>750000000</v>
      </c>
      <c r="AB2" s="33">
        <f>+SUMIFS('[1]Pipeline Endoscopía'!K:K,'[1]Pipeline Endoscopía'!E:E,Tabla1[[#This Row],[Cliente]],'[1]Pipeline Endoscopía'!B:B,"2026",'[1]Pipeline Endoscopía'!J:J,"&gt;0")</f>
        <v>0</v>
      </c>
      <c r="AC2" s="34">
        <f>+SUMIFS('[1]Pipeline Dental'!K:K,'[1]Pipeline Dental'!E:E,Tabla1[[#This Row],[Cliente]],'[1]Pipeline Dental'!B:B,"2026",'[1]Pipeline Dental'!J:J,"&gt;0")</f>
        <v>0</v>
      </c>
      <c r="AD2" s="35">
        <f>+SUMIFS('[1]Pipeline TS'!$AB:$AB,'[1]Pipeline TS'!$F:$F,Tabla1[[#This Row],[Cliente]])</f>
        <v>224384595.71999997</v>
      </c>
      <c r="AE2" s="35">
        <f>+SUM(Tabla1[[#This Row],[Pipeline 2026 $MM ESTERILIZACIÓN]:[Pipeline 2026 $MM TECSERVICE]])</f>
        <v>974384595.72000003</v>
      </c>
      <c r="AF2" s="36">
        <v>-33.485501829106198</v>
      </c>
      <c r="AG2" s="37">
        <v>-70.602364702940704</v>
      </c>
      <c r="AH2" s="38" t="str">
        <f>+IF(Tabla1[[#This Row],['# Contratos Vigentes ]]&gt;0,"SI","NO")</f>
        <v>SI</v>
      </c>
      <c r="AI2" s="39">
        <v>0.55000000000000004</v>
      </c>
      <c r="AJ2" s="40">
        <f>+Tabla1[[#This Row],[Ingreso 2025 - 2026]]*Tabla1[[#This Row],[% Costo Serv. Directo]]</f>
        <v>290684239.45000005</v>
      </c>
      <c r="AK2" s="41">
        <v>5</v>
      </c>
      <c r="AL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299384595.71999997</v>
      </c>
      <c r="AM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2" s="42">
        <f>+Tabla1[[#This Row],[Potencial Equipos]]+Tabla1[[#This Row],[Potencial Pipeline]]</f>
        <v>299384595.71999997</v>
      </c>
    </row>
    <row r="3" spans="1:40" x14ac:dyDescent="0.25">
      <c r="A3" s="22" t="s">
        <v>42</v>
      </c>
      <c r="B3" t="str">
        <f>+VLOOKUP(Tabla1[[#This Row],[Cliente]],'[1]Público Privado'!$A$1:$B$325,2,FALSE)</f>
        <v>Privado</v>
      </c>
      <c r="C3" s="23">
        <f>+SUMIFS('[1]Facturacion a Fecha'!$T:$T,'[1]Facturacion a Fecha'!$AY:$AY,Tabla1[[#This Row],[Cliente]])</f>
        <v>383191685</v>
      </c>
      <c r="D3" s="24">
        <f>+SUMIFS('[1]Facturacion a Fecha'!$T:$T,'[1]Facturacion a Fecha'!$AY:$AY,Tabla1[[#This Row],[Cliente]],'[1]Facturacion a Fecha'!$AX:$AX,"Correctivo")</f>
        <v>196327128</v>
      </c>
      <c r="E3" s="25">
        <f>+COUNTIFS('[1]Facturacion a Fecha'!AY:AY,Tabla1[[#This Row],[Cliente]],'[1]Facturacion a Fecha'!AX:AX,"Correctivo")</f>
        <v>156</v>
      </c>
      <c r="F3" s="25">
        <f>+SUMIFS('[1]Facturacion a Fecha'!$T:$T,'[1]Facturacion a Fecha'!$AY:$AY,Tabla1[[#This Row],[Cliente]],'[1]Facturacion a Fecha'!$AX:$AX,"Preventivo")</f>
        <v>186864557</v>
      </c>
      <c r="G3" s="25">
        <f>+COUNTIFS('[1]Facturacion a Fecha'!AY:AY,Tabla1[[#This Row],[Cliente]],'[1]Facturacion a Fecha'!AX:AX,"Preventivo")</f>
        <v>37</v>
      </c>
      <c r="H3" s="26">
        <f>+Tabla1[[#This Row],['# Preventivo]]+Tabla1[[#This Row],['# Correctivo]]</f>
        <v>193</v>
      </c>
      <c r="I3" s="23">
        <f>+IFERROR(Tabla1[[#This Row],[Ingreso 2025 - 2026 Correctivo]]/Tabla1[[#This Row],[Ingreso 2025 - 2026 Preventivo]],0)</f>
        <v>1.050638661241682</v>
      </c>
      <c r="J3" s="27">
        <f>+IFERROR(Tabla1[[#This Row],['# Correctivo]]/Tabla1[[#This Row],['# Preventivo]],0)</f>
        <v>4.2162162162162158</v>
      </c>
      <c r="K3" s="28">
        <f>+IFERROR(Tabla1[[#This Row],[Ingreso 2025 - 2026 Preventivo]]/(Tabla1[[#This Row],[Ingreso 2025 - 2026 Correctivo]]+Tabla1[[#This Row],[Ingreso 2025 - 2026 Preventivo]]),0)</f>
        <v>0.48765295363859473</v>
      </c>
      <c r="L3" s="28">
        <f>1-Tabla1[[#This Row],[% Preventivo $]]</f>
        <v>0.51234704636140527</v>
      </c>
      <c r="M3" s="29">
        <f>+COUNTIFS('[1]Base Instalada'!AA:AA,Tabla1[[#This Row],[Cliente]])</f>
        <v>262</v>
      </c>
      <c r="N3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" s="29">
        <f>+COUNTIFS('[1]Base Instalada'!AA:AA,Tabla1[[#This Row],[Cliente]],'[1]Base Instalada'!Z:Z,"ESTERILIZACIÓN")</f>
        <v>69</v>
      </c>
      <c r="P3" s="29">
        <f>+COUNTIFS('[1]Base Instalada'!AA:AA,Tabla1[[#This Row],[Cliente]],'[1]Base Instalada'!Z:Z,"DENTAL")</f>
        <v>151</v>
      </c>
      <c r="Q3" s="29">
        <f>+COUNTIFS('[1]Base Instalada'!AA:AA,Tabla1[[#This Row],[Cliente]],'[1]Base Instalada'!Z:Z,"ENDOSCOPÍA")</f>
        <v>9</v>
      </c>
      <c r="R3" s="29">
        <f>+COUNTIFS('[1]Base Instalada'!AA:AA,Tabla1[[#This Row],[Cliente]],'[1]Base Instalada'!Z:Z,"INCARDIA")</f>
        <v>6</v>
      </c>
      <c r="S3" s="29">
        <f>+COUNTIFS('[1]Base Instalada'!AA:AA,Tabla1[[#This Row],[Cliente]],'[1]Base Instalada'!Z:Z,"MMQ")</f>
        <v>0</v>
      </c>
      <c r="T3" s="29">
        <f>+COUNTIFS('[1]Base Instalada'!AA:AA,Tabla1[[#This Row],[Cliente]],'[1]Base Instalada'!Z:Z,"REAS")</f>
        <v>0</v>
      </c>
      <c r="U3" s="30">
        <f>+COUNTIFS('[1]Base Instalada'!AA:AA,Tabla1[[#This Row],[Cliente]],'[1]Base Instalada'!Z:Z,"MOBILIARIO CLINICO")</f>
        <v>27</v>
      </c>
      <c r="V3" s="29">
        <f>+COUNTIFS('[1]Base Instalada'!AA:AA,Tabla1[[#This Row],[Cliente]],'[1]Base Instalada'!Z:Z,"OTRO")</f>
        <v>0</v>
      </c>
      <c r="W3" s="31" t="str">
        <f t="shared" si="0"/>
        <v>Región Metropolitana</v>
      </c>
      <c r="X3" s="31" t="str">
        <f t="shared" si="1"/>
        <v>Cerro Navia</v>
      </c>
      <c r="Y3" s="32" t="s">
        <v>43</v>
      </c>
      <c r="Z3" s="33">
        <f>+COUNTIFS('[1]Pipeline TS'!$F:$F,Tabla1[[#This Row],[Cliente]])</f>
        <v>1</v>
      </c>
      <c r="AA3" s="34">
        <f>SUMIFS('[1]Pipeline Esterilización'!M:M,'[1]Pipeline Esterilización'!E:E,Tabla1[[#This Row],[Cliente]],'[1]Pipeline Esterilización'!B:B,"2026",'[1]Pipeline Esterilización'!L:L,"&gt;0")</f>
        <v>0</v>
      </c>
      <c r="AB3" s="33">
        <f>+SUMIFS('[1]Pipeline Endoscopía'!K:K,'[1]Pipeline Endoscopía'!E:E,Tabla1[[#This Row],[Cliente]],'[1]Pipeline Endoscopía'!B:B,"2026",'[1]Pipeline Endoscopía'!J:J,"&gt;0")</f>
        <v>180000000</v>
      </c>
      <c r="AC3" s="34">
        <f>+SUMIFS('[1]Pipeline Dental'!K:K,'[1]Pipeline Dental'!E:E,Tabla1[[#This Row],[Cliente]],'[1]Pipeline Dental'!B:B,"2026",'[1]Pipeline Dental'!J:J,"&gt;0")</f>
        <v>0</v>
      </c>
      <c r="AD3" s="35">
        <f>+SUMIFS('[1]Pipeline TS'!$AB:$AB,'[1]Pipeline TS'!$F:$F,Tabla1[[#This Row],[Cliente]])</f>
        <v>255900086.75999999</v>
      </c>
      <c r="AE3" s="35">
        <f>+SUM(Tabla1[[#This Row],[Pipeline 2026 $MM ESTERILIZACIÓN]:[Pipeline 2026 $MM TECSERVICE]])</f>
        <v>435900086.75999999</v>
      </c>
      <c r="AF3" s="43">
        <v>-33.423769407773598</v>
      </c>
      <c r="AG3" s="37">
        <v>-70.741736770840504</v>
      </c>
      <c r="AH3" s="38" t="str">
        <f>+IF(Tabla1[[#This Row],['# Contratos Vigentes ]]&gt;0,"SI","NO")</f>
        <v>SI</v>
      </c>
      <c r="AI3" s="39">
        <v>0.12</v>
      </c>
      <c r="AJ3" s="40">
        <f>+Tabla1[[#This Row],[Ingreso 2025 - 2026]]*Tabla1[[#This Row],[% Costo Serv. Directo]]</f>
        <v>45983002.199999996</v>
      </c>
      <c r="AK3" s="41">
        <v>5</v>
      </c>
      <c r="AL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266700086.75999999</v>
      </c>
      <c r="AM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3" s="42">
        <f>+Tabla1[[#This Row],[Potencial Equipos]]+Tabla1[[#This Row],[Potencial Pipeline]]</f>
        <v>266700086.75999999</v>
      </c>
    </row>
    <row r="4" spans="1:40" x14ac:dyDescent="0.25">
      <c r="A4" s="22" t="s">
        <v>44</v>
      </c>
      <c r="B4" t="str">
        <f>+VLOOKUP(Tabla1[[#This Row],[Cliente]],'[1]Público Privado'!$A$1:$B$325,2,FALSE)</f>
        <v>Público</v>
      </c>
      <c r="C4" s="23">
        <f>+SUMIFS('[1]Facturacion a Fecha'!$T:$T,'[1]Facturacion a Fecha'!$AY:$AY,Tabla1[[#This Row],[Cliente]])</f>
        <v>192149601</v>
      </c>
      <c r="D4" s="24">
        <f>+SUMIFS('[1]Facturacion a Fecha'!$T:$T,'[1]Facturacion a Fecha'!$AY:$AY,Tabla1[[#This Row],[Cliente]],'[1]Facturacion a Fecha'!$AX:$AX,"Correctivo")</f>
        <v>192149601</v>
      </c>
      <c r="E4" s="25">
        <f>+COUNTIFS('[1]Facturacion a Fecha'!AY:AY,Tabla1[[#This Row],[Cliente]],'[1]Facturacion a Fecha'!AX:AX,"Correctivo")</f>
        <v>3</v>
      </c>
      <c r="F4" s="25">
        <f>+SUMIFS('[1]Facturacion a Fecha'!$T:$T,'[1]Facturacion a Fecha'!$AY:$AY,Tabla1[[#This Row],[Cliente]],'[1]Facturacion a Fecha'!$AX:$AX,"Preventivo")</f>
        <v>0</v>
      </c>
      <c r="G4" s="25">
        <f>+COUNTIFS('[1]Facturacion a Fecha'!AY:AY,Tabla1[[#This Row],[Cliente]],'[1]Facturacion a Fecha'!AX:AX,"Preventivo")</f>
        <v>0</v>
      </c>
      <c r="H4" s="26">
        <f>+Tabla1[[#This Row],['# Preventivo]]+Tabla1[[#This Row],['# Correctivo]]</f>
        <v>3</v>
      </c>
      <c r="I4" s="23">
        <f>+IFERROR(Tabla1[[#This Row],[Ingreso 2025 - 2026 Correctivo]]/Tabla1[[#This Row],[Ingreso 2025 - 2026 Preventivo]],0)</f>
        <v>0</v>
      </c>
      <c r="J4" s="27">
        <f>+IFERROR(Tabla1[[#This Row],['# Correctivo]]/Tabla1[[#This Row],['# Preventivo]],0)</f>
        <v>0</v>
      </c>
      <c r="K4" s="28">
        <f>+IFERROR(Tabla1[[#This Row],[Ingreso 2025 - 2026 Preventivo]]/(Tabla1[[#This Row],[Ingreso 2025 - 2026 Correctivo]]+Tabla1[[#This Row],[Ingreso 2025 - 2026 Preventivo]]),0)</f>
        <v>0</v>
      </c>
      <c r="L4" s="28">
        <f>1-Tabla1[[#This Row],[% Preventivo $]]</f>
        <v>1</v>
      </c>
      <c r="M4" s="29">
        <f>+COUNTIFS('[1]Base Instalada'!AA:AA,Tabla1[[#This Row],[Cliente]])</f>
        <v>40</v>
      </c>
      <c r="N4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" s="29">
        <f>+COUNTIFS('[1]Base Instalada'!AA:AA,Tabla1[[#This Row],[Cliente]],'[1]Base Instalada'!Z:Z,"ESTERILIZACIÓN")</f>
        <v>30</v>
      </c>
      <c r="P4" s="29">
        <f>+COUNTIFS('[1]Base Instalada'!AA:AA,Tabla1[[#This Row],[Cliente]],'[1]Base Instalada'!Z:Z,"DENTAL")</f>
        <v>6</v>
      </c>
      <c r="Q4" s="29">
        <f>+COUNTIFS('[1]Base Instalada'!AA:AA,Tabla1[[#This Row],[Cliente]],'[1]Base Instalada'!Z:Z,"ENDOSCOPÍA")</f>
        <v>2</v>
      </c>
      <c r="R4" s="29">
        <f>+COUNTIFS('[1]Base Instalada'!AA:AA,Tabla1[[#This Row],[Cliente]],'[1]Base Instalada'!Z:Z,"INCARDIA")</f>
        <v>0</v>
      </c>
      <c r="S4" s="29">
        <f>+COUNTIFS('[1]Base Instalada'!AA:AA,Tabla1[[#This Row],[Cliente]],'[1]Base Instalada'!Z:Z,"MMQ")</f>
        <v>0</v>
      </c>
      <c r="T4" s="29">
        <f>+COUNTIFS('[1]Base Instalada'!AA:AA,Tabla1[[#This Row],[Cliente]],'[1]Base Instalada'!Z:Z,"REAS")</f>
        <v>0</v>
      </c>
      <c r="U4" s="30">
        <f>+COUNTIFS('[1]Base Instalada'!AA:AA,Tabla1[[#This Row],[Cliente]],'[1]Base Instalada'!Z:Z,"MOBILIARIO CLINICO")</f>
        <v>2</v>
      </c>
      <c r="V4" s="29">
        <f>+COUNTIFS('[1]Base Instalada'!AA:AA,Tabla1[[#This Row],[Cliente]],'[1]Base Instalada'!Z:Z,"OTRO")</f>
        <v>0</v>
      </c>
      <c r="W4" s="31" t="str">
        <f t="shared" si="0"/>
        <v>Región Metropolitana</v>
      </c>
      <c r="X4" s="31" t="str">
        <f t="shared" si="1"/>
        <v>Las Condes</v>
      </c>
      <c r="Y4" s="32" t="s">
        <v>45</v>
      </c>
      <c r="Z4" s="33">
        <f>+COUNTIFS('[1]Pipeline TS'!$F:$F,Tabla1[[#This Row],[Cliente]])</f>
        <v>1</v>
      </c>
      <c r="AA4" s="34">
        <f>SUMIFS('[1]Pipeline Esterilización'!M:M,'[1]Pipeline Esterilización'!E:E,Tabla1[[#This Row],[Cliente]],'[1]Pipeline Esterilización'!B:B,"2026",'[1]Pipeline Esterilización'!L:L,"&gt;0")</f>
        <v>60000000</v>
      </c>
      <c r="AB4" s="33">
        <f>+SUMIFS('[1]Pipeline Endoscopía'!K:K,'[1]Pipeline Endoscopía'!E:E,Tabla1[[#This Row],[Cliente]],'[1]Pipeline Endoscopía'!B:B,"2026",'[1]Pipeline Endoscopía'!J:J,"&gt;0")</f>
        <v>0</v>
      </c>
      <c r="AC4" s="34">
        <f>+SUMIFS('[1]Pipeline Dental'!K:K,'[1]Pipeline Dental'!E:E,Tabla1[[#This Row],[Cliente]],'[1]Pipeline Dental'!B:B,"2026",'[1]Pipeline Dental'!J:J,"&gt;0")</f>
        <v>0</v>
      </c>
      <c r="AD4" s="35">
        <f>+SUMIFS('[1]Pipeline TS'!$AB:$AB,'[1]Pipeline TS'!$F:$F,Tabla1[[#This Row],[Cliente]])</f>
        <v>4895356</v>
      </c>
      <c r="AE4" s="35">
        <f>+SUM(Tabla1[[#This Row],[Pipeline 2026 $MM ESTERILIZACIÓN]:[Pipeline 2026 $MM TECSERVICE]])</f>
        <v>64895356</v>
      </c>
      <c r="AF4" s="43">
        <v>-33.417724413075</v>
      </c>
      <c r="AG4" s="37">
        <v>-70.527989463645198</v>
      </c>
      <c r="AH4" s="38" t="str">
        <f>+IF(Tabla1[[#This Row],['# Contratos Vigentes ]]&gt;0,"SI","NO")</f>
        <v>SI</v>
      </c>
      <c r="AI4" s="39">
        <v>0.74</v>
      </c>
      <c r="AJ4" s="40">
        <f>+Tabla1[[#This Row],[Ingreso 2025 - 2026]]*Tabla1[[#This Row],[% Costo Serv. Directo]]</f>
        <v>142190704.74000001</v>
      </c>
      <c r="AK4" s="41">
        <v>5</v>
      </c>
      <c r="AL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10895356</v>
      </c>
      <c r="AM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4" s="42">
        <f>+Tabla1[[#This Row],[Potencial Equipos]]+Tabla1[[#This Row],[Potencial Pipeline]]</f>
        <v>10895356</v>
      </c>
    </row>
    <row r="5" spans="1:40" x14ac:dyDescent="0.25">
      <c r="A5" s="22" t="s">
        <v>46</v>
      </c>
      <c r="B5" t="str">
        <f>+VLOOKUP(Tabla1[[#This Row],[Cliente]],'[1]Público Privado'!$A$1:$B$325,2,FALSE)</f>
        <v>Público</v>
      </c>
      <c r="C5" s="23">
        <f>+SUMIFS('[1]Facturacion a Fecha'!$T:$T,'[1]Facturacion a Fecha'!$AY:$AY,Tabla1[[#This Row],[Cliente]])</f>
        <v>152442932</v>
      </c>
      <c r="D5" s="24">
        <f>+SUMIFS('[1]Facturacion a Fecha'!$T:$T,'[1]Facturacion a Fecha'!$AY:$AY,Tabla1[[#This Row],[Cliente]],'[1]Facturacion a Fecha'!$AX:$AX,"Correctivo")</f>
        <v>139248110</v>
      </c>
      <c r="E5" s="25">
        <f>+COUNTIFS('[1]Facturacion a Fecha'!AY:AY,Tabla1[[#This Row],[Cliente]],'[1]Facturacion a Fecha'!AX:AX,"Correctivo")</f>
        <v>15</v>
      </c>
      <c r="F5" s="25">
        <f>+SUMIFS('[1]Facturacion a Fecha'!$T:$T,'[1]Facturacion a Fecha'!$AY:$AY,Tabla1[[#This Row],[Cliente]],'[1]Facturacion a Fecha'!$AX:$AX,"Preventivo")</f>
        <v>13194822</v>
      </c>
      <c r="G5" s="25">
        <f>+COUNTIFS('[1]Facturacion a Fecha'!AY:AY,Tabla1[[#This Row],[Cliente]],'[1]Facturacion a Fecha'!AX:AX,"Preventivo")</f>
        <v>6</v>
      </c>
      <c r="H5" s="26">
        <f>+Tabla1[[#This Row],['# Preventivo]]+Tabla1[[#This Row],['# Correctivo]]</f>
        <v>21</v>
      </c>
      <c r="I5" s="23">
        <f>+IFERROR(Tabla1[[#This Row],[Ingreso 2025 - 2026 Correctivo]]/Tabla1[[#This Row],[Ingreso 2025 - 2026 Preventivo]],0)</f>
        <v>10.553238990264514</v>
      </c>
      <c r="J5" s="27">
        <f>+IFERROR(Tabla1[[#This Row],['# Correctivo]]/Tabla1[[#This Row],['# Preventivo]],0)</f>
        <v>2.5</v>
      </c>
      <c r="K5" s="28">
        <f>+IFERROR(Tabla1[[#This Row],[Ingreso 2025 - 2026 Preventivo]]/(Tabla1[[#This Row],[Ingreso 2025 - 2026 Correctivo]]+Tabla1[[#This Row],[Ingreso 2025 - 2026 Preventivo]]),0)</f>
        <v>8.6555813555199784E-2</v>
      </c>
      <c r="L5" s="28">
        <f>1-Tabla1[[#This Row],[% Preventivo $]]</f>
        <v>0.91344418644480019</v>
      </c>
      <c r="M5" s="29">
        <f>+COUNTIFS('[1]Base Instalada'!AA:AA,Tabla1[[#This Row],[Cliente]])</f>
        <v>77</v>
      </c>
      <c r="N5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" s="29">
        <f>+COUNTIFS('[1]Base Instalada'!AA:AA,Tabla1[[#This Row],[Cliente]],'[1]Base Instalada'!Z:Z,"ESTERILIZACIÓN")</f>
        <v>15</v>
      </c>
      <c r="P5" s="29">
        <f>+COUNTIFS('[1]Base Instalada'!AA:AA,Tabla1[[#This Row],[Cliente]],'[1]Base Instalada'!Z:Z,"DENTAL")</f>
        <v>0</v>
      </c>
      <c r="Q5" s="29">
        <f>+COUNTIFS('[1]Base Instalada'!AA:AA,Tabla1[[#This Row],[Cliente]],'[1]Base Instalada'!Z:Z,"ENDOSCOPÍA")</f>
        <v>2</v>
      </c>
      <c r="R5" s="29">
        <f>+COUNTIFS('[1]Base Instalada'!AA:AA,Tabla1[[#This Row],[Cliente]],'[1]Base Instalada'!Z:Z,"INCARDIA")</f>
        <v>4</v>
      </c>
      <c r="S5" s="29">
        <f>+COUNTIFS('[1]Base Instalada'!AA:AA,Tabla1[[#This Row],[Cliente]],'[1]Base Instalada'!Z:Z,"MMQ")</f>
        <v>0</v>
      </c>
      <c r="T5" s="29">
        <f>+COUNTIFS('[1]Base Instalada'!AA:AA,Tabla1[[#This Row],[Cliente]],'[1]Base Instalada'!Z:Z,"REAS")</f>
        <v>0</v>
      </c>
      <c r="U5" s="30">
        <f>+COUNTIFS('[1]Base Instalada'!AA:AA,Tabla1[[#This Row],[Cliente]],'[1]Base Instalada'!Z:Z,"MOBILIARIO CLINICO")</f>
        <v>56</v>
      </c>
      <c r="V5" s="29">
        <f>+COUNTIFS('[1]Base Instalada'!AA:AA,Tabla1[[#This Row],[Cliente]],'[1]Base Instalada'!Z:Z,"OTRO")</f>
        <v>0</v>
      </c>
      <c r="W5" s="31" t="str">
        <f t="shared" si="0"/>
        <v>Región Los Lagos</v>
      </c>
      <c r="X5" s="31" t="str">
        <f t="shared" si="1"/>
        <v>Osorno</v>
      </c>
      <c r="Y5" s="32" t="s">
        <v>47</v>
      </c>
      <c r="Z5" s="33">
        <f>+COUNTIFS('[1]Pipeline TS'!$F:$F,Tabla1[[#This Row],[Cliente]])</f>
        <v>2</v>
      </c>
      <c r="AA5" s="34">
        <f>SUMIFS('[1]Pipeline Esterilización'!M:M,'[1]Pipeline Esterilización'!E:E,Tabla1[[#This Row],[Cliente]],'[1]Pipeline Esterilización'!B:B,"2026",'[1]Pipeline Esterilización'!L:L,"&gt;0")</f>
        <v>493586000</v>
      </c>
      <c r="AB5" s="33">
        <f>+SUMIFS('[1]Pipeline Endoscopía'!K:K,'[1]Pipeline Endoscopía'!E:E,Tabla1[[#This Row],[Cliente]],'[1]Pipeline Endoscopía'!B:B,"2026",'[1]Pipeline Endoscopía'!J:J,"&gt;0")</f>
        <v>210000000</v>
      </c>
      <c r="AC5" s="34">
        <f>+SUMIFS('[1]Pipeline Dental'!K:K,'[1]Pipeline Dental'!E:E,Tabla1[[#This Row],[Cliente]],'[1]Pipeline Dental'!B:B,"2026",'[1]Pipeline Dental'!J:J,"&gt;0")</f>
        <v>0</v>
      </c>
      <c r="AD5" s="35">
        <f>+SUMIFS('[1]Pipeline TS'!$AB:$AB,'[1]Pipeline TS'!$F:$F,Tabla1[[#This Row],[Cliente]])</f>
        <v>38427840</v>
      </c>
      <c r="AE5" s="35">
        <f>+SUM(Tabla1[[#This Row],[Pipeline 2026 $MM ESTERILIZACIÓN]:[Pipeline 2026 $MM TECSERVICE]])</f>
        <v>742013840</v>
      </c>
      <c r="AF5" s="43">
        <v>-40.587978540134003</v>
      </c>
      <c r="AG5" s="37">
        <v>-73.127234342974006</v>
      </c>
      <c r="AH5" s="38" t="str">
        <f>+IF(Tabla1[[#This Row],['# Contratos Vigentes ]]&gt;0,"SI","NO")</f>
        <v>SI</v>
      </c>
      <c r="AI5" s="39">
        <v>0.7</v>
      </c>
      <c r="AJ5" s="40">
        <f>+Tabla1[[#This Row],[Ingreso 2025 - 2026]]*Tabla1[[#This Row],[% Costo Serv. Directo]]</f>
        <v>106710052.39999999</v>
      </c>
      <c r="AK5" s="41">
        <v>4</v>
      </c>
      <c r="AL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100386440</v>
      </c>
      <c r="AM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5" s="42">
        <f>+Tabla1[[#This Row],[Potencial Equipos]]+Tabla1[[#This Row],[Potencial Pipeline]]</f>
        <v>100386440</v>
      </c>
    </row>
    <row r="6" spans="1:40" x14ac:dyDescent="0.25">
      <c r="A6" s="22" t="s">
        <v>48</v>
      </c>
      <c r="B6" t="str">
        <f>+VLOOKUP(Tabla1[[#This Row],[Cliente]],'[1]Público Privado'!$A$1:$B$325,2,FALSE)</f>
        <v>Privado</v>
      </c>
      <c r="C6" s="23">
        <f>+SUMIFS('[1]Facturacion a Fecha'!$T:$T,'[1]Facturacion a Fecha'!$AY:$AY,Tabla1[[#This Row],[Cliente]])</f>
        <v>134952720</v>
      </c>
      <c r="D6" s="24">
        <f>+SUMIFS('[1]Facturacion a Fecha'!$T:$T,'[1]Facturacion a Fecha'!$AY:$AY,Tabla1[[#This Row],[Cliente]],'[1]Facturacion a Fecha'!$AX:$AX,"Correctivo")</f>
        <v>134952720</v>
      </c>
      <c r="E6" s="25">
        <f>+COUNTIFS('[1]Facturacion a Fecha'!AY:AY,Tabla1[[#This Row],[Cliente]],'[1]Facturacion a Fecha'!AX:AX,"Correctivo")</f>
        <v>5</v>
      </c>
      <c r="F6" s="25">
        <f>+SUMIFS('[1]Facturacion a Fecha'!$T:$T,'[1]Facturacion a Fecha'!$AY:$AY,Tabla1[[#This Row],[Cliente]],'[1]Facturacion a Fecha'!$AX:$AX,"Preventivo")</f>
        <v>0</v>
      </c>
      <c r="G6" s="25">
        <f>+COUNTIFS('[1]Facturacion a Fecha'!AY:AY,Tabla1[[#This Row],[Cliente]],'[1]Facturacion a Fecha'!AX:AX,"Preventivo")</f>
        <v>0</v>
      </c>
      <c r="H6" s="26">
        <f>+Tabla1[[#This Row],['# Preventivo]]+Tabla1[[#This Row],['# Correctivo]]</f>
        <v>5</v>
      </c>
      <c r="I6" s="23">
        <f>+IFERROR(Tabla1[[#This Row],[Ingreso 2025 - 2026 Correctivo]]/Tabla1[[#This Row],[Ingreso 2025 - 2026 Preventivo]],0)</f>
        <v>0</v>
      </c>
      <c r="J6" s="27">
        <f>+IFERROR(Tabla1[[#This Row],['# Correctivo]]/Tabla1[[#This Row],['# Preventivo]],0)</f>
        <v>0</v>
      </c>
      <c r="K6" s="28">
        <f>+IFERROR(Tabla1[[#This Row],[Ingreso 2025 - 2026 Preventivo]]/(Tabla1[[#This Row],[Ingreso 2025 - 2026 Correctivo]]+Tabla1[[#This Row],[Ingreso 2025 - 2026 Preventivo]]),0)</f>
        <v>0</v>
      </c>
      <c r="L6" s="28">
        <f>1-Tabla1[[#This Row],[% Preventivo $]]</f>
        <v>1</v>
      </c>
      <c r="M6" s="29">
        <f>+COUNTIFS('[1]Base Instalada'!AA:AA,Tabla1[[#This Row],[Cliente]])</f>
        <v>12</v>
      </c>
      <c r="N6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" s="29">
        <f>+COUNTIFS('[1]Base Instalada'!AA:AA,Tabla1[[#This Row],[Cliente]],'[1]Base Instalada'!Z:Z,"ESTERILIZACIÓN")</f>
        <v>12</v>
      </c>
      <c r="P6" s="29">
        <f>+COUNTIFS('[1]Base Instalada'!AA:AA,Tabla1[[#This Row],[Cliente]],'[1]Base Instalada'!Z:Z,"DENTAL")</f>
        <v>0</v>
      </c>
      <c r="Q6" s="29">
        <f>+COUNTIFS('[1]Base Instalada'!AA:AA,Tabla1[[#This Row],[Cliente]],'[1]Base Instalada'!Z:Z,"ENDOSCOPÍA")</f>
        <v>0</v>
      </c>
      <c r="R6" s="29">
        <f>+COUNTIFS('[1]Base Instalada'!AA:AA,Tabla1[[#This Row],[Cliente]],'[1]Base Instalada'!Z:Z,"INCARDIA")</f>
        <v>0</v>
      </c>
      <c r="S6" s="29">
        <f>+COUNTIFS('[1]Base Instalada'!AA:AA,Tabla1[[#This Row],[Cliente]],'[1]Base Instalada'!Z:Z,"MMQ")</f>
        <v>0</v>
      </c>
      <c r="T6" s="29">
        <f>+COUNTIFS('[1]Base Instalada'!AA:AA,Tabla1[[#This Row],[Cliente]],'[1]Base Instalada'!Z:Z,"REAS")</f>
        <v>0</v>
      </c>
      <c r="U6" s="30">
        <f>+COUNTIFS('[1]Base Instalada'!AA:AA,Tabla1[[#This Row],[Cliente]],'[1]Base Instalada'!Z:Z,"MOBILIARIO CLINICO")</f>
        <v>0</v>
      </c>
      <c r="V6" s="29">
        <f>+COUNTIFS('[1]Base Instalada'!AA:AA,Tabla1[[#This Row],[Cliente]],'[1]Base Instalada'!Z:Z,"OTRO")</f>
        <v>0</v>
      </c>
      <c r="W6" s="31" t="str">
        <f t="shared" si="0"/>
        <v>Región Los Lagos</v>
      </c>
      <c r="X6" s="31" t="str">
        <f t="shared" si="1"/>
        <v>Puerto Montt</v>
      </c>
      <c r="Y6" s="32" t="s">
        <v>49</v>
      </c>
      <c r="Z6" s="33">
        <f>+COUNTIFS('[1]Pipeline TS'!$F:$F,Tabla1[[#This Row],[Cliente]])</f>
        <v>0</v>
      </c>
      <c r="AA6" s="34">
        <f>SUMIFS('[1]Pipeline Esterilización'!M:M,'[1]Pipeline Esterilización'!E:E,Tabla1[[#This Row],[Cliente]],'[1]Pipeline Esterilización'!B:B,"2026",'[1]Pipeline Esterilización'!L:L,"&gt;0")</f>
        <v>0</v>
      </c>
      <c r="AB6" s="33">
        <f>+SUMIFS('[1]Pipeline Endoscopía'!K:K,'[1]Pipeline Endoscopía'!E:E,Tabla1[[#This Row],[Cliente]],'[1]Pipeline Endoscopía'!B:B,"2026",'[1]Pipeline Endoscopía'!J:J,"&gt;0")</f>
        <v>0</v>
      </c>
      <c r="AC6" s="34">
        <f>+SUMIFS('[1]Pipeline Dental'!K:K,'[1]Pipeline Dental'!E:E,Tabla1[[#This Row],[Cliente]],'[1]Pipeline Dental'!B:B,"2026",'[1]Pipeline Dental'!J:J,"&gt;0")</f>
        <v>0</v>
      </c>
      <c r="AD6" s="35">
        <f>+SUMIFS('[1]Pipeline TS'!$AB:$AB,'[1]Pipeline TS'!$F:$F,Tabla1[[#This Row],[Cliente]])</f>
        <v>0</v>
      </c>
      <c r="AE6" s="35">
        <f>+SUM(Tabla1[[#This Row],[Pipeline 2026 $MM ESTERILIZACIÓN]:[Pipeline 2026 $MM TECSERVICE]])</f>
        <v>0</v>
      </c>
      <c r="AF6" s="43">
        <v>-41.477669782385902</v>
      </c>
      <c r="AG6" s="37">
        <v>-72.913767271046893</v>
      </c>
      <c r="AH6" s="38" t="str">
        <f>+IF(Tabla1[[#This Row],['# Contratos Vigentes ]]&gt;0,"SI","NO")</f>
        <v>NO</v>
      </c>
      <c r="AI6" s="39">
        <v>0.53</v>
      </c>
      <c r="AJ6" s="40">
        <f>+Tabla1[[#This Row],[Ingreso 2025 - 2026]]*Tabla1[[#This Row],[% Costo Serv. Directo]]</f>
        <v>71524941.600000009</v>
      </c>
      <c r="AK6" s="41">
        <v>4</v>
      </c>
      <c r="AL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23964000</v>
      </c>
      <c r="AN6" s="42">
        <f>+Tabla1[[#This Row],[Potencial Equipos]]+Tabla1[[#This Row],[Potencial Pipeline]]</f>
        <v>23964000</v>
      </c>
    </row>
    <row r="7" spans="1:40" x14ac:dyDescent="0.25">
      <c r="A7" s="22" t="s">
        <v>50</v>
      </c>
      <c r="B7" t="str">
        <f>+VLOOKUP(Tabla1[[#This Row],[Cliente]],'[1]Público Privado'!$A$1:$B$325,2,FALSE)</f>
        <v>Público</v>
      </c>
      <c r="C7" s="23">
        <f>+SUMIFS('[1]Facturacion a Fecha'!$T:$T,'[1]Facturacion a Fecha'!$AY:$AY,Tabla1[[#This Row],[Cliente]])</f>
        <v>117436269</v>
      </c>
      <c r="D7" s="24">
        <f>+SUMIFS('[1]Facturacion a Fecha'!$T:$T,'[1]Facturacion a Fecha'!$AY:$AY,Tabla1[[#This Row],[Cliente]],'[1]Facturacion a Fecha'!$AX:$AX,"Correctivo")</f>
        <v>107786831</v>
      </c>
      <c r="E7" s="25">
        <f>+COUNTIFS('[1]Facturacion a Fecha'!AY:AY,Tabla1[[#This Row],[Cliente]],'[1]Facturacion a Fecha'!AX:AX,"Correctivo")</f>
        <v>1</v>
      </c>
      <c r="F7" s="25">
        <f>+SUMIFS('[1]Facturacion a Fecha'!$T:$T,'[1]Facturacion a Fecha'!$AY:$AY,Tabla1[[#This Row],[Cliente]],'[1]Facturacion a Fecha'!$AX:$AX,"Preventivo")</f>
        <v>9649438</v>
      </c>
      <c r="G7" s="25">
        <f>+COUNTIFS('[1]Facturacion a Fecha'!AY:AY,Tabla1[[#This Row],[Cliente]],'[1]Facturacion a Fecha'!AX:AX,"Preventivo")</f>
        <v>1</v>
      </c>
      <c r="H7" s="26">
        <f>+Tabla1[[#This Row],['# Preventivo]]+Tabla1[[#This Row],['# Correctivo]]</f>
        <v>2</v>
      </c>
      <c r="I7" s="23">
        <f>+IFERROR(Tabla1[[#This Row],[Ingreso 2025 - 2026 Correctivo]]/Tabla1[[#This Row],[Ingreso 2025 - 2026 Preventivo]],0)</f>
        <v>11.170270330769522</v>
      </c>
      <c r="J7" s="27">
        <f>+IFERROR(Tabla1[[#This Row],['# Correctivo]]/Tabla1[[#This Row],['# Preventivo]],0)</f>
        <v>1</v>
      </c>
      <c r="K7" s="28">
        <f>+IFERROR(Tabla1[[#This Row],[Ingreso 2025 - 2026 Preventivo]]/(Tabla1[[#This Row],[Ingreso 2025 - 2026 Correctivo]]+Tabla1[[#This Row],[Ingreso 2025 - 2026 Preventivo]]),0)</f>
        <v>8.2167443517811356E-2</v>
      </c>
      <c r="L7" s="28">
        <f>1-Tabla1[[#This Row],[% Preventivo $]]</f>
        <v>0.91783255648218864</v>
      </c>
      <c r="M7" s="29">
        <f>+COUNTIFS('[1]Base Instalada'!AA:AA,Tabla1[[#This Row],[Cliente]])</f>
        <v>5</v>
      </c>
      <c r="N7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" s="29">
        <f>+COUNTIFS('[1]Base Instalada'!AA:AA,Tabla1[[#This Row],[Cliente]],'[1]Base Instalada'!Z:Z,"ESTERILIZACIÓN")</f>
        <v>5</v>
      </c>
      <c r="P7" s="29">
        <f>+COUNTIFS('[1]Base Instalada'!AA:AA,Tabla1[[#This Row],[Cliente]],'[1]Base Instalada'!Z:Z,"DENTAL")</f>
        <v>0</v>
      </c>
      <c r="Q7" s="29">
        <f>+COUNTIFS('[1]Base Instalada'!AA:AA,Tabla1[[#This Row],[Cliente]],'[1]Base Instalada'!Z:Z,"ENDOSCOPÍA")</f>
        <v>0</v>
      </c>
      <c r="R7" s="29">
        <f>+COUNTIFS('[1]Base Instalada'!AA:AA,Tabla1[[#This Row],[Cliente]],'[1]Base Instalada'!Z:Z,"INCARDIA")</f>
        <v>0</v>
      </c>
      <c r="S7" s="29">
        <f>+COUNTIFS('[1]Base Instalada'!AA:AA,Tabla1[[#This Row],[Cliente]],'[1]Base Instalada'!Z:Z,"MMQ")</f>
        <v>0</v>
      </c>
      <c r="T7" s="29">
        <f>+COUNTIFS('[1]Base Instalada'!AA:AA,Tabla1[[#This Row],[Cliente]],'[1]Base Instalada'!Z:Z,"REAS")</f>
        <v>0</v>
      </c>
      <c r="U7" s="30">
        <f>+COUNTIFS('[1]Base Instalada'!AA:AA,Tabla1[[#This Row],[Cliente]],'[1]Base Instalada'!Z:Z,"MOBILIARIO CLINICO")</f>
        <v>0</v>
      </c>
      <c r="V7" s="29">
        <f>+COUNTIFS('[1]Base Instalada'!AA:AA,Tabla1[[#This Row],[Cliente]],'[1]Base Instalada'!Z:Z,"OTRO")</f>
        <v>0</v>
      </c>
      <c r="W7" s="31" t="str">
        <f t="shared" si="0"/>
        <v>Región Araucanía</v>
      </c>
      <c r="X7" s="31" t="str">
        <f t="shared" si="1"/>
        <v>Pucón</v>
      </c>
      <c r="Y7" s="32" t="s">
        <v>51</v>
      </c>
      <c r="Z7" s="33">
        <f>+COUNTIFS('[1]Pipeline TS'!$F:$F,Tabla1[[#This Row],[Cliente]])</f>
        <v>0</v>
      </c>
      <c r="AA7" s="34">
        <f>SUMIFS('[1]Pipeline Esterilización'!M:M,'[1]Pipeline Esterilización'!E:E,Tabla1[[#This Row],[Cliente]],'[1]Pipeline Esterilización'!B:B,"2026",'[1]Pipeline Esterilización'!L:L,"&gt;0")</f>
        <v>0</v>
      </c>
      <c r="AB7" s="33">
        <f>+SUMIFS('[1]Pipeline Endoscopía'!K:K,'[1]Pipeline Endoscopía'!E:E,Tabla1[[#This Row],[Cliente]],'[1]Pipeline Endoscopía'!B:B,"2026",'[1]Pipeline Endoscopía'!J:J,"&gt;0")</f>
        <v>0</v>
      </c>
      <c r="AC7" s="34">
        <f>+SUMIFS('[1]Pipeline Dental'!K:K,'[1]Pipeline Dental'!E:E,Tabla1[[#This Row],[Cliente]],'[1]Pipeline Dental'!B:B,"2026",'[1]Pipeline Dental'!J:J,"&gt;0")</f>
        <v>0</v>
      </c>
      <c r="AD7" s="35">
        <f>+SUMIFS('[1]Pipeline TS'!$AB:$AB,'[1]Pipeline TS'!$F:$F,Tabla1[[#This Row],[Cliente]])</f>
        <v>0</v>
      </c>
      <c r="AE7" s="35">
        <f>+SUM(Tabla1[[#This Row],[Pipeline 2026 $MM ESTERILIZACIÓN]:[Pipeline 2026 $MM TECSERVICE]])</f>
        <v>0</v>
      </c>
      <c r="AF7" s="43">
        <v>-39.280795144563399</v>
      </c>
      <c r="AG7" s="37">
        <v>-71.960180670368899</v>
      </c>
      <c r="AH7" s="38" t="str">
        <f>+IF(Tabla1[[#This Row],['# Contratos Vigentes ]]&gt;0,"SI","NO")</f>
        <v>NO</v>
      </c>
      <c r="AI7" s="39">
        <v>0.6</v>
      </c>
      <c r="AJ7" s="40">
        <f>+Tabla1[[#This Row],[Ingreso 2025 - 2026]]*Tabla1[[#This Row],[% Costo Serv. Directo]]</f>
        <v>70461761.399999991</v>
      </c>
      <c r="AK7" s="41">
        <v>3</v>
      </c>
      <c r="AL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9985000</v>
      </c>
      <c r="AN7" s="42">
        <f>+Tabla1[[#This Row],[Potencial Equipos]]+Tabla1[[#This Row],[Potencial Pipeline]]</f>
        <v>9985000</v>
      </c>
    </row>
    <row r="8" spans="1:40" x14ac:dyDescent="0.25">
      <c r="A8" s="22" t="s">
        <v>52</v>
      </c>
      <c r="B8" t="str">
        <f>+VLOOKUP(Tabla1[[#This Row],[Cliente]],'[1]Público Privado'!$A$1:$B$325,2,FALSE)</f>
        <v>Público</v>
      </c>
      <c r="C8" s="23">
        <f>+SUMIFS('[1]Facturacion a Fecha'!$T:$T,'[1]Facturacion a Fecha'!$AY:$AY,Tabla1[[#This Row],[Cliente]])</f>
        <v>109330839</v>
      </c>
      <c r="D8" s="24">
        <f>+SUMIFS('[1]Facturacion a Fecha'!$T:$T,'[1]Facturacion a Fecha'!$AY:$AY,Tabla1[[#This Row],[Cliente]],'[1]Facturacion a Fecha'!$AX:$AX,"Correctivo")</f>
        <v>102429639</v>
      </c>
      <c r="E8" s="25">
        <f>+COUNTIFS('[1]Facturacion a Fecha'!AY:AY,Tabla1[[#This Row],[Cliente]],'[1]Facturacion a Fecha'!AX:AX,"Correctivo")</f>
        <v>2</v>
      </c>
      <c r="F8" s="25">
        <f>+SUMIFS('[1]Facturacion a Fecha'!$T:$T,'[1]Facturacion a Fecha'!$AY:$AY,Tabla1[[#This Row],[Cliente]],'[1]Facturacion a Fecha'!$AX:$AX,"Preventivo")</f>
        <v>6901200</v>
      </c>
      <c r="G8" s="25">
        <f>+COUNTIFS('[1]Facturacion a Fecha'!AY:AY,Tabla1[[#This Row],[Cliente]],'[1]Facturacion a Fecha'!AX:AX,"Preventivo")</f>
        <v>1</v>
      </c>
      <c r="H8" s="26">
        <f>+Tabla1[[#This Row],['# Preventivo]]+Tabla1[[#This Row],['# Correctivo]]</f>
        <v>3</v>
      </c>
      <c r="I8" s="23">
        <f>+IFERROR(Tabla1[[#This Row],[Ingreso 2025 - 2026 Correctivo]]/Tabla1[[#This Row],[Ingreso 2025 - 2026 Preventivo]],0)</f>
        <v>14.842293948878456</v>
      </c>
      <c r="J8" s="27">
        <f>+IFERROR(Tabla1[[#This Row],['# Correctivo]]/Tabla1[[#This Row],['# Preventivo]],0)</f>
        <v>2</v>
      </c>
      <c r="K8" s="28">
        <f>+IFERROR(Tabla1[[#This Row],[Ingreso 2025 - 2026 Preventivo]]/(Tabla1[[#This Row],[Ingreso 2025 - 2026 Correctivo]]+Tabla1[[#This Row],[Ingreso 2025 - 2026 Preventivo]]),0)</f>
        <v>6.3122171778083588E-2</v>
      </c>
      <c r="L8" s="28">
        <f>1-Tabla1[[#This Row],[% Preventivo $]]</f>
        <v>0.93687782822191645</v>
      </c>
      <c r="M8" s="29">
        <f>+COUNTIFS('[1]Base Instalada'!AA:AA,Tabla1[[#This Row],[Cliente]])</f>
        <v>173</v>
      </c>
      <c r="N8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" s="29">
        <f>+COUNTIFS('[1]Base Instalada'!AA:AA,Tabla1[[#This Row],[Cliente]],'[1]Base Instalada'!Z:Z,"ESTERILIZACIÓN")</f>
        <v>1</v>
      </c>
      <c r="P8" s="29">
        <f>+COUNTIFS('[1]Base Instalada'!AA:AA,Tabla1[[#This Row],[Cliente]],'[1]Base Instalada'!Z:Z,"DENTAL")</f>
        <v>7</v>
      </c>
      <c r="Q8" s="29">
        <f>+COUNTIFS('[1]Base Instalada'!AA:AA,Tabla1[[#This Row],[Cliente]],'[1]Base Instalada'!Z:Z,"ENDOSCOPÍA")</f>
        <v>0</v>
      </c>
      <c r="R8" s="29">
        <f>+COUNTIFS('[1]Base Instalada'!AA:AA,Tabla1[[#This Row],[Cliente]],'[1]Base Instalada'!Z:Z,"INCARDIA")</f>
        <v>0</v>
      </c>
      <c r="S8" s="29">
        <f>+COUNTIFS('[1]Base Instalada'!AA:AA,Tabla1[[#This Row],[Cliente]],'[1]Base Instalada'!Z:Z,"MMQ")</f>
        <v>0</v>
      </c>
      <c r="T8" s="29">
        <f>+COUNTIFS('[1]Base Instalada'!AA:AA,Tabla1[[#This Row],[Cliente]],'[1]Base Instalada'!Z:Z,"REAS")</f>
        <v>0</v>
      </c>
      <c r="U8" s="30">
        <f>+COUNTIFS('[1]Base Instalada'!AA:AA,Tabla1[[#This Row],[Cliente]],'[1]Base Instalada'!Z:Z,"MOBILIARIO CLINICO")</f>
        <v>165</v>
      </c>
      <c r="V8" s="29">
        <f>+COUNTIFS('[1]Base Instalada'!AA:AA,Tabla1[[#This Row],[Cliente]],'[1]Base Instalada'!Z:Z,"OTRO")</f>
        <v>0</v>
      </c>
      <c r="W8" s="31" t="str">
        <f t="shared" si="0"/>
        <v>Región Los Lagos</v>
      </c>
      <c r="X8" s="31" t="str">
        <f t="shared" si="1"/>
        <v>Puerto Montt</v>
      </c>
      <c r="Y8" s="32" t="s">
        <v>53</v>
      </c>
      <c r="Z8" s="33">
        <f>+COUNTIFS('[1]Pipeline TS'!$F:$F,Tabla1[[#This Row],[Cliente]])</f>
        <v>1</v>
      </c>
      <c r="AA8" s="34">
        <f>SUMIFS('[1]Pipeline Esterilización'!M:M,'[1]Pipeline Esterilización'!E:E,Tabla1[[#This Row],[Cliente]],'[1]Pipeline Esterilización'!B:B,"2026",'[1]Pipeline Esterilización'!L:L,"&gt;0")</f>
        <v>504500000</v>
      </c>
      <c r="AB8" s="33">
        <f>+SUMIFS('[1]Pipeline Endoscopía'!K:K,'[1]Pipeline Endoscopía'!E:E,Tabla1[[#This Row],[Cliente]],'[1]Pipeline Endoscopía'!B:B,"2026",'[1]Pipeline Endoscopía'!J:J,"&gt;0")</f>
        <v>0</v>
      </c>
      <c r="AC8" s="34">
        <f>+SUMIFS('[1]Pipeline Dental'!K:K,'[1]Pipeline Dental'!E:E,Tabla1[[#This Row],[Cliente]],'[1]Pipeline Dental'!B:B,"2026",'[1]Pipeline Dental'!J:J,"&gt;0")</f>
        <v>0</v>
      </c>
      <c r="AD8" s="35">
        <f>+SUMIFS('[1]Pipeline TS'!$AB:$AB,'[1]Pipeline TS'!$F:$F,Tabla1[[#This Row],[Cliente]])</f>
        <v>0</v>
      </c>
      <c r="AE8" s="35">
        <f>+SUM(Tabla1[[#This Row],[Pipeline 2026 $MM ESTERILIZACIÓN]:[Pipeline 2026 $MM TECSERVICE]])</f>
        <v>504500000</v>
      </c>
      <c r="AF8" s="43">
        <v>-41.447795049443698</v>
      </c>
      <c r="AG8" s="37">
        <v>-72.956822804218305</v>
      </c>
      <c r="AH8" s="38" t="str">
        <f>+IF(Tabla1[[#This Row],['# Contratos Vigentes ]]&gt;0,"SI","NO")</f>
        <v>SI</v>
      </c>
      <c r="AI8" s="39">
        <v>0.6</v>
      </c>
      <c r="AJ8" s="40">
        <f>+Tabla1[[#This Row],[Ingreso 2025 - 2026]]*Tabla1[[#This Row],[% Costo Serv. Directo]]</f>
        <v>65598503.399999999</v>
      </c>
      <c r="AK8" s="41">
        <v>4</v>
      </c>
      <c r="AL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50450000</v>
      </c>
      <c r="AM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6190700</v>
      </c>
      <c r="AN8" s="42">
        <f>+Tabla1[[#This Row],[Potencial Equipos]]+Tabla1[[#This Row],[Potencial Pipeline]]</f>
        <v>56640700</v>
      </c>
    </row>
    <row r="9" spans="1:40" x14ac:dyDescent="0.25">
      <c r="A9" s="22" t="s">
        <v>54</v>
      </c>
      <c r="B9" t="str">
        <f>+VLOOKUP(Tabla1[[#This Row],[Cliente]],'[1]Público Privado'!$A$1:$B$325,2,FALSE)</f>
        <v>Público</v>
      </c>
      <c r="C9" s="23">
        <f>+SUMIFS('[1]Facturacion a Fecha'!$T:$T,'[1]Facturacion a Fecha'!$AY:$AY,Tabla1[[#This Row],[Cliente]])</f>
        <v>82791814</v>
      </c>
      <c r="D9" s="24">
        <f>+SUMIFS('[1]Facturacion a Fecha'!$T:$T,'[1]Facturacion a Fecha'!$AY:$AY,Tabla1[[#This Row],[Cliente]],'[1]Facturacion a Fecha'!$AX:$AX,"Correctivo")</f>
        <v>44743448</v>
      </c>
      <c r="E9" s="25">
        <f>+COUNTIFS('[1]Facturacion a Fecha'!AY:AY,Tabla1[[#This Row],[Cliente]],'[1]Facturacion a Fecha'!AX:AX,"Correctivo")</f>
        <v>46</v>
      </c>
      <c r="F9" s="25">
        <f>+SUMIFS('[1]Facturacion a Fecha'!$T:$T,'[1]Facturacion a Fecha'!$AY:$AY,Tabla1[[#This Row],[Cliente]],'[1]Facturacion a Fecha'!$AX:$AX,"Preventivo")</f>
        <v>38048366</v>
      </c>
      <c r="G9" s="25">
        <f>+COUNTIFS('[1]Facturacion a Fecha'!AY:AY,Tabla1[[#This Row],[Cliente]],'[1]Facturacion a Fecha'!AX:AX,"Preventivo")</f>
        <v>56</v>
      </c>
      <c r="H9" s="26">
        <f>+Tabla1[[#This Row],['# Preventivo]]+Tabla1[[#This Row],['# Correctivo]]</f>
        <v>102</v>
      </c>
      <c r="I9" s="23">
        <f>+IFERROR(Tabla1[[#This Row],[Ingreso 2025 - 2026 Correctivo]]/Tabla1[[#This Row],[Ingreso 2025 - 2026 Preventivo]],0)</f>
        <v>1.1759624053237923</v>
      </c>
      <c r="J9" s="27">
        <f>+IFERROR(Tabla1[[#This Row],['# Correctivo]]/Tabla1[[#This Row],['# Preventivo]],0)</f>
        <v>0.8214285714285714</v>
      </c>
      <c r="K9" s="28">
        <f>+IFERROR(Tabla1[[#This Row],[Ingreso 2025 - 2026 Preventivo]]/(Tabla1[[#This Row],[Ingreso 2025 - 2026 Correctivo]]+Tabla1[[#This Row],[Ingreso 2025 - 2026 Preventivo]]),0)</f>
        <v>0.45956676344837666</v>
      </c>
      <c r="L9" s="28">
        <f>1-Tabla1[[#This Row],[% Preventivo $]]</f>
        <v>0.54043323655162334</v>
      </c>
      <c r="M9" s="29">
        <f>+COUNTIFS('[1]Base Instalada'!AA:AA,Tabla1[[#This Row],[Cliente]])</f>
        <v>39</v>
      </c>
      <c r="N9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" s="29">
        <f>+COUNTIFS('[1]Base Instalada'!AA:AA,Tabla1[[#This Row],[Cliente]],'[1]Base Instalada'!Z:Z,"ESTERILIZACIÓN")</f>
        <v>7</v>
      </c>
      <c r="P9" s="29">
        <f>+COUNTIFS('[1]Base Instalada'!AA:AA,Tabla1[[#This Row],[Cliente]],'[1]Base Instalada'!Z:Z,"DENTAL")</f>
        <v>23</v>
      </c>
      <c r="Q9" s="29">
        <f>+COUNTIFS('[1]Base Instalada'!AA:AA,Tabla1[[#This Row],[Cliente]],'[1]Base Instalada'!Z:Z,"ENDOSCOPÍA")</f>
        <v>5</v>
      </c>
      <c r="R9" s="29">
        <f>+COUNTIFS('[1]Base Instalada'!AA:AA,Tabla1[[#This Row],[Cliente]],'[1]Base Instalada'!Z:Z,"INCARDIA")</f>
        <v>0</v>
      </c>
      <c r="S9" s="29">
        <f>+COUNTIFS('[1]Base Instalada'!AA:AA,Tabla1[[#This Row],[Cliente]],'[1]Base Instalada'!Z:Z,"MMQ")</f>
        <v>2</v>
      </c>
      <c r="T9" s="29">
        <f>+COUNTIFS('[1]Base Instalada'!AA:AA,Tabla1[[#This Row],[Cliente]],'[1]Base Instalada'!Z:Z,"REAS")</f>
        <v>0</v>
      </c>
      <c r="U9" s="30">
        <f>+COUNTIFS('[1]Base Instalada'!AA:AA,Tabla1[[#This Row],[Cliente]],'[1]Base Instalada'!Z:Z,"MOBILIARIO CLINICO")</f>
        <v>2</v>
      </c>
      <c r="V9" s="29">
        <f>+COUNTIFS('[1]Base Instalada'!AA:AA,Tabla1[[#This Row],[Cliente]],'[1]Base Instalada'!Z:Z,"OTRO")</f>
        <v>0</v>
      </c>
      <c r="W9" s="31" t="str">
        <f t="shared" si="0"/>
        <v>Región Metropolitana</v>
      </c>
      <c r="X9" s="31" t="str">
        <f t="shared" si="1"/>
        <v>Providencia</v>
      </c>
      <c r="Y9" s="32" t="s">
        <v>55</v>
      </c>
      <c r="Z9" s="33">
        <f>+COUNTIFS('[1]Pipeline TS'!$F:$F,Tabla1[[#This Row],[Cliente]])</f>
        <v>2</v>
      </c>
      <c r="AA9" s="34">
        <f>SUMIFS('[1]Pipeline Esterilización'!M:M,'[1]Pipeline Esterilización'!E:E,Tabla1[[#This Row],[Cliente]],'[1]Pipeline Esterilización'!B:B,"2026",'[1]Pipeline Esterilización'!L:L,"&gt;0")</f>
        <v>0</v>
      </c>
      <c r="AB9" s="33">
        <f>+SUMIFS('[1]Pipeline Endoscopía'!K:K,'[1]Pipeline Endoscopía'!E:E,Tabla1[[#This Row],[Cliente]],'[1]Pipeline Endoscopía'!B:B,"2026",'[1]Pipeline Endoscopía'!J:J,"&gt;0")</f>
        <v>0</v>
      </c>
      <c r="AC9" s="34">
        <f>+SUMIFS('[1]Pipeline Dental'!K:K,'[1]Pipeline Dental'!E:E,Tabla1[[#This Row],[Cliente]],'[1]Pipeline Dental'!B:B,"2026",'[1]Pipeline Dental'!J:J,"&gt;0")</f>
        <v>0</v>
      </c>
      <c r="AD9" s="35">
        <f>+SUMIFS('[1]Pipeline TS'!$AB:$AB,'[1]Pipeline TS'!$F:$F,Tabla1[[#This Row],[Cliente]])</f>
        <v>29362568</v>
      </c>
      <c r="AE9" s="35">
        <f>+SUM(Tabla1[[#This Row],[Pipeline 2026 $MM ESTERILIZACIÓN]:[Pipeline 2026 $MM TECSERVICE]])</f>
        <v>29362568</v>
      </c>
      <c r="AF9" s="43">
        <v>-33.436883144572597</v>
      </c>
      <c r="AG9" s="37">
        <v>-70.623820099058193</v>
      </c>
      <c r="AH9" s="38" t="str">
        <f>+IF(Tabla1[[#This Row],['# Contratos Vigentes ]]&gt;0,"SI","NO")</f>
        <v>SI</v>
      </c>
      <c r="AI9" s="39">
        <v>0.6</v>
      </c>
      <c r="AJ9" s="40">
        <f>+Tabla1[[#This Row],[Ingreso 2025 - 2026]]*Tabla1[[#This Row],[% Costo Serv. Directo]]</f>
        <v>49675088.399999999</v>
      </c>
      <c r="AK9" s="41">
        <v>5</v>
      </c>
      <c r="AL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29362568</v>
      </c>
      <c r="AM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9" s="42">
        <f>+Tabla1[[#This Row],[Potencial Equipos]]+Tabla1[[#This Row],[Potencial Pipeline]]</f>
        <v>29362568</v>
      </c>
    </row>
    <row r="10" spans="1:40" x14ac:dyDescent="0.25">
      <c r="A10" s="22" t="s">
        <v>56</v>
      </c>
      <c r="B10" t="str">
        <f>+VLOOKUP(Tabla1[[#This Row],[Cliente]],'[1]Público Privado'!$A$1:$B$325,2,FALSE)</f>
        <v>Público</v>
      </c>
      <c r="C10" s="23">
        <f>+SUMIFS('[1]Facturacion a Fecha'!$T:$T,'[1]Facturacion a Fecha'!$AY:$AY,Tabla1[[#This Row],[Cliente]])</f>
        <v>76219631.400000006</v>
      </c>
      <c r="D10" s="24">
        <f>+SUMIFS('[1]Facturacion a Fecha'!$T:$T,'[1]Facturacion a Fecha'!$AY:$AY,Tabla1[[#This Row],[Cliente]],'[1]Facturacion a Fecha'!$AX:$AX,"Correctivo")</f>
        <v>54674681.399999999</v>
      </c>
      <c r="E10" s="25">
        <f>+COUNTIFS('[1]Facturacion a Fecha'!AY:AY,Tabla1[[#This Row],[Cliente]],'[1]Facturacion a Fecha'!AX:AX,"Correctivo")</f>
        <v>45</v>
      </c>
      <c r="F10" s="25">
        <f>+SUMIFS('[1]Facturacion a Fecha'!$T:$T,'[1]Facturacion a Fecha'!$AY:$AY,Tabla1[[#This Row],[Cliente]],'[1]Facturacion a Fecha'!$AX:$AX,"Preventivo")</f>
        <v>21544950</v>
      </c>
      <c r="G10" s="25">
        <f>+COUNTIFS('[1]Facturacion a Fecha'!AY:AY,Tabla1[[#This Row],[Cliente]],'[1]Facturacion a Fecha'!AX:AX,"Preventivo")</f>
        <v>6</v>
      </c>
      <c r="H10" s="26">
        <f>+Tabla1[[#This Row],['# Preventivo]]+Tabla1[[#This Row],['# Correctivo]]</f>
        <v>51</v>
      </c>
      <c r="I10" s="23">
        <f>+IFERROR(Tabla1[[#This Row],[Ingreso 2025 - 2026 Correctivo]]/Tabla1[[#This Row],[Ingreso 2025 - 2026 Preventivo]],0)</f>
        <v>2.5377028677253834</v>
      </c>
      <c r="J10" s="27">
        <f>+IFERROR(Tabla1[[#This Row],['# Correctivo]]/Tabla1[[#This Row],['# Preventivo]],0)</f>
        <v>7.5</v>
      </c>
      <c r="K10" s="28">
        <f>+IFERROR(Tabla1[[#This Row],[Ingreso 2025 - 2026 Preventivo]]/(Tabla1[[#This Row],[Ingreso 2025 - 2026 Correctivo]]+Tabla1[[#This Row],[Ingreso 2025 - 2026 Preventivo]]),0)</f>
        <v>0.28266930191425721</v>
      </c>
      <c r="L10" s="28">
        <f>1-Tabla1[[#This Row],[% Preventivo $]]</f>
        <v>0.71733069808574279</v>
      </c>
      <c r="M10" s="29">
        <f>+COUNTIFS('[1]Base Instalada'!AA:AA,Tabla1[[#This Row],[Cliente]])</f>
        <v>303</v>
      </c>
      <c r="N10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" s="29">
        <f>+COUNTIFS('[1]Base Instalada'!AA:AA,Tabla1[[#This Row],[Cliente]],'[1]Base Instalada'!Z:Z,"ESTERILIZACIÓN")</f>
        <v>14</v>
      </c>
      <c r="P10" s="29">
        <f>+COUNTIFS('[1]Base Instalada'!AA:AA,Tabla1[[#This Row],[Cliente]],'[1]Base Instalada'!Z:Z,"DENTAL")</f>
        <v>0</v>
      </c>
      <c r="Q10" s="29">
        <f>+COUNTIFS('[1]Base Instalada'!AA:AA,Tabla1[[#This Row],[Cliente]],'[1]Base Instalada'!Z:Z,"ENDOSCOPÍA")</f>
        <v>0</v>
      </c>
      <c r="R10" s="29">
        <f>+COUNTIFS('[1]Base Instalada'!AA:AA,Tabla1[[#This Row],[Cliente]],'[1]Base Instalada'!Z:Z,"INCARDIA")</f>
        <v>5</v>
      </c>
      <c r="S10" s="29">
        <f>+COUNTIFS('[1]Base Instalada'!AA:AA,Tabla1[[#This Row],[Cliente]],'[1]Base Instalada'!Z:Z,"MMQ")</f>
        <v>0</v>
      </c>
      <c r="T10" s="29">
        <f>+COUNTIFS('[1]Base Instalada'!AA:AA,Tabla1[[#This Row],[Cliente]],'[1]Base Instalada'!Z:Z,"REAS")</f>
        <v>0</v>
      </c>
      <c r="U10" s="30">
        <f>+COUNTIFS('[1]Base Instalada'!AA:AA,Tabla1[[#This Row],[Cliente]],'[1]Base Instalada'!Z:Z,"MOBILIARIO CLINICO")</f>
        <v>284</v>
      </c>
      <c r="V10" s="29">
        <f>+COUNTIFS('[1]Base Instalada'!AA:AA,Tabla1[[#This Row],[Cliente]],'[1]Base Instalada'!Z:Z,"OTRO")</f>
        <v>0</v>
      </c>
      <c r="W10" s="31" t="str">
        <f t="shared" si="0"/>
        <v>Región Metropolitana</v>
      </c>
      <c r="X10" s="31" t="str">
        <f t="shared" si="1"/>
        <v>Santiago</v>
      </c>
      <c r="Y10" s="32" t="s">
        <v>57</v>
      </c>
      <c r="Z10" s="33">
        <f>+COUNTIFS('[1]Pipeline TS'!$F:$F,Tabla1[[#This Row],[Cliente]])</f>
        <v>1</v>
      </c>
      <c r="AA10" s="34">
        <f>SUMIFS('[1]Pipeline Esterilización'!M:M,'[1]Pipeline Esterilización'!E:E,Tabla1[[#This Row],[Cliente]],'[1]Pipeline Esterilización'!B:B,"2026",'[1]Pipeline Esterilización'!L:L,"&gt;0")</f>
        <v>0</v>
      </c>
      <c r="AB10" s="33">
        <f>+SUMIFS('[1]Pipeline Endoscopía'!K:K,'[1]Pipeline Endoscopía'!E:E,Tabla1[[#This Row],[Cliente]],'[1]Pipeline Endoscopía'!B:B,"2026",'[1]Pipeline Endoscopía'!J:J,"&gt;0")</f>
        <v>10000000</v>
      </c>
      <c r="AC10" s="34">
        <f>+SUMIFS('[1]Pipeline Dental'!K:K,'[1]Pipeline Dental'!E:E,Tabla1[[#This Row],[Cliente]],'[1]Pipeline Dental'!B:B,"2026",'[1]Pipeline Dental'!J:J,"&gt;0")</f>
        <v>0</v>
      </c>
      <c r="AD10" s="35">
        <f>+SUMIFS('[1]Pipeline TS'!$AB:$AB,'[1]Pipeline TS'!$F:$F,Tabla1[[#This Row],[Cliente]])</f>
        <v>43089900</v>
      </c>
      <c r="AE10" s="35">
        <f>+SUM(Tabla1[[#This Row],[Pipeline 2026 $MM ESTERILIZACIÓN]:[Pipeline 2026 $MM TECSERVICE]])</f>
        <v>53089900</v>
      </c>
      <c r="AF10" s="43">
        <v>-33.460877097455203</v>
      </c>
      <c r="AG10" s="37">
        <v>-70.641760332722598</v>
      </c>
      <c r="AH10" s="38" t="str">
        <f>+IF(Tabla1[[#This Row],['# Contratos Vigentes ]]&gt;0,"SI","NO")</f>
        <v>SI</v>
      </c>
      <c r="AI10" s="39">
        <v>0.6</v>
      </c>
      <c r="AJ10" s="40">
        <f>+Tabla1[[#This Row],[Ingreso 2025 - 2026]]*Tabla1[[#This Row],[% Costo Serv. Directo]]</f>
        <v>45731778.840000004</v>
      </c>
      <c r="AK10" s="41">
        <v>4</v>
      </c>
      <c r="AL1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43689900</v>
      </c>
      <c r="AM1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10" s="42">
        <f>+Tabla1[[#This Row],[Potencial Equipos]]+Tabla1[[#This Row],[Potencial Pipeline]]</f>
        <v>43689900</v>
      </c>
    </row>
    <row r="11" spans="1:40" x14ac:dyDescent="0.25">
      <c r="A11" s="22" t="s">
        <v>58</v>
      </c>
      <c r="B11" t="str">
        <f>+VLOOKUP(Tabla1[[#This Row],[Cliente]],'[1]Público Privado'!$A$1:$B$325,2,FALSE)</f>
        <v>Público</v>
      </c>
      <c r="C11" s="23">
        <f>+SUMIFS('[1]Facturacion a Fecha'!$T:$T,'[1]Facturacion a Fecha'!$AY:$AY,Tabla1[[#This Row],[Cliente]])</f>
        <v>65775418</v>
      </c>
      <c r="D11" s="24">
        <f>+SUMIFS('[1]Facturacion a Fecha'!$T:$T,'[1]Facturacion a Fecha'!$AY:$AY,Tabla1[[#This Row],[Cliente]],'[1]Facturacion a Fecha'!$AX:$AX,"Correctivo")</f>
        <v>34515273</v>
      </c>
      <c r="E11" s="25">
        <f>+COUNTIFS('[1]Facturacion a Fecha'!AY:AY,Tabla1[[#This Row],[Cliente]],'[1]Facturacion a Fecha'!AX:AX,"Correctivo")</f>
        <v>46</v>
      </c>
      <c r="F11" s="25">
        <f>+SUMIFS('[1]Facturacion a Fecha'!$T:$T,'[1]Facturacion a Fecha'!$AY:$AY,Tabla1[[#This Row],[Cliente]],'[1]Facturacion a Fecha'!$AX:$AX,"Preventivo")</f>
        <v>31260145</v>
      </c>
      <c r="G11" s="25">
        <f>+COUNTIFS('[1]Facturacion a Fecha'!AY:AY,Tabla1[[#This Row],[Cliente]],'[1]Facturacion a Fecha'!AX:AX,"Preventivo")</f>
        <v>17</v>
      </c>
      <c r="H11" s="26">
        <f>+Tabla1[[#This Row],['# Preventivo]]+Tabla1[[#This Row],['# Correctivo]]</f>
        <v>63</v>
      </c>
      <c r="I11" s="23">
        <f>+IFERROR(Tabla1[[#This Row],[Ingreso 2025 - 2026 Correctivo]]/Tabla1[[#This Row],[Ingreso 2025 - 2026 Preventivo]],0)</f>
        <v>1.1041302911422837</v>
      </c>
      <c r="J11" s="27">
        <f>+IFERROR(Tabla1[[#This Row],['# Correctivo]]/Tabla1[[#This Row],['# Preventivo]],0)</f>
        <v>2.7058823529411766</v>
      </c>
      <c r="K11" s="28">
        <f>+IFERROR(Tabla1[[#This Row],[Ingreso 2025 - 2026 Preventivo]]/(Tabla1[[#This Row],[Ingreso 2025 - 2026 Correctivo]]+Tabla1[[#This Row],[Ingreso 2025 - 2026 Preventivo]]),0)</f>
        <v>0.47525574067807519</v>
      </c>
      <c r="L11" s="28">
        <f>1-Tabla1[[#This Row],[% Preventivo $]]</f>
        <v>0.52474425932192481</v>
      </c>
      <c r="M11" s="29">
        <f>+COUNTIFS('[1]Base Instalada'!AA:AA,Tabla1[[#This Row],[Cliente]])</f>
        <v>24</v>
      </c>
      <c r="N11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" s="29">
        <f>+COUNTIFS('[1]Base Instalada'!AA:AA,Tabla1[[#This Row],[Cliente]],'[1]Base Instalada'!Z:Z,"ESTERILIZACIÓN")</f>
        <v>11</v>
      </c>
      <c r="P11" s="29">
        <f>+COUNTIFS('[1]Base Instalada'!AA:AA,Tabla1[[#This Row],[Cliente]],'[1]Base Instalada'!Z:Z,"DENTAL")</f>
        <v>13</v>
      </c>
      <c r="Q11" s="29">
        <f>+COUNTIFS('[1]Base Instalada'!AA:AA,Tabla1[[#This Row],[Cliente]],'[1]Base Instalada'!Z:Z,"ENDOSCOPÍA")</f>
        <v>0</v>
      </c>
      <c r="R11" s="29">
        <f>+COUNTIFS('[1]Base Instalada'!AA:AA,Tabla1[[#This Row],[Cliente]],'[1]Base Instalada'!Z:Z,"INCARDIA")</f>
        <v>0</v>
      </c>
      <c r="S11" s="29">
        <f>+COUNTIFS('[1]Base Instalada'!AA:AA,Tabla1[[#This Row],[Cliente]],'[1]Base Instalada'!Z:Z,"MMQ")</f>
        <v>0</v>
      </c>
      <c r="T11" s="29">
        <f>+COUNTIFS('[1]Base Instalada'!AA:AA,Tabla1[[#This Row],[Cliente]],'[1]Base Instalada'!Z:Z,"REAS")</f>
        <v>0</v>
      </c>
      <c r="U11" s="30">
        <f>+COUNTIFS('[1]Base Instalada'!AA:AA,Tabla1[[#This Row],[Cliente]],'[1]Base Instalada'!Z:Z,"MOBILIARIO CLINICO")</f>
        <v>0</v>
      </c>
      <c r="V11" s="29">
        <f>+COUNTIFS('[1]Base Instalada'!AA:AA,Tabla1[[#This Row],[Cliente]],'[1]Base Instalada'!Z:Z,"OTRO")</f>
        <v>0</v>
      </c>
      <c r="W11" s="31" t="str">
        <f t="shared" si="0"/>
        <v>Región Metropolitana</v>
      </c>
      <c r="X11" s="31" t="str">
        <f t="shared" si="1"/>
        <v>San Miguel</v>
      </c>
      <c r="Y11" s="32" t="s">
        <v>59</v>
      </c>
      <c r="Z11" s="33">
        <f>+COUNTIFS('[1]Pipeline TS'!$F:$F,Tabla1[[#This Row],[Cliente]])</f>
        <v>1</v>
      </c>
      <c r="AA11" s="34">
        <f>SUMIFS('[1]Pipeline Esterilización'!M:M,'[1]Pipeline Esterilización'!E:E,Tabla1[[#This Row],[Cliente]],'[1]Pipeline Esterilización'!B:B,"2026",'[1]Pipeline Esterilización'!L:L,"&gt;0")</f>
        <v>0</v>
      </c>
      <c r="AB11" s="33">
        <f>+SUMIFS('[1]Pipeline Endoscopía'!K:K,'[1]Pipeline Endoscopía'!E:E,Tabla1[[#This Row],[Cliente]],'[1]Pipeline Endoscopía'!B:B,"2026",'[1]Pipeline Endoscopía'!J:J,"&gt;0")</f>
        <v>0</v>
      </c>
      <c r="AC11" s="34">
        <f>+SUMIFS('[1]Pipeline Dental'!K:K,'[1]Pipeline Dental'!E:E,Tabla1[[#This Row],[Cliente]],'[1]Pipeline Dental'!B:B,"2026",'[1]Pipeline Dental'!J:J,"&gt;0")</f>
        <v>0</v>
      </c>
      <c r="AD11" s="35">
        <f>+SUMIFS('[1]Pipeline TS'!$AB:$AB,'[1]Pipeline TS'!$F:$F,Tabla1[[#This Row],[Cliente]])</f>
        <v>46566456</v>
      </c>
      <c r="AE11" s="35">
        <f>+SUM(Tabla1[[#This Row],[Pipeline 2026 $MM ESTERILIZACIÓN]:[Pipeline 2026 $MM TECSERVICE]])</f>
        <v>46566456</v>
      </c>
      <c r="AF11" s="43">
        <v>-33.484778892106597</v>
      </c>
      <c r="AG11" s="37">
        <v>-70.647944162868498</v>
      </c>
      <c r="AH11" s="38" t="str">
        <f>+IF(Tabla1[[#This Row],['# Contratos Vigentes ]]&gt;0,"SI","NO")</f>
        <v>SI</v>
      </c>
      <c r="AI11" s="39">
        <v>0.6</v>
      </c>
      <c r="AJ11" s="40">
        <f>+Tabla1[[#This Row],[Ingreso 2025 - 2026]]*Tabla1[[#This Row],[% Costo Serv. Directo]]</f>
        <v>39465250.799999997</v>
      </c>
      <c r="AK11" s="41">
        <v>3</v>
      </c>
      <c r="AL1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46566456</v>
      </c>
      <c r="AM1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11" s="42">
        <f>+Tabla1[[#This Row],[Potencial Equipos]]+Tabla1[[#This Row],[Potencial Pipeline]]</f>
        <v>46566456</v>
      </c>
    </row>
    <row r="12" spans="1:40" x14ac:dyDescent="0.25">
      <c r="A12" s="22" t="s">
        <v>60</v>
      </c>
      <c r="B12" t="str">
        <f>+VLOOKUP(Tabla1[[#This Row],[Cliente]],'[1]Público Privado'!$A$1:$B$325,2,FALSE)</f>
        <v>Privado</v>
      </c>
      <c r="C12" s="23">
        <f>+SUMIFS('[1]Facturacion a Fecha'!$T:$T,'[1]Facturacion a Fecha'!$AY:$AY,Tabla1[[#This Row],[Cliente]])</f>
        <v>56519435</v>
      </c>
      <c r="D12" s="24">
        <f>+SUMIFS('[1]Facturacion a Fecha'!$T:$T,'[1]Facturacion a Fecha'!$AY:$AY,Tabla1[[#This Row],[Cliente]],'[1]Facturacion a Fecha'!$AX:$AX,"Correctivo")</f>
        <v>24348217</v>
      </c>
      <c r="E12" s="25">
        <f>+COUNTIFS('[1]Facturacion a Fecha'!AY:AY,Tabla1[[#This Row],[Cliente]],'[1]Facturacion a Fecha'!AX:AX,"Correctivo")</f>
        <v>15</v>
      </c>
      <c r="F12" s="25">
        <f>+SUMIFS('[1]Facturacion a Fecha'!$T:$T,'[1]Facturacion a Fecha'!$AY:$AY,Tabla1[[#This Row],[Cliente]],'[1]Facturacion a Fecha'!$AX:$AX,"Preventivo")</f>
        <v>32171218</v>
      </c>
      <c r="G12" s="25">
        <f>+COUNTIFS('[1]Facturacion a Fecha'!AY:AY,Tabla1[[#This Row],[Cliente]],'[1]Facturacion a Fecha'!AX:AX,"Preventivo")</f>
        <v>9</v>
      </c>
      <c r="H12" s="26">
        <f>+Tabla1[[#This Row],['# Preventivo]]+Tabla1[[#This Row],['# Correctivo]]</f>
        <v>24</v>
      </c>
      <c r="I12" s="23">
        <f>+IFERROR(Tabla1[[#This Row],[Ingreso 2025 - 2026 Correctivo]]/Tabla1[[#This Row],[Ingreso 2025 - 2026 Preventivo]],0)</f>
        <v>0.75683230271231883</v>
      </c>
      <c r="J12" s="27">
        <f>+IFERROR(Tabla1[[#This Row],['# Correctivo]]/Tabla1[[#This Row],['# Preventivo]],0)</f>
        <v>1.6666666666666667</v>
      </c>
      <c r="K12" s="28">
        <f>+IFERROR(Tabla1[[#This Row],[Ingreso 2025 - 2026 Preventivo]]/(Tabla1[[#This Row],[Ingreso 2025 - 2026 Correctivo]]+Tabla1[[#This Row],[Ingreso 2025 - 2026 Preventivo]]),0)</f>
        <v>0.56920629160571046</v>
      </c>
      <c r="L12" s="28">
        <f>1-Tabla1[[#This Row],[% Preventivo $]]</f>
        <v>0.43079370839428954</v>
      </c>
      <c r="M12" s="29">
        <f>+COUNTIFS('[1]Base Instalada'!AA:AA,Tabla1[[#This Row],[Cliente]])</f>
        <v>7</v>
      </c>
      <c r="N12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" s="29">
        <f>+COUNTIFS('[1]Base Instalada'!AA:AA,Tabla1[[#This Row],[Cliente]],'[1]Base Instalada'!Z:Z,"ESTERILIZACIÓN")</f>
        <v>7</v>
      </c>
      <c r="P12" s="29">
        <f>+COUNTIFS('[1]Base Instalada'!AA:AA,Tabla1[[#This Row],[Cliente]],'[1]Base Instalada'!Z:Z,"DENTAL")</f>
        <v>0</v>
      </c>
      <c r="Q12" s="29">
        <f>+COUNTIFS('[1]Base Instalada'!AA:AA,Tabla1[[#This Row],[Cliente]],'[1]Base Instalada'!Z:Z,"ENDOSCOPÍA")</f>
        <v>0</v>
      </c>
      <c r="R12" s="29">
        <f>+COUNTIFS('[1]Base Instalada'!AA:AA,Tabla1[[#This Row],[Cliente]],'[1]Base Instalada'!Z:Z,"INCARDIA")</f>
        <v>0</v>
      </c>
      <c r="S12" s="29">
        <f>+COUNTIFS('[1]Base Instalada'!AA:AA,Tabla1[[#This Row],[Cliente]],'[1]Base Instalada'!Z:Z,"MMQ")</f>
        <v>0</v>
      </c>
      <c r="T12" s="29">
        <f>+COUNTIFS('[1]Base Instalada'!AA:AA,Tabla1[[#This Row],[Cliente]],'[1]Base Instalada'!Z:Z,"REAS")</f>
        <v>0</v>
      </c>
      <c r="U12" s="30">
        <f>+COUNTIFS('[1]Base Instalada'!AA:AA,Tabla1[[#This Row],[Cliente]],'[1]Base Instalada'!Z:Z,"MOBILIARIO CLINICO")</f>
        <v>0</v>
      </c>
      <c r="V12" s="29">
        <f>+COUNTIFS('[1]Base Instalada'!AA:AA,Tabla1[[#This Row],[Cliente]],'[1]Base Instalada'!Z:Z,"OTRO")</f>
        <v>0</v>
      </c>
      <c r="W12" s="31" t="str">
        <f t="shared" si="0"/>
        <v>Región Metropolitana</v>
      </c>
      <c r="X12" s="31" t="str">
        <f t="shared" si="1"/>
        <v>Las Condes</v>
      </c>
      <c r="Y12" s="32" t="s">
        <v>61</v>
      </c>
      <c r="Z12" s="33">
        <f>+COUNTIFS('[1]Pipeline TS'!$F:$F,Tabla1[[#This Row],[Cliente]])</f>
        <v>1</v>
      </c>
      <c r="AA12" s="34">
        <f>SUMIFS('[1]Pipeline Esterilización'!M:M,'[1]Pipeline Esterilización'!E:E,Tabla1[[#This Row],[Cliente]],'[1]Pipeline Esterilización'!B:B,"2026",'[1]Pipeline Esterilización'!L:L,"&gt;0")</f>
        <v>0</v>
      </c>
      <c r="AB12" s="33">
        <f>+SUMIFS('[1]Pipeline Endoscopía'!K:K,'[1]Pipeline Endoscopía'!E:E,Tabla1[[#This Row],[Cliente]],'[1]Pipeline Endoscopía'!B:B,"2026",'[1]Pipeline Endoscopía'!J:J,"&gt;0")</f>
        <v>0</v>
      </c>
      <c r="AC12" s="34">
        <f>+SUMIFS('[1]Pipeline Dental'!K:K,'[1]Pipeline Dental'!E:E,Tabla1[[#This Row],[Cliente]],'[1]Pipeline Dental'!B:B,"2026",'[1]Pipeline Dental'!J:J,"&gt;0")</f>
        <v>0</v>
      </c>
      <c r="AD12" s="35">
        <f>+SUMIFS('[1]Pipeline TS'!$AB:$AB,'[1]Pipeline TS'!$F:$F,Tabla1[[#This Row],[Cliente]])</f>
        <v>46824372.240000002</v>
      </c>
      <c r="AE12" s="35">
        <f>+SUM(Tabla1[[#This Row],[Pipeline 2026 $MM ESTERILIZACIÓN]:[Pipeline 2026 $MM TECSERVICE]])</f>
        <v>46824372.240000002</v>
      </c>
      <c r="AF12" s="43">
        <v>-33.402776310458599</v>
      </c>
      <c r="AG12" s="37">
        <v>-70.577477275894196</v>
      </c>
      <c r="AH12" s="38" t="str">
        <f>+IF(Tabla1[[#This Row],['# Contratos Vigentes ]]&gt;0,"SI","NO")</f>
        <v>SI</v>
      </c>
      <c r="AI12" s="39">
        <v>0.6</v>
      </c>
      <c r="AJ12" s="40">
        <f>+Tabla1[[#This Row],[Ingreso 2025 - 2026]]*Tabla1[[#This Row],[% Costo Serv. Directo]]</f>
        <v>33911661</v>
      </c>
      <c r="AK12" s="41">
        <v>5</v>
      </c>
      <c r="AL1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46824372.240000002</v>
      </c>
      <c r="AM1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12" s="42">
        <f>+Tabla1[[#This Row],[Potencial Equipos]]+Tabla1[[#This Row],[Potencial Pipeline]]</f>
        <v>46824372.240000002</v>
      </c>
    </row>
    <row r="13" spans="1:40" x14ac:dyDescent="0.25">
      <c r="A13" s="22" t="s">
        <v>62</v>
      </c>
      <c r="B13" t="str">
        <f>+VLOOKUP(Tabla1[[#This Row],[Cliente]],'[1]Público Privado'!$A$1:$B$325,2,FALSE)</f>
        <v>Privado</v>
      </c>
      <c r="C13" s="23">
        <f>+SUMIFS('[1]Facturacion a Fecha'!$T:$T,'[1]Facturacion a Fecha'!$AY:$AY,Tabla1[[#This Row],[Cliente]])</f>
        <v>52851314</v>
      </c>
      <c r="D13" s="24">
        <f>+SUMIFS('[1]Facturacion a Fecha'!$T:$T,'[1]Facturacion a Fecha'!$AY:$AY,Tabla1[[#This Row],[Cliente]],'[1]Facturacion a Fecha'!$AX:$AX,"Correctivo")</f>
        <v>52851314</v>
      </c>
      <c r="E13" s="25">
        <f>+COUNTIFS('[1]Facturacion a Fecha'!AY:AY,Tabla1[[#This Row],[Cliente]],'[1]Facturacion a Fecha'!AX:AX,"Correctivo")</f>
        <v>1</v>
      </c>
      <c r="F13" s="25">
        <f>+SUMIFS('[1]Facturacion a Fecha'!$T:$T,'[1]Facturacion a Fecha'!$AY:$AY,Tabla1[[#This Row],[Cliente]],'[1]Facturacion a Fecha'!$AX:$AX,"Preventivo")</f>
        <v>0</v>
      </c>
      <c r="G13" s="25">
        <f>+COUNTIFS('[1]Facturacion a Fecha'!AY:AY,Tabla1[[#This Row],[Cliente]],'[1]Facturacion a Fecha'!AX:AX,"Preventivo")</f>
        <v>0</v>
      </c>
      <c r="H13" s="26">
        <f>+Tabla1[[#This Row],['# Preventivo]]+Tabla1[[#This Row],['# Correctivo]]</f>
        <v>1</v>
      </c>
      <c r="I13" s="23">
        <f>+IFERROR(Tabla1[[#This Row],[Ingreso 2025 - 2026 Correctivo]]/Tabla1[[#This Row],[Ingreso 2025 - 2026 Preventivo]],0)</f>
        <v>0</v>
      </c>
      <c r="J13" s="27">
        <f>+IFERROR(Tabla1[[#This Row],['# Correctivo]]/Tabla1[[#This Row],['# Preventivo]],0)</f>
        <v>0</v>
      </c>
      <c r="K13" s="28">
        <f>+IFERROR(Tabla1[[#This Row],[Ingreso 2025 - 2026 Preventivo]]/(Tabla1[[#This Row],[Ingreso 2025 - 2026 Correctivo]]+Tabla1[[#This Row],[Ingreso 2025 - 2026 Preventivo]]),0)</f>
        <v>0</v>
      </c>
      <c r="L13" s="28">
        <f>1-Tabla1[[#This Row],[% Preventivo $]]</f>
        <v>1</v>
      </c>
      <c r="M13" s="29">
        <f>+COUNTIFS('[1]Base Instalada'!AA:AA,Tabla1[[#This Row],[Cliente]])</f>
        <v>3</v>
      </c>
      <c r="N13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" s="29">
        <f>+COUNTIFS('[1]Base Instalada'!AA:AA,Tabla1[[#This Row],[Cliente]],'[1]Base Instalada'!Z:Z,"ESTERILIZACIÓN")</f>
        <v>3</v>
      </c>
      <c r="P13" s="29">
        <f>+COUNTIFS('[1]Base Instalada'!AA:AA,Tabla1[[#This Row],[Cliente]],'[1]Base Instalada'!Z:Z,"DENTAL")</f>
        <v>0</v>
      </c>
      <c r="Q13" s="29">
        <f>+COUNTIFS('[1]Base Instalada'!AA:AA,Tabla1[[#This Row],[Cliente]],'[1]Base Instalada'!Z:Z,"ENDOSCOPÍA")</f>
        <v>0</v>
      </c>
      <c r="R13" s="29">
        <f>+COUNTIFS('[1]Base Instalada'!AA:AA,Tabla1[[#This Row],[Cliente]],'[1]Base Instalada'!Z:Z,"INCARDIA")</f>
        <v>0</v>
      </c>
      <c r="S13" s="29">
        <f>+COUNTIFS('[1]Base Instalada'!AA:AA,Tabla1[[#This Row],[Cliente]],'[1]Base Instalada'!Z:Z,"MMQ")</f>
        <v>0</v>
      </c>
      <c r="T13" s="29">
        <f>+COUNTIFS('[1]Base Instalada'!AA:AA,Tabla1[[#This Row],[Cliente]],'[1]Base Instalada'!Z:Z,"REAS")</f>
        <v>0</v>
      </c>
      <c r="U13" s="30">
        <f>+COUNTIFS('[1]Base Instalada'!AA:AA,Tabla1[[#This Row],[Cliente]],'[1]Base Instalada'!Z:Z,"MOBILIARIO CLINICO")</f>
        <v>0</v>
      </c>
      <c r="V13" s="29">
        <f>+COUNTIFS('[1]Base Instalada'!AA:AA,Tabla1[[#This Row],[Cliente]],'[1]Base Instalada'!Z:Z,"OTRO")</f>
        <v>0</v>
      </c>
      <c r="W13" s="31" t="str">
        <f t="shared" si="0"/>
        <v>Región Bío Bío</v>
      </c>
      <c r="X13" s="31" t="str">
        <f t="shared" si="1"/>
        <v>Hualpén</v>
      </c>
      <c r="Y13" s="32" t="s">
        <v>63</v>
      </c>
      <c r="Z13" s="33">
        <f>+COUNTIFS('[1]Pipeline TS'!$F:$F,Tabla1[[#This Row],[Cliente]])</f>
        <v>0</v>
      </c>
      <c r="AA13" s="34">
        <f>SUMIFS('[1]Pipeline Esterilización'!M:M,'[1]Pipeline Esterilización'!E:E,Tabla1[[#This Row],[Cliente]],'[1]Pipeline Esterilización'!B:B,"2026",'[1]Pipeline Esterilización'!L:L,"&gt;0")</f>
        <v>0</v>
      </c>
      <c r="AB13" s="33">
        <f>+SUMIFS('[1]Pipeline Endoscopía'!K:K,'[1]Pipeline Endoscopía'!E:E,Tabla1[[#This Row],[Cliente]],'[1]Pipeline Endoscopía'!B:B,"2026",'[1]Pipeline Endoscopía'!J:J,"&gt;0")</f>
        <v>0</v>
      </c>
      <c r="AC13" s="34">
        <f>+SUMIFS('[1]Pipeline Dental'!K:K,'[1]Pipeline Dental'!E:E,Tabla1[[#This Row],[Cliente]],'[1]Pipeline Dental'!B:B,"2026",'[1]Pipeline Dental'!J:J,"&gt;0")</f>
        <v>0</v>
      </c>
      <c r="AD13" s="35">
        <f>+SUMIFS('[1]Pipeline TS'!$AB:$AB,'[1]Pipeline TS'!$F:$F,Tabla1[[#This Row],[Cliente]])</f>
        <v>0</v>
      </c>
      <c r="AE13" s="35">
        <f>+SUM(Tabla1[[#This Row],[Pipeline 2026 $MM ESTERILIZACIÓN]:[Pipeline 2026 $MM TECSERVICE]])</f>
        <v>0</v>
      </c>
      <c r="AF13" s="43">
        <v>-36.800247452868298</v>
      </c>
      <c r="AG13" s="37">
        <v>-73.071122802477106</v>
      </c>
      <c r="AH13" s="38" t="str">
        <f>+IF(Tabla1[[#This Row],['# Contratos Vigentes ]]&gt;0,"SI","NO")</f>
        <v>NO</v>
      </c>
      <c r="AI13" s="39">
        <v>0.6</v>
      </c>
      <c r="AJ13" s="40">
        <f>+Tabla1[[#This Row],[Ingreso 2025 - 2026]]*Tabla1[[#This Row],[% Costo Serv. Directo]]</f>
        <v>31710788.399999999</v>
      </c>
      <c r="AK13" s="41">
        <v>2</v>
      </c>
      <c r="AL1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5991000</v>
      </c>
      <c r="AN13" s="42">
        <v>13000000</v>
      </c>
    </row>
    <row r="14" spans="1:40" x14ac:dyDescent="0.25">
      <c r="A14" s="22" t="s">
        <v>64</v>
      </c>
      <c r="B14" t="str">
        <f>+VLOOKUP(Tabla1[[#This Row],[Cliente]],'[1]Público Privado'!$A$1:$B$325,2,FALSE)</f>
        <v>Público</v>
      </c>
      <c r="C14" s="23">
        <f>+SUMIFS('[1]Facturacion a Fecha'!$T:$T,'[1]Facturacion a Fecha'!$AY:$AY,Tabla1[[#This Row],[Cliente]])</f>
        <v>47420253</v>
      </c>
      <c r="D14" s="24">
        <f>+SUMIFS('[1]Facturacion a Fecha'!$T:$T,'[1]Facturacion a Fecha'!$AY:$AY,Tabla1[[#This Row],[Cliente]],'[1]Facturacion a Fecha'!$AX:$AX,"Correctivo")</f>
        <v>25199789</v>
      </c>
      <c r="E14" s="25">
        <f>+COUNTIFS('[1]Facturacion a Fecha'!AY:AY,Tabla1[[#This Row],[Cliente]],'[1]Facturacion a Fecha'!AX:AX,"Correctivo")</f>
        <v>36</v>
      </c>
      <c r="F14" s="25">
        <f>+SUMIFS('[1]Facturacion a Fecha'!$T:$T,'[1]Facturacion a Fecha'!$AY:$AY,Tabla1[[#This Row],[Cliente]],'[1]Facturacion a Fecha'!$AX:$AX,"Preventivo")</f>
        <v>22220464</v>
      </c>
      <c r="G14" s="25">
        <f>+COUNTIFS('[1]Facturacion a Fecha'!AY:AY,Tabla1[[#This Row],[Cliente]],'[1]Facturacion a Fecha'!AX:AX,"Preventivo")</f>
        <v>20</v>
      </c>
      <c r="H14" s="26">
        <f>+Tabla1[[#This Row],['# Preventivo]]+Tabla1[[#This Row],['# Correctivo]]</f>
        <v>56</v>
      </c>
      <c r="I14" s="23">
        <f>+IFERROR(Tabla1[[#This Row],[Ingreso 2025 - 2026 Correctivo]]/Tabla1[[#This Row],[Ingreso 2025 - 2026 Preventivo]],0)</f>
        <v>1.1340802334280689</v>
      </c>
      <c r="J14" s="27">
        <f>+IFERROR(Tabla1[[#This Row],['# Correctivo]]/Tabla1[[#This Row],['# Preventivo]],0)</f>
        <v>1.8</v>
      </c>
      <c r="K14" s="28">
        <f>+IFERROR(Tabla1[[#This Row],[Ingreso 2025 - 2026 Preventivo]]/(Tabla1[[#This Row],[Ingreso 2025 - 2026 Correctivo]]+Tabla1[[#This Row],[Ingreso 2025 - 2026 Preventivo]]),0)</f>
        <v>0.46858594364732725</v>
      </c>
      <c r="L14" s="28">
        <f>1-Tabla1[[#This Row],[% Preventivo $]]</f>
        <v>0.5314140563526728</v>
      </c>
      <c r="M14" s="29">
        <f>+COUNTIFS('[1]Base Instalada'!AA:AA,Tabla1[[#This Row],[Cliente]])</f>
        <v>6</v>
      </c>
      <c r="N14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" s="29">
        <f>+COUNTIFS('[1]Base Instalada'!AA:AA,Tabla1[[#This Row],[Cliente]],'[1]Base Instalada'!Z:Z,"ESTERILIZACIÓN")</f>
        <v>5</v>
      </c>
      <c r="P14" s="29">
        <f>+COUNTIFS('[1]Base Instalada'!AA:AA,Tabla1[[#This Row],[Cliente]],'[1]Base Instalada'!Z:Z,"DENTAL")</f>
        <v>1</v>
      </c>
      <c r="Q14" s="29">
        <f>+COUNTIFS('[1]Base Instalada'!AA:AA,Tabla1[[#This Row],[Cliente]],'[1]Base Instalada'!Z:Z,"ENDOSCOPÍA")</f>
        <v>0</v>
      </c>
      <c r="R14" s="29">
        <f>+COUNTIFS('[1]Base Instalada'!AA:AA,Tabla1[[#This Row],[Cliente]],'[1]Base Instalada'!Z:Z,"INCARDIA")</f>
        <v>0</v>
      </c>
      <c r="S14" s="29">
        <f>+COUNTIFS('[1]Base Instalada'!AA:AA,Tabla1[[#This Row],[Cliente]],'[1]Base Instalada'!Z:Z,"MMQ")</f>
        <v>0</v>
      </c>
      <c r="T14" s="29">
        <f>+COUNTIFS('[1]Base Instalada'!AA:AA,Tabla1[[#This Row],[Cliente]],'[1]Base Instalada'!Z:Z,"REAS")</f>
        <v>0</v>
      </c>
      <c r="U14" s="30">
        <f>+COUNTIFS('[1]Base Instalada'!AA:AA,Tabla1[[#This Row],[Cliente]],'[1]Base Instalada'!Z:Z,"MOBILIARIO CLINICO")</f>
        <v>0</v>
      </c>
      <c r="V14" s="29">
        <f>+COUNTIFS('[1]Base Instalada'!AA:AA,Tabla1[[#This Row],[Cliente]],'[1]Base Instalada'!Z:Z,"OTRO")</f>
        <v>0</v>
      </c>
      <c r="W14" s="31" t="str">
        <f t="shared" si="0"/>
        <v>Región Metropolitana</v>
      </c>
      <c r="X14" s="31" t="str">
        <f t="shared" si="1"/>
        <v>Santiago</v>
      </c>
      <c r="Y14" s="32" t="s">
        <v>65</v>
      </c>
      <c r="Z14" s="33">
        <f>+COUNTIFS('[1]Pipeline TS'!$F:$F,Tabla1[[#This Row],[Cliente]])</f>
        <v>0</v>
      </c>
      <c r="AA14" s="34">
        <f>SUMIFS('[1]Pipeline Esterilización'!M:M,'[1]Pipeline Esterilización'!E:E,Tabla1[[#This Row],[Cliente]],'[1]Pipeline Esterilización'!B:B,"2026",'[1]Pipeline Esterilización'!L:L,"&gt;0")</f>
        <v>71340683</v>
      </c>
      <c r="AB14" s="33">
        <f>+SUMIFS('[1]Pipeline Endoscopía'!K:K,'[1]Pipeline Endoscopía'!E:E,Tabla1[[#This Row],[Cliente]],'[1]Pipeline Endoscopía'!B:B,"2026",'[1]Pipeline Endoscopía'!J:J,"&gt;0")</f>
        <v>330000000</v>
      </c>
      <c r="AC14" s="34">
        <f>+SUMIFS('[1]Pipeline Dental'!K:K,'[1]Pipeline Dental'!E:E,Tabla1[[#This Row],[Cliente]],'[1]Pipeline Dental'!B:B,"2026",'[1]Pipeline Dental'!J:J,"&gt;0")</f>
        <v>0</v>
      </c>
      <c r="AD14" s="35">
        <f>+SUMIFS('[1]Pipeline TS'!$AB:$AB,'[1]Pipeline TS'!$F:$F,Tabla1[[#This Row],[Cliente]])</f>
        <v>0</v>
      </c>
      <c r="AE14" s="35">
        <f>+SUM(Tabla1[[#This Row],[Pipeline 2026 $MM ESTERILIZACIÓN]:[Pipeline 2026 $MM TECSERVICE]])</f>
        <v>401340683</v>
      </c>
      <c r="AF14" s="43">
        <v>-33.396393435899498</v>
      </c>
      <c r="AG14" s="37">
        <v>-70.547617611071203</v>
      </c>
      <c r="AH14" s="38" t="str">
        <f>+IF(Tabla1[[#This Row],['# Contratos Vigentes ]]&gt;0,"SI","NO")</f>
        <v>NO</v>
      </c>
      <c r="AI14" s="39">
        <v>0.6</v>
      </c>
      <c r="AJ14" s="40">
        <f>+Tabla1[[#This Row],[Ingreso 2025 - 2026]]*Tabla1[[#This Row],[% Costo Serv. Directo]]</f>
        <v>28452151.800000001</v>
      </c>
      <c r="AK14" s="41">
        <v>5</v>
      </c>
      <c r="AL1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26934068.300000001</v>
      </c>
      <c r="AM1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10584100</v>
      </c>
      <c r="AN14" s="42">
        <f>+Tabla1[[#This Row],[Potencial Equipos]]+Tabla1[[#This Row],[Potencial Pipeline]]</f>
        <v>37518168.299999997</v>
      </c>
    </row>
    <row r="15" spans="1:40" x14ac:dyDescent="0.25">
      <c r="A15" s="22" t="s">
        <v>66</v>
      </c>
      <c r="B15" t="str">
        <f>+VLOOKUP(Tabla1[[#This Row],[Cliente]],'[1]Público Privado'!$A$1:$B$325,2,FALSE)</f>
        <v>Público</v>
      </c>
      <c r="C15" s="23">
        <f>+SUMIFS('[1]Facturacion a Fecha'!$T:$T,'[1]Facturacion a Fecha'!$AY:$AY,Tabla1[[#This Row],[Cliente]])</f>
        <v>42930484</v>
      </c>
      <c r="D15" s="24">
        <f>+SUMIFS('[1]Facturacion a Fecha'!$T:$T,'[1]Facturacion a Fecha'!$AY:$AY,Tabla1[[#This Row],[Cliente]],'[1]Facturacion a Fecha'!$AX:$AX,"Correctivo")</f>
        <v>42930484</v>
      </c>
      <c r="E15" s="25">
        <f>+COUNTIFS('[1]Facturacion a Fecha'!AY:AY,Tabla1[[#This Row],[Cliente]],'[1]Facturacion a Fecha'!AX:AX,"Correctivo")</f>
        <v>37</v>
      </c>
      <c r="F15" s="25">
        <f>+SUMIFS('[1]Facturacion a Fecha'!$T:$T,'[1]Facturacion a Fecha'!$AY:$AY,Tabla1[[#This Row],[Cliente]],'[1]Facturacion a Fecha'!$AX:$AX,"Preventivo")</f>
        <v>0</v>
      </c>
      <c r="G15" s="25">
        <f>+COUNTIFS('[1]Facturacion a Fecha'!AY:AY,Tabla1[[#This Row],[Cliente]],'[1]Facturacion a Fecha'!AX:AX,"Preventivo")</f>
        <v>0</v>
      </c>
      <c r="H15" s="26">
        <f>+Tabla1[[#This Row],['# Preventivo]]+Tabla1[[#This Row],['# Correctivo]]</f>
        <v>37</v>
      </c>
      <c r="I15" s="23">
        <f>+IFERROR(Tabla1[[#This Row],[Ingreso 2025 - 2026 Correctivo]]/Tabla1[[#This Row],[Ingreso 2025 - 2026 Preventivo]],0)</f>
        <v>0</v>
      </c>
      <c r="J15" s="27">
        <f>+IFERROR(Tabla1[[#This Row],['# Correctivo]]/Tabla1[[#This Row],['# Preventivo]],0)</f>
        <v>0</v>
      </c>
      <c r="K15" s="28">
        <f>+IFERROR(Tabla1[[#This Row],[Ingreso 2025 - 2026 Preventivo]]/(Tabla1[[#This Row],[Ingreso 2025 - 2026 Correctivo]]+Tabla1[[#This Row],[Ingreso 2025 - 2026 Preventivo]]),0)</f>
        <v>0</v>
      </c>
      <c r="L15" s="28">
        <f>1-Tabla1[[#This Row],[% Preventivo $]]</f>
        <v>1</v>
      </c>
      <c r="M15" s="29">
        <f>+COUNTIFS('[1]Base Instalada'!AA:AA,Tabla1[[#This Row],[Cliente]])</f>
        <v>37</v>
      </c>
      <c r="N15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" s="29">
        <f>+COUNTIFS('[1]Base Instalada'!AA:AA,Tabla1[[#This Row],[Cliente]],'[1]Base Instalada'!Z:Z,"ESTERILIZACIÓN")</f>
        <v>6</v>
      </c>
      <c r="P15" s="29">
        <f>+COUNTIFS('[1]Base Instalada'!AA:AA,Tabla1[[#This Row],[Cliente]],'[1]Base Instalada'!Z:Z,"DENTAL")</f>
        <v>11</v>
      </c>
      <c r="Q15" s="29">
        <f>+COUNTIFS('[1]Base Instalada'!AA:AA,Tabla1[[#This Row],[Cliente]],'[1]Base Instalada'!Z:Z,"ENDOSCOPÍA")</f>
        <v>11</v>
      </c>
      <c r="R15" s="29">
        <f>+COUNTIFS('[1]Base Instalada'!AA:AA,Tabla1[[#This Row],[Cliente]],'[1]Base Instalada'!Z:Z,"INCARDIA")</f>
        <v>9</v>
      </c>
      <c r="S15" s="29">
        <f>+COUNTIFS('[1]Base Instalada'!AA:AA,Tabla1[[#This Row],[Cliente]],'[1]Base Instalada'!Z:Z,"MMQ")</f>
        <v>0</v>
      </c>
      <c r="T15" s="29">
        <f>+COUNTIFS('[1]Base Instalada'!AA:AA,Tabla1[[#This Row],[Cliente]],'[1]Base Instalada'!Z:Z,"REAS")</f>
        <v>0</v>
      </c>
      <c r="U15" s="30">
        <f>+COUNTIFS('[1]Base Instalada'!AA:AA,Tabla1[[#This Row],[Cliente]],'[1]Base Instalada'!Z:Z,"MOBILIARIO CLINICO")</f>
        <v>0</v>
      </c>
      <c r="V15" s="29">
        <f>+COUNTIFS('[1]Base Instalada'!AA:AA,Tabla1[[#This Row],[Cliente]],'[1]Base Instalada'!Z:Z,"OTRO")</f>
        <v>0</v>
      </c>
      <c r="W15" s="31" t="str">
        <f t="shared" si="0"/>
        <v>Región Antofagasta</v>
      </c>
      <c r="X15" s="31" t="str">
        <f t="shared" si="1"/>
        <v>Antofagasta</v>
      </c>
      <c r="Y15" s="32" t="s">
        <v>67</v>
      </c>
      <c r="Z15" s="33">
        <f>+COUNTIFS('[1]Pipeline TS'!$F:$F,Tabla1[[#This Row],[Cliente]])</f>
        <v>0</v>
      </c>
      <c r="AA15" s="34">
        <f>SUMIFS('[1]Pipeline Esterilización'!M:M,'[1]Pipeline Esterilización'!E:E,Tabla1[[#This Row],[Cliente]],'[1]Pipeline Esterilización'!B:B,"2026",'[1]Pipeline Esterilización'!L:L,"&gt;0")</f>
        <v>27000000</v>
      </c>
      <c r="AB15" s="33">
        <f>+SUMIFS('[1]Pipeline Endoscopía'!K:K,'[1]Pipeline Endoscopía'!E:E,Tabla1[[#This Row],[Cliente]],'[1]Pipeline Endoscopía'!B:B,"2026",'[1]Pipeline Endoscopía'!J:J,"&gt;0")</f>
        <v>0</v>
      </c>
      <c r="AC15" s="34">
        <f>+SUMIFS('[1]Pipeline Dental'!K:K,'[1]Pipeline Dental'!E:E,Tabla1[[#This Row],[Cliente]],'[1]Pipeline Dental'!B:B,"2026",'[1]Pipeline Dental'!J:J,"&gt;0")</f>
        <v>0</v>
      </c>
      <c r="AD15" s="35">
        <f>+SUMIFS('[1]Pipeline TS'!$AB:$AB,'[1]Pipeline TS'!$F:$F,Tabla1[[#This Row],[Cliente]])</f>
        <v>0</v>
      </c>
      <c r="AE15" s="35">
        <f>+SUM(Tabla1[[#This Row],[Pipeline 2026 $MM ESTERILIZACIÓN]:[Pipeline 2026 $MM TECSERVICE]])</f>
        <v>27000000</v>
      </c>
      <c r="AF15" s="43">
        <v>-23.61676205142</v>
      </c>
      <c r="AG15" s="37">
        <v>-70.386266929922698</v>
      </c>
      <c r="AH15" s="38" t="str">
        <f>+IF(Tabla1[[#This Row],['# Contratos Vigentes ]]&gt;0,"SI","NO")</f>
        <v>NO</v>
      </c>
      <c r="AI15" s="39">
        <v>0.6</v>
      </c>
      <c r="AJ15" s="40">
        <f>+Tabla1[[#This Row],[Ingreso 2025 - 2026]]*Tabla1[[#This Row],[% Costo Serv. Directo]]</f>
        <v>25758290.399999999</v>
      </c>
      <c r="AK15" s="41">
        <v>5</v>
      </c>
      <c r="AL1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2700000</v>
      </c>
      <c r="AM1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28034807.692307692</v>
      </c>
      <c r="AN15" s="42">
        <f>+Tabla1[[#This Row],[Potencial Equipos]]+Tabla1[[#This Row],[Potencial Pipeline]]</f>
        <v>30734807.692307692</v>
      </c>
    </row>
    <row r="16" spans="1:40" x14ac:dyDescent="0.25">
      <c r="A16" s="22" t="s">
        <v>68</v>
      </c>
      <c r="B16" t="str">
        <f>+VLOOKUP(Tabla1[[#This Row],[Cliente]],'[1]Público Privado'!$A$1:$B$325,2,FALSE)</f>
        <v>Público</v>
      </c>
      <c r="C16" s="23">
        <f>+SUMIFS('[1]Facturacion a Fecha'!$T:$T,'[1]Facturacion a Fecha'!$AY:$AY,Tabla1[[#This Row],[Cliente]])</f>
        <v>41457405</v>
      </c>
      <c r="D16" s="24">
        <f>+SUMIFS('[1]Facturacion a Fecha'!$T:$T,'[1]Facturacion a Fecha'!$AY:$AY,Tabla1[[#This Row],[Cliente]],'[1]Facturacion a Fecha'!$AX:$AX,"Correctivo")</f>
        <v>19416129</v>
      </c>
      <c r="E16" s="25">
        <f>+COUNTIFS('[1]Facturacion a Fecha'!AY:AY,Tabla1[[#This Row],[Cliente]],'[1]Facturacion a Fecha'!AX:AX,"Correctivo")</f>
        <v>34</v>
      </c>
      <c r="F16" s="25">
        <f>+SUMIFS('[1]Facturacion a Fecha'!$T:$T,'[1]Facturacion a Fecha'!$AY:$AY,Tabla1[[#This Row],[Cliente]],'[1]Facturacion a Fecha'!$AX:$AX,"Preventivo")</f>
        <v>22041276</v>
      </c>
      <c r="G16" s="25">
        <f>+COUNTIFS('[1]Facturacion a Fecha'!AY:AY,Tabla1[[#This Row],[Cliente]],'[1]Facturacion a Fecha'!AX:AX,"Preventivo")</f>
        <v>27</v>
      </c>
      <c r="H16" s="26">
        <f>+Tabla1[[#This Row],['# Preventivo]]+Tabla1[[#This Row],['# Correctivo]]</f>
        <v>61</v>
      </c>
      <c r="I16" s="23">
        <f>+IFERROR(Tabla1[[#This Row],[Ingreso 2025 - 2026 Correctivo]]/Tabla1[[#This Row],[Ingreso 2025 - 2026 Preventivo]],0)</f>
        <v>0.88089859225935918</v>
      </c>
      <c r="J16" s="27">
        <f>+IFERROR(Tabla1[[#This Row],['# Correctivo]]/Tabla1[[#This Row],['# Preventivo]],0)</f>
        <v>1.2592592592592593</v>
      </c>
      <c r="K16" s="28">
        <f>+IFERROR(Tabla1[[#This Row],[Ingreso 2025 - 2026 Preventivo]]/(Tabla1[[#This Row],[Ingreso 2025 - 2026 Correctivo]]+Tabla1[[#This Row],[Ingreso 2025 - 2026 Preventivo]]),0)</f>
        <v>0.53166077326837025</v>
      </c>
      <c r="L16" s="28">
        <f>1-Tabla1[[#This Row],[% Preventivo $]]</f>
        <v>0.46833922673162975</v>
      </c>
      <c r="M16" s="29">
        <f>+COUNTIFS('[1]Base Instalada'!AA:AA,Tabla1[[#This Row],[Cliente]])</f>
        <v>63</v>
      </c>
      <c r="N16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" s="29">
        <f>+COUNTIFS('[1]Base Instalada'!AA:AA,Tabla1[[#This Row],[Cliente]],'[1]Base Instalada'!Z:Z,"ESTERILIZACIÓN")</f>
        <v>14</v>
      </c>
      <c r="P16" s="29">
        <f>+COUNTIFS('[1]Base Instalada'!AA:AA,Tabla1[[#This Row],[Cliente]],'[1]Base Instalada'!Z:Z,"DENTAL")</f>
        <v>5</v>
      </c>
      <c r="Q16" s="29">
        <f>+COUNTIFS('[1]Base Instalada'!AA:AA,Tabla1[[#This Row],[Cliente]],'[1]Base Instalada'!Z:Z,"ENDOSCOPÍA")</f>
        <v>0</v>
      </c>
      <c r="R16" s="29">
        <f>+COUNTIFS('[1]Base Instalada'!AA:AA,Tabla1[[#This Row],[Cliente]],'[1]Base Instalada'!Z:Z,"INCARDIA")</f>
        <v>18</v>
      </c>
      <c r="S16" s="29">
        <f>+COUNTIFS('[1]Base Instalada'!AA:AA,Tabla1[[#This Row],[Cliente]],'[1]Base Instalada'!Z:Z,"MMQ")</f>
        <v>0</v>
      </c>
      <c r="T16" s="29">
        <f>+COUNTIFS('[1]Base Instalada'!AA:AA,Tabla1[[#This Row],[Cliente]],'[1]Base Instalada'!Z:Z,"REAS")</f>
        <v>2</v>
      </c>
      <c r="U16" s="30">
        <f>+COUNTIFS('[1]Base Instalada'!AA:AA,Tabla1[[#This Row],[Cliente]],'[1]Base Instalada'!Z:Z,"MOBILIARIO CLINICO")</f>
        <v>24</v>
      </c>
      <c r="V16" s="29">
        <f>+COUNTIFS('[1]Base Instalada'!AA:AA,Tabla1[[#This Row],[Cliente]],'[1]Base Instalada'!Z:Z,"OTRO")</f>
        <v>0</v>
      </c>
      <c r="W16" s="31" t="str">
        <f t="shared" si="0"/>
        <v>Región Metropolitana</v>
      </c>
      <c r="X16" s="31" t="str">
        <f t="shared" si="1"/>
        <v>Independencia</v>
      </c>
      <c r="Y16" s="32" t="s">
        <v>69</v>
      </c>
      <c r="Z16" s="33">
        <f>+COUNTIFS('[1]Pipeline TS'!$F:$F,Tabla1[[#This Row],[Cliente]])</f>
        <v>2</v>
      </c>
      <c r="AA16" s="34">
        <f>SUMIFS('[1]Pipeline Esterilización'!M:M,'[1]Pipeline Esterilización'!E:E,Tabla1[[#This Row],[Cliente]],'[1]Pipeline Esterilización'!B:B,"2026",'[1]Pipeline Esterilización'!L:L,"&gt;0")</f>
        <v>296000000</v>
      </c>
      <c r="AB16" s="33">
        <f>+SUMIFS('[1]Pipeline Endoscopía'!K:K,'[1]Pipeline Endoscopía'!E:E,Tabla1[[#This Row],[Cliente]],'[1]Pipeline Endoscopía'!B:B,"2026",'[1]Pipeline Endoscopía'!J:J,"&gt;0")</f>
        <v>120000000</v>
      </c>
      <c r="AC16" s="34">
        <f>+SUMIFS('[1]Pipeline Dental'!K:K,'[1]Pipeline Dental'!E:E,Tabla1[[#This Row],[Cliente]],'[1]Pipeline Dental'!B:B,"2026",'[1]Pipeline Dental'!J:J,"&gt;0")</f>
        <v>0</v>
      </c>
      <c r="AD16" s="35">
        <f>+SUMIFS('[1]Pipeline TS'!$AB:$AB,'[1]Pipeline TS'!$F:$F,Tabla1[[#This Row],[Cliente]])</f>
        <v>21295836</v>
      </c>
      <c r="AE16" s="35">
        <f>+SUM(Tabla1[[#This Row],[Pipeline 2026 $MM ESTERILIZACIÓN]:[Pipeline 2026 $MM TECSERVICE]])</f>
        <v>437295836</v>
      </c>
      <c r="AF16" s="43">
        <v>-33.4162952709938</v>
      </c>
      <c r="AG16" s="37">
        <v>-70.653452250353595</v>
      </c>
      <c r="AH16" s="38" t="str">
        <f>+IF(Tabla1[[#This Row],['# Contratos Vigentes ]]&gt;0,"SI","NO")</f>
        <v>SI</v>
      </c>
      <c r="AI16" s="39">
        <v>0.6</v>
      </c>
      <c r="AJ16" s="40">
        <f>+Tabla1[[#This Row],[Ingreso 2025 - 2026]]*Tabla1[[#This Row],[% Costo Serv. Directo]]</f>
        <v>24874443</v>
      </c>
      <c r="AK16" s="41">
        <v>4</v>
      </c>
      <c r="AL1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58095836</v>
      </c>
      <c r="AM1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16" s="42">
        <f>+Tabla1[[#This Row],[Potencial Equipos]]+Tabla1[[#This Row],[Potencial Pipeline]]</f>
        <v>58095836</v>
      </c>
    </row>
    <row r="17" spans="1:40" x14ac:dyDescent="0.25">
      <c r="A17" s="22" t="s">
        <v>70</v>
      </c>
      <c r="B17" t="str">
        <f>+VLOOKUP(Tabla1[[#This Row],[Cliente]],'[1]Público Privado'!$A$1:$B$325,2,FALSE)</f>
        <v>Público</v>
      </c>
      <c r="C17" s="23">
        <f>+SUMIFS('[1]Facturacion a Fecha'!$T:$T,'[1]Facturacion a Fecha'!$AY:$AY,Tabla1[[#This Row],[Cliente]])</f>
        <v>40483888</v>
      </c>
      <c r="D17" s="24">
        <f>+SUMIFS('[1]Facturacion a Fecha'!$T:$T,'[1]Facturacion a Fecha'!$AY:$AY,Tabla1[[#This Row],[Cliente]],'[1]Facturacion a Fecha'!$AX:$AX,"Correctivo")</f>
        <v>39642530</v>
      </c>
      <c r="E17" s="25">
        <f>+COUNTIFS('[1]Facturacion a Fecha'!AY:AY,Tabla1[[#This Row],[Cliente]],'[1]Facturacion a Fecha'!AX:AX,"Correctivo")</f>
        <v>11</v>
      </c>
      <c r="F17" s="25">
        <f>+SUMIFS('[1]Facturacion a Fecha'!$T:$T,'[1]Facturacion a Fecha'!$AY:$AY,Tabla1[[#This Row],[Cliente]],'[1]Facturacion a Fecha'!$AX:$AX,"Preventivo")</f>
        <v>841358</v>
      </c>
      <c r="G17" s="25">
        <f>+COUNTIFS('[1]Facturacion a Fecha'!AY:AY,Tabla1[[#This Row],[Cliente]],'[1]Facturacion a Fecha'!AX:AX,"Preventivo")</f>
        <v>2</v>
      </c>
      <c r="H17" s="26">
        <f>+Tabla1[[#This Row],['# Preventivo]]+Tabla1[[#This Row],['# Correctivo]]</f>
        <v>13</v>
      </c>
      <c r="I17" s="23">
        <f>+IFERROR(Tabla1[[#This Row],[Ingreso 2025 - 2026 Correctivo]]/Tabla1[[#This Row],[Ingreso 2025 - 2026 Preventivo]],0)</f>
        <v>47.117315102489073</v>
      </c>
      <c r="J17" s="27">
        <f>+IFERROR(Tabla1[[#This Row],['# Correctivo]]/Tabla1[[#This Row],['# Preventivo]],0)</f>
        <v>5.5</v>
      </c>
      <c r="K17" s="28">
        <f>+IFERROR(Tabla1[[#This Row],[Ingreso 2025 - 2026 Preventivo]]/(Tabla1[[#This Row],[Ingreso 2025 - 2026 Correctivo]]+Tabla1[[#This Row],[Ingreso 2025 - 2026 Preventivo]]),0)</f>
        <v>2.0782539463600928E-2</v>
      </c>
      <c r="L17" s="28">
        <f>1-Tabla1[[#This Row],[% Preventivo $]]</f>
        <v>0.97921746053639902</v>
      </c>
      <c r="M17" s="29">
        <f>+COUNTIFS('[1]Base Instalada'!AA:AA,Tabla1[[#This Row],[Cliente]])</f>
        <v>12</v>
      </c>
      <c r="N17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" s="29">
        <f>+COUNTIFS('[1]Base Instalada'!AA:AA,Tabla1[[#This Row],[Cliente]],'[1]Base Instalada'!Z:Z,"ESTERILIZACIÓN")</f>
        <v>8</v>
      </c>
      <c r="P17" s="29">
        <f>+COUNTIFS('[1]Base Instalada'!AA:AA,Tabla1[[#This Row],[Cliente]],'[1]Base Instalada'!Z:Z,"DENTAL")</f>
        <v>1</v>
      </c>
      <c r="Q17" s="29">
        <f>+COUNTIFS('[1]Base Instalada'!AA:AA,Tabla1[[#This Row],[Cliente]],'[1]Base Instalada'!Z:Z,"ENDOSCOPÍA")</f>
        <v>0</v>
      </c>
      <c r="R17" s="29">
        <f>+COUNTIFS('[1]Base Instalada'!AA:AA,Tabla1[[#This Row],[Cliente]],'[1]Base Instalada'!Z:Z,"INCARDIA")</f>
        <v>0</v>
      </c>
      <c r="S17" s="29">
        <f>+COUNTIFS('[1]Base Instalada'!AA:AA,Tabla1[[#This Row],[Cliente]],'[1]Base Instalada'!Z:Z,"MMQ")</f>
        <v>0</v>
      </c>
      <c r="T17" s="29">
        <f>+COUNTIFS('[1]Base Instalada'!AA:AA,Tabla1[[#This Row],[Cliente]],'[1]Base Instalada'!Z:Z,"REAS")</f>
        <v>2</v>
      </c>
      <c r="U17" s="30">
        <f>+COUNTIFS('[1]Base Instalada'!AA:AA,Tabla1[[#This Row],[Cliente]],'[1]Base Instalada'!Z:Z,"MOBILIARIO CLINICO")</f>
        <v>1</v>
      </c>
      <c r="V17" s="29">
        <f>+COUNTIFS('[1]Base Instalada'!AA:AA,Tabla1[[#This Row],[Cliente]],'[1]Base Instalada'!Z:Z,"OTRO")</f>
        <v>0</v>
      </c>
      <c r="W17" s="31" t="str">
        <f t="shared" si="0"/>
        <v>Región Araucanía</v>
      </c>
      <c r="X17" s="31" t="str">
        <f t="shared" si="1"/>
        <v>Temuco</v>
      </c>
      <c r="Y17" s="32" t="s">
        <v>71</v>
      </c>
      <c r="Z17" s="33">
        <f>+COUNTIFS('[1]Pipeline TS'!$F:$F,Tabla1[[#This Row],[Cliente]])</f>
        <v>2</v>
      </c>
      <c r="AA17" s="34">
        <f>SUMIFS('[1]Pipeline Esterilización'!M:M,'[1]Pipeline Esterilización'!E:E,Tabla1[[#This Row],[Cliente]],'[1]Pipeline Esterilización'!B:B,"2026",'[1]Pipeline Esterilización'!L:L,"&gt;0")</f>
        <v>0</v>
      </c>
      <c r="AB17" s="33">
        <f>+SUMIFS('[1]Pipeline Endoscopía'!K:K,'[1]Pipeline Endoscopía'!E:E,Tabla1[[#This Row],[Cliente]],'[1]Pipeline Endoscopía'!B:B,"2026",'[1]Pipeline Endoscopía'!J:J,"&gt;0")</f>
        <v>170000000</v>
      </c>
      <c r="AC17" s="34">
        <f>+SUMIFS('[1]Pipeline Dental'!K:K,'[1]Pipeline Dental'!E:E,Tabla1[[#This Row],[Cliente]],'[1]Pipeline Dental'!B:B,"2026",'[1]Pipeline Dental'!J:J,"&gt;0")</f>
        <v>0</v>
      </c>
      <c r="AD17" s="35">
        <f>+SUMIFS('[1]Pipeline TS'!$AB:$AB,'[1]Pipeline TS'!$F:$F,Tabla1[[#This Row],[Cliente]])</f>
        <v>9965756</v>
      </c>
      <c r="AE17" s="35">
        <f>+SUM(Tabla1[[#This Row],[Pipeline 2026 $MM ESTERILIZACIÓN]:[Pipeline 2026 $MM TECSERVICE]])</f>
        <v>179965756</v>
      </c>
      <c r="AF17" s="43">
        <v>-38.736009999558902</v>
      </c>
      <c r="AG17" s="37">
        <v>-72.598512271392494</v>
      </c>
      <c r="AH17" s="38" t="str">
        <f>+IF(Tabla1[[#This Row],['# Contratos Vigentes ]]&gt;0,"SI","NO")</f>
        <v>SI</v>
      </c>
      <c r="AI17" s="39">
        <v>0.6</v>
      </c>
      <c r="AJ17" s="40">
        <f>+Tabla1[[#This Row],[Ingreso 2025 - 2026]]*Tabla1[[#This Row],[% Costo Serv. Directo]]</f>
        <v>24290332.800000001</v>
      </c>
      <c r="AK17" s="41">
        <v>4</v>
      </c>
      <c r="AL1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20165756</v>
      </c>
      <c r="AM1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17" s="42">
        <f>+Tabla1[[#This Row],[Potencial Equipos]]+Tabla1[[#This Row],[Potencial Pipeline]]</f>
        <v>20165756</v>
      </c>
    </row>
    <row r="18" spans="1:40" x14ac:dyDescent="0.25">
      <c r="A18" s="22" t="s">
        <v>72</v>
      </c>
      <c r="B18" t="str">
        <f>+VLOOKUP(Tabla1[[#This Row],[Cliente]],'[1]Público Privado'!$A$1:$B$325,2,FALSE)</f>
        <v>Privado</v>
      </c>
      <c r="C18" s="23">
        <f>+SUMIFS('[1]Facturacion a Fecha'!$T:$T,'[1]Facturacion a Fecha'!$AY:$AY,Tabla1[[#This Row],[Cliente]])</f>
        <v>40193186</v>
      </c>
      <c r="D18" s="24">
        <f>+SUMIFS('[1]Facturacion a Fecha'!$T:$T,'[1]Facturacion a Fecha'!$AY:$AY,Tabla1[[#This Row],[Cliente]],'[1]Facturacion a Fecha'!$AX:$AX,"Correctivo")</f>
        <v>40193186</v>
      </c>
      <c r="E18" s="25">
        <f>+COUNTIFS('[1]Facturacion a Fecha'!AY:AY,Tabla1[[#This Row],[Cliente]],'[1]Facturacion a Fecha'!AX:AX,"Correctivo")</f>
        <v>16</v>
      </c>
      <c r="F18" s="25">
        <f>+SUMIFS('[1]Facturacion a Fecha'!$T:$T,'[1]Facturacion a Fecha'!$AY:$AY,Tabla1[[#This Row],[Cliente]],'[1]Facturacion a Fecha'!$AX:$AX,"Preventivo")</f>
        <v>0</v>
      </c>
      <c r="G18" s="25">
        <f>+COUNTIFS('[1]Facturacion a Fecha'!AY:AY,Tabla1[[#This Row],[Cliente]],'[1]Facturacion a Fecha'!AX:AX,"Preventivo")</f>
        <v>0</v>
      </c>
      <c r="H18" s="26">
        <f>+Tabla1[[#This Row],['# Preventivo]]+Tabla1[[#This Row],['# Correctivo]]</f>
        <v>16</v>
      </c>
      <c r="I18" s="23">
        <f>+IFERROR(Tabla1[[#This Row],[Ingreso 2025 - 2026 Correctivo]]/Tabla1[[#This Row],[Ingreso 2025 - 2026 Preventivo]],0)</f>
        <v>0</v>
      </c>
      <c r="J18" s="27">
        <f>+IFERROR(Tabla1[[#This Row],['# Correctivo]]/Tabla1[[#This Row],['# Preventivo]],0)</f>
        <v>0</v>
      </c>
      <c r="K18" s="28">
        <f>+IFERROR(Tabla1[[#This Row],[Ingreso 2025 - 2026 Preventivo]]/(Tabla1[[#This Row],[Ingreso 2025 - 2026 Correctivo]]+Tabla1[[#This Row],[Ingreso 2025 - 2026 Preventivo]]),0)</f>
        <v>0</v>
      </c>
      <c r="L18" s="28">
        <f>1-Tabla1[[#This Row],[% Preventivo $]]</f>
        <v>1</v>
      </c>
      <c r="M18" s="29">
        <f>+COUNTIFS('[1]Base Instalada'!AA:AA,Tabla1[[#This Row],[Cliente]])</f>
        <v>5</v>
      </c>
      <c r="N18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" s="29">
        <f>+COUNTIFS('[1]Base Instalada'!AA:AA,Tabla1[[#This Row],[Cliente]],'[1]Base Instalada'!Z:Z,"ESTERILIZACIÓN")</f>
        <v>1</v>
      </c>
      <c r="P18" s="29">
        <f>+COUNTIFS('[1]Base Instalada'!AA:AA,Tabla1[[#This Row],[Cliente]],'[1]Base Instalada'!Z:Z,"DENTAL")</f>
        <v>0</v>
      </c>
      <c r="Q18" s="29">
        <f>+COUNTIFS('[1]Base Instalada'!AA:AA,Tabla1[[#This Row],[Cliente]],'[1]Base Instalada'!Z:Z,"ENDOSCOPÍA")</f>
        <v>4</v>
      </c>
      <c r="R18" s="29">
        <f>+COUNTIFS('[1]Base Instalada'!AA:AA,Tabla1[[#This Row],[Cliente]],'[1]Base Instalada'!Z:Z,"INCARDIA")</f>
        <v>0</v>
      </c>
      <c r="S18" s="29">
        <f>+COUNTIFS('[1]Base Instalada'!AA:AA,Tabla1[[#This Row],[Cliente]],'[1]Base Instalada'!Z:Z,"MMQ")</f>
        <v>0</v>
      </c>
      <c r="T18" s="29">
        <f>+COUNTIFS('[1]Base Instalada'!AA:AA,Tabla1[[#This Row],[Cliente]],'[1]Base Instalada'!Z:Z,"REAS")</f>
        <v>0</v>
      </c>
      <c r="U18" s="30">
        <f>+COUNTIFS('[1]Base Instalada'!AA:AA,Tabla1[[#This Row],[Cliente]],'[1]Base Instalada'!Z:Z,"MOBILIARIO CLINICO")</f>
        <v>0</v>
      </c>
      <c r="V18" s="29">
        <f>+COUNTIFS('[1]Base Instalada'!AA:AA,Tabla1[[#This Row],[Cliente]],'[1]Base Instalada'!Z:Z,"OTRO")</f>
        <v>0</v>
      </c>
      <c r="W18" s="31" t="str">
        <f t="shared" si="0"/>
        <v>Región Metropolitana</v>
      </c>
      <c r="X18" s="31" t="str">
        <f t="shared" si="1"/>
        <v>Lo Barnechea</v>
      </c>
      <c r="Y18" s="32" t="s">
        <v>73</v>
      </c>
      <c r="Z18" s="33">
        <f>+COUNTIFS('[1]Pipeline TS'!$F:$F,Tabla1[[#This Row],[Cliente]])</f>
        <v>0</v>
      </c>
      <c r="AA18" s="34">
        <f>SUMIFS('[1]Pipeline Esterilización'!M:M,'[1]Pipeline Esterilización'!E:E,Tabla1[[#This Row],[Cliente]],'[1]Pipeline Esterilización'!B:B,"2026",'[1]Pipeline Esterilización'!L:L,"&gt;0")</f>
        <v>330000000</v>
      </c>
      <c r="AB18" s="33">
        <f>+SUMIFS('[1]Pipeline Endoscopía'!K:K,'[1]Pipeline Endoscopía'!E:E,Tabla1[[#This Row],[Cliente]],'[1]Pipeline Endoscopía'!B:B,"2026",'[1]Pipeline Endoscopía'!J:J,"&gt;0")</f>
        <v>330578800</v>
      </c>
      <c r="AC18" s="34">
        <f>+SUMIFS('[1]Pipeline Dental'!K:K,'[1]Pipeline Dental'!E:E,Tabla1[[#This Row],[Cliente]],'[1]Pipeline Dental'!B:B,"2026",'[1]Pipeline Dental'!J:J,"&gt;0")</f>
        <v>0</v>
      </c>
      <c r="AD18" s="35">
        <f>+SUMIFS('[1]Pipeline TS'!$AB:$AB,'[1]Pipeline TS'!$F:$F,Tabla1[[#This Row],[Cliente]])</f>
        <v>0</v>
      </c>
      <c r="AE18" s="35">
        <f>+SUM(Tabla1[[#This Row],[Pipeline 2026 $MM ESTERILIZACIÓN]:[Pipeline 2026 $MM TECSERVICE]])</f>
        <v>660578800</v>
      </c>
      <c r="AF18" s="43">
        <v>-33.3556160782828</v>
      </c>
      <c r="AG18" s="37">
        <v>-70.535075051949207</v>
      </c>
      <c r="AH18" s="38" t="str">
        <f>+IF(Tabla1[[#This Row],['# Contratos Vigentes ]]&gt;0,"SI","NO")</f>
        <v>NO</v>
      </c>
      <c r="AI18" s="39">
        <v>0.6</v>
      </c>
      <c r="AJ18" s="40">
        <f>+Tabla1[[#This Row],[Ingreso 2025 - 2026]]*Tabla1[[#This Row],[% Costo Serv. Directo]]</f>
        <v>24115911.599999998</v>
      </c>
      <c r="AK18" s="41">
        <v>4</v>
      </c>
      <c r="AL1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52834728</v>
      </c>
      <c r="AM1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5437984.615384616</v>
      </c>
      <c r="AN18" s="42">
        <f>+Tabla1[[#This Row],[Potencial Equipos]]+Tabla1[[#This Row],[Potencial Pipeline]]</f>
        <v>58272712.615384616</v>
      </c>
    </row>
    <row r="19" spans="1:40" x14ac:dyDescent="0.25">
      <c r="A19" s="22" t="s">
        <v>74</v>
      </c>
      <c r="B19" t="str">
        <f>+VLOOKUP(Tabla1[[#This Row],[Cliente]],'[1]Público Privado'!$A$1:$B$325,2,FALSE)</f>
        <v>Público</v>
      </c>
      <c r="C19" s="23">
        <f>+SUMIFS('[1]Facturacion a Fecha'!$T:$T,'[1]Facturacion a Fecha'!$AY:$AY,Tabla1[[#This Row],[Cliente]])</f>
        <v>39824103</v>
      </c>
      <c r="D19" s="24">
        <f>+SUMIFS('[1]Facturacion a Fecha'!$T:$T,'[1]Facturacion a Fecha'!$AY:$AY,Tabla1[[#This Row],[Cliente]],'[1]Facturacion a Fecha'!$AX:$AX,"Correctivo")</f>
        <v>33669241</v>
      </c>
      <c r="E19" s="25">
        <f>+COUNTIFS('[1]Facturacion a Fecha'!AY:AY,Tabla1[[#This Row],[Cliente]],'[1]Facturacion a Fecha'!AX:AX,"Correctivo")</f>
        <v>38</v>
      </c>
      <c r="F19" s="25">
        <f>+SUMIFS('[1]Facturacion a Fecha'!$T:$T,'[1]Facturacion a Fecha'!$AY:$AY,Tabla1[[#This Row],[Cliente]],'[1]Facturacion a Fecha'!$AX:$AX,"Preventivo")</f>
        <v>6154862</v>
      </c>
      <c r="G19" s="25">
        <f>+COUNTIFS('[1]Facturacion a Fecha'!AY:AY,Tabla1[[#This Row],[Cliente]],'[1]Facturacion a Fecha'!AX:AX,"Preventivo")</f>
        <v>17</v>
      </c>
      <c r="H19" s="26">
        <f>+Tabla1[[#This Row],['# Preventivo]]+Tabla1[[#This Row],['# Correctivo]]</f>
        <v>55</v>
      </c>
      <c r="I19" s="23">
        <f>+IFERROR(Tabla1[[#This Row],[Ingreso 2025 - 2026 Correctivo]]/Tabla1[[#This Row],[Ingreso 2025 - 2026 Preventivo]],0)</f>
        <v>5.4703486446974763</v>
      </c>
      <c r="J19" s="27">
        <f>+IFERROR(Tabla1[[#This Row],['# Correctivo]]/Tabla1[[#This Row],['# Preventivo]],0)</f>
        <v>2.2352941176470589</v>
      </c>
      <c r="K19" s="28">
        <f>+IFERROR(Tabla1[[#This Row],[Ingreso 2025 - 2026 Preventivo]]/(Tabla1[[#This Row],[Ingreso 2025 - 2026 Correctivo]]+Tabla1[[#This Row],[Ingreso 2025 - 2026 Preventivo]]),0)</f>
        <v>0.15455117721044465</v>
      </c>
      <c r="L19" s="28">
        <f>1-Tabla1[[#This Row],[% Preventivo $]]</f>
        <v>0.84544882278955535</v>
      </c>
      <c r="M19" s="29">
        <f>+COUNTIFS('[1]Base Instalada'!AA:AA,Tabla1[[#This Row],[Cliente]])</f>
        <v>24</v>
      </c>
      <c r="N19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" s="29">
        <f>+COUNTIFS('[1]Base Instalada'!AA:AA,Tabla1[[#This Row],[Cliente]],'[1]Base Instalada'!Z:Z,"ESTERILIZACIÓN")</f>
        <v>1</v>
      </c>
      <c r="P19" s="29">
        <f>+COUNTIFS('[1]Base Instalada'!AA:AA,Tabla1[[#This Row],[Cliente]],'[1]Base Instalada'!Z:Z,"DENTAL")</f>
        <v>0</v>
      </c>
      <c r="Q19" s="29">
        <f>+COUNTIFS('[1]Base Instalada'!AA:AA,Tabla1[[#This Row],[Cliente]],'[1]Base Instalada'!Z:Z,"ENDOSCOPÍA")</f>
        <v>21</v>
      </c>
      <c r="R19" s="29">
        <f>+COUNTIFS('[1]Base Instalada'!AA:AA,Tabla1[[#This Row],[Cliente]],'[1]Base Instalada'!Z:Z,"INCARDIA")</f>
        <v>0</v>
      </c>
      <c r="S19" s="29">
        <f>+COUNTIFS('[1]Base Instalada'!AA:AA,Tabla1[[#This Row],[Cliente]],'[1]Base Instalada'!Z:Z,"MMQ")</f>
        <v>2</v>
      </c>
      <c r="T19" s="29">
        <f>+COUNTIFS('[1]Base Instalada'!AA:AA,Tabla1[[#This Row],[Cliente]],'[1]Base Instalada'!Z:Z,"REAS")</f>
        <v>0</v>
      </c>
      <c r="U19" s="30">
        <f>+COUNTIFS('[1]Base Instalada'!AA:AA,Tabla1[[#This Row],[Cliente]],'[1]Base Instalada'!Z:Z,"MOBILIARIO CLINICO")</f>
        <v>0</v>
      </c>
      <c r="V19" s="29">
        <f>+COUNTIFS('[1]Base Instalada'!AA:AA,Tabla1[[#This Row],[Cliente]],'[1]Base Instalada'!Z:Z,"OTRO")</f>
        <v>0</v>
      </c>
      <c r="W19" s="31" t="str">
        <f t="shared" si="0"/>
        <v>Región Coquimbo</v>
      </c>
      <c r="X19" s="31" t="str">
        <f t="shared" si="1"/>
        <v>Coquimbo</v>
      </c>
      <c r="Y19" s="32" t="s">
        <v>75</v>
      </c>
      <c r="Z19" s="33">
        <f>+COUNTIFS('[1]Pipeline TS'!$F:$F,Tabla1[[#This Row],[Cliente]])</f>
        <v>0</v>
      </c>
      <c r="AA19" s="34">
        <f>SUMIFS('[1]Pipeline Esterilización'!M:M,'[1]Pipeline Esterilización'!E:E,Tabla1[[#This Row],[Cliente]],'[1]Pipeline Esterilización'!B:B,"2026",'[1]Pipeline Esterilización'!L:L,"&gt;0")</f>
        <v>0</v>
      </c>
      <c r="AB19" s="33">
        <f>+SUMIFS('[1]Pipeline Endoscopía'!K:K,'[1]Pipeline Endoscopía'!E:E,Tabla1[[#This Row],[Cliente]],'[1]Pipeline Endoscopía'!B:B,"2026",'[1]Pipeline Endoscopía'!J:J,"&gt;0")</f>
        <v>33000000</v>
      </c>
      <c r="AC19" s="34">
        <f>+SUMIFS('[1]Pipeline Dental'!K:K,'[1]Pipeline Dental'!E:E,Tabla1[[#This Row],[Cliente]],'[1]Pipeline Dental'!B:B,"2026",'[1]Pipeline Dental'!J:J,"&gt;0")</f>
        <v>0</v>
      </c>
      <c r="AD19" s="35">
        <f>+SUMIFS('[1]Pipeline TS'!$AB:$AB,'[1]Pipeline TS'!$F:$F,Tabla1[[#This Row],[Cliente]])</f>
        <v>0</v>
      </c>
      <c r="AE19" s="35">
        <f>+SUM(Tabla1[[#This Row],[Pipeline 2026 $MM ESTERILIZACIÓN]:[Pipeline 2026 $MM TECSERVICE]])</f>
        <v>33000000</v>
      </c>
      <c r="AF19" s="43">
        <v>-29.962363755103699</v>
      </c>
      <c r="AG19" s="37">
        <v>-71.336531891150997</v>
      </c>
      <c r="AH19" s="38" t="str">
        <f>+IF(Tabla1[[#This Row],['# Contratos Vigentes ]]&gt;0,"SI","NO")</f>
        <v>NO</v>
      </c>
      <c r="AI19" s="39">
        <v>0.6</v>
      </c>
      <c r="AJ19" s="40">
        <f>+Tabla1[[#This Row],[Ingreso 2025 - 2026]]*Tabla1[[#This Row],[% Costo Serv. Directo]]</f>
        <v>23894461.800000001</v>
      </c>
      <c r="AK19" s="41">
        <v>4</v>
      </c>
      <c r="AL1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1980000</v>
      </c>
      <c r="AM1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20062169.230769232</v>
      </c>
      <c r="AN19" s="42">
        <f>+Tabla1[[#This Row],[Potencial Equipos]]+Tabla1[[#This Row],[Potencial Pipeline]]</f>
        <v>22042169.230769232</v>
      </c>
    </row>
    <row r="20" spans="1:40" x14ac:dyDescent="0.25">
      <c r="A20" s="22" t="s">
        <v>76</v>
      </c>
      <c r="B20" t="str">
        <f>+VLOOKUP(Tabla1[[#This Row],[Cliente]],'[1]Público Privado'!$A$1:$B$325,2,FALSE)</f>
        <v>Público</v>
      </c>
      <c r="C20" s="23">
        <f>+SUMIFS('[1]Facturacion a Fecha'!$T:$T,'[1]Facturacion a Fecha'!$AY:$AY,Tabla1[[#This Row],[Cliente]])</f>
        <v>38588919</v>
      </c>
      <c r="D20" s="24">
        <f>+SUMIFS('[1]Facturacion a Fecha'!$T:$T,'[1]Facturacion a Fecha'!$AY:$AY,Tabla1[[#This Row],[Cliente]],'[1]Facturacion a Fecha'!$AX:$AX,"Correctivo")</f>
        <v>23268418</v>
      </c>
      <c r="E20" s="25">
        <f>+COUNTIFS('[1]Facturacion a Fecha'!AY:AY,Tabla1[[#This Row],[Cliente]],'[1]Facturacion a Fecha'!AX:AX,"Correctivo")</f>
        <v>31</v>
      </c>
      <c r="F20" s="25">
        <f>+SUMIFS('[1]Facturacion a Fecha'!$T:$T,'[1]Facturacion a Fecha'!$AY:$AY,Tabla1[[#This Row],[Cliente]],'[1]Facturacion a Fecha'!$AX:$AX,"Preventivo")</f>
        <v>15320501</v>
      </c>
      <c r="G20" s="25">
        <f>+COUNTIFS('[1]Facturacion a Fecha'!AY:AY,Tabla1[[#This Row],[Cliente]],'[1]Facturacion a Fecha'!AX:AX,"Preventivo")</f>
        <v>18</v>
      </c>
      <c r="H20" s="26">
        <f>+Tabla1[[#This Row],['# Preventivo]]+Tabla1[[#This Row],['# Correctivo]]</f>
        <v>49</v>
      </c>
      <c r="I20" s="23">
        <f>+IFERROR(Tabla1[[#This Row],[Ingreso 2025 - 2026 Correctivo]]/Tabla1[[#This Row],[Ingreso 2025 - 2026 Preventivo]],0)</f>
        <v>1.5187765726460252</v>
      </c>
      <c r="J20" s="27">
        <f>+IFERROR(Tabla1[[#This Row],['# Correctivo]]/Tabla1[[#This Row],['# Preventivo]],0)</f>
        <v>1.7222222222222223</v>
      </c>
      <c r="K20" s="28">
        <f>+IFERROR(Tabla1[[#This Row],[Ingreso 2025 - 2026 Preventivo]]/(Tabla1[[#This Row],[Ingreso 2025 - 2026 Correctivo]]+Tabla1[[#This Row],[Ingreso 2025 - 2026 Preventivo]]),0)</f>
        <v>0.39701814399102497</v>
      </c>
      <c r="L20" s="28">
        <f>1-Tabla1[[#This Row],[% Preventivo $]]</f>
        <v>0.60298185600897503</v>
      </c>
      <c r="M20" s="29">
        <f>+COUNTIFS('[1]Base Instalada'!AA:AA,Tabla1[[#This Row],[Cliente]])</f>
        <v>214</v>
      </c>
      <c r="N20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" s="29">
        <f>+COUNTIFS('[1]Base Instalada'!AA:AA,Tabla1[[#This Row],[Cliente]],'[1]Base Instalada'!Z:Z,"ESTERILIZACIÓN")</f>
        <v>10</v>
      </c>
      <c r="P20" s="29">
        <f>+COUNTIFS('[1]Base Instalada'!AA:AA,Tabla1[[#This Row],[Cliente]],'[1]Base Instalada'!Z:Z,"DENTAL")</f>
        <v>0</v>
      </c>
      <c r="Q20" s="29">
        <f>+COUNTIFS('[1]Base Instalada'!AA:AA,Tabla1[[#This Row],[Cliente]],'[1]Base Instalada'!Z:Z,"ENDOSCOPÍA")</f>
        <v>1</v>
      </c>
      <c r="R20" s="29">
        <f>+COUNTIFS('[1]Base Instalada'!AA:AA,Tabla1[[#This Row],[Cliente]],'[1]Base Instalada'!Z:Z,"INCARDIA")</f>
        <v>0</v>
      </c>
      <c r="S20" s="29">
        <f>+COUNTIFS('[1]Base Instalada'!AA:AA,Tabla1[[#This Row],[Cliente]],'[1]Base Instalada'!Z:Z,"MMQ")</f>
        <v>0</v>
      </c>
      <c r="T20" s="29">
        <f>+COUNTIFS('[1]Base Instalada'!AA:AA,Tabla1[[#This Row],[Cliente]],'[1]Base Instalada'!Z:Z,"REAS")</f>
        <v>0</v>
      </c>
      <c r="U20" s="30">
        <f>+COUNTIFS('[1]Base Instalada'!AA:AA,Tabla1[[#This Row],[Cliente]],'[1]Base Instalada'!Z:Z,"MOBILIARIO CLINICO")</f>
        <v>203</v>
      </c>
      <c r="V20" s="29">
        <f>+COUNTIFS('[1]Base Instalada'!AA:AA,Tabla1[[#This Row],[Cliente]],'[1]Base Instalada'!Z:Z,"OTRO")</f>
        <v>0</v>
      </c>
      <c r="W20" s="31" t="str">
        <f t="shared" si="0"/>
        <v>Región Metropolitana</v>
      </c>
      <c r="X20" s="31" t="str">
        <f t="shared" si="1"/>
        <v>Peñalolén</v>
      </c>
      <c r="Y20" s="32" t="s">
        <v>77</v>
      </c>
      <c r="Z20" s="33">
        <f>+COUNTIFS('[1]Pipeline TS'!$F:$F,Tabla1[[#This Row],[Cliente]])</f>
        <v>1</v>
      </c>
      <c r="AA20" s="34">
        <f>SUMIFS('[1]Pipeline Esterilización'!M:M,'[1]Pipeline Esterilización'!E:E,Tabla1[[#This Row],[Cliente]],'[1]Pipeline Esterilización'!B:B,"2026",'[1]Pipeline Esterilización'!L:L,"&gt;0")</f>
        <v>28000000</v>
      </c>
      <c r="AB20" s="33">
        <f>+SUMIFS('[1]Pipeline Endoscopía'!K:K,'[1]Pipeline Endoscopía'!E:E,Tabla1[[#This Row],[Cliente]],'[1]Pipeline Endoscopía'!B:B,"2026",'[1]Pipeline Endoscopía'!J:J,"&gt;0")</f>
        <v>0</v>
      </c>
      <c r="AC20" s="34">
        <f>+SUMIFS('[1]Pipeline Dental'!K:K,'[1]Pipeline Dental'!E:E,Tabla1[[#This Row],[Cliente]],'[1]Pipeline Dental'!B:B,"2026",'[1]Pipeline Dental'!J:J,"&gt;0")</f>
        <v>0</v>
      </c>
      <c r="AD20" s="35">
        <f>+SUMIFS('[1]Pipeline TS'!$AB:$AB,'[1]Pipeline TS'!$F:$F,Tabla1[[#This Row],[Cliente]])</f>
        <v>18481804.919999998</v>
      </c>
      <c r="AE20" s="35">
        <f>+SUM(Tabla1[[#This Row],[Pipeline 2026 $MM ESTERILIZACIÓN]:[Pipeline 2026 $MM TECSERVICE]])</f>
        <v>46481804.920000002</v>
      </c>
      <c r="AF20" s="43">
        <v>-33.500583910429498</v>
      </c>
      <c r="AG20" s="37">
        <v>-70.579104287488093</v>
      </c>
      <c r="AH20" s="38" t="str">
        <f>+IF(Tabla1[[#This Row],['# Contratos Vigentes ]]&gt;0,"SI","NO")</f>
        <v>SI</v>
      </c>
      <c r="AI20" s="39">
        <v>0.6</v>
      </c>
      <c r="AJ20" s="40">
        <f>+Tabla1[[#This Row],[Ingreso 2025 - 2026]]*Tabla1[[#This Row],[% Costo Serv. Directo]]</f>
        <v>23153351.399999999</v>
      </c>
      <c r="AK20" s="41">
        <v>4</v>
      </c>
      <c r="AL2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21281804.919999998</v>
      </c>
      <c r="AM2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20" s="42">
        <f>+Tabla1[[#This Row],[Potencial Equipos]]+Tabla1[[#This Row],[Potencial Pipeline]]</f>
        <v>21281804.919999998</v>
      </c>
    </row>
    <row r="21" spans="1:40" x14ac:dyDescent="0.25">
      <c r="A21" s="22" t="s">
        <v>78</v>
      </c>
      <c r="B21" t="str">
        <f>+VLOOKUP(Tabla1[[#This Row],[Cliente]],'[1]Público Privado'!$A$1:$B$325,2,FALSE)</f>
        <v>Público</v>
      </c>
      <c r="C21" s="23">
        <f>+SUMIFS('[1]Facturacion a Fecha'!$T:$T,'[1]Facturacion a Fecha'!$AY:$AY,Tabla1[[#This Row],[Cliente]])</f>
        <v>36383507</v>
      </c>
      <c r="D21" s="24">
        <f>+SUMIFS('[1]Facturacion a Fecha'!$T:$T,'[1]Facturacion a Fecha'!$AY:$AY,Tabla1[[#This Row],[Cliente]],'[1]Facturacion a Fecha'!$AX:$AX,"Correctivo")</f>
        <v>36383507</v>
      </c>
      <c r="E21" s="25">
        <f>+COUNTIFS('[1]Facturacion a Fecha'!AY:AY,Tabla1[[#This Row],[Cliente]],'[1]Facturacion a Fecha'!AX:AX,"Correctivo")</f>
        <v>11</v>
      </c>
      <c r="F21" s="25">
        <f>+SUMIFS('[1]Facturacion a Fecha'!$T:$T,'[1]Facturacion a Fecha'!$AY:$AY,Tabla1[[#This Row],[Cliente]],'[1]Facturacion a Fecha'!$AX:$AX,"Preventivo")</f>
        <v>0</v>
      </c>
      <c r="G21" s="25">
        <f>+COUNTIFS('[1]Facturacion a Fecha'!AY:AY,Tabla1[[#This Row],[Cliente]],'[1]Facturacion a Fecha'!AX:AX,"Preventivo")</f>
        <v>0</v>
      </c>
      <c r="H21" s="26">
        <f>+Tabla1[[#This Row],['# Preventivo]]+Tabla1[[#This Row],['# Correctivo]]</f>
        <v>11</v>
      </c>
      <c r="I21" s="23">
        <f>+IFERROR(Tabla1[[#This Row],[Ingreso 2025 - 2026 Correctivo]]/Tabla1[[#This Row],[Ingreso 2025 - 2026 Preventivo]],0)</f>
        <v>0</v>
      </c>
      <c r="J21" s="27">
        <f>+IFERROR(Tabla1[[#This Row],['# Correctivo]]/Tabla1[[#This Row],['# Preventivo]],0)</f>
        <v>0</v>
      </c>
      <c r="K21" s="28">
        <f>+IFERROR(Tabla1[[#This Row],[Ingreso 2025 - 2026 Preventivo]]/(Tabla1[[#This Row],[Ingreso 2025 - 2026 Correctivo]]+Tabla1[[#This Row],[Ingreso 2025 - 2026 Preventivo]]),0)</f>
        <v>0</v>
      </c>
      <c r="L21" s="28">
        <f>1-Tabla1[[#This Row],[% Preventivo $]]</f>
        <v>1</v>
      </c>
      <c r="M21" s="29">
        <f>+COUNTIFS('[1]Base Instalada'!AA:AA,Tabla1[[#This Row],[Cliente]])</f>
        <v>110</v>
      </c>
      <c r="N21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" s="29">
        <f>+COUNTIFS('[1]Base Instalada'!AA:AA,Tabla1[[#This Row],[Cliente]],'[1]Base Instalada'!Z:Z,"ESTERILIZACIÓN")</f>
        <v>1</v>
      </c>
      <c r="P21" s="29">
        <f>+COUNTIFS('[1]Base Instalada'!AA:AA,Tabla1[[#This Row],[Cliente]],'[1]Base Instalada'!Z:Z,"DENTAL")</f>
        <v>11</v>
      </c>
      <c r="Q21" s="29">
        <f>+COUNTIFS('[1]Base Instalada'!AA:AA,Tabla1[[#This Row],[Cliente]],'[1]Base Instalada'!Z:Z,"ENDOSCOPÍA")</f>
        <v>0</v>
      </c>
      <c r="R21" s="29">
        <f>+COUNTIFS('[1]Base Instalada'!AA:AA,Tabla1[[#This Row],[Cliente]],'[1]Base Instalada'!Z:Z,"INCARDIA")</f>
        <v>0</v>
      </c>
      <c r="S21" s="29">
        <f>+COUNTIFS('[1]Base Instalada'!AA:AA,Tabla1[[#This Row],[Cliente]],'[1]Base Instalada'!Z:Z,"MMQ")</f>
        <v>1</v>
      </c>
      <c r="T21" s="29">
        <f>+COUNTIFS('[1]Base Instalada'!AA:AA,Tabla1[[#This Row],[Cliente]],'[1]Base Instalada'!Z:Z,"REAS")</f>
        <v>0</v>
      </c>
      <c r="U21" s="30">
        <f>+COUNTIFS('[1]Base Instalada'!AA:AA,Tabla1[[#This Row],[Cliente]],'[1]Base Instalada'!Z:Z,"MOBILIARIO CLINICO")</f>
        <v>97</v>
      </c>
      <c r="V21" s="29">
        <f>+COUNTIFS('[1]Base Instalada'!AA:AA,Tabla1[[#This Row],[Cliente]],'[1]Base Instalada'!Z:Z,"OTRO")</f>
        <v>0</v>
      </c>
      <c r="W21" s="31" t="str">
        <f t="shared" si="0"/>
        <v>Región Valparaíso</v>
      </c>
      <c r="X21" s="31" t="str">
        <f t="shared" si="1"/>
        <v>San Antonio</v>
      </c>
      <c r="Y21" s="32" t="s">
        <v>79</v>
      </c>
      <c r="Z21" s="33">
        <f>+COUNTIFS('[1]Pipeline TS'!$F:$F,Tabla1[[#This Row],[Cliente]])</f>
        <v>1</v>
      </c>
      <c r="AA21" s="34">
        <f>SUMIFS('[1]Pipeline Esterilización'!M:M,'[1]Pipeline Esterilización'!E:E,Tabla1[[#This Row],[Cliente]],'[1]Pipeline Esterilización'!B:B,"2026",'[1]Pipeline Esterilización'!L:L,"&gt;0")</f>
        <v>0</v>
      </c>
      <c r="AB21" s="33">
        <f>+SUMIFS('[1]Pipeline Endoscopía'!K:K,'[1]Pipeline Endoscopía'!E:E,Tabla1[[#This Row],[Cliente]],'[1]Pipeline Endoscopía'!B:B,"2026",'[1]Pipeline Endoscopía'!J:J,"&gt;0")</f>
        <v>0</v>
      </c>
      <c r="AC21" s="34">
        <f>+SUMIFS('[1]Pipeline Dental'!K:K,'[1]Pipeline Dental'!E:E,Tabla1[[#This Row],[Cliente]],'[1]Pipeline Dental'!B:B,"2026",'[1]Pipeline Dental'!J:J,"&gt;0")</f>
        <v>0</v>
      </c>
      <c r="AD21" s="35">
        <f>+SUMIFS('[1]Pipeline TS'!$AB:$AB,'[1]Pipeline TS'!$F:$F,Tabla1[[#This Row],[Cliente]])</f>
        <v>0</v>
      </c>
      <c r="AE21" s="35">
        <f>+SUM(Tabla1[[#This Row],[Pipeline 2026 $MM ESTERILIZACIÓN]:[Pipeline 2026 $MM TECSERVICE]])</f>
        <v>0</v>
      </c>
      <c r="AF21" s="43">
        <v>-33.588937678945697</v>
      </c>
      <c r="AG21" s="37">
        <v>-71.608642367176699</v>
      </c>
      <c r="AH21" s="38" t="str">
        <f>+IF(Tabla1[[#This Row],['# Contratos Vigentes ]]&gt;0,"SI","NO")</f>
        <v>SI</v>
      </c>
      <c r="AI21" s="39">
        <v>0.6</v>
      </c>
      <c r="AJ21" s="40">
        <f>+Tabla1[[#This Row],[Ingreso 2025 - 2026]]*Tabla1[[#This Row],[% Costo Serv. Directo]]</f>
        <v>21830104.199999999</v>
      </c>
      <c r="AK21" s="41">
        <v>5</v>
      </c>
      <c r="AL2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8587100</v>
      </c>
      <c r="AN21" s="42">
        <f>+Tabla1[[#This Row],[Potencial Equipos]]+Tabla1[[#This Row],[Potencial Pipeline]]</f>
        <v>8587100</v>
      </c>
    </row>
    <row r="22" spans="1:40" x14ac:dyDescent="0.25">
      <c r="A22" s="22" t="s">
        <v>80</v>
      </c>
      <c r="B22" t="str">
        <f>+VLOOKUP(Tabla1[[#This Row],[Cliente]],'[1]Público Privado'!$A$1:$B$325,2,FALSE)</f>
        <v>Público</v>
      </c>
      <c r="C22" s="23">
        <f>+SUMIFS('[1]Facturacion a Fecha'!$T:$T,'[1]Facturacion a Fecha'!$AY:$AY,Tabla1[[#This Row],[Cliente]])</f>
        <v>23666501</v>
      </c>
      <c r="D22" s="24">
        <f>+SUMIFS('[1]Facturacion a Fecha'!$T:$T,'[1]Facturacion a Fecha'!$AY:$AY,Tabla1[[#This Row],[Cliente]],'[1]Facturacion a Fecha'!$AX:$AX,"Correctivo")</f>
        <v>18503996</v>
      </c>
      <c r="E22" s="25">
        <f>+COUNTIFS('[1]Facturacion a Fecha'!AY:AY,Tabla1[[#This Row],[Cliente]],'[1]Facturacion a Fecha'!AX:AX,"Correctivo")</f>
        <v>17</v>
      </c>
      <c r="F22" s="25">
        <f>+SUMIFS('[1]Facturacion a Fecha'!$T:$T,'[1]Facturacion a Fecha'!$AY:$AY,Tabla1[[#This Row],[Cliente]],'[1]Facturacion a Fecha'!$AX:$AX,"Preventivo")</f>
        <v>5162505</v>
      </c>
      <c r="G22" s="25">
        <f>+COUNTIFS('[1]Facturacion a Fecha'!AY:AY,Tabla1[[#This Row],[Cliente]],'[1]Facturacion a Fecha'!AX:AX,"Preventivo")</f>
        <v>1</v>
      </c>
      <c r="H22" s="26">
        <f>+Tabla1[[#This Row],['# Preventivo]]+Tabla1[[#This Row],['# Correctivo]]</f>
        <v>18</v>
      </c>
      <c r="I22" s="23">
        <f>+IFERROR(Tabla1[[#This Row],[Ingreso 2025 - 2026 Correctivo]]/Tabla1[[#This Row],[Ingreso 2025 - 2026 Preventivo]],0)</f>
        <v>3.584305681059873</v>
      </c>
      <c r="J22" s="27">
        <f>+IFERROR(Tabla1[[#This Row],['# Correctivo]]/Tabla1[[#This Row],['# Preventivo]],0)</f>
        <v>17</v>
      </c>
      <c r="K22" s="28">
        <f>+IFERROR(Tabla1[[#This Row],[Ingreso 2025 - 2026 Preventivo]]/(Tabla1[[#This Row],[Ingreso 2025 - 2026 Correctivo]]+Tabla1[[#This Row],[Ingreso 2025 - 2026 Preventivo]]),0)</f>
        <v>0.21813554103329427</v>
      </c>
      <c r="L22" s="28">
        <f>1-Tabla1[[#This Row],[% Preventivo $]]</f>
        <v>0.78186445896670576</v>
      </c>
      <c r="M22" s="29">
        <f>+COUNTIFS('[1]Base Instalada'!AA:AA,Tabla1[[#This Row],[Cliente]])</f>
        <v>78</v>
      </c>
      <c r="N22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" s="29">
        <f>+COUNTIFS('[1]Base Instalada'!AA:AA,Tabla1[[#This Row],[Cliente]],'[1]Base Instalada'!Z:Z,"ESTERILIZACIÓN")</f>
        <v>9</v>
      </c>
      <c r="P22" s="29">
        <f>+COUNTIFS('[1]Base Instalada'!AA:AA,Tabla1[[#This Row],[Cliente]],'[1]Base Instalada'!Z:Z,"DENTAL")</f>
        <v>1</v>
      </c>
      <c r="Q22" s="29">
        <f>+COUNTIFS('[1]Base Instalada'!AA:AA,Tabla1[[#This Row],[Cliente]],'[1]Base Instalada'!Z:Z,"ENDOSCOPÍA")</f>
        <v>46</v>
      </c>
      <c r="R22" s="29">
        <f>+COUNTIFS('[1]Base Instalada'!AA:AA,Tabla1[[#This Row],[Cliente]],'[1]Base Instalada'!Z:Z,"INCARDIA")</f>
        <v>10</v>
      </c>
      <c r="S22" s="29">
        <f>+COUNTIFS('[1]Base Instalada'!AA:AA,Tabla1[[#This Row],[Cliente]],'[1]Base Instalada'!Z:Z,"MMQ")</f>
        <v>0</v>
      </c>
      <c r="T22" s="29">
        <f>+COUNTIFS('[1]Base Instalada'!AA:AA,Tabla1[[#This Row],[Cliente]],'[1]Base Instalada'!Z:Z,"REAS")</f>
        <v>0</v>
      </c>
      <c r="U22" s="30">
        <f>+COUNTIFS('[1]Base Instalada'!AA:AA,Tabla1[[#This Row],[Cliente]],'[1]Base Instalada'!Z:Z,"MOBILIARIO CLINICO")</f>
        <v>12</v>
      </c>
      <c r="V22" s="29">
        <f>+COUNTIFS('[1]Base Instalada'!AA:AA,Tabla1[[#This Row],[Cliente]],'[1]Base Instalada'!Z:Z,"OTRO")</f>
        <v>0</v>
      </c>
      <c r="W22" s="31" t="str">
        <f t="shared" si="0"/>
        <v>Región Los Lagos</v>
      </c>
      <c r="X22" s="31" t="str">
        <f t="shared" si="1"/>
        <v>Puerto Montt</v>
      </c>
      <c r="Y22" s="32" t="s">
        <v>53</v>
      </c>
      <c r="Z22" s="33">
        <f>+COUNTIFS('[1]Pipeline TS'!$F:$F,Tabla1[[#This Row],[Cliente]])</f>
        <v>1</v>
      </c>
      <c r="AA22" s="34">
        <f>SUMIFS('[1]Pipeline Esterilización'!M:M,'[1]Pipeline Esterilización'!E:E,Tabla1[[#This Row],[Cliente]],'[1]Pipeline Esterilización'!B:B,"2026",'[1]Pipeline Esterilización'!L:L,"&gt;0")</f>
        <v>0</v>
      </c>
      <c r="AB22" s="33">
        <f>+SUMIFS('[1]Pipeline Endoscopía'!K:K,'[1]Pipeline Endoscopía'!E:E,Tabla1[[#This Row],[Cliente]],'[1]Pipeline Endoscopía'!B:B,"2026",'[1]Pipeline Endoscopía'!J:J,"&gt;0")</f>
        <v>139000000</v>
      </c>
      <c r="AC22" s="34">
        <f>+SUMIFS('[1]Pipeline Dental'!K:K,'[1]Pipeline Dental'!E:E,Tabla1[[#This Row],[Cliente]],'[1]Pipeline Dental'!B:B,"2026",'[1]Pipeline Dental'!J:J,"&gt;0")</f>
        <v>0</v>
      </c>
      <c r="AD22" s="35">
        <f>+SUMIFS('[1]Pipeline TS'!$AB:$AB,'[1]Pipeline TS'!$F:$F,Tabla1[[#This Row],[Cliente]])</f>
        <v>20650020</v>
      </c>
      <c r="AE22" s="35">
        <f>+SUM(Tabla1[[#This Row],[Pipeline 2026 $MM ESTERILIZACIÓN]:[Pipeline 2026 $MM TECSERVICE]])</f>
        <v>159650020</v>
      </c>
      <c r="AF22" s="43">
        <v>-41.446736826468097</v>
      </c>
      <c r="AG22" s="37">
        <v>-72.957119760457601</v>
      </c>
      <c r="AH22" s="38" t="str">
        <f>+IF(Tabla1[[#This Row],['# Contratos Vigentes ]]&gt;0,"SI","NO")</f>
        <v>SI</v>
      </c>
      <c r="AI22" s="39">
        <v>0.6</v>
      </c>
      <c r="AJ22" s="40">
        <f>+Tabla1[[#This Row],[Ingreso 2025 - 2026]]*Tabla1[[#This Row],[% Costo Serv. Directo]]</f>
        <v>14199900.6</v>
      </c>
      <c r="AK22" s="41">
        <v>3</v>
      </c>
      <c r="AL2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28990020</v>
      </c>
      <c r="AM2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22" s="42">
        <f>+Tabla1[[#This Row],[Potencial Equipos]]+Tabla1[[#This Row],[Potencial Pipeline]]</f>
        <v>28990020</v>
      </c>
    </row>
    <row r="23" spans="1:40" x14ac:dyDescent="0.25">
      <c r="A23" s="22" t="s">
        <v>81</v>
      </c>
      <c r="B23" t="str">
        <f>+VLOOKUP(Tabla1[[#This Row],[Cliente]],'[1]Público Privado'!$A$1:$B$325,2,FALSE)</f>
        <v>Público</v>
      </c>
      <c r="C23" s="23">
        <f>+SUMIFS('[1]Facturacion a Fecha'!$T:$T,'[1]Facturacion a Fecha'!$AY:$AY,Tabla1[[#This Row],[Cliente]])</f>
        <v>32417460</v>
      </c>
      <c r="D23" s="24">
        <f>+SUMIFS('[1]Facturacion a Fecha'!$T:$T,'[1]Facturacion a Fecha'!$AY:$AY,Tabla1[[#This Row],[Cliente]],'[1]Facturacion a Fecha'!$AX:$AX,"Correctivo")</f>
        <v>17612760</v>
      </c>
      <c r="E23" s="25">
        <f>+COUNTIFS('[1]Facturacion a Fecha'!AY:AY,Tabla1[[#This Row],[Cliente]],'[1]Facturacion a Fecha'!AX:AX,"Correctivo")</f>
        <v>47</v>
      </c>
      <c r="F23" s="25">
        <f>+SUMIFS('[1]Facturacion a Fecha'!$T:$T,'[1]Facturacion a Fecha'!$AY:$AY,Tabla1[[#This Row],[Cliente]],'[1]Facturacion a Fecha'!$AX:$AX,"Preventivo")</f>
        <v>14804700</v>
      </c>
      <c r="G23" s="25">
        <f>+COUNTIFS('[1]Facturacion a Fecha'!AY:AY,Tabla1[[#This Row],[Cliente]],'[1]Facturacion a Fecha'!AX:AX,"Preventivo")</f>
        <v>16</v>
      </c>
      <c r="H23" s="26">
        <f>+Tabla1[[#This Row],['# Preventivo]]+Tabla1[[#This Row],['# Correctivo]]</f>
        <v>63</v>
      </c>
      <c r="I23" s="23">
        <f>+IFERROR(Tabla1[[#This Row],[Ingreso 2025 - 2026 Correctivo]]/Tabla1[[#This Row],[Ingreso 2025 - 2026 Preventivo]],0)</f>
        <v>1.1896735496160002</v>
      </c>
      <c r="J23" s="27">
        <f>+IFERROR(Tabla1[[#This Row],['# Correctivo]]/Tabla1[[#This Row],['# Preventivo]],0)</f>
        <v>2.9375</v>
      </c>
      <c r="K23" s="28">
        <f>+IFERROR(Tabla1[[#This Row],[Ingreso 2025 - 2026 Preventivo]]/(Tabla1[[#This Row],[Ingreso 2025 - 2026 Correctivo]]+Tabla1[[#This Row],[Ingreso 2025 - 2026 Preventivo]]),0)</f>
        <v>0.4566890805140193</v>
      </c>
      <c r="L23" s="28">
        <f>1-Tabla1[[#This Row],[% Preventivo $]]</f>
        <v>0.54331091948598065</v>
      </c>
      <c r="M23" s="29">
        <f>+COUNTIFS('[1]Base Instalada'!AA:AA,Tabla1[[#This Row],[Cliente]])</f>
        <v>15</v>
      </c>
      <c r="N23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" s="29">
        <f>+COUNTIFS('[1]Base Instalada'!AA:AA,Tabla1[[#This Row],[Cliente]],'[1]Base Instalada'!Z:Z,"ESTERILIZACIÓN")</f>
        <v>1</v>
      </c>
      <c r="P23" s="29">
        <f>+COUNTIFS('[1]Base Instalada'!AA:AA,Tabla1[[#This Row],[Cliente]],'[1]Base Instalada'!Z:Z,"DENTAL")</f>
        <v>0</v>
      </c>
      <c r="Q23" s="29">
        <f>+COUNTIFS('[1]Base Instalada'!AA:AA,Tabla1[[#This Row],[Cliente]],'[1]Base Instalada'!Z:Z,"ENDOSCOPÍA")</f>
        <v>9</v>
      </c>
      <c r="R23" s="29">
        <f>+COUNTIFS('[1]Base Instalada'!AA:AA,Tabla1[[#This Row],[Cliente]],'[1]Base Instalada'!Z:Z,"INCARDIA")</f>
        <v>0</v>
      </c>
      <c r="S23" s="29">
        <f>+COUNTIFS('[1]Base Instalada'!AA:AA,Tabla1[[#This Row],[Cliente]],'[1]Base Instalada'!Z:Z,"MMQ")</f>
        <v>0</v>
      </c>
      <c r="T23" s="29">
        <f>+COUNTIFS('[1]Base Instalada'!AA:AA,Tabla1[[#This Row],[Cliente]],'[1]Base Instalada'!Z:Z,"REAS")</f>
        <v>0</v>
      </c>
      <c r="U23" s="30">
        <f>+COUNTIFS('[1]Base Instalada'!AA:AA,Tabla1[[#This Row],[Cliente]],'[1]Base Instalada'!Z:Z,"MOBILIARIO CLINICO")</f>
        <v>5</v>
      </c>
      <c r="V23" s="29">
        <f>+COUNTIFS('[1]Base Instalada'!AA:AA,Tabla1[[#This Row],[Cliente]],'[1]Base Instalada'!Z:Z,"OTRO")</f>
        <v>0</v>
      </c>
      <c r="W23" s="31" t="str">
        <f t="shared" si="0"/>
        <v>Región Metropolitana</v>
      </c>
      <c r="X23" s="31" t="str">
        <f t="shared" si="1"/>
        <v>Santiago</v>
      </c>
      <c r="Y23" s="32" t="s">
        <v>82</v>
      </c>
      <c r="Z23" s="33">
        <f>+COUNTIFS('[1]Pipeline TS'!$F:$F,Tabla1[[#This Row],[Cliente]])</f>
        <v>1</v>
      </c>
      <c r="AA23" s="34">
        <f>SUMIFS('[1]Pipeline Esterilización'!M:M,'[1]Pipeline Esterilización'!E:E,Tabla1[[#This Row],[Cliente]],'[1]Pipeline Esterilización'!B:B,"2026",'[1]Pipeline Esterilización'!L:L,"&gt;0")</f>
        <v>0</v>
      </c>
      <c r="AB23" s="33">
        <f>+SUMIFS('[1]Pipeline Endoscopía'!K:K,'[1]Pipeline Endoscopía'!E:E,Tabla1[[#This Row],[Cliente]],'[1]Pipeline Endoscopía'!B:B,"2026",'[1]Pipeline Endoscopía'!J:J,"&gt;0")</f>
        <v>0</v>
      </c>
      <c r="AC23" s="34">
        <f>+SUMIFS('[1]Pipeline Dental'!K:K,'[1]Pipeline Dental'!E:E,Tabla1[[#This Row],[Cliente]],'[1]Pipeline Dental'!B:B,"2026",'[1]Pipeline Dental'!J:J,"&gt;0")</f>
        <v>0</v>
      </c>
      <c r="AD23" s="35">
        <f>+SUMIFS('[1]Pipeline TS'!$AB:$AB,'[1]Pipeline TS'!$F:$F,Tabla1[[#This Row],[Cliente]])</f>
        <v>20899496.640000001</v>
      </c>
      <c r="AE23" s="35">
        <f>+SUM(Tabla1[[#This Row],[Pipeline 2026 $MM ESTERILIZACIÓN]:[Pipeline 2026 $MM TECSERVICE]])</f>
        <v>20899496.640000001</v>
      </c>
      <c r="AF23" s="43">
        <v>-33.4185436594069</v>
      </c>
      <c r="AG23" s="37">
        <v>-70.605002978553898</v>
      </c>
      <c r="AH23" s="38" t="str">
        <f>+IF(Tabla1[[#This Row],['# Contratos Vigentes ]]&gt;0,"SI","NO")</f>
        <v>SI</v>
      </c>
      <c r="AI23" s="39">
        <v>0.6</v>
      </c>
      <c r="AJ23" s="40">
        <f>+Tabla1[[#This Row],[Ingreso 2025 - 2026]]*Tabla1[[#This Row],[% Costo Serv. Directo]]</f>
        <v>19450476</v>
      </c>
      <c r="AK23" s="41">
        <v>3</v>
      </c>
      <c r="AL2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20899496.640000001</v>
      </c>
      <c r="AM2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23" s="42">
        <f>+Tabla1[[#This Row],[Potencial Equipos]]+Tabla1[[#This Row],[Potencial Pipeline]]</f>
        <v>20899496.640000001</v>
      </c>
    </row>
    <row r="24" spans="1:40" x14ac:dyDescent="0.25">
      <c r="A24" s="22" t="s">
        <v>83</v>
      </c>
      <c r="B24" t="str">
        <f>+VLOOKUP(Tabla1[[#This Row],[Cliente]],'[1]Público Privado'!$A$1:$B$325,2,FALSE)</f>
        <v>Público</v>
      </c>
      <c r="C24" s="23">
        <f>+SUMIFS('[1]Facturacion a Fecha'!$T:$T,'[1]Facturacion a Fecha'!$AY:$AY,Tabla1[[#This Row],[Cliente]])</f>
        <v>32180518</v>
      </c>
      <c r="D24" s="24">
        <f>+SUMIFS('[1]Facturacion a Fecha'!$T:$T,'[1]Facturacion a Fecha'!$AY:$AY,Tabla1[[#This Row],[Cliente]],'[1]Facturacion a Fecha'!$AX:$AX,"Correctivo")</f>
        <v>12327819</v>
      </c>
      <c r="E24" s="25">
        <f>+COUNTIFS('[1]Facturacion a Fecha'!AY:AY,Tabla1[[#This Row],[Cliente]],'[1]Facturacion a Fecha'!AX:AX,"Correctivo")</f>
        <v>18</v>
      </c>
      <c r="F24" s="25">
        <f>+SUMIFS('[1]Facturacion a Fecha'!$T:$T,'[1]Facturacion a Fecha'!$AY:$AY,Tabla1[[#This Row],[Cliente]],'[1]Facturacion a Fecha'!$AX:$AX,"Preventivo")</f>
        <v>19852699</v>
      </c>
      <c r="G24" s="25">
        <f>+COUNTIFS('[1]Facturacion a Fecha'!AY:AY,Tabla1[[#This Row],[Cliente]],'[1]Facturacion a Fecha'!AX:AX,"Preventivo")</f>
        <v>3</v>
      </c>
      <c r="H24" s="26">
        <f>+Tabla1[[#This Row],['# Preventivo]]+Tabla1[[#This Row],['# Correctivo]]</f>
        <v>21</v>
      </c>
      <c r="I24" s="23">
        <f>+IFERROR(Tabla1[[#This Row],[Ingreso 2025 - 2026 Correctivo]]/Tabla1[[#This Row],[Ingreso 2025 - 2026 Preventivo]],0)</f>
        <v>0.6209643837344232</v>
      </c>
      <c r="J24" s="27">
        <f>+IFERROR(Tabla1[[#This Row],['# Correctivo]]/Tabla1[[#This Row],['# Preventivo]],0)</f>
        <v>6</v>
      </c>
      <c r="K24" s="28">
        <f>+IFERROR(Tabla1[[#This Row],[Ingreso 2025 - 2026 Preventivo]]/(Tabla1[[#This Row],[Ingreso 2025 - 2026 Correctivo]]+Tabla1[[#This Row],[Ingreso 2025 - 2026 Preventivo]]),0)</f>
        <v>0.61691670096795836</v>
      </c>
      <c r="L24" s="28">
        <f>1-Tabla1[[#This Row],[% Preventivo $]]</f>
        <v>0.38308329903204164</v>
      </c>
      <c r="M24" s="29">
        <f>+COUNTIFS('[1]Base Instalada'!AA:AA,Tabla1[[#This Row],[Cliente]])</f>
        <v>17</v>
      </c>
      <c r="N24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" s="29">
        <f>+COUNTIFS('[1]Base Instalada'!AA:AA,Tabla1[[#This Row],[Cliente]],'[1]Base Instalada'!Z:Z,"ESTERILIZACIÓN")</f>
        <v>4</v>
      </c>
      <c r="P24" s="29">
        <f>+COUNTIFS('[1]Base Instalada'!AA:AA,Tabla1[[#This Row],[Cliente]],'[1]Base Instalada'!Z:Z,"DENTAL")</f>
        <v>4</v>
      </c>
      <c r="Q24" s="29">
        <f>+COUNTIFS('[1]Base Instalada'!AA:AA,Tabla1[[#This Row],[Cliente]],'[1]Base Instalada'!Z:Z,"ENDOSCOPÍA")</f>
        <v>6</v>
      </c>
      <c r="R24" s="29">
        <f>+COUNTIFS('[1]Base Instalada'!AA:AA,Tabla1[[#This Row],[Cliente]],'[1]Base Instalada'!Z:Z,"INCARDIA")</f>
        <v>1</v>
      </c>
      <c r="S24" s="29">
        <f>+COUNTIFS('[1]Base Instalada'!AA:AA,Tabla1[[#This Row],[Cliente]],'[1]Base Instalada'!Z:Z,"MMQ")</f>
        <v>0</v>
      </c>
      <c r="T24" s="29">
        <f>+COUNTIFS('[1]Base Instalada'!AA:AA,Tabla1[[#This Row],[Cliente]],'[1]Base Instalada'!Z:Z,"REAS")</f>
        <v>0</v>
      </c>
      <c r="U24" s="30">
        <f>+COUNTIFS('[1]Base Instalada'!AA:AA,Tabla1[[#This Row],[Cliente]],'[1]Base Instalada'!Z:Z,"MOBILIARIO CLINICO")</f>
        <v>2</v>
      </c>
      <c r="V24" s="29">
        <f>+COUNTIFS('[1]Base Instalada'!AA:AA,Tabla1[[#This Row],[Cliente]],'[1]Base Instalada'!Z:Z,"OTRO")</f>
        <v>0</v>
      </c>
      <c r="W24" s="31" t="str">
        <f t="shared" si="0"/>
        <v>Región Aysén</v>
      </c>
      <c r="X24" s="31" t="str">
        <f t="shared" si="1"/>
        <v>Puerto Aysen</v>
      </c>
      <c r="Y24" s="32" t="s">
        <v>84</v>
      </c>
      <c r="Z24" s="33">
        <f>+COUNTIFS('[1]Pipeline TS'!$F:$F,Tabla1[[#This Row],[Cliente]])</f>
        <v>1</v>
      </c>
      <c r="AA24" s="34">
        <f>SUMIFS('[1]Pipeline Esterilización'!M:M,'[1]Pipeline Esterilización'!E:E,Tabla1[[#This Row],[Cliente]],'[1]Pipeline Esterilización'!B:B,"2026",'[1]Pipeline Esterilización'!L:L,"&gt;0")</f>
        <v>110000000</v>
      </c>
      <c r="AB24" s="33">
        <f>+SUMIFS('[1]Pipeline Endoscopía'!K:K,'[1]Pipeline Endoscopía'!E:E,Tabla1[[#This Row],[Cliente]],'[1]Pipeline Endoscopía'!B:B,"2026",'[1]Pipeline Endoscopía'!J:J,"&gt;0")</f>
        <v>0</v>
      </c>
      <c r="AC24" s="34">
        <f>+SUMIFS('[1]Pipeline Dental'!K:K,'[1]Pipeline Dental'!E:E,Tabla1[[#This Row],[Cliente]],'[1]Pipeline Dental'!B:B,"2026",'[1]Pipeline Dental'!J:J,"&gt;0")</f>
        <v>0</v>
      </c>
      <c r="AD24" s="35">
        <f>+SUMIFS('[1]Pipeline TS'!$AB:$AB,'[1]Pipeline TS'!$F:$F,Tabla1[[#This Row],[Cliente]])</f>
        <v>32720636</v>
      </c>
      <c r="AE24" s="35">
        <f>+SUM(Tabla1[[#This Row],[Pipeline 2026 $MM ESTERILIZACIÓN]:[Pipeline 2026 $MM TECSERVICE]])</f>
        <v>142720636</v>
      </c>
      <c r="AF24" s="43">
        <v>-45.408598045042602</v>
      </c>
      <c r="AG24" s="37">
        <v>-72.684021929190607</v>
      </c>
      <c r="AH24" s="38" t="str">
        <f>+IF(Tabla1[[#This Row],['# Contratos Vigentes ]]&gt;0,"SI","NO")</f>
        <v>SI</v>
      </c>
      <c r="AI24" s="39">
        <v>0.6</v>
      </c>
      <c r="AJ24" s="40">
        <f>+Tabla1[[#This Row],[Ingreso 2025 - 2026]]*Tabla1[[#This Row],[% Costo Serv. Directo]]</f>
        <v>19308310.800000001</v>
      </c>
      <c r="AK24" s="41">
        <v>4</v>
      </c>
      <c r="AL2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43720636</v>
      </c>
      <c r="AM2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24" s="42">
        <f>+Tabla1[[#This Row],[Potencial Equipos]]+Tabla1[[#This Row],[Potencial Pipeline]]</f>
        <v>43720636</v>
      </c>
    </row>
    <row r="25" spans="1:40" x14ac:dyDescent="0.25">
      <c r="A25" s="22" t="s">
        <v>85</v>
      </c>
      <c r="B25" t="str">
        <f>+VLOOKUP(Tabla1[[#This Row],[Cliente]],'[1]Público Privado'!$A$1:$B$325,2,FALSE)</f>
        <v>Privado</v>
      </c>
      <c r="C25" s="23">
        <f>+SUMIFS('[1]Facturacion a Fecha'!$T:$T,'[1]Facturacion a Fecha'!$AY:$AY,Tabla1[[#This Row],[Cliente]])</f>
        <v>31395205</v>
      </c>
      <c r="D25" s="24">
        <f>+SUMIFS('[1]Facturacion a Fecha'!$T:$T,'[1]Facturacion a Fecha'!$AY:$AY,Tabla1[[#This Row],[Cliente]],'[1]Facturacion a Fecha'!$AX:$AX,"Correctivo")</f>
        <v>26066346</v>
      </c>
      <c r="E25" s="25">
        <f>+COUNTIFS('[1]Facturacion a Fecha'!AY:AY,Tabla1[[#This Row],[Cliente]],'[1]Facturacion a Fecha'!AX:AX,"Correctivo")</f>
        <v>17</v>
      </c>
      <c r="F25" s="25">
        <f>+SUMIFS('[1]Facturacion a Fecha'!$T:$T,'[1]Facturacion a Fecha'!$AY:$AY,Tabla1[[#This Row],[Cliente]],'[1]Facturacion a Fecha'!$AX:$AX,"Preventivo")</f>
        <v>5328859</v>
      </c>
      <c r="G25" s="25">
        <f>+COUNTIFS('[1]Facturacion a Fecha'!AY:AY,Tabla1[[#This Row],[Cliente]],'[1]Facturacion a Fecha'!AX:AX,"Preventivo")</f>
        <v>6</v>
      </c>
      <c r="H25" s="26">
        <f>+Tabla1[[#This Row],['# Preventivo]]+Tabla1[[#This Row],['# Correctivo]]</f>
        <v>23</v>
      </c>
      <c r="I25" s="23">
        <f>+IFERROR(Tabla1[[#This Row],[Ingreso 2025 - 2026 Correctivo]]/Tabla1[[#This Row],[Ingreso 2025 - 2026 Preventivo]],0)</f>
        <v>4.8915435743373958</v>
      </c>
      <c r="J25" s="27">
        <f>+IFERROR(Tabla1[[#This Row],['# Correctivo]]/Tabla1[[#This Row],['# Preventivo]],0)</f>
        <v>2.8333333333333335</v>
      </c>
      <c r="K25" s="28">
        <f>+IFERROR(Tabla1[[#This Row],[Ingreso 2025 - 2026 Preventivo]]/(Tabla1[[#This Row],[Ingreso 2025 - 2026 Correctivo]]+Tabla1[[#This Row],[Ingreso 2025 - 2026 Preventivo]]),0)</f>
        <v>0.16973480504427349</v>
      </c>
      <c r="L25" s="28">
        <f>1-Tabla1[[#This Row],[% Preventivo $]]</f>
        <v>0.83026519495572648</v>
      </c>
      <c r="M25" s="29">
        <f>+COUNTIFS('[1]Base Instalada'!AA:AA,Tabla1[[#This Row],[Cliente]])</f>
        <v>4</v>
      </c>
      <c r="N25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" s="29">
        <f>+COUNTIFS('[1]Base Instalada'!AA:AA,Tabla1[[#This Row],[Cliente]],'[1]Base Instalada'!Z:Z,"ESTERILIZACIÓN")</f>
        <v>4</v>
      </c>
      <c r="P25" s="29">
        <f>+COUNTIFS('[1]Base Instalada'!AA:AA,Tabla1[[#This Row],[Cliente]],'[1]Base Instalada'!Z:Z,"DENTAL")</f>
        <v>0</v>
      </c>
      <c r="Q25" s="29">
        <f>+COUNTIFS('[1]Base Instalada'!AA:AA,Tabla1[[#This Row],[Cliente]],'[1]Base Instalada'!Z:Z,"ENDOSCOPÍA")</f>
        <v>0</v>
      </c>
      <c r="R25" s="29">
        <f>+COUNTIFS('[1]Base Instalada'!AA:AA,Tabla1[[#This Row],[Cliente]],'[1]Base Instalada'!Z:Z,"INCARDIA")</f>
        <v>0</v>
      </c>
      <c r="S25" s="29">
        <f>+COUNTIFS('[1]Base Instalada'!AA:AA,Tabla1[[#This Row],[Cliente]],'[1]Base Instalada'!Z:Z,"MMQ")</f>
        <v>0</v>
      </c>
      <c r="T25" s="29">
        <f>+COUNTIFS('[1]Base Instalada'!AA:AA,Tabla1[[#This Row],[Cliente]],'[1]Base Instalada'!Z:Z,"REAS")</f>
        <v>0</v>
      </c>
      <c r="U25" s="30">
        <f>+COUNTIFS('[1]Base Instalada'!AA:AA,Tabla1[[#This Row],[Cliente]],'[1]Base Instalada'!Z:Z,"MOBILIARIO CLINICO")</f>
        <v>0</v>
      </c>
      <c r="V25" s="29">
        <f>+COUNTIFS('[1]Base Instalada'!AA:AA,Tabla1[[#This Row],[Cliente]],'[1]Base Instalada'!Z:Z,"OTRO")</f>
        <v>0</v>
      </c>
      <c r="W25" s="31" t="str">
        <f t="shared" si="0"/>
        <v>Región Metropolitana</v>
      </c>
      <c r="X25" s="31" t="str">
        <f t="shared" si="1"/>
        <v>Providencia</v>
      </c>
      <c r="Y25" s="32" t="s">
        <v>86</v>
      </c>
      <c r="Z25" s="33">
        <f>+COUNTIFS('[1]Pipeline TS'!$F:$F,Tabla1[[#This Row],[Cliente]])</f>
        <v>1</v>
      </c>
      <c r="AA25" s="34">
        <f>SUMIFS('[1]Pipeline Esterilización'!M:M,'[1]Pipeline Esterilización'!E:E,Tabla1[[#This Row],[Cliente]],'[1]Pipeline Esterilización'!B:B,"2026",'[1]Pipeline Esterilización'!L:L,"&gt;0")</f>
        <v>244000000</v>
      </c>
      <c r="AB25" s="33">
        <f>+SUMIFS('[1]Pipeline Endoscopía'!K:K,'[1]Pipeline Endoscopía'!E:E,Tabla1[[#This Row],[Cliente]],'[1]Pipeline Endoscopía'!B:B,"2026",'[1]Pipeline Endoscopía'!J:J,"&gt;0")</f>
        <v>0</v>
      </c>
      <c r="AC25" s="34">
        <f>+SUMIFS('[1]Pipeline Dental'!K:K,'[1]Pipeline Dental'!E:E,Tabla1[[#This Row],[Cliente]],'[1]Pipeline Dental'!B:B,"2026",'[1]Pipeline Dental'!J:J,"&gt;0")</f>
        <v>5000000</v>
      </c>
      <c r="AD25" s="35">
        <f>+SUMIFS('[1]Pipeline TS'!$AB:$AB,'[1]Pipeline TS'!$F:$F,Tabla1[[#This Row],[Cliente]])</f>
        <v>34574417.280000001</v>
      </c>
      <c r="AE25" s="35">
        <f>+SUM(Tabla1[[#This Row],[Pipeline 2026 $MM ESTERILIZACIÓN]:[Pipeline 2026 $MM TECSERVICE]])</f>
        <v>283574417.27999997</v>
      </c>
      <c r="AF25" s="43">
        <v>-33.421154525029898</v>
      </c>
      <c r="AG25" s="37">
        <v>-70.618244340278494</v>
      </c>
      <c r="AH25" s="38" t="str">
        <f>+IF(Tabla1[[#This Row],['# Contratos Vigentes ]]&gt;0,"SI","NO")</f>
        <v>SI</v>
      </c>
      <c r="AI25" s="39">
        <v>0.6</v>
      </c>
      <c r="AJ25" s="40">
        <f>+Tabla1[[#This Row],[Ingreso 2025 - 2026]]*Tabla1[[#This Row],[% Costo Serv. Directo]]</f>
        <v>18837123</v>
      </c>
      <c r="AK25" s="41">
        <v>4</v>
      </c>
      <c r="AL2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59274417.280000001</v>
      </c>
      <c r="AM2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25" s="42">
        <f>+Tabla1[[#This Row],[Potencial Equipos]]+Tabla1[[#This Row],[Potencial Pipeline]]</f>
        <v>59274417.280000001</v>
      </c>
    </row>
    <row r="26" spans="1:40" x14ac:dyDescent="0.25">
      <c r="A26" s="22" t="s">
        <v>87</v>
      </c>
      <c r="B26" t="str">
        <f>+VLOOKUP(Tabla1[[#This Row],[Cliente]],'[1]Público Privado'!$A$1:$B$325,2,FALSE)</f>
        <v>Público</v>
      </c>
      <c r="C26" s="23">
        <f>+SUMIFS('[1]Facturacion a Fecha'!$T:$T,'[1]Facturacion a Fecha'!$AY:$AY,Tabla1[[#This Row],[Cliente]])</f>
        <v>30091062</v>
      </c>
      <c r="D26" s="24">
        <f>+SUMIFS('[1]Facturacion a Fecha'!$T:$T,'[1]Facturacion a Fecha'!$AY:$AY,Tabla1[[#This Row],[Cliente]],'[1]Facturacion a Fecha'!$AX:$AX,"Correctivo")</f>
        <v>36913509</v>
      </c>
      <c r="E26" s="25">
        <f>+COUNTIFS('[1]Facturacion a Fecha'!AY:AY,Tabla1[[#This Row],[Cliente]],'[1]Facturacion a Fecha'!AX:AX,"Correctivo")</f>
        <v>12</v>
      </c>
      <c r="F26" s="25">
        <f>+SUMIFS('[1]Facturacion a Fecha'!$T:$T,'[1]Facturacion a Fecha'!$AY:$AY,Tabla1[[#This Row],[Cliente]],'[1]Facturacion a Fecha'!$AX:$AX,"Preventivo")</f>
        <v>-6822447</v>
      </c>
      <c r="G26" s="25">
        <f>+COUNTIFS('[1]Facturacion a Fecha'!AY:AY,Tabla1[[#This Row],[Cliente]],'[1]Facturacion a Fecha'!AX:AX,"Preventivo")</f>
        <v>6</v>
      </c>
      <c r="H26" s="26">
        <f>+Tabla1[[#This Row],['# Preventivo]]+Tabla1[[#This Row],['# Correctivo]]</f>
        <v>18</v>
      </c>
      <c r="I26" s="23">
        <f>+IFERROR(Tabla1[[#This Row],[Ingreso 2025 - 2026 Correctivo]]/Tabla1[[#This Row],[Ingreso 2025 - 2026 Preventivo]],0)</f>
        <v>-5.4105966671488988</v>
      </c>
      <c r="J26" s="27">
        <f>+IFERROR(Tabla1[[#This Row],['# Correctivo]]/Tabla1[[#This Row],['# Preventivo]],0)</f>
        <v>2</v>
      </c>
      <c r="K26" s="28">
        <f>+IFERROR(Tabla1[[#This Row],[Ingreso 2025 - 2026 Preventivo]]/(Tabla1[[#This Row],[Ingreso 2025 - 2026 Correctivo]]+Tabla1[[#This Row],[Ingreso 2025 - 2026 Preventivo]]),0)</f>
        <v>-0.22672669379365873</v>
      </c>
      <c r="L26" s="28">
        <f>1-Tabla1[[#This Row],[% Preventivo $]]</f>
        <v>1.2267266937936587</v>
      </c>
      <c r="M26" s="29">
        <f>+COUNTIFS('[1]Base Instalada'!AA:AA,Tabla1[[#This Row],[Cliente]])</f>
        <v>18</v>
      </c>
      <c r="N26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" s="29">
        <f>+COUNTIFS('[1]Base Instalada'!AA:AA,Tabla1[[#This Row],[Cliente]],'[1]Base Instalada'!Z:Z,"ESTERILIZACIÓN")</f>
        <v>18</v>
      </c>
      <c r="P26" s="29">
        <f>+COUNTIFS('[1]Base Instalada'!AA:AA,Tabla1[[#This Row],[Cliente]],'[1]Base Instalada'!Z:Z,"DENTAL")</f>
        <v>0</v>
      </c>
      <c r="Q26" s="29">
        <f>+COUNTIFS('[1]Base Instalada'!AA:AA,Tabla1[[#This Row],[Cliente]],'[1]Base Instalada'!Z:Z,"ENDOSCOPÍA")</f>
        <v>0</v>
      </c>
      <c r="R26" s="29">
        <f>+COUNTIFS('[1]Base Instalada'!AA:AA,Tabla1[[#This Row],[Cliente]],'[1]Base Instalada'!Z:Z,"INCARDIA")</f>
        <v>0</v>
      </c>
      <c r="S26" s="29">
        <f>+COUNTIFS('[1]Base Instalada'!AA:AA,Tabla1[[#This Row],[Cliente]],'[1]Base Instalada'!Z:Z,"MMQ")</f>
        <v>0</v>
      </c>
      <c r="T26" s="29">
        <f>+COUNTIFS('[1]Base Instalada'!AA:AA,Tabla1[[#This Row],[Cliente]],'[1]Base Instalada'!Z:Z,"REAS")</f>
        <v>0</v>
      </c>
      <c r="U26" s="30">
        <f>+COUNTIFS('[1]Base Instalada'!AA:AA,Tabla1[[#This Row],[Cliente]],'[1]Base Instalada'!Z:Z,"MOBILIARIO CLINICO")</f>
        <v>0</v>
      </c>
      <c r="V26" s="29">
        <f>+COUNTIFS('[1]Base Instalada'!AA:AA,Tabla1[[#This Row],[Cliente]],'[1]Base Instalada'!Z:Z,"OTRO")</f>
        <v>0</v>
      </c>
      <c r="W26" s="31" t="str">
        <f t="shared" si="0"/>
        <v>Región Araucanía</v>
      </c>
      <c r="X26" s="31" t="str">
        <f t="shared" si="1"/>
        <v>Padre Las Casas</v>
      </c>
      <c r="Y26" s="32" t="s">
        <v>88</v>
      </c>
      <c r="Z26" s="33">
        <f>+COUNTIFS('[1]Pipeline TS'!$F:$F,Tabla1[[#This Row],[Cliente]])</f>
        <v>0</v>
      </c>
      <c r="AA26" s="34">
        <f>SUMIFS('[1]Pipeline Esterilización'!M:M,'[1]Pipeline Esterilización'!E:E,Tabla1[[#This Row],[Cliente]],'[1]Pipeline Esterilización'!B:B,"2026",'[1]Pipeline Esterilización'!L:L,"&gt;0")</f>
        <v>237000000</v>
      </c>
      <c r="AB26" s="33">
        <f>+SUMIFS('[1]Pipeline Endoscopía'!K:K,'[1]Pipeline Endoscopía'!E:E,Tabla1[[#This Row],[Cliente]],'[1]Pipeline Endoscopía'!B:B,"2026",'[1]Pipeline Endoscopía'!J:J,"&gt;0")</f>
        <v>0</v>
      </c>
      <c r="AC26" s="34">
        <f>+SUMIFS('[1]Pipeline Dental'!K:K,'[1]Pipeline Dental'!E:E,Tabla1[[#This Row],[Cliente]],'[1]Pipeline Dental'!B:B,"2026",'[1]Pipeline Dental'!J:J,"&gt;0")</f>
        <v>0</v>
      </c>
      <c r="AD26" s="35">
        <f>+SUMIFS('[1]Pipeline TS'!$AB:$AB,'[1]Pipeline TS'!$F:$F,Tabla1[[#This Row],[Cliente]])</f>
        <v>0</v>
      </c>
      <c r="AE26" s="35">
        <f>+SUM(Tabla1[[#This Row],[Pipeline 2026 $MM ESTERILIZACIÓN]:[Pipeline 2026 $MM TECSERVICE]])</f>
        <v>237000000</v>
      </c>
      <c r="AF26" s="43">
        <v>-38.767777751203297</v>
      </c>
      <c r="AG26" s="37">
        <v>-72.615647638973599</v>
      </c>
      <c r="AH26" s="38" t="str">
        <f>+IF(Tabla1[[#This Row],['# Contratos Vigentes ]]&gt;0,"SI","NO")</f>
        <v>NO</v>
      </c>
      <c r="AI26" s="39">
        <v>0.6</v>
      </c>
      <c r="AJ26" s="40">
        <f>+Tabla1[[#This Row],[Ingreso 2025 - 2026]]*Tabla1[[#This Row],[% Costo Serv. Directo]]</f>
        <v>18054637.199999999</v>
      </c>
      <c r="AK26" s="41">
        <v>5</v>
      </c>
      <c r="AL2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23700000</v>
      </c>
      <c r="AM2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35946000</v>
      </c>
      <c r="AN26" s="42">
        <f>+Tabla1[[#This Row],[Potencial Equipos]]+Tabla1[[#This Row],[Potencial Pipeline]]</f>
        <v>59646000</v>
      </c>
    </row>
    <row r="27" spans="1:40" x14ac:dyDescent="0.25">
      <c r="A27" s="22" t="s">
        <v>89</v>
      </c>
      <c r="B27" t="str">
        <f>+VLOOKUP(Tabla1[[#This Row],[Cliente]],'[1]Público Privado'!$A$1:$B$325,2,FALSE)</f>
        <v>Público</v>
      </c>
      <c r="C27" s="23">
        <f>+SUMIFS('[1]Facturacion a Fecha'!$T:$T,'[1]Facturacion a Fecha'!$AY:$AY,Tabla1[[#This Row],[Cliente]])</f>
        <v>29005388</v>
      </c>
      <c r="D27" s="24">
        <f>+SUMIFS('[1]Facturacion a Fecha'!$T:$T,'[1]Facturacion a Fecha'!$AY:$AY,Tabla1[[#This Row],[Cliente]],'[1]Facturacion a Fecha'!$AX:$AX,"Correctivo")</f>
        <v>12840341</v>
      </c>
      <c r="E27" s="25">
        <f>+COUNTIFS('[1]Facturacion a Fecha'!AY:AY,Tabla1[[#This Row],[Cliente]],'[1]Facturacion a Fecha'!AX:AX,"Correctivo")</f>
        <v>30</v>
      </c>
      <c r="F27" s="25">
        <f>+SUMIFS('[1]Facturacion a Fecha'!$T:$T,'[1]Facturacion a Fecha'!$AY:$AY,Tabla1[[#This Row],[Cliente]],'[1]Facturacion a Fecha'!$AX:$AX,"Preventivo")</f>
        <v>16165047</v>
      </c>
      <c r="G27" s="25">
        <f>+COUNTIFS('[1]Facturacion a Fecha'!AY:AY,Tabla1[[#This Row],[Cliente]],'[1]Facturacion a Fecha'!AX:AX,"Preventivo")</f>
        <v>10</v>
      </c>
      <c r="H27" s="26">
        <f>+Tabla1[[#This Row],['# Preventivo]]+Tabla1[[#This Row],['# Correctivo]]</f>
        <v>40</v>
      </c>
      <c r="I27" s="23">
        <f>+IFERROR(Tabla1[[#This Row],[Ingreso 2025 - 2026 Correctivo]]/Tabla1[[#This Row],[Ingreso 2025 - 2026 Preventivo]],0)</f>
        <v>0.79432747705589724</v>
      </c>
      <c r="J27" s="27">
        <f>+IFERROR(Tabla1[[#This Row],['# Correctivo]]/Tabla1[[#This Row],['# Preventivo]],0)</f>
        <v>3</v>
      </c>
      <c r="K27" s="28">
        <f>+IFERROR(Tabla1[[#This Row],[Ingreso 2025 - 2026 Preventivo]]/(Tabla1[[#This Row],[Ingreso 2025 - 2026 Correctivo]]+Tabla1[[#This Row],[Ingreso 2025 - 2026 Preventivo]]),0)</f>
        <v>0.55731186909135644</v>
      </c>
      <c r="L27" s="28">
        <f>1-Tabla1[[#This Row],[% Preventivo $]]</f>
        <v>0.44268813090864356</v>
      </c>
      <c r="M27" s="29">
        <f>+COUNTIFS('[1]Base Instalada'!AA:AA,Tabla1[[#This Row],[Cliente]])</f>
        <v>49</v>
      </c>
      <c r="N27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" s="29">
        <f>+COUNTIFS('[1]Base Instalada'!AA:AA,Tabla1[[#This Row],[Cliente]],'[1]Base Instalada'!Z:Z,"ESTERILIZACIÓN")</f>
        <v>10</v>
      </c>
      <c r="P27" s="29">
        <f>+COUNTIFS('[1]Base Instalada'!AA:AA,Tabla1[[#This Row],[Cliente]],'[1]Base Instalada'!Z:Z,"DENTAL")</f>
        <v>35</v>
      </c>
      <c r="Q27" s="29">
        <f>+COUNTIFS('[1]Base Instalada'!AA:AA,Tabla1[[#This Row],[Cliente]],'[1]Base Instalada'!Z:Z,"ENDOSCOPÍA")</f>
        <v>0</v>
      </c>
      <c r="R27" s="29">
        <f>+COUNTIFS('[1]Base Instalada'!AA:AA,Tabla1[[#This Row],[Cliente]],'[1]Base Instalada'!Z:Z,"INCARDIA")</f>
        <v>4</v>
      </c>
      <c r="S27" s="29">
        <f>+COUNTIFS('[1]Base Instalada'!AA:AA,Tabla1[[#This Row],[Cliente]],'[1]Base Instalada'!Z:Z,"MMQ")</f>
        <v>0</v>
      </c>
      <c r="T27" s="29">
        <f>+COUNTIFS('[1]Base Instalada'!AA:AA,Tabla1[[#This Row],[Cliente]],'[1]Base Instalada'!Z:Z,"REAS")</f>
        <v>0</v>
      </c>
      <c r="U27" s="30">
        <f>+COUNTIFS('[1]Base Instalada'!AA:AA,Tabla1[[#This Row],[Cliente]],'[1]Base Instalada'!Z:Z,"MOBILIARIO CLINICO")</f>
        <v>0</v>
      </c>
      <c r="V27" s="29">
        <f>+COUNTIFS('[1]Base Instalada'!AA:AA,Tabla1[[#This Row],[Cliente]],'[1]Base Instalada'!Z:Z,"OTRO")</f>
        <v>0</v>
      </c>
      <c r="W27" s="31" t="str">
        <f t="shared" si="0"/>
        <v>Región Metropolitana</v>
      </c>
      <c r="X27" s="31" t="str">
        <f t="shared" si="1"/>
        <v>San Miguel</v>
      </c>
      <c r="Y27" s="32" t="s">
        <v>90</v>
      </c>
      <c r="Z27" s="33">
        <f>+COUNTIFS('[1]Pipeline TS'!$F:$F,Tabla1[[#This Row],[Cliente]])</f>
        <v>2</v>
      </c>
      <c r="AA27" s="34">
        <f>SUMIFS('[1]Pipeline Esterilización'!M:M,'[1]Pipeline Esterilización'!E:E,Tabla1[[#This Row],[Cliente]],'[1]Pipeline Esterilización'!B:B,"2026",'[1]Pipeline Esterilización'!L:L,"&gt;0")</f>
        <v>0</v>
      </c>
      <c r="AB27" s="33">
        <f>+SUMIFS('[1]Pipeline Endoscopía'!K:K,'[1]Pipeline Endoscopía'!E:E,Tabla1[[#This Row],[Cliente]],'[1]Pipeline Endoscopía'!B:B,"2026",'[1]Pipeline Endoscopía'!J:J,"&gt;0")</f>
        <v>0</v>
      </c>
      <c r="AC27" s="34">
        <f>+SUMIFS('[1]Pipeline Dental'!K:K,'[1]Pipeline Dental'!E:E,Tabla1[[#This Row],[Cliente]],'[1]Pipeline Dental'!B:B,"2026",'[1]Pipeline Dental'!J:J,"&gt;0")</f>
        <v>0</v>
      </c>
      <c r="AD27" s="35">
        <f>+SUMIFS('[1]Pipeline TS'!$AB:$AB,'[1]Pipeline TS'!$F:$F,Tabla1[[#This Row],[Cliente]])</f>
        <v>20977154</v>
      </c>
      <c r="AE27" s="35">
        <f>+SUM(Tabla1[[#This Row],[Pipeline 2026 $MM ESTERILIZACIÓN]:[Pipeline 2026 $MM TECSERVICE]])</f>
        <v>20977154</v>
      </c>
      <c r="AF27" s="43">
        <v>-33.4859090128259</v>
      </c>
      <c r="AG27" s="37">
        <v>-70.645605779745097</v>
      </c>
      <c r="AH27" s="38" t="str">
        <f>+IF(Tabla1[[#This Row],['# Contratos Vigentes ]]&gt;0,"SI","NO")</f>
        <v>SI</v>
      </c>
      <c r="AI27" s="39">
        <v>0.6</v>
      </c>
      <c r="AJ27" s="40">
        <f>+Tabla1[[#This Row],[Ingreso 2025 - 2026]]*Tabla1[[#This Row],[% Costo Serv. Directo]]</f>
        <v>17403232.800000001</v>
      </c>
      <c r="AK27" s="41">
        <v>4</v>
      </c>
      <c r="AL2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20977154</v>
      </c>
      <c r="AM2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27" s="42">
        <f>+Tabla1[[#This Row],[Potencial Equipos]]+Tabla1[[#This Row],[Potencial Pipeline]]</f>
        <v>20977154</v>
      </c>
    </row>
    <row r="28" spans="1:40" x14ac:dyDescent="0.25">
      <c r="A28" s="22" t="s">
        <v>91</v>
      </c>
      <c r="B28" t="str">
        <f>+VLOOKUP(Tabla1[[#This Row],[Cliente]],'[1]Público Privado'!$A$1:$B$325,2,FALSE)</f>
        <v>Público</v>
      </c>
      <c r="C28" s="23">
        <f>+SUMIFS('[1]Facturacion a Fecha'!$T:$T,'[1]Facturacion a Fecha'!$AY:$AY,Tabla1[[#This Row],[Cliente]])</f>
        <v>26791462</v>
      </c>
      <c r="D28" s="24">
        <f>+SUMIFS('[1]Facturacion a Fecha'!$T:$T,'[1]Facturacion a Fecha'!$AY:$AY,Tabla1[[#This Row],[Cliente]],'[1]Facturacion a Fecha'!$AX:$AX,"Correctivo")</f>
        <v>26791462</v>
      </c>
      <c r="E28" s="25">
        <f>+COUNTIFS('[1]Facturacion a Fecha'!AY:AY,Tabla1[[#This Row],[Cliente]],'[1]Facturacion a Fecha'!AX:AX,"Correctivo")</f>
        <v>10</v>
      </c>
      <c r="F28" s="25">
        <f>+SUMIFS('[1]Facturacion a Fecha'!$T:$T,'[1]Facturacion a Fecha'!$AY:$AY,Tabla1[[#This Row],[Cliente]],'[1]Facturacion a Fecha'!$AX:$AX,"Preventivo")</f>
        <v>0</v>
      </c>
      <c r="G28" s="25">
        <f>+COUNTIFS('[1]Facturacion a Fecha'!AY:AY,Tabla1[[#This Row],[Cliente]],'[1]Facturacion a Fecha'!AX:AX,"Preventivo")</f>
        <v>0</v>
      </c>
      <c r="H28" s="26">
        <f>+Tabla1[[#This Row],['# Preventivo]]+Tabla1[[#This Row],['# Correctivo]]</f>
        <v>10</v>
      </c>
      <c r="I28" s="23">
        <f>+IFERROR(Tabla1[[#This Row],[Ingreso 2025 - 2026 Correctivo]]/Tabla1[[#This Row],[Ingreso 2025 - 2026 Preventivo]],0)</f>
        <v>0</v>
      </c>
      <c r="J28" s="27">
        <f>+IFERROR(Tabla1[[#This Row],['# Correctivo]]/Tabla1[[#This Row],['# Preventivo]],0)</f>
        <v>0</v>
      </c>
      <c r="K28" s="28">
        <f>+IFERROR(Tabla1[[#This Row],[Ingreso 2025 - 2026 Preventivo]]/(Tabla1[[#This Row],[Ingreso 2025 - 2026 Correctivo]]+Tabla1[[#This Row],[Ingreso 2025 - 2026 Preventivo]]),0)</f>
        <v>0</v>
      </c>
      <c r="L28" s="28">
        <f>1-Tabla1[[#This Row],[% Preventivo $]]</f>
        <v>1</v>
      </c>
      <c r="M28" s="29">
        <f>+COUNTIFS('[1]Base Instalada'!AA:AA,Tabla1[[#This Row],[Cliente]])</f>
        <v>105</v>
      </c>
      <c r="N28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" s="29">
        <f>+COUNTIFS('[1]Base Instalada'!AA:AA,Tabla1[[#This Row],[Cliente]],'[1]Base Instalada'!Z:Z,"ESTERILIZACIÓN")</f>
        <v>9</v>
      </c>
      <c r="P28" s="29">
        <f>+COUNTIFS('[1]Base Instalada'!AA:AA,Tabla1[[#This Row],[Cliente]],'[1]Base Instalada'!Z:Z,"DENTAL")</f>
        <v>34</v>
      </c>
      <c r="Q28" s="29">
        <f>+COUNTIFS('[1]Base Instalada'!AA:AA,Tabla1[[#This Row],[Cliente]],'[1]Base Instalada'!Z:Z,"ENDOSCOPÍA")</f>
        <v>4</v>
      </c>
      <c r="R28" s="29">
        <f>+COUNTIFS('[1]Base Instalada'!AA:AA,Tabla1[[#This Row],[Cliente]],'[1]Base Instalada'!Z:Z,"INCARDIA")</f>
        <v>9</v>
      </c>
      <c r="S28" s="29">
        <f>+COUNTIFS('[1]Base Instalada'!AA:AA,Tabla1[[#This Row],[Cliente]],'[1]Base Instalada'!Z:Z,"MMQ")</f>
        <v>0</v>
      </c>
      <c r="T28" s="29">
        <f>+COUNTIFS('[1]Base Instalada'!AA:AA,Tabla1[[#This Row],[Cliente]],'[1]Base Instalada'!Z:Z,"REAS")</f>
        <v>1</v>
      </c>
      <c r="U28" s="30">
        <f>+COUNTIFS('[1]Base Instalada'!AA:AA,Tabla1[[#This Row],[Cliente]],'[1]Base Instalada'!Z:Z,"MOBILIARIO CLINICO")</f>
        <v>48</v>
      </c>
      <c r="V28" s="29">
        <f>+COUNTIFS('[1]Base Instalada'!AA:AA,Tabla1[[#This Row],[Cliente]],'[1]Base Instalada'!Z:Z,"OTRO")</f>
        <v>0</v>
      </c>
      <c r="W28" s="31" t="str">
        <f t="shared" si="0"/>
        <v>Región Bío Bío</v>
      </c>
      <c r="X28" s="31" t="str">
        <f t="shared" si="1"/>
        <v>Los Ángeles</v>
      </c>
      <c r="Y28" s="32" t="s">
        <v>92</v>
      </c>
      <c r="Z28" s="33">
        <f>+COUNTIFS('[1]Pipeline TS'!$F:$F,Tabla1[[#This Row],[Cliente]])</f>
        <v>0</v>
      </c>
      <c r="AA28" s="34">
        <f>SUMIFS('[1]Pipeline Esterilización'!M:M,'[1]Pipeline Esterilización'!E:E,Tabla1[[#This Row],[Cliente]],'[1]Pipeline Esterilización'!B:B,"2026",'[1]Pipeline Esterilización'!L:L,"&gt;0")</f>
        <v>0</v>
      </c>
      <c r="AB28" s="33">
        <f>+SUMIFS('[1]Pipeline Endoscopía'!K:K,'[1]Pipeline Endoscopía'!E:E,Tabla1[[#This Row],[Cliente]],'[1]Pipeline Endoscopía'!B:B,"2026",'[1]Pipeline Endoscopía'!J:J,"&gt;0")</f>
        <v>150000000</v>
      </c>
      <c r="AC28" s="34">
        <f>+SUMIFS('[1]Pipeline Dental'!K:K,'[1]Pipeline Dental'!E:E,Tabla1[[#This Row],[Cliente]],'[1]Pipeline Dental'!B:B,"2026",'[1]Pipeline Dental'!J:J,"&gt;0")</f>
        <v>0</v>
      </c>
      <c r="AD28" s="35">
        <f>+SUMIFS('[1]Pipeline TS'!$AB:$AB,'[1]Pipeline TS'!$F:$F,Tabla1[[#This Row],[Cliente]])</f>
        <v>0</v>
      </c>
      <c r="AE28" s="35">
        <f>+SUM(Tabla1[[#This Row],[Pipeline 2026 $MM ESTERILIZACIÓN]:[Pipeline 2026 $MM TECSERVICE]])</f>
        <v>150000000</v>
      </c>
      <c r="AF28" s="43">
        <v>-37.473423968658103</v>
      </c>
      <c r="AG28" s="37">
        <v>-72.346680310426393</v>
      </c>
      <c r="AH28" s="38" t="str">
        <f>+IF(Tabla1[[#This Row],['# Contratos Vigentes ]]&gt;0,"SI","NO")</f>
        <v>NO</v>
      </c>
      <c r="AI28" s="39">
        <v>0.6</v>
      </c>
      <c r="AJ28" s="40">
        <f>+Tabla1[[#This Row],[Ingreso 2025 - 2026]]*Tabla1[[#This Row],[% Costo Serv. Directo]]</f>
        <v>16074877.199999999</v>
      </c>
      <c r="AK28" s="41">
        <v>2</v>
      </c>
      <c r="AL2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9000000</v>
      </c>
      <c r="AM2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41783384.615384616</v>
      </c>
      <c r="AN28" s="42">
        <f>+Tabla1[[#This Row],[Potencial Equipos]]+Tabla1[[#This Row],[Potencial Pipeline]]</f>
        <v>50783384.615384616</v>
      </c>
    </row>
    <row r="29" spans="1:40" x14ac:dyDescent="0.25">
      <c r="A29" s="22" t="s">
        <v>93</v>
      </c>
      <c r="B29" t="str">
        <f>+VLOOKUP(Tabla1[[#This Row],[Cliente]],'[1]Público Privado'!$A$1:$B$325,2,FALSE)</f>
        <v>Público</v>
      </c>
      <c r="C29" s="23">
        <f>+SUMIFS('[1]Facturacion a Fecha'!$T:$T,'[1]Facturacion a Fecha'!$AY:$AY,Tabla1[[#This Row],[Cliente]])</f>
        <v>25519887</v>
      </c>
      <c r="D29" s="24">
        <f>+SUMIFS('[1]Facturacion a Fecha'!$T:$T,'[1]Facturacion a Fecha'!$AY:$AY,Tabla1[[#This Row],[Cliente]],'[1]Facturacion a Fecha'!$AX:$AX,"Correctivo")</f>
        <v>9128589</v>
      </c>
      <c r="E29" s="25">
        <f>+COUNTIFS('[1]Facturacion a Fecha'!AY:AY,Tabla1[[#This Row],[Cliente]],'[1]Facturacion a Fecha'!AX:AX,"Correctivo")</f>
        <v>42</v>
      </c>
      <c r="F29" s="25">
        <f>+SUMIFS('[1]Facturacion a Fecha'!$T:$T,'[1]Facturacion a Fecha'!$AY:$AY,Tabla1[[#This Row],[Cliente]],'[1]Facturacion a Fecha'!$AX:$AX,"Preventivo")</f>
        <v>16391298</v>
      </c>
      <c r="G29" s="25">
        <f>+COUNTIFS('[1]Facturacion a Fecha'!AY:AY,Tabla1[[#This Row],[Cliente]],'[1]Facturacion a Fecha'!AX:AX,"Preventivo")</f>
        <v>5</v>
      </c>
      <c r="H29" s="26">
        <f>+Tabla1[[#This Row],['# Preventivo]]+Tabla1[[#This Row],['# Correctivo]]</f>
        <v>47</v>
      </c>
      <c r="I29" s="23">
        <f>+IFERROR(Tabla1[[#This Row],[Ingreso 2025 - 2026 Correctivo]]/Tabla1[[#This Row],[Ingreso 2025 - 2026 Preventivo]],0)</f>
        <v>0.55691678596777383</v>
      </c>
      <c r="J29" s="27">
        <f>+IFERROR(Tabla1[[#This Row],['# Correctivo]]/Tabla1[[#This Row],['# Preventivo]],0)</f>
        <v>8.4</v>
      </c>
      <c r="K29" s="28">
        <f>+IFERROR(Tabla1[[#This Row],[Ingreso 2025 - 2026 Preventivo]]/(Tabla1[[#This Row],[Ingreso 2025 - 2026 Correctivo]]+Tabla1[[#This Row],[Ingreso 2025 - 2026 Preventivo]]),0)</f>
        <v>0.64229508539751767</v>
      </c>
      <c r="L29" s="28">
        <f>1-Tabla1[[#This Row],[% Preventivo $]]</f>
        <v>0.35770491460248233</v>
      </c>
      <c r="M29" s="29">
        <f>+COUNTIFS('[1]Base Instalada'!AA:AA,Tabla1[[#This Row],[Cliente]])</f>
        <v>22</v>
      </c>
      <c r="N29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" s="29">
        <f>+COUNTIFS('[1]Base Instalada'!AA:AA,Tabla1[[#This Row],[Cliente]],'[1]Base Instalada'!Z:Z,"ESTERILIZACIÓN")</f>
        <v>13</v>
      </c>
      <c r="P29" s="29">
        <f>+COUNTIFS('[1]Base Instalada'!AA:AA,Tabla1[[#This Row],[Cliente]],'[1]Base Instalada'!Z:Z,"DENTAL")</f>
        <v>2</v>
      </c>
      <c r="Q29" s="29">
        <f>+COUNTIFS('[1]Base Instalada'!AA:AA,Tabla1[[#This Row],[Cliente]],'[1]Base Instalada'!Z:Z,"ENDOSCOPÍA")</f>
        <v>3</v>
      </c>
      <c r="R29" s="29">
        <f>+COUNTIFS('[1]Base Instalada'!AA:AA,Tabla1[[#This Row],[Cliente]],'[1]Base Instalada'!Z:Z,"INCARDIA")</f>
        <v>2</v>
      </c>
      <c r="S29" s="29">
        <f>+COUNTIFS('[1]Base Instalada'!AA:AA,Tabla1[[#This Row],[Cliente]],'[1]Base Instalada'!Z:Z,"MMQ")</f>
        <v>0</v>
      </c>
      <c r="T29" s="29">
        <f>+COUNTIFS('[1]Base Instalada'!AA:AA,Tabla1[[#This Row],[Cliente]],'[1]Base Instalada'!Z:Z,"REAS")</f>
        <v>0</v>
      </c>
      <c r="U29" s="30">
        <f>+COUNTIFS('[1]Base Instalada'!AA:AA,Tabla1[[#This Row],[Cliente]],'[1]Base Instalada'!Z:Z,"MOBILIARIO CLINICO")</f>
        <v>2</v>
      </c>
      <c r="V29" s="29">
        <f>+COUNTIFS('[1]Base Instalada'!AA:AA,Tabla1[[#This Row],[Cliente]],'[1]Base Instalada'!Z:Z,"OTRO")</f>
        <v>0</v>
      </c>
      <c r="W29" s="31" t="str">
        <f t="shared" si="0"/>
        <v>Región Valparaíso</v>
      </c>
      <c r="X29" s="31" t="str">
        <f t="shared" si="1"/>
        <v>Valparaíso</v>
      </c>
      <c r="Y29" s="32" t="s">
        <v>94</v>
      </c>
      <c r="Z29" s="33">
        <f>+COUNTIFS('[1]Pipeline TS'!$F:$F,Tabla1[[#This Row],[Cliente]])</f>
        <v>0</v>
      </c>
      <c r="AA29" s="34">
        <f>SUMIFS('[1]Pipeline Esterilización'!M:M,'[1]Pipeline Esterilización'!E:E,Tabla1[[#This Row],[Cliente]],'[1]Pipeline Esterilización'!B:B,"2026",'[1]Pipeline Esterilización'!L:L,"&gt;0")</f>
        <v>0</v>
      </c>
      <c r="AB29" s="33">
        <f>+SUMIFS('[1]Pipeline Endoscopía'!K:K,'[1]Pipeline Endoscopía'!E:E,Tabla1[[#This Row],[Cliente]],'[1]Pipeline Endoscopía'!B:B,"2026",'[1]Pipeline Endoscopía'!J:J,"&gt;0")</f>
        <v>0</v>
      </c>
      <c r="AC29" s="34">
        <f>+SUMIFS('[1]Pipeline Dental'!K:K,'[1]Pipeline Dental'!E:E,Tabla1[[#This Row],[Cliente]],'[1]Pipeline Dental'!B:B,"2026",'[1]Pipeline Dental'!J:J,"&gt;0")</f>
        <v>0</v>
      </c>
      <c r="AD29" s="35">
        <f>+SUMIFS('[1]Pipeline TS'!$AB:$AB,'[1]Pipeline TS'!$F:$F,Tabla1[[#This Row],[Cliente]])</f>
        <v>0</v>
      </c>
      <c r="AE29" s="35">
        <f>+SUM(Tabla1[[#This Row],[Pipeline 2026 $MM ESTERILIZACIÓN]:[Pipeline 2026 $MM TECSERVICE]])</f>
        <v>0</v>
      </c>
      <c r="AF29" s="43">
        <v>-33.050602500087301</v>
      </c>
      <c r="AG29" s="37">
        <v>-71.610915376550395</v>
      </c>
      <c r="AH29" s="38" t="str">
        <f>+IF(Tabla1[[#This Row],['# Contratos Vigentes ]]&gt;0,"SI","NO")</f>
        <v>NO</v>
      </c>
      <c r="AI29" s="39">
        <v>0.6</v>
      </c>
      <c r="AJ29" s="40">
        <f>+Tabla1[[#This Row],[Ingreso 2025 - 2026]]*Tabla1[[#This Row],[% Costo Serv. Directo]]</f>
        <v>15311932.199999999</v>
      </c>
      <c r="AK29" s="41">
        <v>4</v>
      </c>
      <c r="AL2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29739938.461538464</v>
      </c>
      <c r="AN29" s="42">
        <f>+Tabla1[[#This Row],[Potencial Equipos]]+Tabla1[[#This Row],[Potencial Pipeline]]</f>
        <v>29739938.461538464</v>
      </c>
    </row>
    <row r="30" spans="1:40" x14ac:dyDescent="0.25">
      <c r="A30" s="22" t="s">
        <v>95</v>
      </c>
      <c r="B30" t="str">
        <f>+VLOOKUP(Tabla1[[#This Row],[Cliente]],'[1]Público Privado'!$A$1:$B$325,2,FALSE)</f>
        <v>Público</v>
      </c>
      <c r="C30" s="23">
        <f>+SUMIFS('[1]Facturacion a Fecha'!$T:$T,'[1]Facturacion a Fecha'!$AY:$AY,Tabla1[[#This Row],[Cliente]])</f>
        <v>22810591</v>
      </c>
      <c r="D30" s="24">
        <f>+SUMIFS('[1]Facturacion a Fecha'!$T:$T,'[1]Facturacion a Fecha'!$AY:$AY,Tabla1[[#This Row],[Cliente]],'[1]Facturacion a Fecha'!$AX:$AX,"Correctivo")</f>
        <v>3436709</v>
      </c>
      <c r="E30" s="25">
        <f>+COUNTIFS('[1]Facturacion a Fecha'!AY:AY,Tabla1[[#This Row],[Cliente]],'[1]Facturacion a Fecha'!AX:AX,"Correctivo")</f>
        <v>10</v>
      </c>
      <c r="F30" s="25">
        <f>+SUMIFS('[1]Facturacion a Fecha'!$T:$T,'[1]Facturacion a Fecha'!$AY:$AY,Tabla1[[#This Row],[Cliente]],'[1]Facturacion a Fecha'!$AX:$AX,"Preventivo")</f>
        <v>19373882</v>
      </c>
      <c r="G30" s="25">
        <f>+COUNTIFS('[1]Facturacion a Fecha'!AY:AY,Tabla1[[#This Row],[Cliente]],'[1]Facturacion a Fecha'!AX:AX,"Preventivo")</f>
        <v>1</v>
      </c>
      <c r="H30" s="26">
        <f>+Tabla1[[#This Row],['# Preventivo]]+Tabla1[[#This Row],['# Correctivo]]</f>
        <v>11</v>
      </c>
      <c r="I30" s="23">
        <f>+IFERROR(Tabla1[[#This Row],[Ingreso 2025 - 2026 Correctivo]]/Tabla1[[#This Row],[Ingreso 2025 - 2026 Preventivo]],0)</f>
        <v>0.17738876493621672</v>
      </c>
      <c r="J30" s="27">
        <f>+IFERROR(Tabla1[[#This Row],['# Correctivo]]/Tabla1[[#This Row],['# Preventivo]],0)</f>
        <v>10</v>
      </c>
      <c r="K30" s="28">
        <f>+IFERROR(Tabla1[[#This Row],[Ingreso 2025 - 2026 Preventivo]]/(Tabla1[[#This Row],[Ingreso 2025 - 2026 Correctivo]]+Tabla1[[#This Row],[Ingreso 2025 - 2026 Preventivo]]),0)</f>
        <v>0.84933713466696237</v>
      </c>
      <c r="L30" s="28">
        <f>1-Tabla1[[#This Row],[% Preventivo $]]</f>
        <v>0.15066286533303763</v>
      </c>
      <c r="M30" s="29">
        <f>+COUNTIFS('[1]Base Instalada'!AA:AA,Tabla1[[#This Row],[Cliente]])</f>
        <v>47</v>
      </c>
      <c r="N30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" s="29">
        <f>+COUNTIFS('[1]Base Instalada'!AA:AA,Tabla1[[#This Row],[Cliente]],'[1]Base Instalada'!Z:Z,"ESTERILIZACIÓN")</f>
        <v>12</v>
      </c>
      <c r="P30" s="29">
        <f>+COUNTIFS('[1]Base Instalada'!AA:AA,Tabla1[[#This Row],[Cliente]],'[1]Base Instalada'!Z:Z,"DENTAL")</f>
        <v>1</v>
      </c>
      <c r="Q30" s="29">
        <f>+COUNTIFS('[1]Base Instalada'!AA:AA,Tabla1[[#This Row],[Cliente]],'[1]Base Instalada'!Z:Z,"ENDOSCOPÍA")</f>
        <v>0</v>
      </c>
      <c r="R30" s="29">
        <f>+COUNTIFS('[1]Base Instalada'!AA:AA,Tabla1[[#This Row],[Cliente]],'[1]Base Instalada'!Z:Z,"INCARDIA")</f>
        <v>15</v>
      </c>
      <c r="S30" s="29">
        <f>+COUNTIFS('[1]Base Instalada'!AA:AA,Tabla1[[#This Row],[Cliente]],'[1]Base Instalada'!Z:Z,"MMQ")</f>
        <v>0</v>
      </c>
      <c r="T30" s="29">
        <f>+COUNTIFS('[1]Base Instalada'!AA:AA,Tabla1[[#This Row],[Cliente]],'[1]Base Instalada'!Z:Z,"REAS")</f>
        <v>0</v>
      </c>
      <c r="U30" s="30">
        <f>+COUNTIFS('[1]Base Instalada'!AA:AA,Tabla1[[#This Row],[Cliente]],'[1]Base Instalada'!Z:Z,"MOBILIARIO CLINICO")</f>
        <v>19</v>
      </c>
      <c r="V30" s="29">
        <f>+COUNTIFS('[1]Base Instalada'!AA:AA,Tabla1[[#This Row],[Cliente]],'[1]Base Instalada'!Z:Z,"OTRO")</f>
        <v>0</v>
      </c>
      <c r="W30" s="31" t="str">
        <f t="shared" si="0"/>
        <v>Región Araucanía</v>
      </c>
      <c r="X30" s="31" t="str">
        <f t="shared" si="1"/>
        <v>Victoria</v>
      </c>
      <c r="Y30" s="32" t="s">
        <v>96</v>
      </c>
      <c r="Z30" s="33">
        <f>+COUNTIFS('[1]Pipeline TS'!$F:$F,Tabla1[[#This Row],[Cliente]])</f>
        <v>0</v>
      </c>
      <c r="AA30" s="34">
        <f>SUMIFS('[1]Pipeline Esterilización'!M:M,'[1]Pipeline Esterilización'!E:E,Tabla1[[#This Row],[Cliente]],'[1]Pipeline Esterilización'!B:B,"2026",'[1]Pipeline Esterilización'!L:L,"&gt;0")</f>
        <v>55000000</v>
      </c>
      <c r="AB30" s="33">
        <f>+SUMIFS('[1]Pipeline Endoscopía'!K:K,'[1]Pipeline Endoscopía'!E:E,Tabla1[[#This Row],[Cliente]],'[1]Pipeline Endoscopía'!B:B,"2026",'[1]Pipeline Endoscopía'!J:J,"&gt;0")</f>
        <v>0</v>
      </c>
      <c r="AC30" s="34">
        <f>+SUMIFS('[1]Pipeline Dental'!K:K,'[1]Pipeline Dental'!E:E,Tabla1[[#This Row],[Cliente]],'[1]Pipeline Dental'!B:B,"2026",'[1]Pipeline Dental'!J:J,"&gt;0")</f>
        <v>0</v>
      </c>
      <c r="AD30" s="35">
        <f>+SUMIFS('[1]Pipeline TS'!$AB:$AB,'[1]Pipeline TS'!$F:$F,Tabla1[[#This Row],[Cliente]])</f>
        <v>0</v>
      </c>
      <c r="AE30" s="35">
        <f>+SUM(Tabla1[[#This Row],[Pipeline 2026 $MM ESTERILIZACIÓN]:[Pipeline 2026 $MM TECSERVICE]])</f>
        <v>55000000</v>
      </c>
      <c r="AF30" s="43">
        <v>-38.233519941405902</v>
      </c>
      <c r="AG30" s="37">
        <v>-72.340412723758703</v>
      </c>
      <c r="AH30" s="38" t="str">
        <f>+IF(Tabla1[[#This Row],['# Contratos Vigentes ]]&gt;0,"SI","NO")</f>
        <v>NO</v>
      </c>
      <c r="AI30" s="39">
        <v>0.6</v>
      </c>
      <c r="AJ30" s="40">
        <f>+Tabla1[[#This Row],[Ingreso 2025 - 2026]]*Tabla1[[#This Row],[% Costo Serv. Directo]]</f>
        <v>13686354.6</v>
      </c>
      <c r="AK30" s="41">
        <v>2</v>
      </c>
      <c r="AL3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5500000</v>
      </c>
      <c r="AM3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24563100</v>
      </c>
      <c r="AN30" s="42">
        <f>+Tabla1[[#This Row],[Potencial Equipos]]+Tabla1[[#This Row],[Potencial Pipeline]]</f>
        <v>30063100</v>
      </c>
    </row>
    <row r="31" spans="1:40" x14ac:dyDescent="0.25">
      <c r="A31" s="22" t="s">
        <v>97</v>
      </c>
      <c r="B31" t="str">
        <f>+VLOOKUP(Tabla1[[#This Row],[Cliente]],'[1]Público Privado'!$A$1:$B$325,2,FALSE)</f>
        <v>Público</v>
      </c>
      <c r="C31" s="23">
        <f>+SUMIFS('[1]Facturacion a Fecha'!$T:$T,'[1]Facturacion a Fecha'!$AY:$AY,Tabla1[[#This Row],[Cliente]])</f>
        <v>21741545</v>
      </c>
      <c r="D31" s="24">
        <f>+SUMIFS('[1]Facturacion a Fecha'!$T:$T,'[1]Facturacion a Fecha'!$AY:$AY,Tabla1[[#This Row],[Cliente]],'[1]Facturacion a Fecha'!$AX:$AX,"Correctivo")</f>
        <v>11574758</v>
      </c>
      <c r="E31" s="25">
        <f>+COUNTIFS('[1]Facturacion a Fecha'!AY:AY,Tabla1[[#This Row],[Cliente]],'[1]Facturacion a Fecha'!AX:AX,"Correctivo")</f>
        <v>23</v>
      </c>
      <c r="F31" s="25">
        <f>+SUMIFS('[1]Facturacion a Fecha'!$T:$T,'[1]Facturacion a Fecha'!$AY:$AY,Tabla1[[#This Row],[Cliente]],'[1]Facturacion a Fecha'!$AX:$AX,"Preventivo")</f>
        <v>10166787</v>
      </c>
      <c r="G31" s="25">
        <f>+COUNTIFS('[1]Facturacion a Fecha'!AY:AY,Tabla1[[#This Row],[Cliente]],'[1]Facturacion a Fecha'!AX:AX,"Preventivo")</f>
        <v>5</v>
      </c>
      <c r="H31" s="26">
        <f>+Tabla1[[#This Row],['# Preventivo]]+Tabla1[[#This Row],['# Correctivo]]</f>
        <v>28</v>
      </c>
      <c r="I31" s="23">
        <f>+IFERROR(Tabla1[[#This Row],[Ingreso 2025 - 2026 Correctivo]]/Tabla1[[#This Row],[Ingreso 2025 - 2026 Preventivo]],0)</f>
        <v>1.13848731167477</v>
      </c>
      <c r="J31" s="27">
        <f>+IFERROR(Tabla1[[#This Row],['# Correctivo]]/Tabla1[[#This Row],['# Preventivo]],0)</f>
        <v>4.5999999999999996</v>
      </c>
      <c r="K31" s="28">
        <f>+IFERROR(Tabla1[[#This Row],[Ingreso 2025 - 2026 Preventivo]]/(Tabla1[[#This Row],[Ingreso 2025 - 2026 Correctivo]]+Tabla1[[#This Row],[Ingreso 2025 - 2026 Preventivo]]),0)</f>
        <v>0.46762026341734225</v>
      </c>
      <c r="L31" s="28">
        <f>1-Tabla1[[#This Row],[% Preventivo $]]</f>
        <v>0.53237973658265769</v>
      </c>
      <c r="M31" s="29">
        <f>+COUNTIFS('[1]Base Instalada'!AA:AA,Tabla1[[#This Row],[Cliente]])</f>
        <v>73</v>
      </c>
      <c r="N31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" s="29">
        <f>+COUNTIFS('[1]Base Instalada'!AA:AA,Tabla1[[#This Row],[Cliente]],'[1]Base Instalada'!Z:Z,"ESTERILIZACIÓN")</f>
        <v>3</v>
      </c>
      <c r="P31" s="29">
        <f>+COUNTIFS('[1]Base Instalada'!AA:AA,Tabla1[[#This Row],[Cliente]],'[1]Base Instalada'!Z:Z,"DENTAL")</f>
        <v>6</v>
      </c>
      <c r="Q31" s="29">
        <f>+COUNTIFS('[1]Base Instalada'!AA:AA,Tabla1[[#This Row],[Cliente]],'[1]Base Instalada'!Z:Z,"ENDOSCOPÍA")</f>
        <v>2</v>
      </c>
      <c r="R31" s="29">
        <f>+COUNTIFS('[1]Base Instalada'!AA:AA,Tabla1[[#This Row],[Cliente]],'[1]Base Instalada'!Z:Z,"INCARDIA")</f>
        <v>29</v>
      </c>
      <c r="S31" s="29">
        <f>+COUNTIFS('[1]Base Instalada'!AA:AA,Tabla1[[#This Row],[Cliente]],'[1]Base Instalada'!Z:Z,"MMQ")</f>
        <v>0</v>
      </c>
      <c r="T31" s="29">
        <f>+COUNTIFS('[1]Base Instalada'!AA:AA,Tabla1[[#This Row],[Cliente]],'[1]Base Instalada'!Z:Z,"REAS")</f>
        <v>0</v>
      </c>
      <c r="U31" s="30">
        <f>+COUNTIFS('[1]Base Instalada'!AA:AA,Tabla1[[#This Row],[Cliente]],'[1]Base Instalada'!Z:Z,"MOBILIARIO CLINICO")</f>
        <v>33</v>
      </c>
      <c r="V31" s="29">
        <f>+COUNTIFS('[1]Base Instalada'!AA:AA,Tabla1[[#This Row],[Cliente]],'[1]Base Instalada'!Z:Z,"OTRO")</f>
        <v>0</v>
      </c>
      <c r="W31" s="31" t="str">
        <f t="shared" si="0"/>
        <v>Región Arica y Parinacota</v>
      </c>
      <c r="X31" s="31" t="str">
        <f t="shared" si="1"/>
        <v>Arica</v>
      </c>
      <c r="Y31" s="32" t="s">
        <v>98</v>
      </c>
      <c r="Z31" s="33">
        <f>+COUNTIFS('[1]Pipeline TS'!$F:$F,Tabla1[[#This Row],[Cliente]])</f>
        <v>1</v>
      </c>
      <c r="AA31" s="34">
        <f>SUMIFS('[1]Pipeline Esterilización'!M:M,'[1]Pipeline Esterilización'!E:E,Tabla1[[#This Row],[Cliente]],'[1]Pipeline Esterilización'!B:B,"2026",'[1]Pipeline Esterilización'!L:L,"&gt;0")</f>
        <v>0</v>
      </c>
      <c r="AB31" s="33">
        <f>+SUMIFS('[1]Pipeline Endoscopía'!K:K,'[1]Pipeline Endoscopía'!E:E,Tabla1[[#This Row],[Cliente]],'[1]Pipeline Endoscopía'!B:B,"2026",'[1]Pipeline Endoscopía'!J:J,"&gt;0")</f>
        <v>0</v>
      </c>
      <c r="AC31" s="34">
        <f>+SUMIFS('[1]Pipeline Dental'!K:K,'[1]Pipeline Dental'!E:E,Tabla1[[#This Row],[Cliente]],'[1]Pipeline Dental'!B:B,"2026",'[1]Pipeline Dental'!J:J,"&gt;0")</f>
        <v>0</v>
      </c>
      <c r="AD31" s="35">
        <f>+SUMIFS('[1]Pipeline TS'!$AB:$AB,'[1]Pipeline TS'!$F:$F,Tabla1[[#This Row],[Cliente]])</f>
        <v>13555716</v>
      </c>
      <c r="AE31" s="35">
        <f>+SUM(Tabla1[[#This Row],[Pipeline 2026 $MM ESTERILIZACIÓN]:[Pipeline 2026 $MM TECSERVICE]])</f>
        <v>13555716</v>
      </c>
      <c r="AF31" s="43">
        <v>-18.4829162993388</v>
      </c>
      <c r="AG31" s="37">
        <v>-70.312767988524996</v>
      </c>
      <c r="AH31" s="38" t="str">
        <f>+IF(Tabla1[[#This Row],['# Contratos Vigentes ]]&gt;0,"SI","NO")</f>
        <v>SI</v>
      </c>
      <c r="AI31" s="39">
        <v>0.6</v>
      </c>
      <c r="AJ31" s="40">
        <f>+Tabla1[[#This Row],[Ingreso 2025 - 2026]]*Tabla1[[#This Row],[% Costo Serv. Directo]]</f>
        <v>13044927</v>
      </c>
      <c r="AK31" s="41">
        <v>5</v>
      </c>
      <c r="AL3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13555716</v>
      </c>
      <c r="AM3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31" s="42">
        <f>+Tabla1[[#This Row],[Potencial Equipos]]+Tabla1[[#This Row],[Potencial Pipeline]]</f>
        <v>13555716</v>
      </c>
    </row>
    <row r="32" spans="1:40" x14ac:dyDescent="0.25">
      <c r="A32" s="22" t="s">
        <v>99</v>
      </c>
      <c r="B32" t="str">
        <f>+VLOOKUP(Tabla1[[#This Row],[Cliente]],'[1]Público Privado'!$A$1:$B$325,2,FALSE)</f>
        <v>Público</v>
      </c>
      <c r="C32" s="23">
        <f>+SUMIFS('[1]Facturacion a Fecha'!$T:$T,'[1]Facturacion a Fecha'!$AY:$AY,Tabla1[[#This Row],[Cliente]])</f>
        <v>22517285</v>
      </c>
      <c r="D32" s="24">
        <f>+SUMIFS('[1]Facturacion a Fecha'!$T:$T,'[1]Facturacion a Fecha'!$AY:$AY,Tabla1[[#This Row],[Cliente]],'[1]Facturacion a Fecha'!$AX:$AX,"Correctivo")</f>
        <v>11314664</v>
      </c>
      <c r="E32" s="25">
        <f>+COUNTIFS('[1]Facturacion a Fecha'!AY:AY,Tabla1[[#This Row],[Cliente]],'[1]Facturacion a Fecha'!AX:AX,"Correctivo")</f>
        <v>11</v>
      </c>
      <c r="F32" s="25">
        <f>+SUMIFS('[1]Facturacion a Fecha'!$T:$T,'[1]Facturacion a Fecha'!$AY:$AY,Tabla1[[#This Row],[Cliente]],'[1]Facturacion a Fecha'!$AX:$AX,"Preventivo")</f>
        <v>11202621</v>
      </c>
      <c r="G32" s="25">
        <f>+COUNTIFS('[1]Facturacion a Fecha'!AY:AY,Tabla1[[#This Row],[Cliente]],'[1]Facturacion a Fecha'!AX:AX,"Preventivo")</f>
        <v>3</v>
      </c>
      <c r="H32" s="26">
        <f>+Tabla1[[#This Row],['# Preventivo]]+Tabla1[[#This Row],['# Correctivo]]</f>
        <v>14</v>
      </c>
      <c r="I32" s="23">
        <f>+IFERROR(Tabla1[[#This Row],[Ingreso 2025 - 2026 Correctivo]]/Tabla1[[#This Row],[Ingreso 2025 - 2026 Preventivo]],0)</f>
        <v>1.010001498756407</v>
      </c>
      <c r="J32" s="27">
        <f>+IFERROR(Tabla1[[#This Row],['# Correctivo]]/Tabla1[[#This Row],['# Preventivo]],0)</f>
        <v>3.6666666666666665</v>
      </c>
      <c r="K32" s="28">
        <f>+IFERROR(Tabla1[[#This Row],[Ingreso 2025 - 2026 Preventivo]]/(Tabla1[[#This Row],[Ingreso 2025 - 2026 Correctivo]]+Tabla1[[#This Row],[Ingreso 2025 - 2026 Preventivo]]),0)</f>
        <v>0.49751206684109561</v>
      </c>
      <c r="L32" s="28">
        <f>1-Tabla1[[#This Row],[% Preventivo $]]</f>
        <v>0.50248793315890439</v>
      </c>
      <c r="M32" s="29">
        <f>+COUNTIFS('[1]Base Instalada'!AA:AA,Tabla1[[#This Row],[Cliente]])</f>
        <v>94</v>
      </c>
      <c r="N32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2" s="29">
        <f>+COUNTIFS('[1]Base Instalada'!AA:AA,Tabla1[[#This Row],[Cliente]],'[1]Base Instalada'!Z:Z,"ESTERILIZACIÓN")</f>
        <v>37</v>
      </c>
      <c r="P32" s="29">
        <f>+COUNTIFS('[1]Base Instalada'!AA:AA,Tabla1[[#This Row],[Cliente]],'[1]Base Instalada'!Z:Z,"DENTAL")</f>
        <v>48</v>
      </c>
      <c r="Q32" s="29">
        <f>+COUNTIFS('[1]Base Instalada'!AA:AA,Tabla1[[#This Row],[Cliente]],'[1]Base Instalada'!Z:Z,"ENDOSCOPÍA")</f>
        <v>0</v>
      </c>
      <c r="R32" s="29">
        <f>+COUNTIFS('[1]Base Instalada'!AA:AA,Tabla1[[#This Row],[Cliente]],'[1]Base Instalada'!Z:Z,"INCARDIA")</f>
        <v>5</v>
      </c>
      <c r="S32" s="29">
        <f>+COUNTIFS('[1]Base Instalada'!AA:AA,Tabla1[[#This Row],[Cliente]],'[1]Base Instalada'!Z:Z,"MMQ")</f>
        <v>0</v>
      </c>
      <c r="T32" s="29">
        <f>+COUNTIFS('[1]Base Instalada'!AA:AA,Tabla1[[#This Row],[Cliente]],'[1]Base Instalada'!Z:Z,"REAS")</f>
        <v>0</v>
      </c>
      <c r="U32" s="30">
        <f>+COUNTIFS('[1]Base Instalada'!AA:AA,Tabla1[[#This Row],[Cliente]],'[1]Base Instalada'!Z:Z,"MOBILIARIO CLINICO")</f>
        <v>4</v>
      </c>
      <c r="V32" s="29">
        <f>+COUNTIFS('[1]Base Instalada'!AA:AA,Tabla1[[#This Row],[Cliente]],'[1]Base Instalada'!Z:Z,"OTRO")</f>
        <v>0</v>
      </c>
      <c r="W32" s="31" t="str">
        <f t="shared" si="0"/>
        <v>Región Metropolitana</v>
      </c>
      <c r="X32" s="31" t="str">
        <f t="shared" si="1"/>
        <v>Puente Alto</v>
      </c>
      <c r="Y32" s="32" t="s">
        <v>100</v>
      </c>
      <c r="Z32" s="33">
        <f>+COUNTIFS('[1]Pipeline TS'!$F:$F,Tabla1[[#This Row],[Cliente]])</f>
        <v>1</v>
      </c>
      <c r="AA32" s="34">
        <f>SUMIFS('[1]Pipeline Esterilización'!M:M,'[1]Pipeline Esterilización'!E:E,Tabla1[[#This Row],[Cliente]],'[1]Pipeline Esterilización'!B:B,"2026",'[1]Pipeline Esterilización'!L:L,"&gt;0")</f>
        <v>0</v>
      </c>
      <c r="AB32" s="33">
        <f>+SUMIFS('[1]Pipeline Endoscopía'!K:K,'[1]Pipeline Endoscopía'!E:E,Tabla1[[#This Row],[Cliente]],'[1]Pipeline Endoscopía'!B:B,"2026",'[1]Pipeline Endoscopía'!J:J,"&gt;0")</f>
        <v>0</v>
      </c>
      <c r="AC32" s="34">
        <f>+SUMIFS('[1]Pipeline Dental'!K:K,'[1]Pipeline Dental'!E:E,Tabla1[[#This Row],[Cliente]],'[1]Pipeline Dental'!B:B,"2026",'[1]Pipeline Dental'!J:J,"&gt;0")</f>
        <v>0</v>
      </c>
      <c r="AD32" s="35">
        <f>+SUMIFS('[1]Pipeline TS'!$AB:$AB,'[1]Pipeline TS'!$F:$F,Tabla1[[#This Row],[Cliente]])</f>
        <v>39022480</v>
      </c>
      <c r="AE32" s="35">
        <f>+SUM(Tabla1[[#This Row],[Pipeline 2026 $MM ESTERILIZACIÓN]:[Pipeline 2026 $MM TECSERVICE]])</f>
        <v>39022480</v>
      </c>
      <c r="AF32" s="43">
        <v>-33.576960662721497</v>
      </c>
      <c r="AG32" s="37">
        <v>-70.580961240829197</v>
      </c>
      <c r="AH32" s="38" t="str">
        <f>+IF(Tabla1[[#This Row],['# Contratos Vigentes ]]&gt;0,"SI","NO")</f>
        <v>SI</v>
      </c>
      <c r="AI32" s="39">
        <v>0.6</v>
      </c>
      <c r="AJ32" s="40">
        <f>+Tabla1[[#This Row],[Ingreso 2025 - 2026]]*Tabla1[[#This Row],[% Costo Serv. Directo]]</f>
        <v>13510371</v>
      </c>
      <c r="AK32" s="41">
        <v>5</v>
      </c>
      <c r="AL3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39022480</v>
      </c>
      <c r="AM3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32" s="42">
        <f>+Tabla1[[#This Row],[Potencial Equipos]]+Tabla1[[#This Row],[Potencial Pipeline]]</f>
        <v>39022480</v>
      </c>
    </row>
    <row r="33" spans="1:40" x14ac:dyDescent="0.25">
      <c r="A33" s="22" t="s">
        <v>101</v>
      </c>
      <c r="B33" t="str">
        <f>+VLOOKUP(Tabla1[[#This Row],[Cliente]],'[1]Público Privado'!$A$1:$B$325,2,FALSE)</f>
        <v>Público</v>
      </c>
      <c r="C33" s="23">
        <f>+SUMIFS('[1]Facturacion a Fecha'!$T:$T,'[1]Facturacion a Fecha'!$AY:$AY,Tabla1[[#This Row],[Cliente]])</f>
        <v>20202669</v>
      </c>
      <c r="D33" s="24">
        <f>+SUMIFS('[1]Facturacion a Fecha'!$T:$T,'[1]Facturacion a Fecha'!$AY:$AY,Tabla1[[#This Row],[Cliente]],'[1]Facturacion a Fecha'!$AX:$AX,"Correctivo")</f>
        <v>12249787</v>
      </c>
      <c r="E33" s="25">
        <f>+COUNTIFS('[1]Facturacion a Fecha'!AY:AY,Tabla1[[#This Row],[Cliente]],'[1]Facturacion a Fecha'!AX:AX,"Correctivo")</f>
        <v>10</v>
      </c>
      <c r="F33" s="25">
        <f>+SUMIFS('[1]Facturacion a Fecha'!$T:$T,'[1]Facturacion a Fecha'!$AY:$AY,Tabla1[[#This Row],[Cliente]],'[1]Facturacion a Fecha'!$AX:$AX,"Preventivo")</f>
        <v>7952882</v>
      </c>
      <c r="G33" s="25">
        <f>+COUNTIFS('[1]Facturacion a Fecha'!AY:AY,Tabla1[[#This Row],[Cliente]],'[1]Facturacion a Fecha'!AX:AX,"Preventivo")</f>
        <v>5</v>
      </c>
      <c r="H33" s="26">
        <f>+Tabla1[[#This Row],['# Preventivo]]+Tabla1[[#This Row],['# Correctivo]]</f>
        <v>15</v>
      </c>
      <c r="I33" s="23">
        <f>+IFERROR(Tabla1[[#This Row],[Ingreso 2025 - 2026 Correctivo]]/Tabla1[[#This Row],[Ingreso 2025 - 2026 Preventivo]],0)</f>
        <v>1.5402953294164303</v>
      </c>
      <c r="J33" s="27">
        <f>+IFERROR(Tabla1[[#This Row],['# Correctivo]]/Tabla1[[#This Row],['# Preventivo]],0)</f>
        <v>2</v>
      </c>
      <c r="K33" s="28">
        <f>+IFERROR(Tabla1[[#This Row],[Ingreso 2025 - 2026 Preventivo]]/(Tabla1[[#This Row],[Ingreso 2025 - 2026 Correctivo]]+Tabla1[[#This Row],[Ingreso 2025 - 2026 Preventivo]]),0)</f>
        <v>0.39365501657231527</v>
      </c>
      <c r="L33" s="28">
        <f>1-Tabla1[[#This Row],[% Preventivo $]]</f>
        <v>0.60634498342768473</v>
      </c>
      <c r="M33" s="29">
        <f>+COUNTIFS('[1]Base Instalada'!AA:AA,Tabla1[[#This Row],[Cliente]])</f>
        <v>33</v>
      </c>
      <c r="N33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3" s="29">
        <f>+COUNTIFS('[1]Base Instalada'!AA:AA,Tabla1[[#This Row],[Cliente]],'[1]Base Instalada'!Z:Z,"ESTERILIZACIÓN")</f>
        <v>12</v>
      </c>
      <c r="P33" s="29">
        <f>+COUNTIFS('[1]Base Instalada'!AA:AA,Tabla1[[#This Row],[Cliente]],'[1]Base Instalada'!Z:Z,"DENTAL")</f>
        <v>10</v>
      </c>
      <c r="Q33" s="29">
        <f>+COUNTIFS('[1]Base Instalada'!AA:AA,Tabla1[[#This Row],[Cliente]],'[1]Base Instalada'!Z:Z,"ENDOSCOPÍA")</f>
        <v>0</v>
      </c>
      <c r="R33" s="29">
        <f>+COUNTIFS('[1]Base Instalada'!AA:AA,Tabla1[[#This Row],[Cliente]],'[1]Base Instalada'!Z:Z,"INCARDIA")</f>
        <v>1</v>
      </c>
      <c r="S33" s="29">
        <f>+COUNTIFS('[1]Base Instalada'!AA:AA,Tabla1[[#This Row],[Cliente]],'[1]Base Instalada'!Z:Z,"MMQ")</f>
        <v>0</v>
      </c>
      <c r="T33" s="29">
        <f>+COUNTIFS('[1]Base Instalada'!AA:AA,Tabla1[[#This Row],[Cliente]],'[1]Base Instalada'!Z:Z,"REAS")</f>
        <v>0</v>
      </c>
      <c r="U33" s="30">
        <f>+COUNTIFS('[1]Base Instalada'!AA:AA,Tabla1[[#This Row],[Cliente]],'[1]Base Instalada'!Z:Z,"MOBILIARIO CLINICO")</f>
        <v>10</v>
      </c>
      <c r="V33" s="29">
        <f>+COUNTIFS('[1]Base Instalada'!AA:AA,Tabla1[[#This Row],[Cliente]],'[1]Base Instalada'!Z:Z,"OTRO")</f>
        <v>0</v>
      </c>
      <c r="W33" s="31" t="str">
        <f t="shared" si="0"/>
        <v>Región Bío Bío</v>
      </c>
      <c r="X33" s="31" t="str">
        <f t="shared" si="1"/>
        <v>Penco</v>
      </c>
      <c r="Y33" s="32" t="s">
        <v>102</v>
      </c>
      <c r="Z33" s="33">
        <f>+COUNTIFS('[1]Pipeline TS'!$F:$F,Tabla1[[#This Row],[Cliente]])</f>
        <v>1</v>
      </c>
      <c r="AA33" s="34">
        <f>SUMIFS('[1]Pipeline Esterilización'!M:M,'[1]Pipeline Esterilización'!E:E,Tabla1[[#This Row],[Cliente]],'[1]Pipeline Esterilización'!B:B,"2026",'[1]Pipeline Esterilización'!L:L,"&gt;0")</f>
        <v>71000000</v>
      </c>
      <c r="AB33" s="33">
        <f>+SUMIFS('[1]Pipeline Endoscopía'!K:K,'[1]Pipeline Endoscopía'!E:E,Tabla1[[#This Row],[Cliente]],'[1]Pipeline Endoscopía'!B:B,"2026",'[1]Pipeline Endoscopía'!J:J,"&gt;0")</f>
        <v>0</v>
      </c>
      <c r="AC33" s="34">
        <f>+SUMIFS('[1]Pipeline Dental'!K:K,'[1]Pipeline Dental'!E:E,Tabla1[[#This Row],[Cliente]],'[1]Pipeline Dental'!B:B,"2026",'[1]Pipeline Dental'!J:J,"&gt;0")</f>
        <v>0</v>
      </c>
      <c r="AD33" s="35">
        <f>+SUMIFS('[1]Pipeline TS'!$AB:$AB,'[1]Pipeline TS'!$F:$F,Tabla1[[#This Row],[Cliente]])</f>
        <v>6285796</v>
      </c>
      <c r="AE33" s="35">
        <f>+SUM(Tabla1[[#This Row],[Pipeline 2026 $MM ESTERILIZACIÓN]:[Pipeline 2026 $MM TECSERVICE]])</f>
        <v>77285796</v>
      </c>
      <c r="AF33" s="43">
        <v>-36.719742602647997</v>
      </c>
      <c r="AG33" s="37">
        <v>-72.975593143430402</v>
      </c>
      <c r="AH33" s="38" t="str">
        <f>+IF(Tabla1[[#This Row],['# Contratos Vigentes ]]&gt;0,"SI","NO")</f>
        <v>SI</v>
      </c>
      <c r="AI33" s="39">
        <v>0.6</v>
      </c>
      <c r="AJ33" s="40">
        <f>+Tabla1[[#This Row],[Ingreso 2025 - 2026]]*Tabla1[[#This Row],[% Costo Serv. Directo]]</f>
        <v>12121601.4</v>
      </c>
      <c r="AK33" s="41">
        <v>4</v>
      </c>
      <c r="AL3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13385796</v>
      </c>
      <c r="AM3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33" s="42">
        <f>+Tabla1[[#This Row],[Potencial Equipos]]+Tabla1[[#This Row],[Potencial Pipeline]]</f>
        <v>13385796</v>
      </c>
    </row>
    <row r="34" spans="1:40" x14ac:dyDescent="0.25">
      <c r="A34" s="22" t="s">
        <v>103</v>
      </c>
      <c r="B34" t="str">
        <f>+VLOOKUP(Tabla1[[#This Row],[Cliente]],'[1]Público Privado'!$A$1:$B$325,2,FALSE)</f>
        <v>Público</v>
      </c>
      <c r="C34" s="23">
        <f>+SUMIFS('[1]Facturacion a Fecha'!$T:$T,'[1]Facturacion a Fecha'!$AY:$AY,Tabla1[[#This Row],[Cliente]])</f>
        <v>19730666</v>
      </c>
      <c r="D34" s="24">
        <f>+SUMIFS('[1]Facturacion a Fecha'!$T:$T,'[1]Facturacion a Fecha'!$AY:$AY,Tabla1[[#This Row],[Cliente]],'[1]Facturacion a Fecha'!$AX:$AX,"Correctivo")</f>
        <v>8521816</v>
      </c>
      <c r="E34" s="25">
        <f>+COUNTIFS('[1]Facturacion a Fecha'!AY:AY,Tabla1[[#This Row],[Cliente]],'[1]Facturacion a Fecha'!AX:AX,"Correctivo")</f>
        <v>3</v>
      </c>
      <c r="F34" s="25">
        <f>+SUMIFS('[1]Facturacion a Fecha'!$T:$T,'[1]Facturacion a Fecha'!$AY:$AY,Tabla1[[#This Row],[Cliente]],'[1]Facturacion a Fecha'!$AX:$AX,"Preventivo")</f>
        <v>11208850</v>
      </c>
      <c r="G34" s="25">
        <f>+COUNTIFS('[1]Facturacion a Fecha'!AY:AY,Tabla1[[#This Row],[Cliente]],'[1]Facturacion a Fecha'!AX:AX,"Preventivo")</f>
        <v>2</v>
      </c>
      <c r="H34" s="26">
        <f>+Tabla1[[#This Row],['# Preventivo]]+Tabla1[[#This Row],['# Correctivo]]</f>
        <v>5</v>
      </c>
      <c r="I34" s="23">
        <f>+IFERROR(Tabla1[[#This Row],[Ingreso 2025 - 2026 Correctivo]]/Tabla1[[#This Row],[Ingreso 2025 - 2026 Preventivo]],0)</f>
        <v>0.76027567502464566</v>
      </c>
      <c r="J34" s="27">
        <f>+IFERROR(Tabla1[[#This Row],['# Correctivo]]/Tabla1[[#This Row],['# Preventivo]],0)</f>
        <v>1.5</v>
      </c>
      <c r="K34" s="28">
        <f>+IFERROR(Tabla1[[#This Row],[Ingreso 2025 - 2026 Preventivo]]/(Tabla1[[#This Row],[Ingreso 2025 - 2026 Correctivo]]+Tabla1[[#This Row],[Ingreso 2025 - 2026 Preventivo]]),0)</f>
        <v>0.56809283579175684</v>
      </c>
      <c r="L34" s="28">
        <f>1-Tabla1[[#This Row],[% Preventivo $]]</f>
        <v>0.43190716420824316</v>
      </c>
      <c r="M34" s="29">
        <f>+COUNTIFS('[1]Base Instalada'!AA:AA,Tabla1[[#This Row],[Cliente]])</f>
        <v>3</v>
      </c>
      <c r="N34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4" s="29">
        <f>+COUNTIFS('[1]Base Instalada'!AA:AA,Tabla1[[#This Row],[Cliente]],'[1]Base Instalada'!Z:Z,"ESTERILIZACIÓN")</f>
        <v>2</v>
      </c>
      <c r="P34" s="29">
        <f>+COUNTIFS('[1]Base Instalada'!AA:AA,Tabla1[[#This Row],[Cliente]],'[1]Base Instalada'!Z:Z,"DENTAL")</f>
        <v>1</v>
      </c>
      <c r="Q34" s="29">
        <f>+COUNTIFS('[1]Base Instalada'!AA:AA,Tabla1[[#This Row],[Cliente]],'[1]Base Instalada'!Z:Z,"ENDOSCOPÍA")</f>
        <v>0</v>
      </c>
      <c r="R34" s="29">
        <f>+COUNTIFS('[1]Base Instalada'!AA:AA,Tabla1[[#This Row],[Cliente]],'[1]Base Instalada'!Z:Z,"INCARDIA")</f>
        <v>0</v>
      </c>
      <c r="S34" s="29">
        <f>+COUNTIFS('[1]Base Instalada'!AA:AA,Tabla1[[#This Row],[Cliente]],'[1]Base Instalada'!Z:Z,"MMQ")</f>
        <v>0</v>
      </c>
      <c r="T34" s="29">
        <f>+COUNTIFS('[1]Base Instalada'!AA:AA,Tabla1[[#This Row],[Cliente]],'[1]Base Instalada'!Z:Z,"REAS")</f>
        <v>0</v>
      </c>
      <c r="U34" s="30">
        <f>+COUNTIFS('[1]Base Instalada'!AA:AA,Tabla1[[#This Row],[Cliente]],'[1]Base Instalada'!Z:Z,"MOBILIARIO CLINICO")</f>
        <v>0</v>
      </c>
      <c r="V34" s="29">
        <f>+COUNTIFS('[1]Base Instalada'!AA:AA,Tabla1[[#This Row],[Cliente]],'[1]Base Instalada'!Z:Z,"OTRO")</f>
        <v>0</v>
      </c>
      <c r="W34" s="31" t="str">
        <f t="shared" si="0"/>
        <v>Región Bío Bío</v>
      </c>
      <c r="X34" s="31" t="str">
        <f t="shared" si="1"/>
        <v>Lota</v>
      </c>
      <c r="Y34" s="32" t="s">
        <v>104</v>
      </c>
      <c r="Z34" s="33">
        <f>+COUNTIFS('[1]Pipeline TS'!$F:$F,Tabla1[[#This Row],[Cliente]])</f>
        <v>1</v>
      </c>
      <c r="AA34" s="34">
        <f>SUMIFS('[1]Pipeline Esterilización'!M:M,'[1]Pipeline Esterilización'!E:E,Tabla1[[#This Row],[Cliente]],'[1]Pipeline Esterilización'!B:B,"2026",'[1]Pipeline Esterilización'!L:L,"&gt;0")</f>
        <v>0</v>
      </c>
      <c r="AB34" s="33">
        <f>+SUMIFS('[1]Pipeline Endoscopía'!K:K,'[1]Pipeline Endoscopía'!E:E,Tabla1[[#This Row],[Cliente]],'[1]Pipeline Endoscopía'!B:B,"2026",'[1]Pipeline Endoscopía'!J:J,"&gt;0")</f>
        <v>0</v>
      </c>
      <c r="AC34" s="34">
        <f>+SUMIFS('[1]Pipeline Dental'!K:K,'[1]Pipeline Dental'!E:E,Tabla1[[#This Row],[Cliente]],'[1]Pipeline Dental'!B:B,"2026",'[1]Pipeline Dental'!J:J,"&gt;0")</f>
        <v>0</v>
      </c>
      <c r="AD34" s="35">
        <f>+SUMIFS('[1]Pipeline TS'!$AB:$AB,'[1]Pipeline TS'!$F:$F,Tabla1[[#This Row],[Cliente]])</f>
        <v>12959794</v>
      </c>
      <c r="AE34" s="35">
        <f>+SUM(Tabla1[[#This Row],[Pipeline 2026 $MM ESTERILIZACIÓN]:[Pipeline 2026 $MM TECSERVICE]])</f>
        <v>12959794</v>
      </c>
      <c r="AF34" s="43">
        <v>-37.090251087900498</v>
      </c>
      <c r="AG34" s="37">
        <v>-73.155546871897002</v>
      </c>
      <c r="AH34" s="38" t="str">
        <f>+IF(Tabla1[[#This Row],['# Contratos Vigentes ]]&gt;0,"SI","NO")</f>
        <v>SI</v>
      </c>
      <c r="AI34" s="39">
        <v>0.6</v>
      </c>
      <c r="AJ34" s="40">
        <f>+Tabla1[[#This Row],[Ingreso 2025 - 2026]]*Tabla1[[#This Row],[% Costo Serv. Directo]]</f>
        <v>11838399.6</v>
      </c>
      <c r="AK34" s="41">
        <v>5</v>
      </c>
      <c r="AL3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12959794</v>
      </c>
      <c r="AM3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34" s="42">
        <f>+Tabla1[[#This Row],[Potencial Equipos]]+Tabla1[[#This Row],[Potencial Pipeline]]</f>
        <v>12959794</v>
      </c>
    </row>
    <row r="35" spans="1:40" x14ac:dyDescent="0.25">
      <c r="A35" s="22" t="s">
        <v>105</v>
      </c>
      <c r="B35" t="str">
        <f>+VLOOKUP(Tabla1[[#This Row],[Cliente]],'[1]Público Privado'!$A$1:$B$325,2,FALSE)</f>
        <v>Público</v>
      </c>
      <c r="C35" s="23">
        <f>+SUMIFS('[1]Facturacion a Fecha'!$T:$T,'[1]Facturacion a Fecha'!$AY:$AY,Tabla1[[#This Row],[Cliente]])</f>
        <v>18013737</v>
      </c>
      <c r="D35" s="24">
        <f>+SUMIFS('[1]Facturacion a Fecha'!$T:$T,'[1]Facturacion a Fecha'!$AY:$AY,Tabla1[[#This Row],[Cliente]],'[1]Facturacion a Fecha'!$AX:$AX,"Correctivo")</f>
        <v>13976786</v>
      </c>
      <c r="E35" s="25">
        <f>+COUNTIFS('[1]Facturacion a Fecha'!AY:AY,Tabla1[[#This Row],[Cliente]],'[1]Facturacion a Fecha'!AX:AX,"Correctivo")</f>
        <v>29</v>
      </c>
      <c r="F35" s="25">
        <f>+SUMIFS('[1]Facturacion a Fecha'!$T:$T,'[1]Facturacion a Fecha'!$AY:$AY,Tabla1[[#This Row],[Cliente]],'[1]Facturacion a Fecha'!$AX:$AX,"Preventivo")</f>
        <v>4036951</v>
      </c>
      <c r="G35" s="25">
        <f>+COUNTIFS('[1]Facturacion a Fecha'!AY:AY,Tabla1[[#This Row],[Cliente]],'[1]Facturacion a Fecha'!AX:AX,"Preventivo")</f>
        <v>17</v>
      </c>
      <c r="H35" s="26">
        <f>+Tabla1[[#This Row],['# Preventivo]]+Tabla1[[#This Row],['# Correctivo]]</f>
        <v>46</v>
      </c>
      <c r="I35" s="23">
        <f>+IFERROR(Tabla1[[#This Row],[Ingreso 2025 - 2026 Correctivo]]/Tabla1[[#This Row],[Ingreso 2025 - 2026 Preventivo]],0)</f>
        <v>3.4622134378148259</v>
      </c>
      <c r="J35" s="27">
        <f>+IFERROR(Tabla1[[#This Row],['# Correctivo]]/Tabla1[[#This Row],['# Preventivo]],0)</f>
        <v>1.7058823529411764</v>
      </c>
      <c r="K35" s="28">
        <f>+IFERROR(Tabla1[[#This Row],[Ingreso 2025 - 2026 Preventivo]]/(Tabla1[[#This Row],[Ingreso 2025 - 2026 Correctivo]]+Tabla1[[#This Row],[Ingreso 2025 - 2026 Preventivo]]),0)</f>
        <v>0.22410402683241129</v>
      </c>
      <c r="L35" s="28">
        <f>1-Tabla1[[#This Row],[% Preventivo $]]</f>
        <v>0.77589597316758874</v>
      </c>
      <c r="M35" s="29">
        <f>+COUNTIFS('[1]Base Instalada'!AA:AA,Tabla1[[#This Row],[Cliente]])</f>
        <v>20</v>
      </c>
      <c r="N35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5" s="29">
        <f>+COUNTIFS('[1]Base Instalada'!AA:AA,Tabla1[[#This Row],[Cliente]],'[1]Base Instalada'!Z:Z,"ESTERILIZACIÓN")</f>
        <v>10</v>
      </c>
      <c r="P35" s="29">
        <f>+COUNTIFS('[1]Base Instalada'!AA:AA,Tabla1[[#This Row],[Cliente]],'[1]Base Instalada'!Z:Z,"DENTAL")</f>
        <v>0</v>
      </c>
      <c r="Q35" s="29">
        <f>+COUNTIFS('[1]Base Instalada'!AA:AA,Tabla1[[#This Row],[Cliente]],'[1]Base Instalada'!Z:Z,"ENDOSCOPÍA")</f>
        <v>5</v>
      </c>
      <c r="R35" s="29">
        <f>+COUNTIFS('[1]Base Instalada'!AA:AA,Tabla1[[#This Row],[Cliente]],'[1]Base Instalada'!Z:Z,"INCARDIA")</f>
        <v>5</v>
      </c>
      <c r="S35" s="29">
        <f>+COUNTIFS('[1]Base Instalada'!AA:AA,Tabla1[[#This Row],[Cliente]],'[1]Base Instalada'!Z:Z,"MMQ")</f>
        <v>0</v>
      </c>
      <c r="T35" s="29">
        <f>+COUNTIFS('[1]Base Instalada'!AA:AA,Tabla1[[#This Row],[Cliente]],'[1]Base Instalada'!Z:Z,"REAS")</f>
        <v>0</v>
      </c>
      <c r="U35" s="30">
        <f>+COUNTIFS('[1]Base Instalada'!AA:AA,Tabla1[[#This Row],[Cliente]],'[1]Base Instalada'!Z:Z,"MOBILIARIO CLINICO")</f>
        <v>0</v>
      </c>
      <c r="V35" s="29">
        <f>+COUNTIFS('[1]Base Instalada'!AA:AA,Tabla1[[#This Row],[Cliente]],'[1]Base Instalada'!Z:Z,"OTRO")</f>
        <v>0</v>
      </c>
      <c r="W35" s="31" t="str">
        <f t="shared" si="0"/>
        <v>Región Bío Bío</v>
      </c>
      <c r="X35" s="31" t="str">
        <f t="shared" si="1"/>
        <v>Concepción</v>
      </c>
      <c r="Y35" s="32" t="s">
        <v>106</v>
      </c>
      <c r="Z35" s="33">
        <f>+COUNTIFS('[1]Pipeline TS'!$F:$F,Tabla1[[#This Row],[Cliente]])</f>
        <v>1</v>
      </c>
      <c r="AA35" s="34">
        <f>SUMIFS('[1]Pipeline Esterilización'!M:M,'[1]Pipeline Esterilización'!E:E,Tabla1[[#This Row],[Cliente]],'[1]Pipeline Esterilización'!B:B,"2026",'[1]Pipeline Esterilización'!L:L,"&gt;0")</f>
        <v>584660000</v>
      </c>
      <c r="AB35" s="33">
        <f>+SUMIFS('[1]Pipeline Endoscopía'!K:K,'[1]Pipeline Endoscopía'!E:E,Tabla1[[#This Row],[Cliente]],'[1]Pipeline Endoscopía'!B:B,"2026",'[1]Pipeline Endoscopía'!J:J,"&gt;0")</f>
        <v>250000000</v>
      </c>
      <c r="AC35" s="34">
        <f>+SUMIFS('[1]Pipeline Dental'!K:K,'[1]Pipeline Dental'!E:E,Tabla1[[#This Row],[Cliente]],'[1]Pipeline Dental'!B:B,"2026",'[1]Pipeline Dental'!J:J,"&gt;0")</f>
        <v>0</v>
      </c>
      <c r="AD35" s="35">
        <f>+SUMIFS('[1]Pipeline TS'!$AB:$AB,'[1]Pipeline TS'!$F:$F,Tabla1[[#This Row],[Cliente]])</f>
        <v>39582.379999999997</v>
      </c>
      <c r="AE35" s="35">
        <f>+SUM(Tabla1[[#This Row],[Pipeline 2026 $MM ESTERILIZACIÓN]:[Pipeline 2026 $MM TECSERVICE]])</f>
        <v>834699582.38</v>
      </c>
      <c r="AF35" s="43">
        <v>-36.824772780989697</v>
      </c>
      <c r="AG35" s="37">
        <v>-73.038867578569096</v>
      </c>
      <c r="AH35" s="38" t="str">
        <f>+IF(Tabla1[[#This Row],['# Contratos Vigentes ]]&gt;0,"SI","NO")</f>
        <v>SI</v>
      </c>
      <c r="AI35" s="39">
        <v>0.6</v>
      </c>
      <c r="AJ35" s="40">
        <f>+Tabla1[[#This Row],[Ingreso 2025 - 2026]]*Tabla1[[#This Row],[% Costo Serv. Directo]]</f>
        <v>10808242.199999999</v>
      </c>
      <c r="AK35" s="41">
        <v>4</v>
      </c>
      <c r="AL3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73505582.379999995</v>
      </c>
      <c r="AM3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24271230.769230772</v>
      </c>
      <c r="AN35" s="44">
        <v>500000000</v>
      </c>
    </row>
    <row r="36" spans="1:40" x14ac:dyDescent="0.25">
      <c r="A36" s="22" t="s">
        <v>107</v>
      </c>
      <c r="B36" t="str">
        <f>+VLOOKUP(Tabla1[[#This Row],[Cliente]],'[1]Público Privado'!$A$1:$B$325,2,FALSE)</f>
        <v>Público</v>
      </c>
      <c r="C36" s="23">
        <f>+SUMIFS('[1]Facturacion a Fecha'!$T:$T,'[1]Facturacion a Fecha'!$AY:$AY,Tabla1[[#This Row],[Cliente]])</f>
        <v>17625763</v>
      </c>
      <c r="D36" s="24">
        <f>+SUMIFS('[1]Facturacion a Fecha'!$T:$T,'[1]Facturacion a Fecha'!$AY:$AY,Tabla1[[#This Row],[Cliente]],'[1]Facturacion a Fecha'!$AX:$AX,"Correctivo")</f>
        <v>11683871</v>
      </c>
      <c r="E36" s="25">
        <f>+COUNTIFS('[1]Facturacion a Fecha'!AY:AY,Tabla1[[#This Row],[Cliente]],'[1]Facturacion a Fecha'!AX:AX,"Correctivo")</f>
        <v>20</v>
      </c>
      <c r="F36" s="25">
        <f>+SUMIFS('[1]Facturacion a Fecha'!$T:$T,'[1]Facturacion a Fecha'!$AY:$AY,Tabla1[[#This Row],[Cliente]],'[1]Facturacion a Fecha'!$AX:$AX,"Preventivo")</f>
        <v>5941892</v>
      </c>
      <c r="G36" s="25">
        <f>+COUNTIFS('[1]Facturacion a Fecha'!AY:AY,Tabla1[[#This Row],[Cliente]],'[1]Facturacion a Fecha'!AX:AX,"Preventivo")</f>
        <v>5</v>
      </c>
      <c r="H36" s="26">
        <f>+Tabla1[[#This Row],['# Preventivo]]+Tabla1[[#This Row],['# Correctivo]]</f>
        <v>25</v>
      </c>
      <c r="I36" s="23">
        <f>+IFERROR(Tabla1[[#This Row],[Ingreso 2025 - 2026 Correctivo]]/Tabla1[[#This Row],[Ingreso 2025 - 2026 Preventivo]],0)</f>
        <v>1.9663553292452975</v>
      </c>
      <c r="J36" s="27">
        <f>+IFERROR(Tabla1[[#This Row],['# Correctivo]]/Tabla1[[#This Row],['# Preventivo]],0)</f>
        <v>4</v>
      </c>
      <c r="K36" s="28">
        <f>+IFERROR(Tabla1[[#This Row],[Ingreso 2025 - 2026 Preventivo]]/(Tabla1[[#This Row],[Ingreso 2025 - 2026 Correctivo]]+Tabla1[[#This Row],[Ingreso 2025 - 2026 Preventivo]]),0)</f>
        <v>0.33711403018411173</v>
      </c>
      <c r="L36" s="28">
        <f>1-Tabla1[[#This Row],[% Preventivo $]]</f>
        <v>0.66288596981588821</v>
      </c>
      <c r="M36" s="29">
        <f>+COUNTIFS('[1]Base Instalada'!AA:AA,Tabla1[[#This Row],[Cliente]])</f>
        <v>25</v>
      </c>
      <c r="N36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6" s="29">
        <f>+COUNTIFS('[1]Base Instalada'!AA:AA,Tabla1[[#This Row],[Cliente]],'[1]Base Instalada'!Z:Z,"ESTERILIZACIÓN")</f>
        <v>13</v>
      </c>
      <c r="P36" s="29">
        <f>+COUNTIFS('[1]Base Instalada'!AA:AA,Tabla1[[#This Row],[Cliente]],'[1]Base Instalada'!Z:Z,"DENTAL")</f>
        <v>10</v>
      </c>
      <c r="Q36" s="29">
        <f>+COUNTIFS('[1]Base Instalada'!AA:AA,Tabla1[[#This Row],[Cliente]],'[1]Base Instalada'!Z:Z,"ENDOSCOPÍA")</f>
        <v>0</v>
      </c>
      <c r="R36" s="29">
        <f>+COUNTIFS('[1]Base Instalada'!AA:AA,Tabla1[[#This Row],[Cliente]],'[1]Base Instalada'!Z:Z,"INCARDIA")</f>
        <v>0</v>
      </c>
      <c r="S36" s="29">
        <f>+COUNTIFS('[1]Base Instalada'!AA:AA,Tabla1[[#This Row],[Cliente]],'[1]Base Instalada'!Z:Z,"MMQ")</f>
        <v>0</v>
      </c>
      <c r="T36" s="29">
        <f>+COUNTIFS('[1]Base Instalada'!AA:AA,Tabla1[[#This Row],[Cliente]],'[1]Base Instalada'!Z:Z,"REAS")</f>
        <v>0</v>
      </c>
      <c r="U36" s="30">
        <f>+COUNTIFS('[1]Base Instalada'!AA:AA,Tabla1[[#This Row],[Cliente]],'[1]Base Instalada'!Z:Z,"MOBILIARIO CLINICO")</f>
        <v>2</v>
      </c>
      <c r="V36" s="29">
        <f>+COUNTIFS('[1]Base Instalada'!AA:AA,Tabla1[[#This Row],[Cliente]],'[1]Base Instalada'!Z:Z,"OTRO")</f>
        <v>0</v>
      </c>
      <c r="W36" s="31" t="str">
        <f t="shared" si="0"/>
        <v>Región Los Lagos</v>
      </c>
      <c r="X36" s="31" t="str">
        <f t="shared" si="1"/>
        <v>Purranque</v>
      </c>
      <c r="Y36" s="32" t="s">
        <v>108</v>
      </c>
      <c r="Z36" s="33">
        <f>+COUNTIFS('[1]Pipeline TS'!$F:$F,Tabla1[[#This Row],[Cliente]])</f>
        <v>1</v>
      </c>
      <c r="AA36" s="34">
        <f>SUMIFS('[1]Pipeline Esterilización'!M:M,'[1]Pipeline Esterilización'!E:E,Tabla1[[#This Row],[Cliente]],'[1]Pipeline Esterilización'!B:B,"2026",'[1]Pipeline Esterilización'!L:L,"&gt;0")</f>
        <v>0</v>
      </c>
      <c r="AB36" s="33">
        <f>+SUMIFS('[1]Pipeline Endoscopía'!K:K,'[1]Pipeline Endoscopía'!E:E,Tabla1[[#This Row],[Cliente]],'[1]Pipeline Endoscopía'!B:B,"2026",'[1]Pipeline Endoscopía'!J:J,"&gt;0")</f>
        <v>0</v>
      </c>
      <c r="AC36" s="34">
        <f>+SUMIFS('[1]Pipeline Dental'!K:K,'[1]Pipeline Dental'!E:E,Tabla1[[#This Row],[Cliente]],'[1]Pipeline Dental'!B:B,"2026",'[1]Pipeline Dental'!J:J,"&gt;0")</f>
        <v>0</v>
      </c>
      <c r="AD36" s="35">
        <f>+SUMIFS('[1]Pipeline TS'!$AB:$AB,'[1]Pipeline TS'!$F:$F,Tabla1[[#This Row],[Cliente]])</f>
        <v>9848000</v>
      </c>
      <c r="AE36" s="35">
        <f>+SUM(Tabla1[[#This Row],[Pipeline 2026 $MM ESTERILIZACIÓN]:[Pipeline 2026 $MM TECSERVICE]])</f>
        <v>9848000</v>
      </c>
      <c r="AF36" s="43">
        <v>-40.913908368475902</v>
      </c>
      <c r="AG36" s="37">
        <v>-73.154035336962096</v>
      </c>
      <c r="AH36" s="38" t="str">
        <f>+IF(Tabla1[[#This Row],['# Contratos Vigentes ]]&gt;0,"SI","NO")</f>
        <v>SI</v>
      </c>
      <c r="AI36" s="39">
        <v>0.6</v>
      </c>
      <c r="AJ36" s="40">
        <f>+Tabla1[[#This Row],[Ingreso 2025 - 2026]]*Tabla1[[#This Row],[% Costo Serv. Directo]]</f>
        <v>10575457.799999999</v>
      </c>
      <c r="AK36" s="41">
        <v>5</v>
      </c>
      <c r="AL3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9848000</v>
      </c>
      <c r="AM3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36" s="42">
        <f>+Tabla1[[#This Row],[Potencial Equipos]]+Tabla1[[#This Row],[Potencial Pipeline]]</f>
        <v>9848000</v>
      </c>
    </row>
    <row r="37" spans="1:40" x14ac:dyDescent="0.25">
      <c r="A37" s="22" t="s">
        <v>109</v>
      </c>
      <c r="B37" t="str">
        <f>+VLOOKUP(Tabla1[[#This Row],[Cliente]],'[1]Público Privado'!$A$1:$B$325,2,FALSE)</f>
        <v>Privado</v>
      </c>
      <c r="C37" s="23">
        <f>+SUMIFS('[1]Facturacion a Fecha'!$T:$T,'[1]Facturacion a Fecha'!$AY:$AY,Tabla1[[#This Row],[Cliente]])</f>
        <v>16158360</v>
      </c>
      <c r="D37" s="24">
        <f>+SUMIFS('[1]Facturacion a Fecha'!$T:$T,'[1]Facturacion a Fecha'!$AY:$AY,Tabla1[[#This Row],[Cliente]],'[1]Facturacion a Fecha'!$AX:$AX,"Correctivo")</f>
        <v>10970423</v>
      </c>
      <c r="E37" s="25">
        <f>+COUNTIFS('[1]Facturacion a Fecha'!AY:AY,Tabla1[[#This Row],[Cliente]],'[1]Facturacion a Fecha'!AX:AX,"Correctivo")</f>
        <v>48</v>
      </c>
      <c r="F37" s="25">
        <f>+SUMIFS('[1]Facturacion a Fecha'!$T:$T,'[1]Facturacion a Fecha'!$AY:$AY,Tabla1[[#This Row],[Cliente]],'[1]Facturacion a Fecha'!$AX:$AX,"Preventivo")</f>
        <v>5187937</v>
      </c>
      <c r="G37" s="25">
        <f>+COUNTIFS('[1]Facturacion a Fecha'!AY:AY,Tabla1[[#This Row],[Cliente]],'[1]Facturacion a Fecha'!AX:AX,"Preventivo")</f>
        <v>5</v>
      </c>
      <c r="H37" s="26">
        <f>+Tabla1[[#This Row],['# Preventivo]]+Tabla1[[#This Row],['# Correctivo]]</f>
        <v>53</v>
      </c>
      <c r="I37" s="23">
        <f>+IFERROR(Tabla1[[#This Row],[Ingreso 2025 - 2026 Correctivo]]/Tabla1[[#This Row],[Ingreso 2025 - 2026 Preventivo]],0)</f>
        <v>2.1146022012217958</v>
      </c>
      <c r="J37" s="27">
        <f>+IFERROR(Tabla1[[#This Row],['# Correctivo]]/Tabla1[[#This Row],['# Preventivo]],0)</f>
        <v>9.6</v>
      </c>
      <c r="K37" s="28">
        <f>+IFERROR(Tabla1[[#This Row],[Ingreso 2025 - 2026 Preventivo]]/(Tabla1[[#This Row],[Ingreso 2025 - 2026 Correctivo]]+Tabla1[[#This Row],[Ingreso 2025 - 2026 Preventivo]]),0)</f>
        <v>0.32106828910854812</v>
      </c>
      <c r="L37" s="28">
        <f>1-Tabla1[[#This Row],[% Preventivo $]]</f>
        <v>0.67893171089145188</v>
      </c>
      <c r="M37" s="29">
        <f>+COUNTIFS('[1]Base Instalada'!AA:AA,Tabla1[[#This Row],[Cliente]])</f>
        <v>24</v>
      </c>
      <c r="N37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7" s="29">
        <f>+COUNTIFS('[1]Base Instalada'!AA:AA,Tabla1[[#This Row],[Cliente]],'[1]Base Instalada'!Z:Z,"ESTERILIZACIÓN")</f>
        <v>1</v>
      </c>
      <c r="P37" s="29">
        <f>+COUNTIFS('[1]Base Instalada'!AA:AA,Tabla1[[#This Row],[Cliente]],'[1]Base Instalada'!Z:Z,"DENTAL")</f>
        <v>17</v>
      </c>
      <c r="Q37" s="29">
        <f>+COUNTIFS('[1]Base Instalada'!AA:AA,Tabla1[[#This Row],[Cliente]],'[1]Base Instalada'!Z:Z,"ENDOSCOPÍA")</f>
        <v>4</v>
      </c>
      <c r="R37" s="29">
        <f>+COUNTIFS('[1]Base Instalada'!AA:AA,Tabla1[[#This Row],[Cliente]],'[1]Base Instalada'!Z:Z,"INCARDIA")</f>
        <v>1</v>
      </c>
      <c r="S37" s="29">
        <f>+COUNTIFS('[1]Base Instalada'!AA:AA,Tabla1[[#This Row],[Cliente]],'[1]Base Instalada'!Z:Z,"MMQ")</f>
        <v>0</v>
      </c>
      <c r="T37" s="29">
        <f>+COUNTIFS('[1]Base Instalada'!AA:AA,Tabla1[[#This Row],[Cliente]],'[1]Base Instalada'!Z:Z,"REAS")</f>
        <v>0</v>
      </c>
      <c r="U37" s="30">
        <f>+COUNTIFS('[1]Base Instalada'!AA:AA,Tabla1[[#This Row],[Cliente]],'[1]Base Instalada'!Z:Z,"MOBILIARIO CLINICO")</f>
        <v>1</v>
      </c>
      <c r="V37" s="29">
        <f>+COUNTIFS('[1]Base Instalada'!AA:AA,Tabla1[[#This Row],[Cliente]],'[1]Base Instalada'!Z:Z,"OTRO")</f>
        <v>0</v>
      </c>
      <c r="W37" s="31" t="str">
        <f t="shared" si="0"/>
        <v>Región Metropolitana</v>
      </c>
      <c r="X37" s="31" t="str">
        <f t="shared" si="1"/>
        <v>Santiago</v>
      </c>
      <c r="Y37" s="32" t="s">
        <v>110</v>
      </c>
      <c r="Z37" s="33">
        <f>+COUNTIFS('[1]Pipeline TS'!$F:$F,Tabla1[[#This Row],[Cliente]])</f>
        <v>2</v>
      </c>
      <c r="AA37" s="34">
        <f>SUMIFS('[1]Pipeline Esterilización'!M:M,'[1]Pipeline Esterilización'!E:E,Tabla1[[#This Row],[Cliente]],'[1]Pipeline Esterilización'!B:B,"2026",'[1]Pipeline Esterilización'!L:L,"&gt;0")</f>
        <v>0</v>
      </c>
      <c r="AB37" s="33">
        <f>+SUMIFS('[1]Pipeline Endoscopía'!K:K,'[1]Pipeline Endoscopía'!E:E,Tabla1[[#This Row],[Cliente]],'[1]Pipeline Endoscopía'!B:B,"2026",'[1]Pipeline Endoscopía'!J:J,"&gt;0")</f>
        <v>557000000</v>
      </c>
      <c r="AC37" s="34">
        <f>+SUMIFS('[1]Pipeline Dental'!K:K,'[1]Pipeline Dental'!E:E,Tabla1[[#This Row],[Cliente]],'[1]Pipeline Dental'!B:B,"2026",'[1]Pipeline Dental'!J:J,"&gt;0")</f>
        <v>0</v>
      </c>
      <c r="AD37" s="35">
        <f>+SUMIFS('[1]Pipeline TS'!$AB:$AB,'[1]Pipeline TS'!$F:$F,Tabla1[[#This Row],[Cliente]])</f>
        <v>22609455.48</v>
      </c>
      <c r="AE37" s="35">
        <f>+SUM(Tabla1[[#This Row],[Pipeline 2026 $MM ESTERILIZACIÓN]:[Pipeline 2026 $MM TECSERVICE]])</f>
        <v>579609455.48000002</v>
      </c>
      <c r="AF37" s="43">
        <v>-33.442128453673902</v>
      </c>
      <c r="AG37" s="37">
        <v>-70.640613671889497</v>
      </c>
      <c r="AH37" s="38" t="str">
        <f>+IF(Tabla1[[#This Row],['# Contratos Vigentes ]]&gt;0,"SI","NO")</f>
        <v>SI</v>
      </c>
      <c r="AI37" s="39">
        <v>0.6</v>
      </c>
      <c r="AJ37" s="40">
        <f>+Tabla1[[#This Row],[Ingreso 2025 - 2026]]*Tabla1[[#This Row],[% Costo Serv. Directo]]</f>
        <v>9695016</v>
      </c>
      <c r="AK37" s="41">
        <v>4</v>
      </c>
      <c r="AL3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56029455.480000004</v>
      </c>
      <c r="AM3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37" s="42">
        <f>+Tabla1[[#This Row],[Potencial Equipos]]+Tabla1[[#This Row],[Potencial Pipeline]]</f>
        <v>56029455.480000004</v>
      </c>
    </row>
    <row r="38" spans="1:40" x14ac:dyDescent="0.25">
      <c r="A38" s="22" t="s">
        <v>111</v>
      </c>
      <c r="B38" t="str">
        <f>+VLOOKUP(Tabla1[[#This Row],[Cliente]],'[1]Público Privado'!$A$1:$B$325,2,FALSE)</f>
        <v>Público</v>
      </c>
      <c r="C38" s="23">
        <f>+SUMIFS('[1]Facturacion a Fecha'!$T:$T,'[1]Facturacion a Fecha'!$AY:$AY,Tabla1[[#This Row],[Cliente]])</f>
        <v>5703986</v>
      </c>
      <c r="D38" s="24">
        <f>+SUMIFS('[1]Facturacion a Fecha'!$T:$T,'[1]Facturacion a Fecha'!$AY:$AY,Tabla1[[#This Row],[Cliente]],'[1]Facturacion a Fecha'!$AX:$AX,"Correctivo")</f>
        <v>5703986</v>
      </c>
      <c r="E38" s="25">
        <f>+COUNTIFS('[1]Facturacion a Fecha'!AY:AY,Tabla1[[#This Row],[Cliente]],'[1]Facturacion a Fecha'!AX:AX,"Correctivo")</f>
        <v>2</v>
      </c>
      <c r="F38" s="25">
        <f>+SUMIFS('[1]Facturacion a Fecha'!$T:$T,'[1]Facturacion a Fecha'!$AY:$AY,Tabla1[[#This Row],[Cliente]],'[1]Facturacion a Fecha'!$AX:$AX,"Preventivo")</f>
        <v>0</v>
      </c>
      <c r="G38" s="25">
        <f>+COUNTIFS('[1]Facturacion a Fecha'!AY:AY,Tabla1[[#This Row],[Cliente]],'[1]Facturacion a Fecha'!AX:AX,"Preventivo")</f>
        <v>0</v>
      </c>
      <c r="H38" s="26">
        <f>+Tabla1[[#This Row],['# Preventivo]]+Tabla1[[#This Row],['# Correctivo]]</f>
        <v>2</v>
      </c>
      <c r="I38" s="23">
        <f>+IFERROR(Tabla1[[#This Row],[Ingreso 2025 - 2026 Correctivo]]/Tabla1[[#This Row],[Ingreso 2025 - 2026 Preventivo]],0)</f>
        <v>0</v>
      </c>
      <c r="J38" s="27">
        <f>+IFERROR(Tabla1[[#This Row],['# Correctivo]]/Tabla1[[#This Row],['# Preventivo]],0)</f>
        <v>0</v>
      </c>
      <c r="K38" s="28">
        <f>+IFERROR(Tabla1[[#This Row],[Ingreso 2025 - 2026 Preventivo]]/(Tabla1[[#This Row],[Ingreso 2025 - 2026 Correctivo]]+Tabla1[[#This Row],[Ingreso 2025 - 2026 Preventivo]]),0)</f>
        <v>0</v>
      </c>
      <c r="L38" s="28">
        <f>1-Tabla1[[#This Row],[% Preventivo $]]</f>
        <v>1</v>
      </c>
      <c r="M38" s="29">
        <f>+COUNTIFS('[1]Base Instalada'!AA:AA,Tabla1[[#This Row],[Cliente]])</f>
        <v>5</v>
      </c>
      <c r="N38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8" s="29">
        <f>+COUNTIFS('[1]Base Instalada'!AA:AA,Tabla1[[#This Row],[Cliente]],'[1]Base Instalada'!Z:Z,"ESTERILIZACIÓN")</f>
        <v>3</v>
      </c>
      <c r="P38" s="29">
        <f>+COUNTIFS('[1]Base Instalada'!AA:AA,Tabla1[[#This Row],[Cliente]],'[1]Base Instalada'!Z:Z,"DENTAL")</f>
        <v>2</v>
      </c>
      <c r="Q38" s="29">
        <f>+COUNTIFS('[1]Base Instalada'!AA:AA,Tabla1[[#This Row],[Cliente]],'[1]Base Instalada'!Z:Z,"ENDOSCOPÍA")</f>
        <v>0</v>
      </c>
      <c r="R38" s="29">
        <f>+COUNTIFS('[1]Base Instalada'!AA:AA,Tabla1[[#This Row],[Cliente]],'[1]Base Instalada'!Z:Z,"INCARDIA")</f>
        <v>0</v>
      </c>
      <c r="S38" s="29">
        <f>+COUNTIFS('[1]Base Instalada'!AA:AA,Tabla1[[#This Row],[Cliente]],'[1]Base Instalada'!Z:Z,"MMQ")</f>
        <v>0</v>
      </c>
      <c r="T38" s="29">
        <f>+COUNTIFS('[1]Base Instalada'!AA:AA,Tabla1[[#This Row],[Cliente]],'[1]Base Instalada'!Z:Z,"REAS")</f>
        <v>0</v>
      </c>
      <c r="U38" s="30">
        <f>+COUNTIFS('[1]Base Instalada'!AA:AA,Tabla1[[#This Row],[Cliente]],'[1]Base Instalada'!Z:Z,"MOBILIARIO CLINICO")</f>
        <v>0</v>
      </c>
      <c r="V38" s="29">
        <f>+COUNTIFS('[1]Base Instalada'!AA:AA,Tabla1[[#This Row],[Cliente]],'[1]Base Instalada'!Z:Z,"OTRO")</f>
        <v>0</v>
      </c>
      <c r="W38" s="31" t="str">
        <f t="shared" si="0"/>
        <v>Región Bío Bío</v>
      </c>
      <c r="X38" s="31" t="str">
        <f t="shared" si="1"/>
        <v>Curanilahue</v>
      </c>
      <c r="Y38" s="32" t="s">
        <v>112</v>
      </c>
      <c r="Z38" s="33">
        <f>+COUNTIFS('[1]Pipeline TS'!$F:$F,Tabla1[[#This Row],[Cliente]])</f>
        <v>0</v>
      </c>
      <c r="AA38" s="34">
        <f>SUMIFS('[1]Pipeline Esterilización'!M:M,'[1]Pipeline Esterilización'!E:E,Tabla1[[#This Row],[Cliente]],'[1]Pipeline Esterilización'!B:B,"2026",'[1]Pipeline Esterilización'!L:L,"&gt;0")</f>
        <v>0</v>
      </c>
      <c r="AB38" s="33">
        <f>+SUMIFS('[1]Pipeline Endoscopía'!K:K,'[1]Pipeline Endoscopía'!E:E,Tabla1[[#This Row],[Cliente]],'[1]Pipeline Endoscopía'!B:B,"2026",'[1]Pipeline Endoscopía'!J:J,"&gt;0")</f>
        <v>0</v>
      </c>
      <c r="AC38" s="34">
        <f>+SUMIFS('[1]Pipeline Dental'!K:K,'[1]Pipeline Dental'!E:E,Tabla1[[#This Row],[Cliente]],'[1]Pipeline Dental'!B:B,"2026",'[1]Pipeline Dental'!J:J,"&gt;0")</f>
        <v>0</v>
      </c>
      <c r="AD38" s="35">
        <f>+SUMIFS('[1]Pipeline TS'!$AB:$AB,'[1]Pipeline TS'!$F:$F,Tabla1[[#This Row],[Cliente]])</f>
        <v>0</v>
      </c>
      <c r="AE38" s="35">
        <f>+SUM(Tabla1[[#This Row],[Pipeline 2026 $MM ESTERILIZACIÓN]:[Pipeline 2026 $MM TECSERVICE]])</f>
        <v>0</v>
      </c>
      <c r="AF38" s="43">
        <v>-37.473343412120201</v>
      </c>
      <c r="AG38" s="37">
        <v>-73.348501487377504</v>
      </c>
      <c r="AH38" s="38" t="str">
        <f>+IF(Tabla1[[#This Row],['# Contratos Vigentes ]]&gt;0,"SI","NO")</f>
        <v>NO</v>
      </c>
      <c r="AI38" s="39">
        <v>0.6</v>
      </c>
      <c r="AJ38" s="40">
        <f>+Tabla1[[#This Row],[Ingreso 2025 - 2026]]*Tabla1[[#This Row],[% Costo Serv. Directo]]</f>
        <v>3422391.6</v>
      </c>
      <c r="AK38" s="41">
        <v>5</v>
      </c>
      <c r="AL3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7189200</v>
      </c>
      <c r="AN38" s="42">
        <f>+Tabla1[[#This Row],[Potencial Equipos]]+Tabla1[[#This Row],[Potencial Pipeline]]</f>
        <v>7189200</v>
      </c>
    </row>
    <row r="39" spans="1:40" x14ac:dyDescent="0.25">
      <c r="A39" s="22" t="s">
        <v>113</v>
      </c>
      <c r="B39" t="str">
        <f>+VLOOKUP(Tabla1[[#This Row],[Cliente]],'[1]Público Privado'!$A$1:$B$325,2,FALSE)</f>
        <v>Público</v>
      </c>
      <c r="C39" s="23">
        <f>+SUMIFS('[1]Facturacion a Fecha'!$T:$T,'[1]Facturacion a Fecha'!$AY:$AY,Tabla1[[#This Row],[Cliente]])</f>
        <v>14668505</v>
      </c>
      <c r="D39" s="24">
        <f>+SUMIFS('[1]Facturacion a Fecha'!$T:$T,'[1]Facturacion a Fecha'!$AY:$AY,Tabla1[[#This Row],[Cliente]],'[1]Facturacion a Fecha'!$AX:$AX,"Correctivo")</f>
        <v>11654599</v>
      </c>
      <c r="E39" s="25">
        <f>+COUNTIFS('[1]Facturacion a Fecha'!AY:AY,Tabla1[[#This Row],[Cliente]],'[1]Facturacion a Fecha'!AX:AX,"Correctivo")</f>
        <v>13</v>
      </c>
      <c r="F39" s="25">
        <f>+SUMIFS('[1]Facturacion a Fecha'!$T:$T,'[1]Facturacion a Fecha'!$AY:$AY,Tabla1[[#This Row],[Cliente]],'[1]Facturacion a Fecha'!$AX:$AX,"Preventivo")</f>
        <v>3013906</v>
      </c>
      <c r="G39" s="25">
        <f>+COUNTIFS('[1]Facturacion a Fecha'!AY:AY,Tabla1[[#This Row],[Cliente]],'[1]Facturacion a Fecha'!AX:AX,"Preventivo")</f>
        <v>4</v>
      </c>
      <c r="H39" s="26">
        <f>+Tabla1[[#This Row],['# Preventivo]]+Tabla1[[#This Row],['# Correctivo]]</f>
        <v>17</v>
      </c>
      <c r="I39" s="23">
        <f>+IFERROR(Tabla1[[#This Row],[Ingreso 2025 - 2026 Correctivo]]/Tabla1[[#This Row],[Ingreso 2025 - 2026 Preventivo]],0)</f>
        <v>3.8669417692522594</v>
      </c>
      <c r="J39" s="27">
        <f>+IFERROR(Tabla1[[#This Row],['# Correctivo]]/Tabla1[[#This Row],['# Preventivo]],0)</f>
        <v>3.25</v>
      </c>
      <c r="K39" s="28">
        <f>+IFERROR(Tabla1[[#This Row],[Ingreso 2025 - 2026 Preventivo]]/(Tabla1[[#This Row],[Ingreso 2025 - 2026 Correctivo]]+Tabla1[[#This Row],[Ingreso 2025 - 2026 Preventivo]]),0)</f>
        <v>0.20546783738356431</v>
      </c>
      <c r="L39" s="28">
        <f>1-Tabla1[[#This Row],[% Preventivo $]]</f>
        <v>0.79453216261643567</v>
      </c>
      <c r="M39" s="29">
        <f>+COUNTIFS('[1]Base Instalada'!AA:AA,Tabla1[[#This Row],[Cliente]])</f>
        <v>10</v>
      </c>
      <c r="N39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9" s="29">
        <f>+COUNTIFS('[1]Base Instalada'!AA:AA,Tabla1[[#This Row],[Cliente]],'[1]Base Instalada'!Z:Z,"ESTERILIZACIÓN")</f>
        <v>7</v>
      </c>
      <c r="P39" s="29">
        <f>+COUNTIFS('[1]Base Instalada'!AA:AA,Tabla1[[#This Row],[Cliente]],'[1]Base Instalada'!Z:Z,"DENTAL")</f>
        <v>3</v>
      </c>
      <c r="Q39" s="29">
        <f>+COUNTIFS('[1]Base Instalada'!AA:AA,Tabla1[[#This Row],[Cliente]],'[1]Base Instalada'!Z:Z,"ENDOSCOPÍA")</f>
        <v>0</v>
      </c>
      <c r="R39" s="29">
        <f>+COUNTIFS('[1]Base Instalada'!AA:AA,Tabla1[[#This Row],[Cliente]],'[1]Base Instalada'!Z:Z,"INCARDIA")</f>
        <v>0</v>
      </c>
      <c r="S39" s="29">
        <f>+COUNTIFS('[1]Base Instalada'!AA:AA,Tabla1[[#This Row],[Cliente]],'[1]Base Instalada'!Z:Z,"MMQ")</f>
        <v>0</v>
      </c>
      <c r="T39" s="29">
        <f>+COUNTIFS('[1]Base Instalada'!AA:AA,Tabla1[[#This Row],[Cliente]],'[1]Base Instalada'!Z:Z,"REAS")</f>
        <v>0</v>
      </c>
      <c r="U39" s="30">
        <f>+COUNTIFS('[1]Base Instalada'!AA:AA,Tabla1[[#This Row],[Cliente]],'[1]Base Instalada'!Z:Z,"MOBILIARIO CLINICO")</f>
        <v>0</v>
      </c>
      <c r="V39" s="29">
        <f>+COUNTIFS('[1]Base Instalada'!AA:AA,Tabla1[[#This Row],[Cliente]],'[1]Base Instalada'!Z:Z,"OTRO")</f>
        <v>0</v>
      </c>
      <c r="W39" s="31" t="str">
        <f t="shared" si="0"/>
        <v>Región Metropolitana</v>
      </c>
      <c r="X39" s="31" t="str">
        <f t="shared" si="1"/>
        <v>La Reina</v>
      </c>
      <c r="Y39" s="32" t="s">
        <v>114</v>
      </c>
      <c r="Z39" s="33">
        <f>+COUNTIFS('[1]Pipeline TS'!$F:$F,Tabla1[[#This Row],[Cliente]])</f>
        <v>1</v>
      </c>
      <c r="AA39" s="34">
        <f>SUMIFS('[1]Pipeline Esterilización'!M:M,'[1]Pipeline Esterilización'!E:E,Tabla1[[#This Row],[Cliente]],'[1]Pipeline Esterilización'!B:B,"2026",'[1]Pipeline Esterilización'!L:L,"&gt;0")</f>
        <v>300000000</v>
      </c>
      <c r="AB39" s="33">
        <f>+SUMIFS('[1]Pipeline Endoscopía'!K:K,'[1]Pipeline Endoscopía'!E:E,Tabla1[[#This Row],[Cliente]],'[1]Pipeline Endoscopía'!B:B,"2026",'[1]Pipeline Endoscopía'!J:J,"&gt;0")</f>
        <v>0</v>
      </c>
      <c r="AC39" s="34">
        <f>+SUMIFS('[1]Pipeline Dental'!K:K,'[1]Pipeline Dental'!E:E,Tabla1[[#This Row],[Cliente]],'[1]Pipeline Dental'!B:B,"2026",'[1]Pipeline Dental'!J:J,"&gt;0")</f>
        <v>0</v>
      </c>
      <c r="AD39" s="35">
        <f>+SUMIFS('[1]Pipeline TS'!$AB:$AB,'[1]Pipeline TS'!$F:$F,Tabla1[[#This Row],[Cliente]])</f>
        <v>9390523.8000000007</v>
      </c>
      <c r="AE39" s="35">
        <f>+SUM(Tabla1[[#This Row],[Pipeline 2026 $MM ESTERILIZACIÓN]:[Pipeline 2026 $MM TECSERVICE]])</f>
        <v>309390523.80000001</v>
      </c>
      <c r="AF39" s="43">
        <v>-33.450212889990901</v>
      </c>
      <c r="AG39" s="37">
        <v>-70.538263474370297</v>
      </c>
      <c r="AH39" s="38" t="str">
        <f>+IF(Tabla1[[#This Row],['# Contratos Vigentes ]]&gt;0,"SI","NO")</f>
        <v>SI</v>
      </c>
      <c r="AI39" s="39">
        <v>0.6</v>
      </c>
      <c r="AJ39" s="40">
        <f>+Tabla1[[#This Row],[Ingreso 2025 - 2026]]*Tabla1[[#This Row],[% Costo Serv. Directo]]</f>
        <v>8801103</v>
      </c>
      <c r="AK39" s="41">
        <v>4</v>
      </c>
      <c r="AL3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39390523.799999997</v>
      </c>
      <c r="AM3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39" s="42">
        <f>+Tabla1[[#This Row],[Potencial Equipos]]+Tabla1[[#This Row],[Potencial Pipeline]]</f>
        <v>39390523.799999997</v>
      </c>
    </row>
    <row r="40" spans="1:40" x14ac:dyDescent="0.25">
      <c r="A40" s="22" t="s">
        <v>115</v>
      </c>
      <c r="B40" t="str">
        <f>+VLOOKUP(Tabla1[[#This Row],[Cliente]],'[1]Público Privado'!$A$1:$B$325,2,FALSE)</f>
        <v>Público</v>
      </c>
      <c r="C40" s="23">
        <f>+SUMIFS('[1]Facturacion a Fecha'!$T:$T,'[1]Facturacion a Fecha'!$AY:$AY,Tabla1[[#This Row],[Cliente]])</f>
        <v>14606173</v>
      </c>
      <c r="D40" s="24">
        <f>+SUMIFS('[1]Facturacion a Fecha'!$T:$T,'[1]Facturacion a Fecha'!$AY:$AY,Tabla1[[#This Row],[Cliente]],'[1]Facturacion a Fecha'!$AX:$AX,"Correctivo")</f>
        <v>9321949</v>
      </c>
      <c r="E40" s="25">
        <f>+COUNTIFS('[1]Facturacion a Fecha'!AY:AY,Tabla1[[#This Row],[Cliente]],'[1]Facturacion a Fecha'!AX:AX,"Correctivo")</f>
        <v>17</v>
      </c>
      <c r="F40" s="25">
        <f>+SUMIFS('[1]Facturacion a Fecha'!$T:$T,'[1]Facturacion a Fecha'!$AY:$AY,Tabla1[[#This Row],[Cliente]],'[1]Facturacion a Fecha'!$AX:$AX,"Preventivo")</f>
        <v>5284224</v>
      </c>
      <c r="G40" s="25">
        <f>+COUNTIFS('[1]Facturacion a Fecha'!AY:AY,Tabla1[[#This Row],[Cliente]],'[1]Facturacion a Fecha'!AX:AX,"Preventivo")</f>
        <v>3</v>
      </c>
      <c r="H40" s="26">
        <f>+Tabla1[[#This Row],['# Preventivo]]+Tabla1[[#This Row],['# Correctivo]]</f>
        <v>20</v>
      </c>
      <c r="I40" s="23">
        <f>+IFERROR(Tabla1[[#This Row],[Ingreso 2025 - 2026 Correctivo]]/Tabla1[[#This Row],[Ingreso 2025 - 2026 Preventivo]],0)</f>
        <v>1.7641093564542305</v>
      </c>
      <c r="J40" s="27">
        <f>+IFERROR(Tabla1[[#This Row],['# Correctivo]]/Tabla1[[#This Row],['# Preventivo]],0)</f>
        <v>5.666666666666667</v>
      </c>
      <c r="K40" s="28">
        <f>+IFERROR(Tabla1[[#This Row],[Ingreso 2025 - 2026 Preventivo]]/(Tabla1[[#This Row],[Ingreso 2025 - 2026 Correctivo]]+Tabla1[[#This Row],[Ingreso 2025 - 2026 Preventivo]]),0)</f>
        <v>0.36178018704831172</v>
      </c>
      <c r="L40" s="28">
        <f>1-Tabla1[[#This Row],[% Preventivo $]]</f>
        <v>0.63821981295168828</v>
      </c>
      <c r="M40" s="29">
        <f>+COUNTIFS('[1]Base Instalada'!AA:AA,Tabla1[[#This Row],[Cliente]])</f>
        <v>10</v>
      </c>
      <c r="N40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0" s="29">
        <f>+COUNTIFS('[1]Base Instalada'!AA:AA,Tabla1[[#This Row],[Cliente]],'[1]Base Instalada'!Z:Z,"ESTERILIZACIÓN")</f>
        <v>9</v>
      </c>
      <c r="P40" s="29">
        <f>+COUNTIFS('[1]Base Instalada'!AA:AA,Tabla1[[#This Row],[Cliente]],'[1]Base Instalada'!Z:Z,"DENTAL")</f>
        <v>1</v>
      </c>
      <c r="Q40" s="29">
        <f>+COUNTIFS('[1]Base Instalada'!AA:AA,Tabla1[[#This Row],[Cliente]],'[1]Base Instalada'!Z:Z,"ENDOSCOPÍA")</f>
        <v>0</v>
      </c>
      <c r="R40" s="29">
        <f>+COUNTIFS('[1]Base Instalada'!AA:AA,Tabla1[[#This Row],[Cliente]],'[1]Base Instalada'!Z:Z,"INCARDIA")</f>
        <v>0</v>
      </c>
      <c r="S40" s="29">
        <f>+COUNTIFS('[1]Base Instalada'!AA:AA,Tabla1[[#This Row],[Cliente]],'[1]Base Instalada'!Z:Z,"MMQ")</f>
        <v>0</v>
      </c>
      <c r="T40" s="29">
        <f>+COUNTIFS('[1]Base Instalada'!AA:AA,Tabla1[[#This Row],[Cliente]],'[1]Base Instalada'!Z:Z,"REAS")</f>
        <v>0</v>
      </c>
      <c r="U40" s="30">
        <f>+COUNTIFS('[1]Base Instalada'!AA:AA,Tabla1[[#This Row],[Cliente]],'[1]Base Instalada'!Z:Z,"MOBILIARIO CLINICO")</f>
        <v>0</v>
      </c>
      <c r="V40" s="29">
        <f>+COUNTIFS('[1]Base Instalada'!AA:AA,Tabla1[[#This Row],[Cliente]],'[1]Base Instalada'!Z:Z,"OTRO")</f>
        <v>0</v>
      </c>
      <c r="W40" s="31" t="str">
        <f t="shared" si="0"/>
        <v>Región Metropolitana</v>
      </c>
      <c r="X40" s="31" t="str">
        <f t="shared" si="1"/>
        <v>Buin</v>
      </c>
      <c r="Y40" s="32" t="s">
        <v>116</v>
      </c>
      <c r="Z40" s="33">
        <f>+COUNTIFS('[1]Pipeline TS'!$F:$F,Tabla1[[#This Row],[Cliente]])</f>
        <v>2</v>
      </c>
      <c r="AA40" s="34">
        <f>SUMIFS('[1]Pipeline Esterilización'!M:M,'[1]Pipeline Esterilización'!E:E,Tabla1[[#This Row],[Cliente]],'[1]Pipeline Esterilización'!B:B,"2026",'[1]Pipeline Esterilización'!L:L,"&gt;0")</f>
        <v>0</v>
      </c>
      <c r="AB40" s="33">
        <f>+SUMIFS('[1]Pipeline Endoscopía'!K:K,'[1]Pipeline Endoscopía'!E:E,Tabla1[[#This Row],[Cliente]],'[1]Pipeline Endoscopía'!B:B,"2026",'[1]Pipeline Endoscopía'!J:J,"&gt;0")</f>
        <v>0</v>
      </c>
      <c r="AC40" s="34">
        <f>+SUMIFS('[1]Pipeline Dental'!K:K,'[1]Pipeline Dental'!E:E,Tabla1[[#This Row],[Cliente]],'[1]Pipeline Dental'!B:B,"2026",'[1]Pipeline Dental'!J:J,"&gt;0")</f>
        <v>0</v>
      </c>
      <c r="AD40" s="35">
        <f>+SUMIFS('[1]Pipeline TS'!$AB:$AB,'[1]Pipeline TS'!$F:$F,Tabla1[[#This Row],[Cliente]])</f>
        <v>12700308</v>
      </c>
      <c r="AE40" s="35">
        <f>+SUM(Tabla1[[#This Row],[Pipeline 2026 $MM ESTERILIZACIÓN]:[Pipeline 2026 $MM TECSERVICE]])</f>
        <v>12700308</v>
      </c>
      <c r="AF40" s="43">
        <v>-33.734467570234102</v>
      </c>
      <c r="AG40" s="37">
        <v>-70.739922776105004</v>
      </c>
      <c r="AH40" s="38" t="str">
        <f>+IF(Tabla1[[#This Row],['# Contratos Vigentes ]]&gt;0,"SI","NO")</f>
        <v>SI</v>
      </c>
      <c r="AI40" s="39">
        <v>0.6</v>
      </c>
      <c r="AJ40" s="40">
        <f>+Tabla1[[#This Row],[Ingreso 2025 - 2026]]*Tabla1[[#This Row],[% Costo Serv. Directo]]</f>
        <v>8763703.7999999989</v>
      </c>
      <c r="AK40" s="41">
        <v>4</v>
      </c>
      <c r="AL4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12700308</v>
      </c>
      <c r="AM4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40" s="42">
        <f>+Tabla1[[#This Row],[Potencial Equipos]]+Tabla1[[#This Row],[Potencial Pipeline]]</f>
        <v>12700308</v>
      </c>
    </row>
    <row r="41" spans="1:40" ht="15.75" x14ac:dyDescent="0.25">
      <c r="A41" s="22" t="s">
        <v>117</v>
      </c>
      <c r="B41" t="str">
        <f>+VLOOKUP(Tabla1[[#This Row],[Cliente]],'[1]Público Privado'!$A$1:$B$325,2,FALSE)</f>
        <v>Privado</v>
      </c>
      <c r="C41" s="23">
        <f>+SUMIFS('[1]Facturacion a Fecha'!$T:$T,'[1]Facturacion a Fecha'!$AY:$AY,Tabla1[[#This Row],[Cliente]])</f>
        <v>14054893</v>
      </c>
      <c r="D41" s="24">
        <f>+SUMIFS('[1]Facturacion a Fecha'!$T:$T,'[1]Facturacion a Fecha'!$AY:$AY,Tabla1[[#This Row],[Cliente]],'[1]Facturacion a Fecha'!$AX:$AX,"Correctivo")</f>
        <v>12988874</v>
      </c>
      <c r="E41" s="25">
        <f>+COUNTIFS('[1]Facturacion a Fecha'!AY:AY,Tabla1[[#This Row],[Cliente]],'[1]Facturacion a Fecha'!AX:AX,"Correctivo")</f>
        <v>15</v>
      </c>
      <c r="F41" s="25">
        <f>+SUMIFS('[1]Facturacion a Fecha'!$T:$T,'[1]Facturacion a Fecha'!$AY:$AY,Tabla1[[#This Row],[Cliente]],'[1]Facturacion a Fecha'!$AX:$AX,"Preventivo")</f>
        <v>1066019</v>
      </c>
      <c r="G41" s="25">
        <f>+COUNTIFS('[1]Facturacion a Fecha'!AY:AY,Tabla1[[#This Row],[Cliente]],'[1]Facturacion a Fecha'!AX:AX,"Preventivo")</f>
        <v>2</v>
      </c>
      <c r="H41" s="26">
        <f>+Tabla1[[#This Row],['# Preventivo]]+Tabla1[[#This Row],['# Correctivo]]</f>
        <v>17</v>
      </c>
      <c r="I41" s="23">
        <f>+IFERROR(Tabla1[[#This Row],[Ingreso 2025 - 2026 Correctivo]]/Tabla1[[#This Row],[Ingreso 2025 - 2026 Preventivo]],0)</f>
        <v>12.184467631439965</v>
      </c>
      <c r="J41" s="27">
        <f>+IFERROR(Tabla1[[#This Row],['# Correctivo]]/Tabla1[[#This Row],['# Preventivo]],0)</f>
        <v>7.5</v>
      </c>
      <c r="K41" s="28">
        <f>+IFERROR(Tabla1[[#This Row],[Ingreso 2025 - 2026 Preventivo]]/(Tabla1[[#This Row],[Ingreso 2025 - 2026 Correctivo]]+Tabla1[[#This Row],[Ingreso 2025 - 2026 Preventivo]]),0)</f>
        <v>7.5846824305243726E-2</v>
      </c>
      <c r="L41" s="28">
        <f>1-Tabla1[[#This Row],[% Preventivo $]]</f>
        <v>0.9241531756947563</v>
      </c>
      <c r="M41" s="29">
        <f>+COUNTIFS('[1]Base Instalada'!AA:AA,Tabla1[[#This Row],[Cliente]])</f>
        <v>18</v>
      </c>
      <c r="N41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1" s="29">
        <f>+COUNTIFS('[1]Base Instalada'!AA:AA,Tabla1[[#This Row],[Cliente]],'[1]Base Instalada'!Z:Z,"ESTERILIZACIÓN")</f>
        <v>2</v>
      </c>
      <c r="P41" s="29">
        <f>+COUNTIFS('[1]Base Instalada'!AA:AA,Tabla1[[#This Row],[Cliente]],'[1]Base Instalada'!Z:Z,"DENTAL")</f>
        <v>1</v>
      </c>
      <c r="Q41" s="29">
        <f>+COUNTIFS('[1]Base Instalada'!AA:AA,Tabla1[[#This Row],[Cliente]],'[1]Base Instalada'!Z:Z,"ENDOSCOPÍA")</f>
        <v>15</v>
      </c>
      <c r="R41" s="29">
        <f>+COUNTIFS('[1]Base Instalada'!AA:AA,Tabla1[[#This Row],[Cliente]],'[1]Base Instalada'!Z:Z,"INCARDIA")</f>
        <v>0</v>
      </c>
      <c r="S41" s="29">
        <f>+COUNTIFS('[1]Base Instalada'!AA:AA,Tabla1[[#This Row],[Cliente]],'[1]Base Instalada'!Z:Z,"MMQ")</f>
        <v>0</v>
      </c>
      <c r="T41" s="29">
        <f>+COUNTIFS('[1]Base Instalada'!AA:AA,Tabla1[[#This Row],[Cliente]],'[1]Base Instalada'!Z:Z,"REAS")</f>
        <v>0</v>
      </c>
      <c r="U41" s="30">
        <f>+COUNTIFS('[1]Base Instalada'!AA:AA,Tabla1[[#This Row],[Cliente]],'[1]Base Instalada'!Z:Z,"MOBILIARIO CLINICO")</f>
        <v>0</v>
      </c>
      <c r="V41" s="29">
        <f>+COUNTIFS('[1]Base Instalada'!AA:AA,Tabla1[[#This Row],[Cliente]],'[1]Base Instalada'!Z:Z,"OTRO")</f>
        <v>0</v>
      </c>
      <c r="W41" s="31" t="str">
        <f t="shared" si="0"/>
        <v>Región Metropolitana</v>
      </c>
      <c r="X41" s="31" t="str">
        <f t="shared" si="1"/>
        <v>Vitacura</v>
      </c>
      <c r="Y41" s="32" t="s">
        <v>118</v>
      </c>
      <c r="Z41" s="33">
        <f>+COUNTIFS('[1]Pipeline TS'!$F:$F,Tabla1[[#This Row],[Cliente]])</f>
        <v>0</v>
      </c>
      <c r="AA41" s="34">
        <f>SUMIFS('[1]Pipeline Esterilización'!M:M,'[1]Pipeline Esterilización'!E:E,Tabla1[[#This Row],[Cliente]],'[1]Pipeline Esterilización'!B:B,"2026",'[1]Pipeline Esterilización'!L:L,"&gt;0")</f>
        <v>107000000</v>
      </c>
      <c r="AB41" s="33">
        <f>+SUMIFS('[1]Pipeline Endoscopía'!K:K,'[1]Pipeline Endoscopía'!E:E,Tabla1[[#This Row],[Cliente]],'[1]Pipeline Endoscopía'!B:B,"2026",'[1]Pipeline Endoscopía'!J:J,"&gt;0")</f>
        <v>457000000</v>
      </c>
      <c r="AC41" s="34">
        <f>+SUMIFS('[1]Pipeline Dental'!K:K,'[1]Pipeline Dental'!E:E,Tabla1[[#This Row],[Cliente]],'[1]Pipeline Dental'!B:B,"2026",'[1]Pipeline Dental'!J:J,"&gt;0")</f>
        <v>204863736</v>
      </c>
      <c r="AD41" s="35">
        <f>+SUMIFS('[1]Pipeline TS'!$AB:$AB,'[1]Pipeline TS'!$F:$F,Tabla1[[#This Row],[Cliente]])</f>
        <v>0</v>
      </c>
      <c r="AE41" s="35">
        <f>+SUM(Tabla1[[#This Row],[Pipeline 2026 $MM ESTERILIZACIÓN]:[Pipeline 2026 $MM TECSERVICE]])</f>
        <v>768863736</v>
      </c>
      <c r="AF41" s="43">
        <v>-33.391994708858903</v>
      </c>
      <c r="AG41" s="37">
        <v>-70.572999232639305</v>
      </c>
      <c r="AH41" s="38" t="str">
        <f>+IF(Tabla1[[#This Row],['# Contratos Vigentes ]]&gt;0,"SI","NO")</f>
        <v>NO</v>
      </c>
      <c r="AI41" s="39">
        <v>0.6</v>
      </c>
      <c r="AJ41" s="40">
        <f>+Tabla1[[#This Row],[Ingreso 2025 - 2026]]*Tabla1[[#This Row],[% Costo Serv. Directo]]</f>
        <v>8432935.7999999989</v>
      </c>
      <c r="AK41" s="41">
        <v>5</v>
      </c>
      <c r="AL4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50411824.159999996</v>
      </c>
      <c r="AM4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17496792.307692308</v>
      </c>
      <c r="AN41" s="42">
        <f>+Tabla1[[#This Row],[Potencial Equipos]]+Tabla1[[#This Row],[Potencial Pipeline]]</f>
        <v>67908616.467692301</v>
      </c>
    </row>
    <row r="42" spans="1:40" x14ac:dyDescent="0.25">
      <c r="A42" s="22" t="s">
        <v>119</v>
      </c>
      <c r="B42" t="str">
        <f>+VLOOKUP(Tabla1[[#This Row],[Cliente]],'[1]Público Privado'!$A$1:$B$325,2,FALSE)</f>
        <v>Público</v>
      </c>
      <c r="C42" s="23">
        <f>+SUMIFS('[1]Facturacion a Fecha'!$T:$T,'[1]Facturacion a Fecha'!$AY:$AY,Tabla1[[#This Row],[Cliente]])</f>
        <v>13813134</v>
      </c>
      <c r="D42" s="24">
        <f>+SUMIFS('[1]Facturacion a Fecha'!$T:$T,'[1]Facturacion a Fecha'!$AY:$AY,Tabla1[[#This Row],[Cliente]],'[1]Facturacion a Fecha'!$AX:$AX,"Correctivo")</f>
        <v>13813134</v>
      </c>
      <c r="E42" s="25">
        <f>+COUNTIFS('[1]Facturacion a Fecha'!AY:AY,Tabla1[[#This Row],[Cliente]],'[1]Facturacion a Fecha'!AX:AX,"Correctivo")</f>
        <v>4</v>
      </c>
      <c r="F42" s="25">
        <f>+SUMIFS('[1]Facturacion a Fecha'!$T:$T,'[1]Facturacion a Fecha'!$AY:$AY,Tabla1[[#This Row],[Cliente]],'[1]Facturacion a Fecha'!$AX:$AX,"Preventivo")</f>
        <v>0</v>
      </c>
      <c r="G42" s="25">
        <f>+COUNTIFS('[1]Facturacion a Fecha'!AY:AY,Tabla1[[#This Row],[Cliente]],'[1]Facturacion a Fecha'!AX:AX,"Preventivo")</f>
        <v>0</v>
      </c>
      <c r="H42" s="26">
        <f>+Tabla1[[#This Row],['# Preventivo]]+Tabla1[[#This Row],['# Correctivo]]</f>
        <v>4</v>
      </c>
      <c r="I42" s="23">
        <f>+IFERROR(Tabla1[[#This Row],[Ingreso 2025 - 2026 Correctivo]]/Tabla1[[#This Row],[Ingreso 2025 - 2026 Preventivo]],0)</f>
        <v>0</v>
      </c>
      <c r="J42" s="27">
        <f>+IFERROR(Tabla1[[#This Row],['# Correctivo]]/Tabla1[[#This Row],['# Preventivo]],0)</f>
        <v>0</v>
      </c>
      <c r="K42" s="28">
        <f>+IFERROR(Tabla1[[#This Row],[Ingreso 2025 - 2026 Preventivo]]/(Tabla1[[#This Row],[Ingreso 2025 - 2026 Correctivo]]+Tabla1[[#This Row],[Ingreso 2025 - 2026 Preventivo]]),0)</f>
        <v>0</v>
      </c>
      <c r="L42" s="28">
        <f>1-Tabla1[[#This Row],[% Preventivo $]]</f>
        <v>1</v>
      </c>
      <c r="M42" s="29">
        <f>+COUNTIFS('[1]Base Instalada'!AA:AA,Tabla1[[#This Row],[Cliente]])</f>
        <v>15</v>
      </c>
      <c r="N42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2" s="29">
        <f>+COUNTIFS('[1]Base Instalada'!AA:AA,Tabla1[[#This Row],[Cliente]],'[1]Base Instalada'!Z:Z,"ESTERILIZACIÓN")</f>
        <v>8</v>
      </c>
      <c r="P42" s="29">
        <f>+COUNTIFS('[1]Base Instalada'!AA:AA,Tabla1[[#This Row],[Cliente]],'[1]Base Instalada'!Z:Z,"DENTAL")</f>
        <v>0</v>
      </c>
      <c r="Q42" s="29">
        <f>+COUNTIFS('[1]Base Instalada'!AA:AA,Tabla1[[#This Row],[Cliente]],'[1]Base Instalada'!Z:Z,"ENDOSCOPÍA")</f>
        <v>0</v>
      </c>
      <c r="R42" s="29">
        <f>+COUNTIFS('[1]Base Instalada'!AA:AA,Tabla1[[#This Row],[Cliente]],'[1]Base Instalada'!Z:Z,"INCARDIA")</f>
        <v>7</v>
      </c>
      <c r="S42" s="29">
        <f>+COUNTIFS('[1]Base Instalada'!AA:AA,Tabla1[[#This Row],[Cliente]],'[1]Base Instalada'!Z:Z,"MMQ")</f>
        <v>0</v>
      </c>
      <c r="T42" s="29">
        <f>+COUNTIFS('[1]Base Instalada'!AA:AA,Tabla1[[#This Row],[Cliente]],'[1]Base Instalada'!Z:Z,"REAS")</f>
        <v>0</v>
      </c>
      <c r="U42" s="30">
        <f>+COUNTIFS('[1]Base Instalada'!AA:AA,Tabla1[[#This Row],[Cliente]],'[1]Base Instalada'!Z:Z,"MOBILIARIO CLINICO")</f>
        <v>0</v>
      </c>
      <c r="V42" s="29">
        <f>+COUNTIFS('[1]Base Instalada'!AA:AA,Tabla1[[#This Row],[Cliente]],'[1]Base Instalada'!Z:Z,"OTRO")</f>
        <v>0</v>
      </c>
      <c r="W42" s="31" t="str">
        <f t="shared" si="0"/>
        <v>Región Araucanía</v>
      </c>
      <c r="X42" s="31" t="str">
        <f t="shared" si="1"/>
        <v>Pitrufquén</v>
      </c>
      <c r="Y42" s="32" t="s">
        <v>120</v>
      </c>
      <c r="Z42" s="33">
        <f>+COUNTIFS('[1]Pipeline TS'!$F:$F,Tabla1[[#This Row],[Cliente]])</f>
        <v>1</v>
      </c>
      <c r="AA42" s="34">
        <f>SUMIFS('[1]Pipeline Esterilización'!M:M,'[1]Pipeline Esterilización'!E:E,Tabla1[[#This Row],[Cliente]],'[1]Pipeline Esterilización'!B:B,"2026",'[1]Pipeline Esterilización'!L:L,"&gt;0")</f>
        <v>0</v>
      </c>
      <c r="AB42" s="33">
        <f>+SUMIFS('[1]Pipeline Endoscopía'!K:K,'[1]Pipeline Endoscopía'!E:E,Tabla1[[#This Row],[Cliente]],'[1]Pipeline Endoscopía'!B:B,"2026",'[1]Pipeline Endoscopía'!J:J,"&gt;0")</f>
        <v>0</v>
      </c>
      <c r="AC42" s="34">
        <f>+SUMIFS('[1]Pipeline Dental'!K:K,'[1]Pipeline Dental'!E:E,Tabla1[[#This Row],[Cliente]],'[1]Pipeline Dental'!B:B,"2026",'[1]Pipeline Dental'!J:J,"&gt;0")</f>
        <v>0</v>
      </c>
      <c r="AD42" s="35">
        <f>+SUMIFS('[1]Pipeline TS'!$AB:$AB,'[1]Pipeline TS'!$F:$F,Tabla1[[#This Row],[Cliente]])</f>
        <v>20719701</v>
      </c>
      <c r="AE42" s="35">
        <f>+SUM(Tabla1[[#This Row],[Pipeline 2026 $MM ESTERILIZACIÓN]:[Pipeline 2026 $MM TECSERVICE]])</f>
        <v>20719701</v>
      </c>
      <c r="AF42" s="43">
        <v>-38.989706526537198</v>
      </c>
      <c r="AG42" s="37">
        <v>-72.643977714891193</v>
      </c>
      <c r="AH42" s="38" t="str">
        <f>+IF(Tabla1[[#This Row],['# Contratos Vigentes ]]&gt;0,"SI","NO")</f>
        <v>SI</v>
      </c>
      <c r="AI42" s="39">
        <v>0.6</v>
      </c>
      <c r="AJ42" s="40">
        <f>+Tabla1[[#This Row],[Ingreso 2025 - 2026]]*Tabla1[[#This Row],[% Costo Serv. Directo]]</f>
        <v>8287880.3999999994</v>
      </c>
      <c r="AK42" s="41">
        <v>4</v>
      </c>
      <c r="AL4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20719701</v>
      </c>
      <c r="AM4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42" s="42">
        <f>+Tabla1[[#This Row],[Potencial Equipos]]+Tabla1[[#This Row],[Potencial Pipeline]]</f>
        <v>20719701</v>
      </c>
    </row>
    <row r="43" spans="1:40" ht="15.75" x14ac:dyDescent="0.25">
      <c r="A43" s="22" t="s">
        <v>121</v>
      </c>
      <c r="B43" t="str">
        <f>+VLOOKUP(Tabla1[[#This Row],[Cliente]],'[1]Público Privado'!$A$1:$B$325,2,FALSE)</f>
        <v>Público</v>
      </c>
      <c r="C43" s="23">
        <f>+SUMIFS('[1]Facturacion a Fecha'!$T:$T,'[1]Facturacion a Fecha'!$AY:$AY,Tabla1[[#This Row],[Cliente]])</f>
        <v>12187830</v>
      </c>
      <c r="D43" s="24">
        <f>+SUMIFS('[1]Facturacion a Fecha'!$T:$T,'[1]Facturacion a Fecha'!$AY:$AY,Tabla1[[#This Row],[Cliente]],'[1]Facturacion a Fecha'!$AX:$AX,"Correctivo")</f>
        <v>12187830</v>
      </c>
      <c r="E43" s="25">
        <f>+COUNTIFS('[1]Facturacion a Fecha'!AY:AY,Tabla1[[#This Row],[Cliente]],'[1]Facturacion a Fecha'!AX:AX,"Correctivo")</f>
        <v>28</v>
      </c>
      <c r="F43" s="25">
        <f>+SUMIFS('[1]Facturacion a Fecha'!$T:$T,'[1]Facturacion a Fecha'!$AY:$AY,Tabla1[[#This Row],[Cliente]],'[1]Facturacion a Fecha'!$AX:$AX,"Preventivo")</f>
        <v>0</v>
      </c>
      <c r="G43" s="25">
        <f>+COUNTIFS('[1]Facturacion a Fecha'!AY:AY,Tabla1[[#This Row],[Cliente]],'[1]Facturacion a Fecha'!AX:AX,"Preventivo")</f>
        <v>0</v>
      </c>
      <c r="H43" s="26">
        <f>+Tabla1[[#This Row],['# Preventivo]]+Tabla1[[#This Row],['# Correctivo]]</f>
        <v>28</v>
      </c>
      <c r="I43" s="23">
        <f>+IFERROR(Tabla1[[#This Row],[Ingreso 2025 - 2026 Correctivo]]/Tabla1[[#This Row],[Ingreso 2025 - 2026 Preventivo]],0)</f>
        <v>0</v>
      </c>
      <c r="J43" s="27">
        <f>+IFERROR(Tabla1[[#This Row],['# Correctivo]]/Tabla1[[#This Row],['# Preventivo]],0)</f>
        <v>0</v>
      </c>
      <c r="K43" s="28">
        <f>+IFERROR(Tabla1[[#This Row],[Ingreso 2025 - 2026 Preventivo]]/(Tabla1[[#This Row],[Ingreso 2025 - 2026 Correctivo]]+Tabla1[[#This Row],[Ingreso 2025 - 2026 Preventivo]]),0)</f>
        <v>0</v>
      </c>
      <c r="L43" s="28">
        <f>1-Tabla1[[#This Row],[% Preventivo $]]</f>
        <v>1</v>
      </c>
      <c r="M43" s="29">
        <f>+COUNTIFS('[1]Base Instalada'!AA:AA,Tabla1[[#This Row],[Cliente]])</f>
        <v>14</v>
      </c>
      <c r="N43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3" s="29">
        <f>+COUNTIFS('[1]Base Instalada'!AA:AA,Tabla1[[#This Row],[Cliente]],'[1]Base Instalada'!Z:Z,"ESTERILIZACIÓN")</f>
        <v>4</v>
      </c>
      <c r="P43" s="29">
        <f>+COUNTIFS('[1]Base Instalada'!AA:AA,Tabla1[[#This Row],[Cliente]],'[1]Base Instalada'!Z:Z,"DENTAL")</f>
        <v>0</v>
      </c>
      <c r="Q43" s="29">
        <f>+COUNTIFS('[1]Base Instalada'!AA:AA,Tabla1[[#This Row],[Cliente]],'[1]Base Instalada'!Z:Z,"ENDOSCOPÍA")</f>
        <v>10</v>
      </c>
      <c r="R43" s="29">
        <f>+COUNTIFS('[1]Base Instalada'!AA:AA,Tabla1[[#This Row],[Cliente]],'[1]Base Instalada'!Z:Z,"INCARDIA")</f>
        <v>0</v>
      </c>
      <c r="S43" s="29">
        <f>+COUNTIFS('[1]Base Instalada'!AA:AA,Tabla1[[#This Row],[Cliente]],'[1]Base Instalada'!Z:Z,"MMQ")</f>
        <v>0</v>
      </c>
      <c r="T43" s="29">
        <f>+COUNTIFS('[1]Base Instalada'!AA:AA,Tabla1[[#This Row],[Cliente]],'[1]Base Instalada'!Z:Z,"REAS")</f>
        <v>0</v>
      </c>
      <c r="U43" s="30">
        <f>+COUNTIFS('[1]Base Instalada'!AA:AA,Tabla1[[#This Row],[Cliente]],'[1]Base Instalada'!Z:Z,"MOBILIARIO CLINICO")</f>
        <v>0</v>
      </c>
      <c r="V43" s="29">
        <f>+COUNTIFS('[1]Base Instalada'!AA:AA,Tabla1[[#This Row],[Cliente]],'[1]Base Instalada'!Z:Z,"OTRO")</f>
        <v>0</v>
      </c>
      <c r="W43" s="31" t="str">
        <f t="shared" si="0"/>
        <v>Región Valparaíso</v>
      </c>
      <c r="X43" s="31" t="str">
        <f t="shared" si="1"/>
        <v>Valparaíso</v>
      </c>
      <c r="Y43" s="32" t="s">
        <v>122</v>
      </c>
      <c r="Z43" s="33">
        <f>+COUNTIFS('[1]Pipeline TS'!$F:$F,Tabla1[[#This Row],[Cliente]])</f>
        <v>0</v>
      </c>
      <c r="AA43" s="34">
        <f>SUMIFS('[1]Pipeline Esterilización'!M:M,'[1]Pipeline Esterilización'!E:E,Tabla1[[#This Row],[Cliente]],'[1]Pipeline Esterilización'!B:B,"2026",'[1]Pipeline Esterilización'!L:L,"&gt;0")</f>
        <v>0</v>
      </c>
      <c r="AB43" s="33">
        <f>+SUMIFS('[1]Pipeline Endoscopía'!K:K,'[1]Pipeline Endoscopía'!E:E,Tabla1[[#This Row],[Cliente]],'[1]Pipeline Endoscopía'!B:B,"2026",'[1]Pipeline Endoscopía'!J:J,"&gt;0")</f>
        <v>711000000</v>
      </c>
      <c r="AC43" s="34">
        <f>+SUMIFS('[1]Pipeline Dental'!K:K,'[1]Pipeline Dental'!E:E,Tabla1[[#This Row],[Cliente]],'[1]Pipeline Dental'!B:B,"2026",'[1]Pipeline Dental'!J:J,"&gt;0")</f>
        <v>0</v>
      </c>
      <c r="AD43" s="35">
        <f>+SUMIFS('[1]Pipeline TS'!$AB:$AB,'[1]Pipeline TS'!$F:$F,Tabla1[[#This Row],[Cliente]])</f>
        <v>0</v>
      </c>
      <c r="AE43" s="35">
        <f>+SUM(Tabla1[[#This Row],[Pipeline 2026 $MM ESTERILIZACIÓN]:[Pipeline 2026 $MM TECSERVICE]])</f>
        <v>711000000</v>
      </c>
      <c r="AF43" s="43">
        <v>-33.0566787288505</v>
      </c>
      <c r="AG43" s="37">
        <v>-71.589737317082495</v>
      </c>
      <c r="AH43" s="38" t="str">
        <f>+IF(Tabla1[[#This Row],['# Contratos Vigentes ]]&gt;0,"SI","NO")</f>
        <v>NO</v>
      </c>
      <c r="AI43" s="39">
        <v>0.6</v>
      </c>
      <c r="AJ43" s="40">
        <f>+Tabla1[[#This Row],[Ingreso 2025 - 2026]]*Tabla1[[#This Row],[% Costo Serv. Directo]]</f>
        <v>7312698</v>
      </c>
      <c r="AK43" s="41">
        <v>4</v>
      </c>
      <c r="AL4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42660000</v>
      </c>
      <c r="AM4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16590461.53846154</v>
      </c>
      <c r="AN43" s="42">
        <f>+Tabla1[[#This Row],[Potencial Equipos]]+Tabla1[[#This Row],[Potencial Pipeline]]</f>
        <v>59250461.538461536</v>
      </c>
    </row>
    <row r="44" spans="1:40" x14ac:dyDescent="0.25">
      <c r="A44" s="22" t="s">
        <v>123</v>
      </c>
      <c r="B44" t="str">
        <f>+VLOOKUP(Tabla1[[#This Row],[Cliente]],'[1]Público Privado'!$A$1:$B$325,2,FALSE)</f>
        <v>Público</v>
      </c>
      <c r="C44" s="23">
        <f>+SUMIFS('[1]Facturacion a Fecha'!$T:$T,'[1]Facturacion a Fecha'!$AY:$AY,Tabla1[[#This Row],[Cliente]])</f>
        <v>11356797</v>
      </c>
      <c r="D44" s="24">
        <f>+SUMIFS('[1]Facturacion a Fecha'!$T:$T,'[1]Facturacion a Fecha'!$AY:$AY,Tabla1[[#This Row],[Cliente]],'[1]Facturacion a Fecha'!$AX:$AX,"Correctivo")</f>
        <v>5990623</v>
      </c>
      <c r="E44" s="25">
        <f>+COUNTIFS('[1]Facturacion a Fecha'!AY:AY,Tabla1[[#This Row],[Cliente]],'[1]Facturacion a Fecha'!AX:AX,"Correctivo")</f>
        <v>6</v>
      </c>
      <c r="F44" s="25">
        <f>+SUMIFS('[1]Facturacion a Fecha'!$T:$T,'[1]Facturacion a Fecha'!$AY:$AY,Tabla1[[#This Row],[Cliente]],'[1]Facturacion a Fecha'!$AX:$AX,"Preventivo")</f>
        <v>5366174</v>
      </c>
      <c r="G44" s="25">
        <f>+COUNTIFS('[1]Facturacion a Fecha'!AY:AY,Tabla1[[#This Row],[Cliente]],'[1]Facturacion a Fecha'!AX:AX,"Preventivo")</f>
        <v>5</v>
      </c>
      <c r="H44" s="26">
        <f>+Tabla1[[#This Row],['# Preventivo]]+Tabla1[[#This Row],['# Correctivo]]</f>
        <v>11</v>
      </c>
      <c r="I44" s="23">
        <f>+IFERROR(Tabla1[[#This Row],[Ingreso 2025 - 2026 Correctivo]]/Tabla1[[#This Row],[Ingreso 2025 - 2026 Preventivo]],0)</f>
        <v>1.1163676392155752</v>
      </c>
      <c r="J44" s="27">
        <f>+IFERROR(Tabla1[[#This Row],['# Correctivo]]/Tabla1[[#This Row],['# Preventivo]],0)</f>
        <v>1.2</v>
      </c>
      <c r="K44" s="28">
        <f>+IFERROR(Tabla1[[#This Row],[Ingreso 2025 - 2026 Preventivo]]/(Tabla1[[#This Row],[Ingreso 2025 - 2026 Correctivo]]+Tabla1[[#This Row],[Ingreso 2025 - 2026 Preventivo]]),0)</f>
        <v>0.47250769737277154</v>
      </c>
      <c r="L44" s="28">
        <f>1-Tabla1[[#This Row],[% Preventivo $]]</f>
        <v>0.52749230262722846</v>
      </c>
      <c r="M44" s="29">
        <f>+COUNTIFS('[1]Base Instalada'!AA:AA,Tabla1[[#This Row],[Cliente]])</f>
        <v>10</v>
      </c>
      <c r="N44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4" s="29">
        <f>+COUNTIFS('[1]Base Instalada'!AA:AA,Tabla1[[#This Row],[Cliente]],'[1]Base Instalada'!Z:Z,"ESTERILIZACIÓN")</f>
        <v>8</v>
      </c>
      <c r="P44" s="29">
        <f>+COUNTIFS('[1]Base Instalada'!AA:AA,Tabla1[[#This Row],[Cliente]],'[1]Base Instalada'!Z:Z,"DENTAL")</f>
        <v>2</v>
      </c>
      <c r="Q44" s="29">
        <f>+COUNTIFS('[1]Base Instalada'!AA:AA,Tabla1[[#This Row],[Cliente]],'[1]Base Instalada'!Z:Z,"ENDOSCOPÍA")</f>
        <v>0</v>
      </c>
      <c r="R44" s="29">
        <f>+COUNTIFS('[1]Base Instalada'!AA:AA,Tabla1[[#This Row],[Cliente]],'[1]Base Instalada'!Z:Z,"INCARDIA")</f>
        <v>0</v>
      </c>
      <c r="S44" s="29">
        <f>+COUNTIFS('[1]Base Instalada'!AA:AA,Tabla1[[#This Row],[Cliente]],'[1]Base Instalada'!Z:Z,"MMQ")</f>
        <v>0</v>
      </c>
      <c r="T44" s="29">
        <f>+COUNTIFS('[1]Base Instalada'!AA:AA,Tabla1[[#This Row],[Cliente]],'[1]Base Instalada'!Z:Z,"REAS")</f>
        <v>0</v>
      </c>
      <c r="U44" s="30">
        <f>+COUNTIFS('[1]Base Instalada'!AA:AA,Tabla1[[#This Row],[Cliente]],'[1]Base Instalada'!Z:Z,"MOBILIARIO CLINICO")</f>
        <v>0</v>
      </c>
      <c r="V44" s="29">
        <f>+COUNTIFS('[1]Base Instalada'!AA:AA,Tabla1[[#This Row],[Cliente]],'[1]Base Instalada'!Z:Z,"OTRO")</f>
        <v>0</v>
      </c>
      <c r="W44" s="31" t="str">
        <f t="shared" si="0"/>
        <v>Región Metropolitana</v>
      </c>
      <c r="X44" s="31" t="str">
        <f t="shared" si="1"/>
        <v>Santiago</v>
      </c>
      <c r="Y44" s="32" t="s">
        <v>124</v>
      </c>
      <c r="Z44" s="33">
        <f>+COUNTIFS('[1]Pipeline TS'!$F:$F,Tabla1[[#This Row],[Cliente]])</f>
        <v>1</v>
      </c>
      <c r="AA44" s="34">
        <f>SUMIFS('[1]Pipeline Esterilización'!M:M,'[1]Pipeline Esterilización'!E:E,Tabla1[[#This Row],[Cliente]],'[1]Pipeline Esterilización'!B:B,"2026",'[1]Pipeline Esterilización'!L:L,"&gt;0")</f>
        <v>62000000</v>
      </c>
      <c r="AB44" s="33">
        <f>+SUMIFS('[1]Pipeline Endoscopía'!K:K,'[1]Pipeline Endoscopía'!E:E,Tabla1[[#This Row],[Cliente]],'[1]Pipeline Endoscopía'!B:B,"2026",'[1]Pipeline Endoscopía'!J:J,"&gt;0")</f>
        <v>0</v>
      </c>
      <c r="AC44" s="34">
        <f>+SUMIFS('[1]Pipeline Dental'!K:K,'[1]Pipeline Dental'!E:E,Tabla1[[#This Row],[Cliente]],'[1]Pipeline Dental'!B:B,"2026",'[1]Pipeline Dental'!J:J,"&gt;0")</f>
        <v>0</v>
      </c>
      <c r="AD44" s="35">
        <f>+SUMIFS('[1]Pipeline TS'!$AB:$AB,'[1]Pipeline TS'!$F:$F,Tabla1[[#This Row],[Cliente]])</f>
        <v>8095388.3600000003</v>
      </c>
      <c r="AE44" s="35">
        <f>+SUM(Tabla1[[#This Row],[Pipeline 2026 $MM ESTERILIZACIÓN]:[Pipeline 2026 $MM TECSERVICE]])</f>
        <v>70095388.359999999</v>
      </c>
      <c r="AF44" s="43">
        <v>-33.444212332130697</v>
      </c>
      <c r="AG44" s="37">
        <v>-70.656507959056199</v>
      </c>
      <c r="AH44" s="38" t="str">
        <f>+IF(Tabla1[[#This Row],['# Contratos Vigentes ]]&gt;0,"SI","NO")</f>
        <v>SI</v>
      </c>
      <c r="AI44" s="39">
        <v>0.6</v>
      </c>
      <c r="AJ44" s="40">
        <f>+Tabla1[[#This Row],[Ingreso 2025 - 2026]]*Tabla1[[#This Row],[% Costo Serv. Directo]]</f>
        <v>6814078.2000000002</v>
      </c>
      <c r="AK44" s="41">
        <v>4</v>
      </c>
      <c r="AL4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14295388.359999999</v>
      </c>
      <c r="AM4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44" s="42">
        <f>+Tabla1[[#This Row],[Potencial Equipos]]+Tabla1[[#This Row],[Potencial Pipeline]]</f>
        <v>14295388.359999999</v>
      </c>
    </row>
    <row r="45" spans="1:40" x14ac:dyDescent="0.25">
      <c r="A45" s="22" t="s">
        <v>125</v>
      </c>
      <c r="B45" t="str">
        <f>+VLOOKUP(Tabla1[[#This Row],[Cliente]],'[1]Público Privado'!$A$1:$B$325,2,FALSE)</f>
        <v>Público</v>
      </c>
      <c r="C45" s="23">
        <f>+SUMIFS('[1]Facturacion a Fecha'!$T:$T,'[1]Facturacion a Fecha'!$AY:$AY,Tabla1[[#This Row],[Cliente]])</f>
        <v>10842066</v>
      </c>
      <c r="D45" s="24">
        <f>+SUMIFS('[1]Facturacion a Fecha'!$T:$T,'[1]Facturacion a Fecha'!$AY:$AY,Tabla1[[#This Row],[Cliente]],'[1]Facturacion a Fecha'!$AX:$AX,"Correctivo")</f>
        <v>4842490</v>
      </c>
      <c r="E45" s="25">
        <f>+COUNTIFS('[1]Facturacion a Fecha'!AY:AY,Tabla1[[#This Row],[Cliente]],'[1]Facturacion a Fecha'!AX:AX,"Correctivo")</f>
        <v>6</v>
      </c>
      <c r="F45" s="25">
        <f>+SUMIFS('[1]Facturacion a Fecha'!$T:$T,'[1]Facturacion a Fecha'!$AY:$AY,Tabla1[[#This Row],[Cliente]],'[1]Facturacion a Fecha'!$AX:$AX,"Preventivo")</f>
        <v>5999576</v>
      </c>
      <c r="G45" s="25">
        <f>+COUNTIFS('[1]Facturacion a Fecha'!AY:AY,Tabla1[[#This Row],[Cliente]],'[1]Facturacion a Fecha'!AX:AX,"Preventivo")</f>
        <v>2</v>
      </c>
      <c r="H45" s="26">
        <f>+Tabla1[[#This Row],['# Preventivo]]+Tabla1[[#This Row],['# Correctivo]]</f>
        <v>8</v>
      </c>
      <c r="I45" s="23">
        <f>+IFERROR(Tabla1[[#This Row],[Ingreso 2025 - 2026 Correctivo]]/Tabla1[[#This Row],[Ingreso 2025 - 2026 Preventivo]],0)</f>
        <v>0.80713870446844915</v>
      </c>
      <c r="J45" s="27">
        <f>+IFERROR(Tabla1[[#This Row],['# Correctivo]]/Tabla1[[#This Row],['# Preventivo]],0)</f>
        <v>3</v>
      </c>
      <c r="K45" s="28">
        <f>+IFERROR(Tabla1[[#This Row],[Ingreso 2025 - 2026 Preventivo]]/(Tabla1[[#This Row],[Ingreso 2025 - 2026 Correctivo]]+Tabla1[[#This Row],[Ingreso 2025 - 2026 Preventivo]]),0)</f>
        <v>0.55336095537511021</v>
      </c>
      <c r="L45" s="28">
        <f>1-Tabla1[[#This Row],[% Preventivo $]]</f>
        <v>0.44663904462488979</v>
      </c>
      <c r="M45" s="29">
        <f>+COUNTIFS('[1]Base Instalada'!AA:AA,Tabla1[[#This Row],[Cliente]])</f>
        <v>3</v>
      </c>
      <c r="N45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5" s="29">
        <f>+COUNTIFS('[1]Base Instalada'!AA:AA,Tabla1[[#This Row],[Cliente]],'[1]Base Instalada'!Z:Z,"ESTERILIZACIÓN")</f>
        <v>2</v>
      </c>
      <c r="P45" s="29">
        <f>+COUNTIFS('[1]Base Instalada'!AA:AA,Tabla1[[#This Row],[Cliente]],'[1]Base Instalada'!Z:Z,"DENTAL")</f>
        <v>1</v>
      </c>
      <c r="Q45" s="29">
        <f>+COUNTIFS('[1]Base Instalada'!AA:AA,Tabla1[[#This Row],[Cliente]],'[1]Base Instalada'!Z:Z,"ENDOSCOPÍA")</f>
        <v>0</v>
      </c>
      <c r="R45" s="29">
        <f>+COUNTIFS('[1]Base Instalada'!AA:AA,Tabla1[[#This Row],[Cliente]],'[1]Base Instalada'!Z:Z,"INCARDIA")</f>
        <v>0</v>
      </c>
      <c r="S45" s="29">
        <f>+COUNTIFS('[1]Base Instalada'!AA:AA,Tabla1[[#This Row],[Cliente]],'[1]Base Instalada'!Z:Z,"MMQ")</f>
        <v>0</v>
      </c>
      <c r="T45" s="29">
        <f>+COUNTIFS('[1]Base Instalada'!AA:AA,Tabla1[[#This Row],[Cliente]],'[1]Base Instalada'!Z:Z,"REAS")</f>
        <v>0</v>
      </c>
      <c r="U45" s="30">
        <f>+COUNTIFS('[1]Base Instalada'!AA:AA,Tabla1[[#This Row],[Cliente]],'[1]Base Instalada'!Z:Z,"MOBILIARIO CLINICO")</f>
        <v>0</v>
      </c>
      <c r="V45" s="29">
        <f>+COUNTIFS('[1]Base Instalada'!AA:AA,Tabla1[[#This Row],[Cliente]],'[1]Base Instalada'!Z:Z,"OTRO")</f>
        <v>0</v>
      </c>
      <c r="W45" s="31" t="str">
        <f t="shared" si="0"/>
        <v>Región Coquimbo</v>
      </c>
      <c r="X45" s="31" t="str">
        <f t="shared" si="1"/>
        <v>Andacollo</v>
      </c>
      <c r="Y45" s="32" t="s">
        <v>126</v>
      </c>
      <c r="Z45" s="33">
        <f>+COUNTIFS('[1]Pipeline TS'!$F:$F,Tabla1[[#This Row],[Cliente]])</f>
        <v>1</v>
      </c>
      <c r="AA45" s="34">
        <f>SUMIFS('[1]Pipeline Esterilización'!M:M,'[1]Pipeline Esterilización'!E:E,Tabla1[[#This Row],[Cliente]],'[1]Pipeline Esterilización'!B:B,"2026",'[1]Pipeline Esterilización'!L:L,"&gt;0")</f>
        <v>0</v>
      </c>
      <c r="AB45" s="33">
        <f>+SUMIFS('[1]Pipeline Endoscopía'!K:K,'[1]Pipeline Endoscopía'!E:E,Tabla1[[#This Row],[Cliente]],'[1]Pipeline Endoscopía'!B:B,"2026",'[1]Pipeline Endoscopía'!J:J,"&gt;0")</f>
        <v>0</v>
      </c>
      <c r="AC45" s="34">
        <f>+SUMIFS('[1]Pipeline Dental'!K:K,'[1]Pipeline Dental'!E:E,Tabla1[[#This Row],[Cliente]],'[1]Pipeline Dental'!B:B,"2026",'[1]Pipeline Dental'!J:J,"&gt;0")</f>
        <v>0</v>
      </c>
      <c r="AD45" s="35">
        <f>+SUMIFS('[1]Pipeline TS'!$AB:$AB,'[1]Pipeline TS'!$F:$F,Tabla1[[#This Row],[Cliente]])</f>
        <v>7983192</v>
      </c>
      <c r="AE45" s="35">
        <f>+SUM(Tabla1[[#This Row],[Pipeline 2026 $MM ESTERILIZACIÓN]:[Pipeline 2026 $MM TECSERVICE]])</f>
        <v>7983192</v>
      </c>
      <c r="AF45" s="43">
        <v>-30.227484126697998</v>
      </c>
      <c r="AG45" s="37">
        <v>-71.085656728985995</v>
      </c>
      <c r="AH45" s="38" t="str">
        <f>+IF(Tabla1[[#This Row],['# Contratos Vigentes ]]&gt;0,"SI","NO")</f>
        <v>SI</v>
      </c>
      <c r="AI45" s="39">
        <v>0.6</v>
      </c>
      <c r="AJ45" s="40">
        <f>+Tabla1[[#This Row],[Ingreso 2025 - 2026]]*Tabla1[[#This Row],[% Costo Serv. Directo]]</f>
        <v>6505239.5999999996</v>
      </c>
      <c r="AK45" s="41">
        <v>4</v>
      </c>
      <c r="AL4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7983192</v>
      </c>
      <c r="AM4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45" s="42">
        <f>+Tabla1[[#This Row],[Potencial Equipos]]+Tabla1[[#This Row],[Potencial Pipeline]]</f>
        <v>7983192</v>
      </c>
    </row>
    <row r="46" spans="1:40" x14ac:dyDescent="0.25">
      <c r="A46" s="22" t="s">
        <v>127</v>
      </c>
      <c r="B46" t="str">
        <f>+VLOOKUP(Tabla1[[#This Row],[Cliente]],'[1]Público Privado'!$A$1:$B$325,2,FALSE)</f>
        <v>Público</v>
      </c>
      <c r="C46" s="23">
        <f>+SUMIFS('[1]Facturacion a Fecha'!$T:$T,'[1]Facturacion a Fecha'!$AY:$AY,Tabla1[[#This Row],[Cliente]])</f>
        <v>9936754</v>
      </c>
      <c r="D46" s="24">
        <f>+SUMIFS('[1]Facturacion a Fecha'!$T:$T,'[1]Facturacion a Fecha'!$AY:$AY,Tabla1[[#This Row],[Cliente]],'[1]Facturacion a Fecha'!$AX:$AX,"Correctivo")</f>
        <v>5680579</v>
      </c>
      <c r="E46" s="25">
        <f>+COUNTIFS('[1]Facturacion a Fecha'!AY:AY,Tabla1[[#This Row],[Cliente]],'[1]Facturacion a Fecha'!AX:AX,"Correctivo")</f>
        <v>14</v>
      </c>
      <c r="F46" s="25">
        <f>+SUMIFS('[1]Facturacion a Fecha'!$T:$T,'[1]Facturacion a Fecha'!$AY:$AY,Tabla1[[#This Row],[Cliente]],'[1]Facturacion a Fecha'!$AX:$AX,"Preventivo")</f>
        <v>4256175</v>
      </c>
      <c r="G46" s="25">
        <f>+COUNTIFS('[1]Facturacion a Fecha'!AY:AY,Tabla1[[#This Row],[Cliente]],'[1]Facturacion a Fecha'!AX:AX,"Preventivo")</f>
        <v>7</v>
      </c>
      <c r="H46" s="26">
        <f>+Tabla1[[#This Row],['# Preventivo]]+Tabla1[[#This Row],['# Correctivo]]</f>
        <v>21</v>
      </c>
      <c r="I46" s="23">
        <f>+IFERROR(Tabla1[[#This Row],[Ingreso 2025 - 2026 Correctivo]]/Tabla1[[#This Row],[Ingreso 2025 - 2026 Preventivo]],0)</f>
        <v>1.3346676299729217</v>
      </c>
      <c r="J46" s="27">
        <f>+IFERROR(Tabla1[[#This Row],['# Correctivo]]/Tabla1[[#This Row],['# Preventivo]],0)</f>
        <v>2</v>
      </c>
      <c r="K46" s="28">
        <f>+IFERROR(Tabla1[[#This Row],[Ingreso 2025 - 2026 Preventivo]]/(Tabla1[[#This Row],[Ingreso 2025 - 2026 Correctivo]]+Tabla1[[#This Row],[Ingreso 2025 - 2026 Preventivo]]),0)</f>
        <v>0.42832649374232268</v>
      </c>
      <c r="L46" s="28">
        <f>1-Tabla1[[#This Row],[% Preventivo $]]</f>
        <v>0.57167350625767732</v>
      </c>
      <c r="M46" s="29">
        <f>+COUNTIFS('[1]Base Instalada'!AA:AA,Tabla1[[#This Row],[Cliente]])</f>
        <v>11</v>
      </c>
      <c r="N46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6" s="29">
        <f>+COUNTIFS('[1]Base Instalada'!AA:AA,Tabla1[[#This Row],[Cliente]],'[1]Base Instalada'!Z:Z,"ESTERILIZACIÓN")</f>
        <v>4</v>
      </c>
      <c r="P46" s="29">
        <f>+COUNTIFS('[1]Base Instalada'!AA:AA,Tabla1[[#This Row],[Cliente]],'[1]Base Instalada'!Z:Z,"DENTAL")</f>
        <v>7</v>
      </c>
      <c r="Q46" s="29">
        <f>+COUNTIFS('[1]Base Instalada'!AA:AA,Tabla1[[#This Row],[Cliente]],'[1]Base Instalada'!Z:Z,"ENDOSCOPÍA")</f>
        <v>0</v>
      </c>
      <c r="R46" s="29">
        <f>+COUNTIFS('[1]Base Instalada'!AA:AA,Tabla1[[#This Row],[Cliente]],'[1]Base Instalada'!Z:Z,"INCARDIA")</f>
        <v>0</v>
      </c>
      <c r="S46" s="29">
        <f>+COUNTIFS('[1]Base Instalada'!AA:AA,Tabla1[[#This Row],[Cliente]],'[1]Base Instalada'!Z:Z,"MMQ")</f>
        <v>0</v>
      </c>
      <c r="T46" s="29">
        <f>+COUNTIFS('[1]Base Instalada'!AA:AA,Tabla1[[#This Row],[Cliente]],'[1]Base Instalada'!Z:Z,"REAS")</f>
        <v>0</v>
      </c>
      <c r="U46" s="30">
        <f>+COUNTIFS('[1]Base Instalada'!AA:AA,Tabla1[[#This Row],[Cliente]],'[1]Base Instalada'!Z:Z,"MOBILIARIO CLINICO")</f>
        <v>0</v>
      </c>
      <c r="V46" s="29">
        <f>+COUNTIFS('[1]Base Instalada'!AA:AA,Tabla1[[#This Row],[Cliente]],'[1]Base Instalada'!Z:Z,"OTRO")</f>
        <v>0</v>
      </c>
      <c r="W46" s="31" t="str">
        <f t="shared" si="0"/>
        <v>Región Metropolitana</v>
      </c>
      <c r="X46" s="31" t="str">
        <f t="shared" si="1"/>
        <v>Providencia</v>
      </c>
      <c r="Y46" s="32" t="s">
        <v>128</v>
      </c>
      <c r="Z46" s="33">
        <f>+COUNTIFS('[1]Pipeline TS'!$F:$F,Tabla1[[#This Row],[Cliente]])</f>
        <v>0</v>
      </c>
      <c r="AA46" s="34">
        <f>SUMIFS('[1]Pipeline Esterilización'!M:M,'[1]Pipeline Esterilización'!E:E,Tabla1[[#This Row],[Cliente]],'[1]Pipeline Esterilización'!B:B,"2026",'[1]Pipeline Esterilización'!L:L,"&gt;0")</f>
        <v>0</v>
      </c>
      <c r="AB46" s="33">
        <f>+SUMIFS('[1]Pipeline Endoscopía'!K:K,'[1]Pipeline Endoscopía'!E:E,Tabla1[[#This Row],[Cliente]],'[1]Pipeline Endoscopía'!B:B,"2026",'[1]Pipeline Endoscopía'!J:J,"&gt;0")</f>
        <v>0</v>
      </c>
      <c r="AC46" s="34">
        <f>+SUMIFS('[1]Pipeline Dental'!K:K,'[1]Pipeline Dental'!E:E,Tabla1[[#This Row],[Cliente]],'[1]Pipeline Dental'!B:B,"2026",'[1]Pipeline Dental'!J:J,"&gt;0")</f>
        <v>0</v>
      </c>
      <c r="AD46" s="35">
        <f>+SUMIFS('[1]Pipeline TS'!$AB:$AB,'[1]Pipeline TS'!$F:$F,Tabla1[[#This Row],[Cliente]])</f>
        <v>0</v>
      </c>
      <c r="AE46" s="35">
        <f>+SUM(Tabla1[[#This Row],[Pipeline 2026 $MM ESTERILIZACIÓN]:[Pipeline 2026 $MM TECSERVICE]])</f>
        <v>0</v>
      </c>
      <c r="AF46" s="43">
        <v>-33.429837885612301</v>
      </c>
      <c r="AG46" s="37">
        <v>-70.614217955439997</v>
      </c>
      <c r="AH46" s="38" t="str">
        <f>+IF(Tabla1[[#This Row],['# Contratos Vigentes ]]&gt;0,"SI","NO")</f>
        <v>NO</v>
      </c>
      <c r="AI46" s="39">
        <v>0.6</v>
      </c>
      <c r="AJ46" s="40">
        <f>+Tabla1[[#This Row],[Ingreso 2025 - 2026]]*Tabla1[[#This Row],[% Costo Serv. Directo]]</f>
        <v>5962052.3999999994</v>
      </c>
      <c r="AK46" s="41">
        <v>5</v>
      </c>
      <c r="AL4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4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12181700</v>
      </c>
      <c r="AN46" s="42">
        <f>+Tabla1[[#This Row],[Potencial Equipos]]+Tabla1[[#This Row],[Potencial Pipeline]]</f>
        <v>12181700</v>
      </c>
    </row>
    <row r="47" spans="1:40" x14ac:dyDescent="0.25">
      <c r="A47" s="22" t="s">
        <v>129</v>
      </c>
      <c r="B47" t="str">
        <f>+VLOOKUP(Tabla1[[#This Row],[Cliente]],'[1]Público Privado'!$A$1:$B$325,2,FALSE)</f>
        <v>Privado</v>
      </c>
      <c r="C47" s="23">
        <f>+SUMIFS('[1]Facturacion a Fecha'!$T:$T,'[1]Facturacion a Fecha'!$AY:$AY,Tabla1[[#This Row],[Cliente]])</f>
        <v>9897855</v>
      </c>
      <c r="D47" s="24">
        <f>+SUMIFS('[1]Facturacion a Fecha'!$T:$T,'[1]Facturacion a Fecha'!$AY:$AY,Tabla1[[#This Row],[Cliente]],'[1]Facturacion a Fecha'!$AX:$AX,"Correctivo")</f>
        <v>6094233</v>
      </c>
      <c r="E47" s="25">
        <f>+COUNTIFS('[1]Facturacion a Fecha'!AY:AY,Tabla1[[#This Row],[Cliente]],'[1]Facturacion a Fecha'!AX:AX,"Correctivo")</f>
        <v>8</v>
      </c>
      <c r="F47" s="25">
        <f>+SUMIFS('[1]Facturacion a Fecha'!$T:$T,'[1]Facturacion a Fecha'!$AY:$AY,Tabla1[[#This Row],[Cliente]],'[1]Facturacion a Fecha'!$AX:$AX,"Preventivo")</f>
        <v>3803622</v>
      </c>
      <c r="G47" s="25">
        <f>+COUNTIFS('[1]Facturacion a Fecha'!AY:AY,Tabla1[[#This Row],[Cliente]],'[1]Facturacion a Fecha'!AX:AX,"Preventivo")</f>
        <v>3</v>
      </c>
      <c r="H47" s="26">
        <f>+Tabla1[[#This Row],['# Preventivo]]+Tabla1[[#This Row],['# Correctivo]]</f>
        <v>11</v>
      </c>
      <c r="I47" s="23">
        <f>+IFERROR(Tabla1[[#This Row],[Ingreso 2025 - 2026 Correctivo]]/Tabla1[[#This Row],[Ingreso 2025 - 2026 Preventivo]],0)</f>
        <v>1.6022183592375898</v>
      </c>
      <c r="J47" s="27">
        <f>+IFERROR(Tabla1[[#This Row],['# Correctivo]]/Tabla1[[#This Row],['# Preventivo]],0)</f>
        <v>2.6666666666666665</v>
      </c>
      <c r="K47" s="28">
        <f>+IFERROR(Tabla1[[#This Row],[Ingreso 2025 - 2026 Preventivo]]/(Tabla1[[#This Row],[Ingreso 2025 - 2026 Correctivo]]+Tabla1[[#This Row],[Ingreso 2025 - 2026 Preventivo]]),0)</f>
        <v>0.38428750471693107</v>
      </c>
      <c r="L47" s="28">
        <f>1-Tabla1[[#This Row],[% Preventivo $]]</f>
        <v>0.61571249528306893</v>
      </c>
      <c r="M47" s="29">
        <f>+COUNTIFS('[1]Base Instalada'!AA:AA,Tabla1[[#This Row],[Cliente]])</f>
        <v>2</v>
      </c>
      <c r="N47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7" s="29">
        <f>+COUNTIFS('[1]Base Instalada'!AA:AA,Tabla1[[#This Row],[Cliente]],'[1]Base Instalada'!Z:Z,"ESTERILIZACIÓN")</f>
        <v>2</v>
      </c>
      <c r="P47" s="29">
        <f>+COUNTIFS('[1]Base Instalada'!AA:AA,Tabla1[[#This Row],[Cliente]],'[1]Base Instalada'!Z:Z,"DENTAL")</f>
        <v>0</v>
      </c>
      <c r="Q47" s="29">
        <f>+COUNTIFS('[1]Base Instalada'!AA:AA,Tabla1[[#This Row],[Cliente]],'[1]Base Instalada'!Z:Z,"ENDOSCOPÍA")</f>
        <v>0</v>
      </c>
      <c r="R47" s="29">
        <f>+COUNTIFS('[1]Base Instalada'!AA:AA,Tabla1[[#This Row],[Cliente]],'[1]Base Instalada'!Z:Z,"INCARDIA")</f>
        <v>0</v>
      </c>
      <c r="S47" s="29">
        <f>+COUNTIFS('[1]Base Instalada'!AA:AA,Tabla1[[#This Row],[Cliente]],'[1]Base Instalada'!Z:Z,"MMQ")</f>
        <v>0</v>
      </c>
      <c r="T47" s="29">
        <f>+COUNTIFS('[1]Base Instalada'!AA:AA,Tabla1[[#This Row],[Cliente]],'[1]Base Instalada'!Z:Z,"REAS")</f>
        <v>0</v>
      </c>
      <c r="U47" s="30">
        <f>+COUNTIFS('[1]Base Instalada'!AA:AA,Tabla1[[#This Row],[Cliente]],'[1]Base Instalada'!Z:Z,"MOBILIARIO CLINICO")</f>
        <v>0</v>
      </c>
      <c r="V47" s="29">
        <f>+COUNTIFS('[1]Base Instalada'!AA:AA,Tabla1[[#This Row],[Cliente]],'[1]Base Instalada'!Z:Z,"OTRO")</f>
        <v>0</v>
      </c>
      <c r="W47" s="31" t="str">
        <f t="shared" si="0"/>
        <v>Región Metropolitana</v>
      </c>
      <c r="X47" s="31" t="str">
        <f t="shared" si="1"/>
        <v>Vitacura</v>
      </c>
      <c r="Y47" s="32" t="s">
        <v>130</v>
      </c>
      <c r="Z47" s="33">
        <f>+COUNTIFS('[1]Pipeline TS'!$F:$F,Tabla1[[#This Row],[Cliente]])</f>
        <v>0</v>
      </c>
      <c r="AA47" s="34">
        <f>SUMIFS('[1]Pipeline Esterilización'!M:M,'[1]Pipeline Esterilización'!E:E,Tabla1[[#This Row],[Cliente]],'[1]Pipeline Esterilización'!B:B,"2026",'[1]Pipeline Esterilización'!L:L,"&gt;0")</f>
        <v>0</v>
      </c>
      <c r="AB47" s="33">
        <f>+SUMIFS('[1]Pipeline Endoscopía'!K:K,'[1]Pipeline Endoscopía'!E:E,Tabla1[[#This Row],[Cliente]],'[1]Pipeline Endoscopía'!B:B,"2026",'[1]Pipeline Endoscopía'!J:J,"&gt;0")</f>
        <v>0</v>
      </c>
      <c r="AC47" s="34">
        <f>+SUMIFS('[1]Pipeline Dental'!K:K,'[1]Pipeline Dental'!E:E,Tabla1[[#This Row],[Cliente]],'[1]Pipeline Dental'!B:B,"2026",'[1]Pipeline Dental'!J:J,"&gt;0")</f>
        <v>0</v>
      </c>
      <c r="AD47" s="35">
        <f>+SUMIFS('[1]Pipeline TS'!$AB:$AB,'[1]Pipeline TS'!$F:$F,Tabla1[[#This Row],[Cliente]])</f>
        <v>0</v>
      </c>
      <c r="AE47" s="35">
        <f>+SUM(Tabla1[[#This Row],[Pipeline 2026 $MM ESTERILIZACIÓN]:[Pipeline 2026 $MM TECSERVICE]])</f>
        <v>0</v>
      </c>
      <c r="AF47" s="43">
        <v>-33.395370460646802</v>
      </c>
      <c r="AG47" s="37">
        <v>-70.572928130719106</v>
      </c>
      <c r="AH47" s="38" t="str">
        <f>+IF(Tabla1[[#This Row],['# Contratos Vigentes ]]&gt;0,"SI","NO")</f>
        <v>NO</v>
      </c>
      <c r="AI47" s="39">
        <v>0.6</v>
      </c>
      <c r="AJ47" s="40">
        <f>+Tabla1[[#This Row],[Ingreso 2025 - 2026]]*Tabla1[[#This Row],[% Costo Serv. Directo]]</f>
        <v>5938713</v>
      </c>
      <c r="AK47" s="41">
        <v>4</v>
      </c>
      <c r="AL4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4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3994000</v>
      </c>
      <c r="AN47" s="42">
        <f>+Tabla1[[#This Row],[Potencial Equipos]]+Tabla1[[#This Row],[Potencial Pipeline]]</f>
        <v>3994000</v>
      </c>
    </row>
    <row r="48" spans="1:40" x14ac:dyDescent="0.25">
      <c r="A48" s="22" t="s">
        <v>131</v>
      </c>
      <c r="B48" t="str">
        <f>+VLOOKUP(Tabla1[[#This Row],[Cliente]],'[1]Público Privado'!$A$1:$B$325,2,FALSE)</f>
        <v>Público</v>
      </c>
      <c r="C48" s="23">
        <f>+SUMIFS('[1]Facturacion a Fecha'!$T:$T,'[1]Facturacion a Fecha'!$AY:$AY,Tabla1[[#This Row],[Cliente]])</f>
        <v>624000</v>
      </c>
      <c r="D48" s="24">
        <f>+SUMIFS('[1]Facturacion a Fecha'!$T:$T,'[1]Facturacion a Fecha'!$AY:$AY,Tabla1[[#This Row],[Cliente]],'[1]Facturacion a Fecha'!$AX:$AX,"Correctivo")</f>
        <v>624000</v>
      </c>
      <c r="E48" s="25">
        <f>+COUNTIFS('[1]Facturacion a Fecha'!AY:AY,Tabla1[[#This Row],[Cliente]],'[1]Facturacion a Fecha'!AX:AX,"Correctivo")</f>
        <v>1</v>
      </c>
      <c r="F48" s="25">
        <f>+SUMIFS('[1]Facturacion a Fecha'!$T:$T,'[1]Facturacion a Fecha'!$AY:$AY,Tabla1[[#This Row],[Cliente]],'[1]Facturacion a Fecha'!$AX:$AX,"Preventivo")</f>
        <v>0</v>
      </c>
      <c r="G48" s="25">
        <f>+COUNTIFS('[1]Facturacion a Fecha'!AY:AY,Tabla1[[#This Row],[Cliente]],'[1]Facturacion a Fecha'!AX:AX,"Preventivo")</f>
        <v>0</v>
      </c>
      <c r="H48" s="26">
        <f>+Tabla1[[#This Row],['# Preventivo]]+Tabla1[[#This Row],['# Correctivo]]</f>
        <v>1</v>
      </c>
      <c r="I48" s="23">
        <f>+IFERROR(Tabla1[[#This Row],[Ingreso 2025 - 2026 Correctivo]]/Tabla1[[#This Row],[Ingreso 2025 - 2026 Preventivo]],0)</f>
        <v>0</v>
      </c>
      <c r="J48" s="27">
        <f>+IFERROR(Tabla1[[#This Row],['# Correctivo]]/Tabla1[[#This Row],['# Preventivo]],0)</f>
        <v>0</v>
      </c>
      <c r="K48" s="28">
        <f>+IFERROR(Tabla1[[#This Row],[Ingreso 2025 - 2026 Preventivo]]/(Tabla1[[#This Row],[Ingreso 2025 - 2026 Correctivo]]+Tabla1[[#This Row],[Ingreso 2025 - 2026 Preventivo]]),0)</f>
        <v>0</v>
      </c>
      <c r="L48" s="28">
        <f>1-Tabla1[[#This Row],[% Preventivo $]]</f>
        <v>1</v>
      </c>
      <c r="M48" s="45">
        <f>+COUNTIFS('[1]Base Instalada'!AA:AA,Tabla1[[#This Row],[Cliente]])</f>
        <v>22</v>
      </c>
      <c r="N48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8" s="45">
        <f>+COUNTIFS('[1]Base Instalada'!AA:AA,Tabla1[[#This Row],[Cliente]],'[1]Base Instalada'!Z:Z,"ESTERILIZACIÓN")</f>
        <v>5</v>
      </c>
      <c r="P48" s="45">
        <f>+COUNTIFS('[1]Base Instalada'!AA:AA,Tabla1[[#This Row],[Cliente]],'[1]Base Instalada'!Z:Z,"DENTAL")</f>
        <v>15</v>
      </c>
      <c r="Q48" s="45">
        <f>+COUNTIFS('[1]Base Instalada'!AA:AA,Tabla1[[#This Row],[Cliente]],'[1]Base Instalada'!Z:Z,"ENDOSCOPÍA")</f>
        <v>2</v>
      </c>
      <c r="R48" s="45">
        <f>+COUNTIFS('[1]Base Instalada'!AA:AA,Tabla1[[#This Row],[Cliente]],'[1]Base Instalada'!Z:Z,"INCARDIA")</f>
        <v>0</v>
      </c>
      <c r="S48" s="45">
        <f>+COUNTIFS('[1]Base Instalada'!AA:AA,Tabla1[[#This Row],[Cliente]],'[1]Base Instalada'!Z:Z,"MMQ")</f>
        <v>0</v>
      </c>
      <c r="T48" s="45">
        <f>+COUNTIFS('[1]Base Instalada'!AA:AA,Tabla1[[#This Row],[Cliente]],'[1]Base Instalada'!Z:Z,"REAS")</f>
        <v>0</v>
      </c>
      <c r="U48" s="46">
        <f>+COUNTIFS('[1]Base Instalada'!AA:AA,Tabla1[[#This Row],[Cliente]],'[1]Base Instalada'!Z:Z,"MOBILIARIO CLINICO")</f>
        <v>0</v>
      </c>
      <c r="V48" s="29">
        <f>+COUNTIFS('[1]Base Instalada'!AA:AA,Tabla1[[#This Row],[Cliente]],'[1]Base Instalada'!Z:Z,"OTRO")</f>
        <v>0</v>
      </c>
      <c r="W48" s="31" t="str">
        <f>TRIM(RIGHT(Y48,LEN(Y48)-FIND("@",SUBSTITUTE(Y48,",","@",LEN(Y48)-LEN(SUBSTITUTE(Y48,",",""))))))</f>
        <v>Región Maule</v>
      </c>
      <c r="X48" s="31" t="str">
        <f t="shared" si="1"/>
        <v>Curicó</v>
      </c>
      <c r="Y48" s="32" t="s">
        <v>132</v>
      </c>
      <c r="Z48" s="33">
        <f>+COUNTIFS('[1]Pipeline TS'!$F:$F,Tabla1[[#This Row],[Cliente]])</f>
        <v>2</v>
      </c>
      <c r="AA48" s="34">
        <f>SUMIFS('[1]Pipeline Esterilización'!M:M,'[1]Pipeline Esterilización'!E:E,Tabla1[[#This Row],[Cliente]],'[1]Pipeline Esterilización'!B:B,"2026",'[1]Pipeline Esterilización'!L:L,"&gt;0")</f>
        <v>0</v>
      </c>
      <c r="AB48" s="33">
        <f>+SUMIFS('[1]Pipeline Endoscopía'!K:K,'[1]Pipeline Endoscopía'!E:E,Tabla1[[#This Row],[Cliente]],'[1]Pipeline Endoscopía'!B:B,"2026",'[1]Pipeline Endoscopía'!J:J,"&gt;0")</f>
        <v>0</v>
      </c>
      <c r="AC48" s="34">
        <f>+SUMIFS('[1]Pipeline Dental'!K:K,'[1]Pipeline Dental'!E:E,Tabla1[[#This Row],[Cliente]],'[1]Pipeline Dental'!B:B,"2026",'[1]Pipeline Dental'!J:J,"&gt;0")</f>
        <v>0</v>
      </c>
      <c r="AD48" s="35">
        <f>+SUMIFS('[1]Pipeline TS'!$AB:$AB,'[1]Pipeline TS'!$F:$F,Tabla1[[#This Row],[Cliente]])</f>
        <v>4099103.52</v>
      </c>
      <c r="AE48" s="35">
        <f>+SUM(Tabla1[[#This Row],[Pipeline 2026 $MM ESTERILIZACIÓN]:[Pipeline 2026 $MM TECSERVICE]])</f>
        <v>4099103.52</v>
      </c>
      <c r="AF48" s="43">
        <v>-34.978960404057403</v>
      </c>
      <c r="AG48" s="37">
        <v>-71.213046354231295</v>
      </c>
      <c r="AH48" s="38" t="str">
        <f>+IF(Tabla1[[#This Row],['# Contratos Vigentes ]]&gt;0,"SI","NO")</f>
        <v>SI</v>
      </c>
      <c r="AI48" s="39">
        <v>0.6</v>
      </c>
      <c r="AJ48" s="40">
        <f>+Tabla1[[#This Row],[Ingreso 2025 - 2026]]*Tabla1[[#This Row],[% Costo Serv. Directo]]</f>
        <v>374400</v>
      </c>
      <c r="AK48" s="41">
        <v>3</v>
      </c>
      <c r="AL4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4099103.52</v>
      </c>
      <c r="AM4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48" s="42">
        <f>+Tabla1[[#This Row],[Potencial Equipos]]+Tabla1[[#This Row],[Potencial Pipeline]]</f>
        <v>4099103.52</v>
      </c>
    </row>
    <row r="49" spans="1:40" x14ac:dyDescent="0.25">
      <c r="A49" s="22" t="s">
        <v>133</v>
      </c>
      <c r="B49" t="str">
        <f>+VLOOKUP(Tabla1[[#This Row],[Cliente]],'[1]Público Privado'!$A$1:$B$325,2,FALSE)</f>
        <v>Público</v>
      </c>
      <c r="C49" s="23">
        <f>+SUMIFS('[1]Facturacion a Fecha'!$T:$T,'[1]Facturacion a Fecha'!$AY:$AY,Tabla1[[#This Row],[Cliente]])</f>
        <v>13834000</v>
      </c>
      <c r="D49" s="24">
        <f>+SUMIFS('[1]Facturacion a Fecha'!$T:$T,'[1]Facturacion a Fecha'!$AY:$AY,Tabla1[[#This Row],[Cliente]],'[1]Facturacion a Fecha'!$AX:$AX,"Correctivo")</f>
        <v>10701272</v>
      </c>
      <c r="E49" s="25">
        <f>+COUNTIFS('[1]Facturacion a Fecha'!AY:AY,Tabla1[[#This Row],[Cliente]],'[1]Facturacion a Fecha'!AX:AX,"Correctivo")</f>
        <v>12</v>
      </c>
      <c r="F49" s="25">
        <f>+SUMIFS('[1]Facturacion a Fecha'!$T:$T,'[1]Facturacion a Fecha'!$AY:$AY,Tabla1[[#This Row],[Cliente]],'[1]Facturacion a Fecha'!$AX:$AX,"Preventivo")</f>
        <v>3132728</v>
      </c>
      <c r="G49" s="25">
        <f>+COUNTIFS('[1]Facturacion a Fecha'!AY:AY,Tabla1[[#This Row],[Cliente]],'[1]Facturacion a Fecha'!AX:AX,"Preventivo")</f>
        <v>1</v>
      </c>
      <c r="H49" s="26">
        <f>+Tabla1[[#This Row],['# Preventivo]]+Tabla1[[#This Row],['# Correctivo]]</f>
        <v>13</v>
      </c>
      <c r="I49" s="23">
        <f>+IFERROR(Tabla1[[#This Row],[Ingreso 2025 - 2026 Correctivo]]/Tabla1[[#This Row],[Ingreso 2025 - 2026 Preventivo]],0)</f>
        <v>3.4159595087731844</v>
      </c>
      <c r="J49" s="27">
        <f>+IFERROR(Tabla1[[#This Row],['# Correctivo]]/Tabla1[[#This Row],['# Preventivo]],0)</f>
        <v>12</v>
      </c>
      <c r="K49" s="28">
        <f>+IFERROR(Tabla1[[#This Row],[Ingreso 2025 - 2026 Preventivo]]/(Tabla1[[#This Row],[Ingreso 2025 - 2026 Correctivo]]+Tabla1[[#This Row],[Ingreso 2025 - 2026 Preventivo]]),0)</f>
        <v>0.22645135174208472</v>
      </c>
      <c r="L49" s="28">
        <f>1-Tabla1[[#This Row],[% Preventivo $]]</f>
        <v>0.77354864825791525</v>
      </c>
      <c r="M49" s="29">
        <f>+COUNTIFS('[1]Base Instalada'!AA:AA,Tabla1[[#This Row],[Cliente]])</f>
        <v>33</v>
      </c>
      <c r="N49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49" s="29">
        <f>+COUNTIFS('[1]Base Instalada'!AA:AA,Tabla1[[#This Row],[Cliente]],'[1]Base Instalada'!Z:Z,"ESTERILIZACIÓN")</f>
        <v>18</v>
      </c>
      <c r="P49" s="29">
        <f>+COUNTIFS('[1]Base Instalada'!AA:AA,Tabla1[[#This Row],[Cliente]],'[1]Base Instalada'!Z:Z,"DENTAL")</f>
        <v>3</v>
      </c>
      <c r="Q49" s="29">
        <f>+COUNTIFS('[1]Base Instalada'!AA:AA,Tabla1[[#This Row],[Cliente]],'[1]Base Instalada'!Z:Z,"ENDOSCOPÍA")</f>
        <v>12</v>
      </c>
      <c r="R49" s="29">
        <f>+COUNTIFS('[1]Base Instalada'!AA:AA,Tabla1[[#This Row],[Cliente]],'[1]Base Instalada'!Z:Z,"INCARDIA")</f>
        <v>0</v>
      </c>
      <c r="S49" s="29">
        <f>+COUNTIFS('[1]Base Instalada'!AA:AA,Tabla1[[#This Row],[Cliente]],'[1]Base Instalada'!Z:Z,"MMQ")</f>
        <v>0</v>
      </c>
      <c r="T49" s="29">
        <f>+COUNTIFS('[1]Base Instalada'!AA:AA,Tabla1[[#This Row],[Cliente]],'[1]Base Instalada'!Z:Z,"REAS")</f>
        <v>0</v>
      </c>
      <c r="U49" s="30">
        <f>+COUNTIFS('[1]Base Instalada'!AA:AA,Tabla1[[#This Row],[Cliente]],'[1]Base Instalada'!Z:Z,"MOBILIARIO CLINICO")</f>
        <v>0</v>
      </c>
      <c r="V49" s="29">
        <f>+COUNTIFS('[1]Base Instalada'!AA:AA,Tabla1[[#This Row],[Cliente]],'[1]Base Instalada'!Z:Z,"OTRO")</f>
        <v>0</v>
      </c>
      <c r="W49" s="31" t="str">
        <f t="shared" si="0"/>
        <v>Región Metropolitana</v>
      </c>
      <c r="X49" s="31" t="str">
        <f t="shared" si="1"/>
        <v>Santiago</v>
      </c>
      <c r="Y49" s="32" t="s">
        <v>134</v>
      </c>
      <c r="Z49" s="33">
        <f>+COUNTIFS('[1]Pipeline TS'!$F:$F,Tabla1[[#This Row],[Cliente]])</f>
        <v>2</v>
      </c>
      <c r="AA49" s="34">
        <f>SUMIFS('[1]Pipeline Esterilización'!M:M,'[1]Pipeline Esterilización'!E:E,Tabla1[[#This Row],[Cliente]],'[1]Pipeline Esterilización'!B:B,"2026",'[1]Pipeline Esterilización'!L:L,"&gt;0")</f>
        <v>0</v>
      </c>
      <c r="AB49" s="33">
        <f>+SUMIFS('[1]Pipeline Endoscopía'!K:K,'[1]Pipeline Endoscopía'!E:E,Tabla1[[#This Row],[Cliente]],'[1]Pipeline Endoscopía'!B:B,"2026",'[1]Pipeline Endoscopía'!J:J,"&gt;0")</f>
        <v>0</v>
      </c>
      <c r="AC49" s="34">
        <f>+SUMIFS('[1]Pipeline Dental'!K:K,'[1]Pipeline Dental'!E:E,Tabla1[[#This Row],[Cliente]],'[1]Pipeline Dental'!B:B,"2026",'[1]Pipeline Dental'!J:J,"&gt;0")</f>
        <v>0</v>
      </c>
      <c r="AD49" s="35">
        <f>+SUMIFS('[1]Pipeline TS'!$AB:$AB,'[1]Pipeline TS'!$F:$F,Tabla1[[#This Row],[Cliente]])</f>
        <v>9390028</v>
      </c>
      <c r="AE49" s="35">
        <f>+SUM(Tabla1[[#This Row],[Pipeline 2026 $MM ESTERILIZACIÓN]:[Pipeline 2026 $MM TECSERVICE]])</f>
        <v>9390028</v>
      </c>
      <c r="AF49" s="43">
        <v>-33.444056284157099</v>
      </c>
      <c r="AG49" s="37">
        <v>-70.638216480283404</v>
      </c>
      <c r="AH49" s="38" t="str">
        <f>+IF(Tabla1[[#This Row],['# Contratos Vigentes ]]&gt;0,"SI","NO")</f>
        <v>SI</v>
      </c>
      <c r="AI49" s="39">
        <v>0.6</v>
      </c>
      <c r="AJ49" s="40">
        <f>+Tabla1[[#This Row],[Ingreso 2025 - 2026]]*Tabla1[[#This Row],[% Costo Serv. Directo]]</f>
        <v>8300400</v>
      </c>
      <c r="AK49" s="41">
        <v>4</v>
      </c>
      <c r="AL4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9390028</v>
      </c>
      <c r="AM4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49" s="42">
        <f>+Tabla1[[#This Row],[Potencial Equipos]]+Tabla1[[#This Row],[Potencial Pipeline]]</f>
        <v>9390028</v>
      </c>
    </row>
    <row r="50" spans="1:40" x14ac:dyDescent="0.25">
      <c r="A50" s="22" t="s">
        <v>135</v>
      </c>
      <c r="B50" t="str">
        <f>+VLOOKUP(Tabla1[[#This Row],[Cliente]],'[1]Público Privado'!$A$1:$B$325,2,FALSE)</f>
        <v>Privado</v>
      </c>
      <c r="C50" s="23">
        <f>+SUMIFS('[1]Facturacion a Fecha'!$T:$T,'[1]Facturacion a Fecha'!$AY:$AY,Tabla1[[#This Row],[Cliente]])</f>
        <v>9316584</v>
      </c>
      <c r="D50" s="24">
        <f>+SUMIFS('[1]Facturacion a Fecha'!$T:$T,'[1]Facturacion a Fecha'!$AY:$AY,Tabla1[[#This Row],[Cliente]],'[1]Facturacion a Fecha'!$AX:$AX,"Correctivo")</f>
        <v>9316584</v>
      </c>
      <c r="E50" s="25">
        <f>+COUNTIFS('[1]Facturacion a Fecha'!AY:AY,Tabla1[[#This Row],[Cliente]],'[1]Facturacion a Fecha'!AX:AX,"Correctivo")</f>
        <v>18</v>
      </c>
      <c r="F50" s="25">
        <f>+SUMIFS('[1]Facturacion a Fecha'!$T:$T,'[1]Facturacion a Fecha'!$AY:$AY,Tabla1[[#This Row],[Cliente]],'[1]Facturacion a Fecha'!$AX:$AX,"Preventivo")</f>
        <v>0</v>
      </c>
      <c r="G50" s="25">
        <f>+COUNTIFS('[1]Facturacion a Fecha'!AY:AY,Tabla1[[#This Row],[Cliente]],'[1]Facturacion a Fecha'!AX:AX,"Preventivo")</f>
        <v>0</v>
      </c>
      <c r="H50" s="26">
        <f>+Tabla1[[#This Row],['# Preventivo]]+Tabla1[[#This Row],['# Correctivo]]</f>
        <v>18</v>
      </c>
      <c r="I50" s="23">
        <f>+IFERROR(Tabla1[[#This Row],[Ingreso 2025 - 2026 Correctivo]]/Tabla1[[#This Row],[Ingreso 2025 - 2026 Preventivo]],0)</f>
        <v>0</v>
      </c>
      <c r="J50" s="27">
        <f>+IFERROR(Tabla1[[#This Row],['# Correctivo]]/Tabla1[[#This Row],['# Preventivo]],0)</f>
        <v>0</v>
      </c>
      <c r="K50" s="28">
        <f>+IFERROR(Tabla1[[#This Row],[Ingreso 2025 - 2026 Preventivo]]/(Tabla1[[#This Row],[Ingreso 2025 - 2026 Correctivo]]+Tabla1[[#This Row],[Ingreso 2025 - 2026 Preventivo]]),0)</f>
        <v>0</v>
      </c>
      <c r="L50" s="28">
        <f>1-Tabla1[[#This Row],[% Preventivo $]]</f>
        <v>1</v>
      </c>
      <c r="M50" s="29">
        <f>+COUNTIFS('[1]Base Instalada'!AA:AA,Tabla1[[#This Row],[Cliente]])</f>
        <v>45</v>
      </c>
      <c r="N50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0" s="29">
        <f>+COUNTIFS('[1]Base Instalada'!AA:AA,Tabla1[[#This Row],[Cliente]],'[1]Base Instalada'!Z:Z,"ESTERILIZACIÓN")</f>
        <v>0</v>
      </c>
      <c r="P50" s="29">
        <f>+COUNTIFS('[1]Base Instalada'!AA:AA,Tabla1[[#This Row],[Cliente]],'[1]Base Instalada'!Z:Z,"DENTAL")</f>
        <v>5</v>
      </c>
      <c r="Q50" s="29">
        <f>+COUNTIFS('[1]Base Instalada'!AA:AA,Tabla1[[#This Row],[Cliente]],'[1]Base Instalada'!Z:Z,"ENDOSCOPÍA")</f>
        <v>0</v>
      </c>
      <c r="R50" s="29">
        <f>+COUNTIFS('[1]Base Instalada'!AA:AA,Tabla1[[#This Row],[Cliente]],'[1]Base Instalada'!Z:Z,"INCARDIA")</f>
        <v>0</v>
      </c>
      <c r="S50" s="29">
        <f>+COUNTIFS('[1]Base Instalada'!AA:AA,Tabla1[[#This Row],[Cliente]],'[1]Base Instalada'!Z:Z,"MMQ")</f>
        <v>0</v>
      </c>
      <c r="T50" s="29">
        <f>+COUNTIFS('[1]Base Instalada'!AA:AA,Tabla1[[#This Row],[Cliente]],'[1]Base Instalada'!Z:Z,"REAS")</f>
        <v>0</v>
      </c>
      <c r="U50" s="30">
        <f>+COUNTIFS('[1]Base Instalada'!AA:AA,Tabla1[[#This Row],[Cliente]],'[1]Base Instalada'!Z:Z,"MOBILIARIO CLINICO")</f>
        <v>40</v>
      </c>
      <c r="V50" s="29">
        <f>+COUNTIFS('[1]Base Instalada'!AA:AA,Tabla1[[#This Row],[Cliente]],'[1]Base Instalada'!Z:Z,"OTRO")</f>
        <v>0</v>
      </c>
      <c r="W50" s="31" t="str">
        <f t="shared" si="0"/>
        <v>Región Los Lagos</v>
      </c>
      <c r="X50" s="31" t="str">
        <f t="shared" si="1"/>
        <v>Ancud</v>
      </c>
      <c r="Y50" s="32" t="s">
        <v>136</v>
      </c>
      <c r="Z50" s="33">
        <f>+COUNTIFS('[1]Pipeline TS'!$F:$F,Tabla1[[#This Row],[Cliente]])</f>
        <v>0</v>
      </c>
      <c r="AA50" s="34">
        <f>SUMIFS('[1]Pipeline Esterilización'!M:M,'[1]Pipeline Esterilización'!E:E,Tabla1[[#This Row],[Cliente]],'[1]Pipeline Esterilización'!B:B,"2026",'[1]Pipeline Esterilización'!L:L,"&gt;0")</f>
        <v>0</v>
      </c>
      <c r="AB50" s="33">
        <f>+SUMIFS('[1]Pipeline Endoscopía'!K:K,'[1]Pipeline Endoscopía'!E:E,Tabla1[[#This Row],[Cliente]],'[1]Pipeline Endoscopía'!B:B,"2026",'[1]Pipeline Endoscopía'!J:J,"&gt;0")</f>
        <v>0</v>
      </c>
      <c r="AC50" s="34">
        <f>+SUMIFS('[1]Pipeline Dental'!K:K,'[1]Pipeline Dental'!E:E,Tabla1[[#This Row],[Cliente]],'[1]Pipeline Dental'!B:B,"2026",'[1]Pipeline Dental'!J:J,"&gt;0")</f>
        <v>0</v>
      </c>
      <c r="AD50" s="35">
        <f>+SUMIFS('[1]Pipeline TS'!$AB:$AB,'[1]Pipeline TS'!$F:$F,Tabla1[[#This Row],[Cliente]])</f>
        <v>0</v>
      </c>
      <c r="AE50" s="35">
        <f>+SUM(Tabla1[[#This Row],[Pipeline 2026 $MM ESTERILIZACIÓN]:[Pipeline 2026 $MM TECSERVICE]])</f>
        <v>0</v>
      </c>
      <c r="AF50" s="43">
        <v>-41.868306814136801</v>
      </c>
      <c r="AG50" s="37">
        <v>-73.825854299870102</v>
      </c>
      <c r="AH50" s="38" t="str">
        <f>+IF(Tabla1[[#This Row],['# Contratos Vigentes ]]&gt;0,"SI","NO")</f>
        <v>NO</v>
      </c>
      <c r="AI50" s="39">
        <v>0.6</v>
      </c>
      <c r="AJ50" s="40">
        <f>+Tabla1[[#This Row],[Ingreso 2025 - 2026]]*Tabla1[[#This Row],[% Costo Serv. Directo]]</f>
        <v>5589950.3999999994</v>
      </c>
      <c r="AK50" s="41">
        <v>2</v>
      </c>
      <c r="AL5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5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50" s="42">
        <f>+Tabla1[[#This Row],[Potencial Equipos]]+Tabla1[[#This Row],[Potencial Pipeline]]</f>
        <v>2995500</v>
      </c>
    </row>
    <row r="51" spans="1:40" x14ac:dyDescent="0.25">
      <c r="A51" s="22" t="s">
        <v>137</v>
      </c>
      <c r="B51" t="str">
        <f>+VLOOKUP(Tabla1[[#This Row],[Cliente]],'[1]Público Privado'!$A$1:$B$325,2,FALSE)</f>
        <v>Público</v>
      </c>
      <c r="C51" s="23">
        <f>+SUMIFS('[1]Facturacion a Fecha'!$T:$T,'[1]Facturacion a Fecha'!$AY:$AY,Tabla1[[#This Row],[Cliente]])</f>
        <v>8550854</v>
      </c>
      <c r="D51" s="24">
        <f>+SUMIFS('[1]Facturacion a Fecha'!$T:$T,'[1]Facturacion a Fecha'!$AY:$AY,Tabla1[[#This Row],[Cliente]],'[1]Facturacion a Fecha'!$AX:$AX,"Correctivo")</f>
        <v>3958965</v>
      </c>
      <c r="E51" s="25">
        <f>+COUNTIFS('[1]Facturacion a Fecha'!AY:AY,Tabla1[[#This Row],[Cliente]],'[1]Facturacion a Fecha'!AX:AX,"Correctivo")</f>
        <v>16</v>
      </c>
      <c r="F51" s="25">
        <f>+SUMIFS('[1]Facturacion a Fecha'!$T:$T,'[1]Facturacion a Fecha'!$AY:$AY,Tabla1[[#This Row],[Cliente]],'[1]Facturacion a Fecha'!$AX:$AX,"Preventivo")</f>
        <v>4591889</v>
      </c>
      <c r="G51" s="25">
        <f>+COUNTIFS('[1]Facturacion a Fecha'!AY:AY,Tabla1[[#This Row],[Cliente]],'[1]Facturacion a Fecha'!AX:AX,"Preventivo")</f>
        <v>40</v>
      </c>
      <c r="H51" s="26">
        <f>+Tabla1[[#This Row],['# Preventivo]]+Tabla1[[#This Row],['# Correctivo]]</f>
        <v>56</v>
      </c>
      <c r="I51" s="23">
        <f>+IFERROR(Tabla1[[#This Row],[Ingreso 2025 - 2026 Correctivo]]/Tabla1[[#This Row],[Ingreso 2025 - 2026 Preventivo]],0)</f>
        <v>0.86216478664880614</v>
      </c>
      <c r="J51" s="27">
        <f>+IFERROR(Tabla1[[#This Row],['# Correctivo]]/Tabla1[[#This Row],['# Preventivo]],0)</f>
        <v>0.4</v>
      </c>
      <c r="K51" s="28">
        <f>+IFERROR(Tabla1[[#This Row],[Ingreso 2025 - 2026 Preventivo]]/(Tabla1[[#This Row],[Ingreso 2025 - 2026 Correctivo]]+Tabla1[[#This Row],[Ingreso 2025 - 2026 Preventivo]]),0)</f>
        <v>0.53700940280350951</v>
      </c>
      <c r="L51" s="28">
        <f>1-Tabla1[[#This Row],[% Preventivo $]]</f>
        <v>0.46299059719649049</v>
      </c>
      <c r="M51" s="29">
        <f>+COUNTIFS('[1]Base Instalada'!AA:AA,Tabla1[[#This Row],[Cliente]])</f>
        <v>40</v>
      </c>
      <c r="N51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1" s="29">
        <f>+COUNTIFS('[1]Base Instalada'!AA:AA,Tabla1[[#This Row],[Cliente]],'[1]Base Instalada'!Z:Z,"ESTERILIZACIÓN")</f>
        <v>3</v>
      </c>
      <c r="P51" s="29">
        <f>+COUNTIFS('[1]Base Instalada'!AA:AA,Tabla1[[#This Row],[Cliente]],'[1]Base Instalada'!Z:Z,"DENTAL")</f>
        <v>0</v>
      </c>
      <c r="Q51" s="29">
        <f>+COUNTIFS('[1]Base Instalada'!AA:AA,Tabla1[[#This Row],[Cliente]],'[1]Base Instalada'!Z:Z,"ENDOSCOPÍA")</f>
        <v>1</v>
      </c>
      <c r="R51" s="29">
        <f>+COUNTIFS('[1]Base Instalada'!AA:AA,Tabla1[[#This Row],[Cliente]],'[1]Base Instalada'!Z:Z,"INCARDIA")</f>
        <v>0</v>
      </c>
      <c r="S51" s="29">
        <f>+COUNTIFS('[1]Base Instalada'!AA:AA,Tabla1[[#This Row],[Cliente]],'[1]Base Instalada'!Z:Z,"MMQ")</f>
        <v>2</v>
      </c>
      <c r="T51" s="29">
        <f>+COUNTIFS('[1]Base Instalada'!AA:AA,Tabla1[[#This Row],[Cliente]],'[1]Base Instalada'!Z:Z,"REAS")</f>
        <v>0</v>
      </c>
      <c r="U51" s="30">
        <f>+COUNTIFS('[1]Base Instalada'!AA:AA,Tabla1[[#This Row],[Cliente]],'[1]Base Instalada'!Z:Z,"MOBILIARIO CLINICO")</f>
        <v>33</v>
      </c>
      <c r="V51" s="29">
        <f>+COUNTIFS('[1]Base Instalada'!AA:AA,Tabla1[[#This Row],[Cliente]],'[1]Base Instalada'!Z:Z,"OTRO")</f>
        <v>1</v>
      </c>
      <c r="W51" s="31" t="str">
        <f t="shared" si="0"/>
        <v>Región Metropolitana</v>
      </c>
      <c r="X51" s="31" t="str">
        <f t="shared" si="1"/>
        <v>Independencia</v>
      </c>
      <c r="Y51" s="32" t="s">
        <v>138</v>
      </c>
      <c r="Z51" s="33">
        <f>+COUNTIFS('[1]Pipeline TS'!$F:$F,Tabla1[[#This Row],[Cliente]])</f>
        <v>2</v>
      </c>
      <c r="AA51" s="34">
        <f>SUMIFS('[1]Pipeline Esterilización'!M:M,'[1]Pipeline Esterilización'!E:E,Tabla1[[#This Row],[Cliente]],'[1]Pipeline Esterilización'!B:B,"2026",'[1]Pipeline Esterilización'!L:L,"&gt;0")</f>
        <v>630000000</v>
      </c>
      <c r="AB51" s="33">
        <f>+SUMIFS('[1]Pipeline Endoscopía'!K:K,'[1]Pipeline Endoscopía'!E:E,Tabla1[[#This Row],[Cliente]],'[1]Pipeline Endoscopía'!B:B,"2026",'[1]Pipeline Endoscopía'!J:J,"&gt;0")</f>
        <v>0</v>
      </c>
      <c r="AC51" s="34">
        <f>+SUMIFS('[1]Pipeline Dental'!K:K,'[1]Pipeline Dental'!E:E,Tabla1[[#This Row],[Cliente]],'[1]Pipeline Dental'!B:B,"2026",'[1]Pipeline Dental'!J:J,"&gt;0")</f>
        <v>0</v>
      </c>
      <c r="AD51" s="35">
        <f>+SUMIFS('[1]Pipeline TS'!$AB:$AB,'[1]Pipeline TS'!$F:$F,Tabla1[[#This Row],[Cliente]])</f>
        <v>8551860</v>
      </c>
      <c r="AE51" s="35">
        <f>+SUM(Tabla1[[#This Row],[Pipeline 2026 $MM ESTERILIZACIÓN]:[Pipeline 2026 $MM TECSERVICE]])</f>
        <v>638551860</v>
      </c>
      <c r="AF51" s="43">
        <v>-33.418123120247301</v>
      </c>
      <c r="AG51" s="37">
        <v>-70.652296968267706</v>
      </c>
      <c r="AH51" s="38" t="str">
        <f>+IF(Tabla1[[#This Row],['# Contratos Vigentes ]]&gt;0,"SI","NO")</f>
        <v>SI</v>
      </c>
      <c r="AI51" s="39">
        <v>0.6</v>
      </c>
      <c r="AJ51" s="40">
        <f>+Tabla1[[#This Row],[Ingreso 2025 - 2026]]*Tabla1[[#This Row],[% Costo Serv. Directo]]</f>
        <v>5130512.3999999994</v>
      </c>
      <c r="AK51" s="41">
        <v>5</v>
      </c>
      <c r="AL5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71551860</v>
      </c>
      <c r="AM5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51" s="42">
        <f>+Tabla1[[#This Row],[Potencial Equipos]]+Tabla1[[#This Row],[Potencial Pipeline]]</f>
        <v>71551860</v>
      </c>
    </row>
    <row r="52" spans="1:40" x14ac:dyDescent="0.25">
      <c r="A52" s="22" t="s">
        <v>139</v>
      </c>
      <c r="B52" t="str">
        <f>+VLOOKUP(Tabla1[[#This Row],[Cliente]],'[1]Público Privado'!$A$1:$B$325,2,FALSE)</f>
        <v>Privado</v>
      </c>
      <c r="C52" s="23">
        <f>+SUMIFS('[1]Facturacion a Fecha'!$T:$T,'[1]Facturacion a Fecha'!$AY:$AY,Tabla1[[#This Row],[Cliente]])</f>
        <v>7980000</v>
      </c>
      <c r="D52" s="24">
        <f>+SUMIFS('[1]Facturacion a Fecha'!$T:$T,'[1]Facturacion a Fecha'!$AY:$AY,Tabla1[[#This Row],[Cliente]],'[1]Facturacion a Fecha'!$AX:$AX,"Correctivo")</f>
        <v>7980000</v>
      </c>
      <c r="E52" s="25">
        <f>+COUNTIFS('[1]Facturacion a Fecha'!AY:AY,Tabla1[[#This Row],[Cliente]],'[1]Facturacion a Fecha'!AX:AX,"Correctivo")</f>
        <v>3</v>
      </c>
      <c r="F52" s="25">
        <f>+SUMIFS('[1]Facturacion a Fecha'!$T:$T,'[1]Facturacion a Fecha'!$AY:$AY,Tabla1[[#This Row],[Cliente]],'[1]Facturacion a Fecha'!$AX:$AX,"Preventivo")</f>
        <v>0</v>
      </c>
      <c r="G52" s="25">
        <f>+COUNTIFS('[1]Facturacion a Fecha'!AY:AY,Tabla1[[#This Row],[Cliente]],'[1]Facturacion a Fecha'!AX:AX,"Preventivo")</f>
        <v>0</v>
      </c>
      <c r="H52" s="26">
        <f>+Tabla1[[#This Row],['# Preventivo]]+Tabla1[[#This Row],['# Correctivo]]</f>
        <v>3</v>
      </c>
      <c r="I52" s="23">
        <f>+IFERROR(Tabla1[[#This Row],[Ingreso 2025 - 2026 Correctivo]]/Tabla1[[#This Row],[Ingreso 2025 - 2026 Preventivo]],0)</f>
        <v>0</v>
      </c>
      <c r="J52" s="27">
        <f>+IFERROR(Tabla1[[#This Row],['# Correctivo]]/Tabla1[[#This Row],['# Preventivo]],0)</f>
        <v>0</v>
      </c>
      <c r="K52" s="28">
        <f>+IFERROR(Tabla1[[#This Row],[Ingreso 2025 - 2026 Preventivo]]/(Tabla1[[#This Row],[Ingreso 2025 - 2026 Correctivo]]+Tabla1[[#This Row],[Ingreso 2025 - 2026 Preventivo]]),0)</f>
        <v>0</v>
      </c>
      <c r="L52" s="28">
        <f>1-Tabla1[[#This Row],[% Preventivo $]]</f>
        <v>1</v>
      </c>
      <c r="M52" s="29">
        <f>+COUNTIFS('[1]Base Instalada'!AA:AA,Tabla1[[#This Row],[Cliente]])</f>
        <v>17</v>
      </c>
      <c r="N52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2" s="29">
        <f>+COUNTIFS('[1]Base Instalada'!AA:AA,Tabla1[[#This Row],[Cliente]],'[1]Base Instalada'!Z:Z,"ESTERILIZACIÓN")</f>
        <v>10</v>
      </c>
      <c r="P52" s="29">
        <f>+COUNTIFS('[1]Base Instalada'!AA:AA,Tabla1[[#This Row],[Cliente]],'[1]Base Instalada'!Z:Z,"DENTAL")</f>
        <v>0</v>
      </c>
      <c r="Q52" s="29">
        <f>+COUNTIFS('[1]Base Instalada'!AA:AA,Tabla1[[#This Row],[Cliente]],'[1]Base Instalada'!Z:Z,"ENDOSCOPÍA")</f>
        <v>6</v>
      </c>
      <c r="R52" s="29">
        <f>+COUNTIFS('[1]Base Instalada'!AA:AA,Tabla1[[#This Row],[Cliente]],'[1]Base Instalada'!Z:Z,"INCARDIA")</f>
        <v>0</v>
      </c>
      <c r="S52" s="29">
        <f>+COUNTIFS('[1]Base Instalada'!AA:AA,Tabla1[[#This Row],[Cliente]],'[1]Base Instalada'!Z:Z,"MMQ")</f>
        <v>0</v>
      </c>
      <c r="T52" s="29">
        <f>+COUNTIFS('[1]Base Instalada'!AA:AA,Tabla1[[#This Row],[Cliente]],'[1]Base Instalada'!Z:Z,"REAS")</f>
        <v>0</v>
      </c>
      <c r="U52" s="30">
        <f>+COUNTIFS('[1]Base Instalada'!AA:AA,Tabla1[[#This Row],[Cliente]],'[1]Base Instalada'!Z:Z,"MOBILIARIO CLINICO")</f>
        <v>1</v>
      </c>
      <c r="V52" s="29">
        <f>+COUNTIFS('[1]Base Instalada'!AA:AA,Tabla1[[#This Row],[Cliente]],'[1]Base Instalada'!Z:Z,"OTRO")</f>
        <v>0</v>
      </c>
      <c r="W52" s="31" t="str">
        <f t="shared" si="0"/>
        <v>Región Metropolitana</v>
      </c>
      <c r="X52" s="31" t="str">
        <f t="shared" si="1"/>
        <v>Las Condes</v>
      </c>
      <c r="Y52" s="32" t="s">
        <v>140</v>
      </c>
      <c r="Z52" s="33">
        <f>+COUNTIFS('[1]Pipeline TS'!$F:$F,Tabla1[[#This Row],[Cliente]])</f>
        <v>0</v>
      </c>
      <c r="AA52" s="34">
        <f>SUMIFS('[1]Pipeline Esterilización'!M:M,'[1]Pipeline Esterilización'!E:E,Tabla1[[#This Row],[Cliente]],'[1]Pipeline Esterilización'!B:B,"2026",'[1]Pipeline Esterilización'!L:L,"&gt;0")</f>
        <v>0</v>
      </c>
      <c r="AB52" s="33">
        <f>+SUMIFS('[1]Pipeline Endoscopía'!K:K,'[1]Pipeline Endoscopía'!E:E,Tabla1[[#This Row],[Cliente]],'[1]Pipeline Endoscopía'!B:B,"2026",'[1]Pipeline Endoscopía'!J:J,"&gt;0")</f>
        <v>0</v>
      </c>
      <c r="AC52" s="34">
        <f>+SUMIFS('[1]Pipeline Dental'!K:K,'[1]Pipeline Dental'!E:E,Tabla1[[#This Row],[Cliente]],'[1]Pipeline Dental'!B:B,"2026",'[1]Pipeline Dental'!J:J,"&gt;0")</f>
        <v>0</v>
      </c>
      <c r="AD52" s="35">
        <f>+SUMIFS('[1]Pipeline TS'!$AB:$AB,'[1]Pipeline TS'!$F:$F,Tabla1[[#This Row],[Cliente]])</f>
        <v>0</v>
      </c>
      <c r="AE52" s="35">
        <f>+SUM(Tabla1[[#This Row],[Pipeline 2026 $MM ESTERILIZACIÓN]:[Pipeline 2026 $MM TECSERVICE]])</f>
        <v>0</v>
      </c>
      <c r="AF52" s="43">
        <v>-33.384574238682397</v>
      </c>
      <c r="AG52" s="37">
        <v>-70.530915054639493</v>
      </c>
      <c r="AH52" s="38" t="str">
        <f>+IF(Tabla1[[#This Row],['# Contratos Vigentes ]]&gt;0,"SI","NO")</f>
        <v>NO</v>
      </c>
      <c r="AI52" s="39">
        <v>0.6</v>
      </c>
      <c r="AJ52" s="40">
        <f>+Tabla1[[#This Row],[Ingreso 2025 - 2026]]*Tabla1[[#This Row],[% Costo Serv. Directo]]</f>
        <v>4788000</v>
      </c>
      <c r="AK52" s="41">
        <v>4</v>
      </c>
      <c r="AL5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5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25131476.923076924</v>
      </c>
      <c r="AN52" s="42">
        <f>+Tabla1[[#This Row],[Potencial Equipos]]+Tabla1[[#This Row],[Potencial Pipeline]]</f>
        <v>25131476.923076924</v>
      </c>
    </row>
    <row r="53" spans="1:40" x14ac:dyDescent="0.25">
      <c r="A53" s="22" t="s">
        <v>141</v>
      </c>
      <c r="B53" t="str">
        <f>+VLOOKUP(Tabla1[[#This Row],[Cliente]],'[1]Público Privado'!$A$1:$B$325,2,FALSE)</f>
        <v>Público</v>
      </c>
      <c r="C53" s="23">
        <f>+SUMIFS('[1]Facturacion a Fecha'!$T:$T,'[1]Facturacion a Fecha'!$AY:$AY,Tabla1[[#This Row],[Cliente]])</f>
        <v>7883719</v>
      </c>
      <c r="D53" s="24">
        <f>+SUMIFS('[1]Facturacion a Fecha'!$T:$T,'[1]Facturacion a Fecha'!$AY:$AY,Tabla1[[#This Row],[Cliente]],'[1]Facturacion a Fecha'!$AX:$AX,"Correctivo")</f>
        <v>4522375</v>
      </c>
      <c r="E53" s="25">
        <f>+COUNTIFS('[1]Facturacion a Fecha'!AY:AY,Tabla1[[#This Row],[Cliente]],'[1]Facturacion a Fecha'!AX:AX,"Correctivo")</f>
        <v>12</v>
      </c>
      <c r="F53" s="25">
        <f>+SUMIFS('[1]Facturacion a Fecha'!$T:$T,'[1]Facturacion a Fecha'!$AY:$AY,Tabla1[[#This Row],[Cliente]],'[1]Facturacion a Fecha'!$AX:$AX,"Preventivo")</f>
        <v>3361344</v>
      </c>
      <c r="G53" s="25">
        <f>+COUNTIFS('[1]Facturacion a Fecha'!AY:AY,Tabla1[[#This Row],[Cliente]],'[1]Facturacion a Fecha'!AX:AX,"Preventivo")</f>
        <v>8</v>
      </c>
      <c r="H53" s="26">
        <f>+Tabla1[[#This Row],['# Preventivo]]+Tabla1[[#This Row],['# Correctivo]]</f>
        <v>20</v>
      </c>
      <c r="I53" s="23">
        <f>+IFERROR(Tabla1[[#This Row],[Ingreso 2025 - 2026 Correctivo]]/Tabla1[[#This Row],[Ingreso 2025 - 2026 Preventivo]],0)</f>
        <v>1.3454067777650844</v>
      </c>
      <c r="J53" s="27">
        <f>+IFERROR(Tabla1[[#This Row],['# Correctivo]]/Tabla1[[#This Row],['# Preventivo]],0)</f>
        <v>1.5</v>
      </c>
      <c r="K53" s="28">
        <f>+IFERROR(Tabla1[[#This Row],[Ingreso 2025 - 2026 Preventivo]]/(Tabla1[[#This Row],[Ingreso 2025 - 2026 Correctivo]]+Tabla1[[#This Row],[Ingreso 2025 - 2026 Preventivo]]),0)</f>
        <v>0.42636527253191037</v>
      </c>
      <c r="L53" s="28">
        <f>1-Tabla1[[#This Row],[% Preventivo $]]</f>
        <v>0.57363472746808963</v>
      </c>
      <c r="M53" s="29">
        <f>+COUNTIFS('[1]Base Instalada'!AA:AA,Tabla1[[#This Row],[Cliente]])</f>
        <v>8</v>
      </c>
      <c r="N53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3" s="29">
        <f>+COUNTIFS('[1]Base Instalada'!AA:AA,Tabla1[[#This Row],[Cliente]],'[1]Base Instalada'!Z:Z,"ESTERILIZACIÓN")</f>
        <v>3</v>
      </c>
      <c r="P53" s="29">
        <f>+COUNTIFS('[1]Base Instalada'!AA:AA,Tabla1[[#This Row],[Cliente]],'[1]Base Instalada'!Z:Z,"DENTAL")</f>
        <v>5</v>
      </c>
      <c r="Q53" s="29">
        <f>+COUNTIFS('[1]Base Instalada'!AA:AA,Tabla1[[#This Row],[Cliente]],'[1]Base Instalada'!Z:Z,"ENDOSCOPÍA")</f>
        <v>0</v>
      </c>
      <c r="R53" s="29">
        <f>+COUNTIFS('[1]Base Instalada'!AA:AA,Tabla1[[#This Row],[Cliente]],'[1]Base Instalada'!Z:Z,"INCARDIA")</f>
        <v>0</v>
      </c>
      <c r="S53" s="29">
        <f>+COUNTIFS('[1]Base Instalada'!AA:AA,Tabla1[[#This Row],[Cliente]],'[1]Base Instalada'!Z:Z,"MMQ")</f>
        <v>0</v>
      </c>
      <c r="T53" s="29">
        <f>+COUNTIFS('[1]Base Instalada'!AA:AA,Tabla1[[#This Row],[Cliente]],'[1]Base Instalada'!Z:Z,"REAS")</f>
        <v>0</v>
      </c>
      <c r="U53" s="30">
        <f>+COUNTIFS('[1]Base Instalada'!AA:AA,Tabla1[[#This Row],[Cliente]],'[1]Base Instalada'!Z:Z,"MOBILIARIO CLINICO")</f>
        <v>0</v>
      </c>
      <c r="V53" s="29">
        <f>+COUNTIFS('[1]Base Instalada'!AA:AA,Tabla1[[#This Row],[Cliente]],'[1]Base Instalada'!Z:Z,"OTRO")</f>
        <v>0</v>
      </c>
      <c r="W53" s="31" t="str">
        <f t="shared" si="0"/>
        <v>Región Bío Bío</v>
      </c>
      <c r="X53" s="31" t="str">
        <f t="shared" si="1"/>
        <v>Nacimiento</v>
      </c>
      <c r="Y53" s="32" t="s">
        <v>142</v>
      </c>
      <c r="Z53" s="33">
        <f>+COUNTIFS('[1]Pipeline TS'!$F:$F,Tabla1[[#This Row],[Cliente]])</f>
        <v>1</v>
      </c>
      <c r="AA53" s="34">
        <f>SUMIFS('[1]Pipeline Esterilización'!M:M,'[1]Pipeline Esterilización'!E:E,Tabla1[[#This Row],[Cliente]],'[1]Pipeline Esterilización'!B:B,"2026",'[1]Pipeline Esterilización'!L:L,"&gt;0")</f>
        <v>0</v>
      </c>
      <c r="AB53" s="33">
        <f>+SUMIFS('[1]Pipeline Endoscopía'!K:K,'[1]Pipeline Endoscopía'!E:E,Tabla1[[#This Row],[Cliente]],'[1]Pipeline Endoscopía'!B:B,"2026",'[1]Pipeline Endoscopía'!J:J,"&gt;0")</f>
        <v>0</v>
      </c>
      <c r="AC53" s="34">
        <f>+SUMIFS('[1]Pipeline Dental'!K:K,'[1]Pipeline Dental'!E:E,Tabla1[[#This Row],[Cliente]],'[1]Pipeline Dental'!B:B,"2026",'[1]Pipeline Dental'!J:J,"&gt;0")</f>
        <v>0</v>
      </c>
      <c r="AD53" s="35">
        <f>+SUMIFS('[1]Pipeline TS'!$AB:$AB,'[1]Pipeline TS'!$F:$F,Tabla1[[#This Row],[Cliente]])</f>
        <v>5042016</v>
      </c>
      <c r="AE53" s="35">
        <f>+SUM(Tabla1[[#This Row],[Pipeline 2026 $MM ESTERILIZACIÓN]:[Pipeline 2026 $MM TECSERVICE]])</f>
        <v>5042016</v>
      </c>
      <c r="AF53" s="43">
        <v>-37.507442526144402</v>
      </c>
      <c r="AG53" s="37">
        <v>-72.676728539087804</v>
      </c>
      <c r="AH53" s="38" t="str">
        <f>+IF(Tabla1[[#This Row],['# Contratos Vigentes ]]&gt;0,"SI","NO")</f>
        <v>SI</v>
      </c>
      <c r="AI53" s="39">
        <v>0.6</v>
      </c>
      <c r="AJ53" s="40">
        <f>+Tabla1[[#This Row],[Ingreso 2025 - 2026]]*Tabla1[[#This Row],[% Costo Serv. Directo]]</f>
        <v>4730231.3999999994</v>
      </c>
      <c r="AK53" s="41">
        <v>4</v>
      </c>
      <c r="AL5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5042016</v>
      </c>
      <c r="AM5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53" s="42">
        <f>+Tabla1[[#This Row],[Potencial Equipos]]+Tabla1[[#This Row],[Potencial Pipeline]]</f>
        <v>5042016</v>
      </c>
    </row>
    <row r="54" spans="1:40" ht="15.75" x14ac:dyDescent="0.25">
      <c r="A54" s="22" t="s">
        <v>143</v>
      </c>
      <c r="B54" t="str">
        <f>+VLOOKUP(Tabla1[[#This Row],[Cliente]],'[1]Público Privado'!$A$1:$B$325,2,FALSE)</f>
        <v>Público</v>
      </c>
      <c r="C54" s="23">
        <f>+SUMIFS('[1]Facturacion a Fecha'!$T:$T,'[1]Facturacion a Fecha'!$AY:$AY,Tabla1[[#This Row],[Cliente]])</f>
        <v>7580245</v>
      </c>
      <c r="D54" s="24">
        <f>+SUMIFS('[1]Facturacion a Fecha'!$T:$T,'[1]Facturacion a Fecha'!$AY:$AY,Tabla1[[#This Row],[Cliente]],'[1]Facturacion a Fecha'!$AX:$AX,"Correctivo")</f>
        <v>1894697</v>
      </c>
      <c r="E54" s="25">
        <f>+COUNTIFS('[1]Facturacion a Fecha'!AY:AY,Tabla1[[#This Row],[Cliente]],'[1]Facturacion a Fecha'!AX:AX,"Correctivo")</f>
        <v>1</v>
      </c>
      <c r="F54" s="25">
        <f>+SUMIFS('[1]Facturacion a Fecha'!$T:$T,'[1]Facturacion a Fecha'!$AY:$AY,Tabla1[[#This Row],[Cliente]],'[1]Facturacion a Fecha'!$AX:$AX,"Preventivo")</f>
        <v>5685548</v>
      </c>
      <c r="G54" s="25">
        <f>+COUNTIFS('[1]Facturacion a Fecha'!AY:AY,Tabla1[[#This Row],[Cliente]],'[1]Facturacion a Fecha'!AX:AX,"Preventivo")</f>
        <v>5</v>
      </c>
      <c r="H54" s="26">
        <f>+Tabla1[[#This Row],['# Preventivo]]+Tabla1[[#This Row],['# Correctivo]]</f>
        <v>6</v>
      </c>
      <c r="I54" s="23">
        <f>+IFERROR(Tabla1[[#This Row],[Ingreso 2025 - 2026 Correctivo]]/Tabla1[[#This Row],[Ingreso 2025 - 2026 Preventivo]],0)</f>
        <v>0.33324791207461446</v>
      </c>
      <c r="J54" s="27">
        <f>+IFERROR(Tabla1[[#This Row],['# Correctivo]]/Tabla1[[#This Row],['# Preventivo]],0)</f>
        <v>0.2</v>
      </c>
      <c r="K54" s="28">
        <f>+IFERROR(Tabla1[[#This Row],[Ingreso 2025 - 2026 Preventivo]]/(Tabla1[[#This Row],[Ingreso 2025 - 2026 Correctivo]]+Tabla1[[#This Row],[Ingreso 2025 - 2026 Preventivo]]),0)</f>
        <v>0.75004805253656048</v>
      </c>
      <c r="L54" s="28">
        <f>1-Tabla1[[#This Row],[% Preventivo $]]</f>
        <v>0.24995194746343952</v>
      </c>
      <c r="M54" s="29">
        <f>+COUNTIFS('[1]Base Instalada'!AA:AA,Tabla1[[#This Row],[Cliente]])</f>
        <v>19</v>
      </c>
      <c r="N54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4" s="29">
        <f>+COUNTIFS('[1]Base Instalada'!AA:AA,Tabla1[[#This Row],[Cliente]],'[1]Base Instalada'!Z:Z,"ESTERILIZACIÓN")</f>
        <v>4</v>
      </c>
      <c r="P54" s="29">
        <f>+COUNTIFS('[1]Base Instalada'!AA:AA,Tabla1[[#This Row],[Cliente]],'[1]Base Instalada'!Z:Z,"DENTAL")</f>
        <v>12</v>
      </c>
      <c r="Q54" s="29">
        <f>+COUNTIFS('[1]Base Instalada'!AA:AA,Tabla1[[#This Row],[Cliente]],'[1]Base Instalada'!Z:Z,"ENDOSCOPÍA")</f>
        <v>0</v>
      </c>
      <c r="R54" s="29">
        <f>+COUNTIFS('[1]Base Instalada'!AA:AA,Tabla1[[#This Row],[Cliente]],'[1]Base Instalada'!Z:Z,"INCARDIA")</f>
        <v>0</v>
      </c>
      <c r="S54" s="29">
        <f>+COUNTIFS('[1]Base Instalada'!AA:AA,Tabla1[[#This Row],[Cliente]],'[1]Base Instalada'!Z:Z,"MMQ")</f>
        <v>0</v>
      </c>
      <c r="T54" s="29">
        <f>+COUNTIFS('[1]Base Instalada'!AA:AA,Tabla1[[#This Row],[Cliente]],'[1]Base Instalada'!Z:Z,"REAS")</f>
        <v>0</v>
      </c>
      <c r="U54" s="30">
        <f>+COUNTIFS('[1]Base Instalada'!AA:AA,Tabla1[[#This Row],[Cliente]],'[1]Base Instalada'!Z:Z,"MOBILIARIO CLINICO")</f>
        <v>3</v>
      </c>
      <c r="V54" s="29">
        <f>+COUNTIFS('[1]Base Instalada'!AA:AA,Tabla1[[#This Row],[Cliente]],'[1]Base Instalada'!Z:Z,"OTRO")</f>
        <v>0</v>
      </c>
      <c r="W54" s="31" t="str">
        <f t="shared" si="0"/>
        <v>Región Metropolitana</v>
      </c>
      <c r="X54" s="31" t="str">
        <f t="shared" si="1"/>
        <v>Santiago</v>
      </c>
      <c r="Y54" s="32" t="s">
        <v>144</v>
      </c>
      <c r="Z54" s="33">
        <f>+COUNTIFS('[1]Pipeline TS'!$F:$F,Tabla1[[#This Row],[Cliente]])</f>
        <v>0</v>
      </c>
      <c r="AA54" s="34">
        <f>SUMIFS('[1]Pipeline Esterilización'!M:M,'[1]Pipeline Esterilización'!E:E,Tabla1[[#This Row],[Cliente]],'[1]Pipeline Esterilización'!B:B,"2026",'[1]Pipeline Esterilización'!L:L,"&gt;0")</f>
        <v>0</v>
      </c>
      <c r="AB54" s="33">
        <f>+SUMIFS('[1]Pipeline Endoscopía'!K:K,'[1]Pipeline Endoscopía'!E:E,Tabla1[[#This Row],[Cliente]],'[1]Pipeline Endoscopía'!B:B,"2026",'[1]Pipeline Endoscopía'!J:J,"&gt;0")</f>
        <v>0</v>
      </c>
      <c r="AC54" s="34">
        <f>+SUMIFS('[1]Pipeline Dental'!K:K,'[1]Pipeline Dental'!E:E,Tabla1[[#This Row],[Cliente]],'[1]Pipeline Dental'!B:B,"2026",'[1]Pipeline Dental'!J:J,"&gt;0")</f>
        <v>0</v>
      </c>
      <c r="AD54" s="35">
        <f>+SUMIFS('[1]Pipeline TS'!$AB:$AB,'[1]Pipeline TS'!$F:$F,Tabla1[[#This Row],[Cliente]])</f>
        <v>0</v>
      </c>
      <c r="AE54" s="35">
        <f>+SUM(Tabla1[[#This Row],[Pipeline 2026 $MM ESTERILIZACIÓN]:[Pipeline 2026 $MM TECSERVICE]])</f>
        <v>0</v>
      </c>
      <c r="AF54" s="43">
        <v>-33.422377723711698</v>
      </c>
      <c r="AG54" s="37">
        <v>-70.654842960885006</v>
      </c>
      <c r="AH54" s="38" t="str">
        <f>+IF(Tabla1[[#This Row],['# Contratos Vigentes ]]&gt;0,"SI","NO")</f>
        <v>NO</v>
      </c>
      <c r="AI54" s="39">
        <v>0.6</v>
      </c>
      <c r="AJ54" s="40">
        <f>+Tabla1[[#This Row],[Ingreso 2025 - 2026]]*Tabla1[[#This Row],[% Costo Serv. Directo]]</f>
        <v>4548147</v>
      </c>
      <c r="AK54" s="41">
        <v>4</v>
      </c>
      <c r="AL5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5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15177200</v>
      </c>
      <c r="AN54" s="42">
        <f>+Tabla1[[#This Row],[Potencial Equipos]]+Tabla1[[#This Row],[Potencial Pipeline]]</f>
        <v>15177200</v>
      </c>
    </row>
    <row r="55" spans="1:40" x14ac:dyDescent="0.25">
      <c r="A55" s="22" t="s">
        <v>145</v>
      </c>
      <c r="B55" t="str">
        <f>+VLOOKUP(Tabla1[[#This Row],[Cliente]],'[1]Público Privado'!$A$1:$B$325,2,FALSE)</f>
        <v>Privado</v>
      </c>
      <c r="C55" s="23">
        <f>+SUMIFS('[1]Facturacion a Fecha'!$T:$T,'[1]Facturacion a Fecha'!$AY:$AY,Tabla1[[#This Row],[Cliente]])</f>
        <v>7376584</v>
      </c>
      <c r="D55" s="24">
        <f>+SUMIFS('[1]Facturacion a Fecha'!$T:$T,'[1]Facturacion a Fecha'!$AY:$AY,Tabla1[[#This Row],[Cliente]],'[1]Facturacion a Fecha'!$AX:$AX,"Correctivo")</f>
        <v>6620984</v>
      </c>
      <c r="E55" s="25">
        <f>+COUNTIFS('[1]Facturacion a Fecha'!AY:AY,Tabla1[[#This Row],[Cliente]],'[1]Facturacion a Fecha'!AX:AX,"Correctivo")</f>
        <v>17</v>
      </c>
      <c r="F55" s="25">
        <f>+SUMIFS('[1]Facturacion a Fecha'!$T:$T,'[1]Facturacion a Fecha'!$AY:$AY,Tabla1[[#This Row],[Cliente]],'[1]Facturacion a Fecha'!$AX:$AX,"Preventivo")</f>
        <v>755600</v>
      </c>
      <c r="G55" s="25">
        <f>+COUNTIFS('[1]Facturacion a Fecha'!AY:AY,Tabla1[[#This Row],[Cliente]],'[1]Facturacion a Fecha'!AX:AX,"Preventivo")</f>
        <v>1</v>
      </c>
      <c r="H55" s="26">
        <f>+Tabla1[[#This Row],['# Preventivo]]+Tabla1[[#This Row],['# Correctivo]]</f>
        <v>18</v>
      </c>
      <c r="I55" s="23">
        <f>+IFERROR(Tabla1[[#This Row],[Ingreso 2025 - 2026 Correctivo]]/Tabla1[[#This Row],[Ingreso 2025 - 2026 Preventivo]],0)</f>
        <v>8.7625516146109046</v>
      </c>
      <c r="J55" s="27">
        <f>+IFERROR(Tabla1[[#This Row],['# Correctivo]]/Tabla1[[#This Row],['# Preventivo]],0)</f>
        <v>17</v>
      </c>
      <c r="K55" s="28">
        <f>+IFERROR(Tabla1[[#This Row],[Ingreso 2025 - 2026 Preventivo]]/(Tabla1[[#This Row],[Ingreso 2025 - 2026 Correctivo]]+Tabla1[[#This Row],[Ingreso 2025 - 2026 Preventivo]]),0)</f>
        <v>0.1024322369270112</v>
      </c>
      <c r="L55" s="28">
        <f>1-Tabla1[[#This Row],[% Preventivo $]]</f>
        <v>0.8975677630729888</v>
      </c>
      <c r="M55" s="29">
        <f>+COUNTIFS('[1]Base Instalada'!AA:AA,Tabla1[[#This Row],[Cliente]])</f>
        <v>11</v>
      </c>
      <c r="N55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5" s="29">
        <f>+COUNTIFS('[1]Base Instalada'!AA:AA,Tabla1[[#This Row],[Cliente]],'[1]Base Instalada'!Z:Z,"ESTERILIZACIÓN")</f>
        <v>3</v>
      </c>
      <c r="P55" s="29">
        <f>+COUNTIFS('[1]Base Instalada'!AA:AA,Tabla1[[#This Row],[Cliente]],'[1]Base Instalada'!Z:Z,"DENTAL")</f>
        <v>0</v>
      </c>
      <c r="Q55" s="29">
        <f>+COUNTIFS('[1]Base Instalada'!AA:AA,Tabla1[[#This Row],[Cliente]],'[1]Base Instalada'!Z:Z,"ENDOSCOPÍA")</f>
        <v>8</v>
      </c>
      <c r="R55" s="29">
        <f>+COUNTIFS('[1]Base Instalada'!AA:AA,Tabla1[[#This Row],[Cliente]],'[1]Base Instalada'!Z:Z,"INCARDIA")</f>
        <v>0</v>
      </c>
      <c r="S55" s="29">
        <f>+COUNTIFS('[1]Base Instalada'!AA:AA,Tabla1[[#This Row],[Cliente]],'[1]Base Instalada'!Z:Z,"MMQ")</f>
        <v>0</v>
      </c>
      <c r="T55" s="29">
        <f>+COUNTIFS('[1]Base Instalada'!AA:AA,Tabla1[[#This Row],[Cliente]],'[1]Base Instalada'!Z:Z,"REAS")</f>
        <v>0</v>
      </c>
      <c r="U55" s="30">
        <f>+COUNTIFS('[1]Base Instalada'!AA:AA,Tabla1[[#This Row],[Cliente]],'[1]Base Instalada'!Z:Z,"MOBILIARIO CLINICO")</f>
        <v>0</v>
      </c>
      <c r="V55" s="29">
        <f>+COUNTIFS('[1]Base Instalada'!AA:AA,Tabla1[[#This Row],[Cliente]],'[1]Base Instalada'!Z:Z,"OTRO")</f>
        <v>0</v>
      </c>
      <c r="W55" s="31" t="str">
        <f t="shared" si="0"/>
        <v>Región Bío Bío</v>
      </c>
      <c r="X55" s="31" t="str">
        <f t="shared" si="1"/>
        <v>Los Ángeles</v>
      </c>
      <c r="Y55" s="32" t="s">
        <v>146</v>
      </c>
      <c r="Z55" s="33">
        <f>+COUNTIFS('[1]Pipeline TS'!$F:$F,Tabla1[[#This Row],[Cliente]])</f>
        <v>0</v>
      </c>
      <c r="AA55" s="34">
        <f>SUMIFS('[1]Pipeline Esterilización'!M:M,'[1]Pipeline Esterilización'!E:E,Tabla1[[#This Row],[Cliente]],'[1]Pipeline Esterilización'!B:B,"2026",'[1]Pipeline Esterilización'!L:L,"&gt;0")</f>
        <v>0</v>
      </c>
      <c r="AB55" s="33">
        <f>+SUMIFS('[1]Pipeline Endoscopía'!K:K,'[1]Pipeline Endoscopía'!E:E,Tabla1[[#This Row],[Cliente]],'[1]Pipeline Endoscopía'!B:B,"2026",'[1]Pipeline Endoscopía'!J:J,"&gt;0")</f>
        <v>0</v>
      </c>
      <c r="AC55" s="34">
        <f>+SUMIFS('[1]Pipeline Dental'!K:K,'[1]Pipeline Dental'!E:E,Tabla1[[#This Row],[Cliente]],'[1]Pipeline Dental'!B:B,"2026",'[1]Pipeline Dental'!J:J,"&gt;0")</f>
        <v>0</v>
      </c>
      <c r="AD55" s="35">
        <f>+SUMIFS('[1]Pipeline TS'!$AB:$AB,'[1]Pipeline TS'!$F:$F,Tabla1[[#This Row],[Cliente]])</f>
        <v>0</v>
      </c>
      <c r="AE55" s="35">
        <f>+SUM(Tabla1[[#This Row],[Pipeline 2026 $MM ESTERILIZACIÓN]:[Pipeline 2026 $MM TECSERVICE]])</f>
        <v>0</v>
      </c>
      <c r="AF55" s="43">
        <v>-37.469233686333197</v>
      </c>
      <c r="AG55" s="37">
        <v>-72.354286294168404</v>
      </c>
      <c r="AH55" s="38" t="str">
        <f>+IF(Tabla1[[#This Row],['# Contratos Vigentes ]]&gt;0,"SI","NO")</f>
        <v>NO</v>
      </c>
      <c r="AI55" s="39">
        <v>0.6</v>
      </c>
      <c r="AJ55" s="40">
        <f>+Tabla1[[#This Row],[Ingreso 2025 - 2026]]*Tabla1[[#This Row],[% Costo Serv. Directo]]</f>
        <v>4425950.3999999994</v>
      </c>
      <c r="AK55" s="41">
        <v>4</v>
      </c>
      <c r="AL5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5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12872969.230769232</v>
      </c>
      <c r="AN55" s="42">
        <f>+Tabla1[[#This Row],[Potencial Equipos]]+Tabla1[[#This Row],[Potencial Pipeline]]</f>
        <v>12872969.230769232</v>
      </c>
    </row>
    <row r="56" spans="1:40" x14ac:dyDescent="0.25">
      <c r="A56" s="22" t="s">
        <v>147</v>
      </c>
      <c r="B56" t="str">
        <f>+VLOOKUP(Tabla1[[#This Row],[Cliente]],'[1]Público Privado'!$A$1:$B$325,2,FALSE)</f>
        <v>Privado</v>
      </c>
      <c r="C56" s="23">
        <f>+SUMIFS('[1]Facturacion a Fecha'!$T:$T,'[1]Facturacion a Fecha'!$AY:$AY,Tabla1[[#This Row],[Cliente]])</f>
        <v>7227703</v>
      </c>
      <c r="D56" s="24">
        <f>+SUMIFS('[1]Facturacion a Fecha'!$T:$T,'[1]Facturacion a Fecha'!$AY:$AY,Tabla1[[#This Row],[Cliente]],'[1]Facturacion a Fecha'!$AX:$AX,"Correctivo")</f>
        <v>3633795</v>
      </c>
      <c r="E56" s="25">
        <f>+COUNTIFS('[1]Facturacion a Fecha'!AY:AY,Tabla1[[#This Row],[Cliente]],'[1]Facturacion a Fecha'!AX:AX,"Correctivo")</f>
        <v>7</v>
      </c>
      <c r="F56" s="25">
        <f>+SUMIFS('[1]Facturacion a Fecha'!$T:$T,'[1]Facturacion a Fecha'!$AY:$AY,Tabla1[[#This Row],[Cliente]],'[1]Facturacion a Fecha'!$AX:$AX,"Preventivo")</f>
        <v>3593908</v>
      </c>
      <c r="G56" s="25">
        <f>+COUNTIFS('[1]Facturacion a Fecha'!AY:AY,Tabla1[[#This Row],[Cliente]],'[1]Facturacion a Fecha'!AX:AX,"Preventivo")</f>
        <v>8</v>
      </c>
      <c r="H56" s="26">
        <f>+Tabla1[[#This Row],['# Preventivo]]+Tabla1[[#This Row],['# Correctivo]]</f>
        <v>15</v>
      </c>
      <c r="I56" s="23">
        <f>+IFERROR(Tabla1[[#This Row],[Ingreso 2025 - 2026 Correctivo]]/Tabla1[[#This Row],[Ingreso 2025 - 2026 Preventivo]],0)</f>
        <v>1.011098503356235</v>
      </c>
      <c r="J56" s="27">
        <f>+IFERROR(Tabla1[[#This Row],['# Correctivo]]/Tabla1[[#This Row],['# Preventivo]],0)</f>
        <v>0.875</v>
      </c>
      <c r="K56" s="28">
        <f>+IFERROR(Tabla1[[#This Row],[Ingreso 2025 - 2026 Preventivo]]/(Tabla1[[#This Row],[Ingreso 2025 - 2026 Correctivo]]+Tabla1[[#This Row],[Ingreso 2025 - 2026 Preventivo]]),0)</f>
        <v>0.49724068628719248</v>
      </c>
      <c r="L56" s="28">
        <f>1-Tabla1[[#This Row],[% Preventivo $]]</f>
        <v>0.50275931371280747</v>
      </c>
      <c r="M56" s="29">
        <f>+COUNTIFS('[1]Base Instalada'!AA:AA,Tabla1[[#This Row],[Cliente]])</f>
        <v>12</v>
      </c>
      <c r="N56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6" s="29">
        <f>+COUNTIFS('[1]Base Instalada'!AA:AA,Tabla1[[#This Row],[Cliente]],'[1]Base Instalada'!Z:Z,"ESTERILIZACIÓN")</f>
        <v>3</v>
      </c>
      <c r="P56" s="29">
        <f>+COUNTIFS('[1]Base Instalada'!AA:AA,Tabla1[[#This Row],[Cliente]],'[1]Base Instalada'!Z:Z,"DENTAL")</f>
        <v>9</v>
      </c>
      <c r="Q56" s="29">
        <f>+COUNTIFS('[1]Base Instalada'!AA:AA,Tabla1[[#This Row],[Cliente]],'[1]Base Instalada'!Z:Z,"ENDOSCOPÍA")</f>
        <v>0</v>
      </c>
      <c r="R56" s="29">
        <f>+COUNTIFS('[1]Base Instalada'!AA:AA,Tabla1[[#This Row],[Cliente]],'[1]Base Instalada'!Z:Z,"INCARDIA")</f>
        <v>0</v>
      </c>
      <c r="S56" s="29">
        <f>+COUNTIFS('[1]Base Instalada'!AA:AA,Tabla1[[#This Row],[Cliente]],'[1]Base Instalada'!Z:Z,"MMQ")</f>
        <v>0</v>
      </c>
      <c r="T56" s="29">
        <f>+COUNTIFS('[1]Base Instalada'!AA:AA,Tabla1[[#This Row],[Cliente]],'[1]Base Instalada'!Z:Z,"REAS")</f>
        <v>0</v>
      </c>
      <c r="U56" s="30">
        <f>+COUNTIFS('[1]Base Instalada'!AA:AA,Tabla1[[#This Row],[Cliente]],'[1]Base Instalada'!Z:Z,"MOBILIARIO CLINICO")</f>
        <v>0</v>
      </c>
      <c r="V56" s="29">
        <f>+COUNTIFS('[1]Base Instalada'!AA:AA,Tabla1[[#This Row],[Cliente]],'[1]Base Instalada'!Z:Z,"OTRO")</f>
        <v>0</v>
      </c>
      <c r="W56" s="31" t="str">
        <f t="shared" si="0"/>
        <v>Región Metropolitana</v>
      </c>
      <c r="X56" s="31" t="str">
        <f t="shared" si="1"/>
        <v>La Florida</v>
      </c>
      <c r="Y56" s="32" t="s">
        <v>148</v>
      </c>
      <c r="Z56" s="33">
        <f>+COUNTIFS('[1]Pipeline TS'!$F:$F,Tabla1[[#This Row],[Cliente]])</f>
        <v>1</v>
      </c>
      <c r="AA56" s="34">
        <f>SUMIFS('[1]Pipeline Esterilización'!M:M,'[1]Pipeline Esterilización'!E:E,Tabla1[[#This Row],[Cliente]],'[1]Pipeline Esterilización'!B:B,"2026",'[1]Pipeline Esterilización'!L:L,"&gt;0")</f>
        <v>0</v>
      </c>
      <c r="AB56" s="33">
        <f>+SUMIFS('[1]Pipeline Endoscopía'!K:K,'[1]Pipeline Endoscopía'!E:E,Tabla1[[#This Row],[Cliente]],'[1]Pipeline Endoscopía'!B:B,"2026",'[1]Pipeline Endoscopía'!J:J,"&gt;0")</f>
        <v>0</v>
      </c>
      <c r="AC56" s="34">
        <f>+SUMIFS('[1]Pipeline Dental'!K:K,'[1]Pipeline Dental'!E:E,Tabla1[[#This Row],[Cliente]],'[1]Pipeline Dental'!B:B,"2026",'[1]Pipeline Dental'!J:J,"&gt;0")</f>
        <v>0</v>
      </c>
      <c r="AD56" s="35">
        <f>+SUMIFS('[1]Pipeline TS'!$AB:$AB,'[1]Pipeline TS'!$F:$F,Tabla1[[#This Row],[Cliente]])</f>
        <v>5462368.4399999995</v>
      </c>
      <c r="AE56" s="35">
        <f>+SUM(Tabla1[[#This Row],[Pipeline 2026 $MM ESTERILIZACIÓN]:[Pipeline 2026 $MM TECSERVICE]])</f>
        <v>5462368.4399999995</v>
      </c>
      <c r="AF56" s="43">
        <v>-33.5448098796466</v>
      </c>
      <c r="AG56" s="37">
        <v>-70.588080512368194</v>
      </c>
      <c r="AH56" s="38" t="str">
        <f>+IF(Tabla1[[#This Row],['# Contratos Vigentes ]]&gt;0,"SI","NO")</f>
        <v>SI</v>
      </c>
      <c r="AI56" s="39">
        <v>0.6</v>
      </c>
      <c r="AJ56" s="40">
        <f>+Tabla1[[#This Row],[Ingreso 2025 - 2026]]*Tabla1[[#This Row],[% Costo Serv. Directo]]</f>
        <v>4336621.8</v>
      </c>
      <c r="AK56" s="41">
        <v>4</v>
      </c>
      <c r="AL5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5462368.4399999995</v>
      </c>
      <c r="AM5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56" s="42">
        <f>+Tabla1[[#This Row],[Potencial Equipos]]+Tabla1[[#This Row],[Potencial Pipeline]]</f>
        <v>5462368.4399999995</v>
      </c>
    </row>
    <row r="57" spans="1:40" x14ac:dyDescent="0.25">
      <c r="A57" s="22" t="s">
        <v>149</v>
      </c>
      <c r="B57" t="str">
        <f>+VLOOKUP(Tabla1[[#This Row],[Cliente]],'[1]Público Privado'!$A$1:$B$325,2,FALSE)</f>
        <v>Privado</v>
      </c>
      <c r="C57" s="23">
        <f>+SUMIFS('[1]Facturacion a Fecha'!$T:$T,'[1]Facturacion a Fecha'!$AY:$AY,Tabla1[[#This Row],[Cliente]])</f>
        <v>8793839.120000001</v>
      </c>
      <c r="D57" s="24">
        <f>+SUMIFS('[1]Facturacion a Fecha'!$T:$T,'[1]Facturacion a Fecha'!$AY:$AY,Tabla1[[#This Row],[Cliente]],'[1]Facturacion a Fecha'!$AX:$AX,"Correctivo")</f>
        <v>1085502.1199999999</v>
      </c>
      <c r="E57" s="25">
        <f>+COUNTIFS('[1]Facturacion a Fecha'!AY:AY,Tabla1[[#This Row],[Cliente]],'[1]Facturacion a Fecha'!AX:AX,"Correctivo")</f>
        <v>17</v>
      </c>
      <c r="F57" s="25">
        <f>+SUMIFS('[1]Facturacion a Fecha'!$T:$T,'[1]Facturacion a Fecha'!$AY:$AY,Tabla1[[#This Row],[Cliente]],'[1]Facturacion a Fecha'!$AX:$AX,"Preventivo")</f>
        <v>7708337</v>
      </c>
      <c r="G57" s="25">
        <f>+COUNTIFS('[1]Facturacion a Fecha'!AY:AY,Tabla1[[#This Row],[Cliente]],'[1]Facturacion a Fecha'!AX:AX,"Preventivo")</f>
        <v>13</v>
      </c>
      <c r="H57" s="26">
        <f>+Tabla1[[#This Row],['# Preventivo]]+Tabla1[[#This Row],['# Correctivo]]</f>
        <v>30</v>
      </c>
      <c r="I57" s="23">
        <f>+IFERROR(Tabla1[[#This Row],[Ingreso 2025 - 2026 Correctivo]]/Tabla1[[#This Row],[Ingreso 2025 - 2026 Preventivo]],0)</f>
        <v>0.14082182966312967</v>
      </c>
      <c r="J57" s="27">
        <f>+IFERROR(Tabla1[[#This Row],['# Correctivo]]/Tabla1[[#This Row],['# Preventivo]],0)</f>
        <v>1.3076923076923077</v>
      </c>
      <c r="K57" s="28">
        <f>+IFERROR(Tabla1[[#This Row],[Ingreso 2025 - 2026 Preventivo]]/(Tabla1[[#This Row],[Ingreso 2025 - 2026 Correctivo]]+Tabla1[[#This Row],[Ingreso 2025 - 2026 Preventivo]]),0)</f>
        <v>0.87656106676647971</v>
      </c>
      <c r="L57" s="28">
        <f>1-Tabla1[[#This Row],[% Preventivo $]]</f>
        <v>0.12343893323352029</v>
      </c>
      <c r="M57" s="29">
        <f>+COUNTIFS('[1]Base Instalada'!AA:AA,Tabla1[[#This Row],[Cliente]])</f>
        <v>8</v>
      </c>
      <c r="N57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7" s="29">
        <f>+COUNTIFS('[1]Base Instalada'!AA:AA,Tabla1[[#This Row],[Cliente]],'[1]Base Instalada'!Z:Z,"ESTERILIZACIÓN")</f>
        <v>0</v>
      </c>
      <c r="P57" s="29">
        <f>+COUNTIFS('[1]Base Instalada'!AA:AA,Tabla1[[#This Row],[Cliente]],'[1]Base Instalada'!Z:Z,"DENTAL")</f>
        <v>0</v>
      </c>
      <c r="Q57" s="29">
        <f>+COUNTIFS('[1]Base Instalada'!AA:AA,Tabla1[[#This Row],[Cliente]],'[1]Base Instalada'!Z:Z,"ENDOSCOPÍA")</f>
        <v>8</v>
      </c>
      <c r="R57" s="29">
        <f>+COUNTIFS('[1]Base Instalada'!AA:AA,Tabla1[[#This Row],[Cliente]],'[1]Base Instalada'!Z:Z,"INCARDIA")</f>
        <v>0</v>
      </c>
      <c r="S57" s="29">
        <f>+COUNTIFS('[1]Base Instalada'!AA:AA,Tabla1[[#This Row],[Cliente]],'[1]Base Instalada'!Z:Z,"MMQ")</f>
        <v>0</v>
      </c>
      <c r="T57" s="29">
        <f>+COUNTIFS('[1]Base Instalada'!AA:AA,Tabla1[[#This Row],[Cliente]],'[1]Base Instalada'!Z:Z,"REAS")</f>
        <v>0</v>
      </c>
      <c r="U57" s="30">
        <f>+COUNTIFS('[1]Base Instalada'!AA:AA,Tabla1[[#This Row],[Cliente]],'[1]Base Instalada'!Z:Z,"MOBILIARIO CLINICO")</f>
        <v>0</v>
      </c>
      <c r="V57" s="29">
        <f>+COUNTIFS('[1]Base Instalada'!AA:AA,Tabla1[[#This Row],[Cliente]],'[1]Base Instalada'!Z:Z,"OTRO")</f>
        <v>0</v>
      </c>
      <c r="W57" s="31" t="str">
        <f t="shared" si="0"/>
        <v>Región Valparaíso</v>
      </c>
      <c r="X57" s="31" t="str">
        <f t="shared" si="1"/>
        <v>San Antonio</v>
      </c>
      <c r="Y57" s="32" t="s">
        <v>150</v>
      </c>
      <c r="Z57" s="33">
        <f>+COUNTIFS('[1]Pipeline TS'!$F:$F,Tabla1[[#This Row],[Cliente]])</f>
        <v>1</v>
      </c>
      <c r="AA57" s="34">
        <f>SUMIFS('[1]Pipeline Esterilización'!M:M,'[1]Pipeline Esterilización'!E:E,Tabla1[[#This Row],[Cliente]],'[1]Pipeline Esterilización'!B:B,"2026",'[1]Pipeline Esterilización'!L:L,"&gt;0")</f>
        <v>0</v>
      </c>
      <c r="AB57" s="33">
        <f>+SUMIFS('[1]Pipeline Endoscopía'!K:K,'[1]Pipeline Endoscopía'!E:E,Tabla1[[#This Row],[Cliente]],'[1]Pipeline Endoscopía'!B:B,"2026",'[1]Pipeline Endoscopía'!J:J,"&gt;0")</f>
        <v>65000000</v>
      </c>
      <c r="AC57" s="34">
        <f>+SUMIFS('[1]Pipeline Dental'!K:K,'[1]Pipeline Dental'!E:E,Tabla1[[#This Row],[Cliente]],'[1]Pipeline Dental'!B:B,"2026",'[1]Pipeline Dental'!J:J,"&gt;0")</f>
        <v>0</v>
      </c>
      <c r="AD57" s="35">
        <f>+SUMIFS('[1]Pipeline TS'!$AB:$AB,'[1]Pipeline TS'!$F:$F,Tabla1[[#This Row],[Cliente]])</f>
        <v>3324919.92</v>
      </c>
      <c r="AE57" s="35">
        <f>+SUM(Tabla1[[#This Row],[Pipeline 2026 $MM ESTERILIZACIÓN]:[Pipeline 2026 $MM TECSERVICE]])</f>
        <v>68324919.920000002</v>
      </c>
      <c r="AF57" s="43">
        <v>-33.588107002112103</v>
      </c>
      <c r="AG57" s="37">
        <v>-71.608855458956398</v>
      </c>
      <c r="AH57" s="38" t="str">
        <f>+IF(Tabla1[[#This Row],['# Contratos Vigentes ]]&gt;0,"SI","NO")</f>
        <v>SI</v>
      </c>
      <c r="AI57" s="39">
        <v>0.6</v>
      </c>
      <c r="AJ57" s="40">
        <f>+Tabla1[[#This Row],[Ingreso 2025 - 2026]]*Tabla1[[#This Row],[% Costo Serv. Directo]]</f>
        <v>5276303.4720000001</v>
      </c>
      <c r="AK57" s="41">
        <v>4</v>
      </c>
      <c r="AL5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7224919.9199999999</v>
      </c>
      <c r="AM5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57" s="42">
        <f>+Tabla1[[#This Row],[Potencial Equipos]]+Tabla1[[#This Row],[Potencial Pipeline]]</f>
        <v>7224919.9199999999</v>
      </c>
    </row>
    <row r="58" spans="1:40" x14ac:dyDescent="0.25">
      <c r="A58" s="22" t="s">
        <v>151</v>
      </c>
      <c r="B58" t="str">
        <f>+VLOOKUP(Tabla1[[#This Row],[Cliente]],'[1]Público Privado'!$A$1:$B$325,2,FALSE)</f>
        <v>Privado</v>
      </c>
      <c r="C58" s="23">
        <f>+SUMIFS('[1]Facturacion a Fecha'!$T:$T,'[1]Facturacion a Fecha'!$AY:$AY,Tabla1[[#This Row],[Cliente]])</f>
        <v>6960948</v>
      </c>
      <c r="D58" s="24">
        <f>+SUMIFS('[1]Facturacion a Fecha'!$T:$T,'[1]Facturacion a Fecha'!$AY:$AY,Tabla1[[#This Row],[Cliente]],'[1]Facturacion a Fecha'!$AX:$AX,"Correctivo")</f>
        <v>4223373</v>
      </c>
      <c r="E58" s="25">
        <f>+COUNTIFS('[1]Facturacion a Fecha'!AY:AY,Tabla1[[#This Row],[Cliente]],'[1]Facturacion a Fecha'!AX:AX,"Correctivo")</f>
        <v>7</v>
      </c>
      <c r="F58" s="25">
        <f>+SUMIFS('[1]Facturacion a Fecha'!$T:$T,'[1]Facturacion a Fecha'!$AY:$AY,Tabla1[[#This Row],[Cliente]],'[1]Facturacion a Fecha'!$AX:$AX,"Preventivo")</f>
        <v>2737575</v>
      </c>
      <c r="G58" s="25">
        <f>+COUNTIFS('[1]Facturacion a Fecha'!AY:AY,Tabla1[[#This Row],[Cliente]],'[1]Facturacion a Fecha'!AX:AX,"Preventivo")</f>
        <v>3</v>
      </c>
      <c r="H58" s="26">
        <f>+Tabla1[[#This Row],['# Preventivo]]+Tabla1[[#This Row],['# Correctivo]]</f>
        <v>10</v>
      </c>
      <c r="I58" s="23">
        <f>+IFERROR(Tabla1[[#This Row],[Ingreso 2025 - 2026 Correctivo]]/Tabla1[[#This Row],[Ingreso 2025 - 2026 Preventivo]],0)</f>
        <v>1.5427423906194351</v>
      </c>
      <c r="J58" s="27">
        <f>+IFERROR(Tabla1[[#This Row],['# Correctivo]]/Tabla1[[#This Row],['# Preventivo]],0)</f>
        <v>2.3333333333333335</v>
      </c>
      <c r="K58" s="28">
        <f>+IFERROR(Tabla1[[#This Row],[Ingreso 2025 - 2026 Preventivo]]/(Tabla1[[#This Row],[Ingreso 2025 - 2026 Correctivo]]+Tabla1[[#This Row],[Ingreso 2025 - 2026 Preventivo]]),0)</f>
        <v>0.3932761744521005</v>
      </c>
      <c r="L58" s="28">
        <f>1-Tabla1[[#This Row],[% Preventivo $]]</f>
        <v>0.6067238255478995</v>
      </c>
      <c r="M58" s="29">
        <f>+COUNTIFS('[1]Base Instalada'!AA:AA,Tabla1[[#This Row],[Cliente]])</f>
        <v>7</v>
      </c>
      <c r="N58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8" s="29">
        <f>+COUNTIFS('[1]Base Instalada'!AA:AA,Tabla1[[#This Row],[Cliente]],'[1]Base Instalada'!Z:Z,"ESTERILIZACIÓN")</f>
        <v>2</v>
      </c>
      <c r="P58" s="29">
        <f>+COUNTIFS('[1]Base Instalada'!AA:AA,Tabla1[[#This Row],[Cliente]],'[1]Base Instalada'!Z:Z,"DENTAL")</f>
        <v>4</v>
      </c>
      <c r="Q58" s="29">
        <f>+COUNTIFS('[1]Base Instalada'!AA:AA,Tabla1[[#This Row],[Cliente]],'[1]Base Instalada'!Z:Z,"ENDOSCOPÍA")</f>
        <v>0</v>
      </c>
      <c r="R58" s="29">
        <f>+COUNTIFS('[1]Base Instalada'!AA:AA,Tabla1[[#This Row],[Cliente]],'[1]Base Instalada'!Z:Z,"INCARDIA")</f>
        <v>0</v>
      </c>
      <c r="S58" s="29">
        <f>+COUNTIFS('[1]Base Instalada'!AA:AA,Tabla1[[#This Row],[Cliente]],'[1]Base Instalada'!Z:Z,"MMQ")</f>
        <v>0</v>
      </c>
      <c r="T58" s="29">
        <f>+COUNTIFS('[1]Base Instalada'!AA:AA,Tabla1[[#This Row],[Cliente]],'[1]Base Instalada'!Z:Z,"REAS")</f>
        <v>0</v>
      </c>
      <c r="U58" s="30">
        <f>+COUNTIFS('[1]Base Instalada'!AA:AA,Tabla1[[#This Row],[Cliente]],'[1]Base Instalada'!Z:Z,"MOBILIARIO CLINICO")</f>
        <v>1</v>
      </c>
      <c r="V58" s="29">
        <f>+COUNTIFS('[1]Base Instalada'!AA:AA,Tabla1[[#This Row],[Cliente]],'[1]Base Instalada'!Z:Z,"OTRO")</f>
        <v>0</v>
      </c>
      <c r="W58" s="31" t="str">
        <f t="shared" si="0"/>
        <v>Región Metropolitana</v>
      </c>
      <c r="X58" s="31" t="str">
        <f t="shared" si="1"/>
        <v>Providencia</v>
      </c>
      <c r="Y58" s="32" t="s">
        <v>152</v>
      </c>
      <c r="Z58" s="33">
        <f>+COUNTIFS('[1]Pipeline TS'!$F:$F,Tabla1[[#This Row],[Cliente]])</f>
        <v>1</v>
      </c>
      <c r="AA58" s="34">
        <f>SUMIFS('[1]Pipeline Esterilización'!M:M,'[1]Pipeline Esterilización'!E:E,Tabla1[[#This Row],[Cliente]],'[1]Pipeline Esterilización'!B:B,"2026",'[1]Pipeline Esterilización'!L:L,"&gt;0")</f>
        <v>0</v>
      </c>
      <c r="AB58" s="33">
        <f>+SUMIFS('[1]Pipeline Endoscopía'!K:K,'[1]Pipeline Endoscopía'!E:E,Tabla1[[#This Row],[Cliente]],'[1]Pipeline Endoscopía'!B:B,"2026",'[1]Pipeline Endoscopía'!J:J,"&gt;0")</f>
        <v>0</v>
      </c>
      <c r="AC58" s="34">
        <f>+SUMIFS('[1]Pipeline Dental'!K:K,'[1]Pipeline Dental'!E:E,Tabla1[[#This Row],[Cliente]],'[1]Pipeline Dental'!B:B,"2026",'[1]Pipeline Dental'!J:J,"&gt;0")</f>
        <v>0</v>
      </c>
      <c r="AD58" s="35">
        <f>+SUMIFS('[1]Pipeline TS'!$AB:$AB,'[1]Pipeline TS'!$F:$F,Tabla1[[#This Row],[Cliente]])</f>
        <v>5557366.1399999997</v>
      </c>
      <c r="AE58" s="35">
        <f>+SUM(Tabla1[[#This Row],[Pipeline 2026 $MM ESTERILIZACIÓN]:[Pipeline 2026 $MM TECSERVICE]])</f>
        <v>5557366.1399999997</v>
      </c>
      <c r="AF58" s="43">
        <v>-33.436853215416697</v>
      </c>
      <c r="AG58" s="37">
        <v>-70.608466229252898</v>
      </c>
      <c r="AH58" s="38" t="str">
        <f>+IF(Tabla1[[#This Row],['# Contratos Vigentes ]]&gt;0,"SI","NO")</f>
        <v>SI</v>
      </c>
      <c r="AI58" s="39">
        <v>0.6</v>
      </c>
      <c r="AJ58" s="40">
        <f>+Tabla1[[#This Row],[Ingreso 2025 - 2026]]*Tabla1[[#This Row],[% Costo Serv. Directo]]</f>
        <v>4176568.8</v>
      </c>
      <c r="AK58" s="41">
        <v>3</v>
      </c>
      <c r="AL5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5557366.1399999997</v>
      </c>
      <c r="AM5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58" s="42">
        <f>+Tabla1[[#This Row],[Potencial Equipos]]+Tabla1[[#This Row],[Potencial Pipeline]]</f>
        <v>5557366.1399999997</v>
      </c>
    </row>
    <row r="59" spans="1:40" x14ac:dyDescent="0.25">
      <c r="A59" s="22" t="s">
        <v>153</v>
      </c>
      <c r="B59" t="str">
        <f>+VLOOKUP(Tabla1[[#This Row],[Cliente]],'[1]Público Privado'!$A$1:$B$325,2,FALSE)</f>
        <v>Privado</v>
      </c>
      <c r="C59" s="23">
        <f>+SUMIFS('[1]Facturacion a Fecha'!$T:$T,'[1]Facturacion a Fecha'!$AY:$AY,Tabla1[[#This Row],[Cliente]])</f>
        <v>6847029</v>
      </c>
      <c r="D59" s="24">
        <f>+SUMIFS('[1]Facturacion a Fecha'!$T:$T,'[1]Facturacion a Fecha'!$AY:$AY,Tabla1[[#This Row],[Cliente]],'[1]Facturacion a Fecha'!$AX:$AX,"Correctivo")</f>
        <v>3520290</v>
      </c>
      <c r="E59" s="25">
        <f>+COUNTIFS('[1]Facturacion a Fecha'!AY:AY,Tabla1[[#This Row],[Cliente]],'[1]Facturacion a Fecha'!AX:AX,"Correctivo")</f>
        <v>11</v>
      </c>
      <c r="F59" s="25">
        <f>+SUMIFS('[1]Facturacion a Fecha'!$T:$T,'[1]Facturacion a Fecha'!$AY:$AY,Tabla1[[#This Row],[Cliente]],'[1]Facturacion a Fecha'!$AX:$AX,"Preventivo")</f>
        <v>3326739</v>
      </c>
      <c r="G59" s="25">
        <f>+COUNTIFS('[1]Facturacion a Fecha'!AY:AY,Tabla1[[#This Row],[Cliente]],'[1]Facturacion a Fecha'!AX:AX,"Preventivo")</f>
        <v>9</v>
      </c>
      <c r="H59" s="26">
        <f>+Tabla1[[#This Row],['# Preventivo]]+Tabla1[[#This Row],['# Correctivo]]</f>
        <v>20</v>
      </c>
      <c r="I59" s="23">
        <f>+IFERROR(Tabla1[[#This Row],[Ingreso 2025 - 2026 Correctivo]]/Tabla1[[#This Row],[Ingreso 2025 - 2026 Preventivo]],0)</f>
        <v>1.0581803982819211</v>
      </c>
      <c r="J59" s="27">
        <f>+IFERROR(Tabla1[[#This Row],['# Correctivo]]/Tabla1[[#This Row],['# Preventivo]],0)</f>
        <v>1.2222222222222223</v>
      </c>
      <c r="K59" s="28">
        <f>+IFERROR(Tabla1[[#This Row],[Ingreso 2025 - 2026 Preventivo]]/(Tabla1[[#This Row],[Ingreso 2025 - 2026 Correctivo]]+Tabla1[[#This Row],[Ingreso 2025 - 2026 Preventivo]]),0)</f>
        <v>0.48586605957123885</v>
      </c>
      <c r="L59" s="28">
        <f>1-Tabla1[[#This Row],[% Preventivo $]]</f>
        <v>0.51413394042876115</v>
      </c>
      <c r="M59" s="29">
        <f>+COUNTIFS('[1]Base Instalada'!AA:AA,Tabla1[[#This Row],[Cliente]])</f>
        <v>5</v>
      </c>
      <c r="N59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59" s="29">
        <f>+COUNTIFS('[1]Base Instalada'!AA:AA,Tabla1[[#This Row],[Cliente]],'[1]Base Instalada'!Z:Z,"ESTERILIZACIÓN")</f>
        <v>4</v>
      </c>
      <c r="P59" s="29">
        <f>+COUNTIFS('[1]Base Instalada'!AA:AA,Tabla1[[#This Row],[Cliente]],'[1]Base Instalada'!Z:Z,"DENTAL")</f>
        <v>1</v>
      </c>
      <c r="Q59" s="29">
        <f>+COUNTIFS('[1]Base Instalada'!AA:AA,Tabla1[[#This Row],[Cliente]],'[1]Base Instalada'!Z:Z,"ENDOSCOPÍA")</f>
        <v>0</v>
      </c>
      <c r="R59" s="29">
        <f>+COUNTIFS('[1]Base Instalada'!AA:AA,Tabla1[[#This Row],[Cliente]],'[1]Base Instalada'!Z:Z,"INCARDIA")</f>
        <v>0</v>
      </c>
      <c r="S59" s="29">
        <f>+COUNTIFS('[1]Base Instalada'!AA:AA,Tabla1[[#This Row],[Cliente]],'[1]Base Instalada'!Z:Z,"MMQ")</f>
        <v>0</v>
      </c>
      <c r="T59" s="29">
        <f>+COUNTIFS('[1]Base Instalada'!AA:AA,Tabla1[[#This Row],[Cliente]],'[1]Base Instalada'!Z:Z,"REAS")</f>
        <v>0</v>
      </c>
      <c r="U59" s="30">
        <f>+COUNTIFS('[1]Base Instalada'!AA:AA,Tabla1[[#This Row],[Cliente]],'[1]Base Instalada'!Z:Z,"MOBILIARIO CLINICO")</f>
        <v>0</v>
      </c>
      <c r="V59" s="29">
        <f>+COUNTIFS('[1]Base Instalada'!AA:AA,Tabla1[[#This Row],[Cliente]],'[1]Base Instalada'!Z:Z,"OTRO")</f>
        <v>0</v>
      </c>
      <c r="W59" s="31" t="str">
        <f t="shared" si="0"/>
        <v>Región Los Ríos</v>
      </c>
      <c r="X59" s="31" t="str">
        <f t="shared" si="1"/>
        <v>Valdivia</v>
      </c>
      <c r="Y59" s="32" t="s">
        <v>154</v>
      </c>
      <c r="Z59" s="33">
        <f>+COUNTIFS('[1]Pipeline TS'!$F:$F,Tabla1[[#This Row],[Cliente]])</f>
        <v>0</v>
      </c>
      <c r="AA59" s="34">
        <f>SUMIFS('[1]Pipeline Esterilización'!M:M,'[1]Pipeline Esterilización'!E:E,Tabla1[[#This Row],[Cliente]],'[1]Pipeline Esterilización'!B:B,"2026",'[1]Pipeline Esterilización'!L:L,"&gt;0")</f>
        <v>0</v>
      </c>
      <c r="AB59" s="33">
        <f>+SUMIFS('[1]Pipeline Endoscopía'!K:K,'[1]Pipeline Endoscopía'!E:E,Tabla1[[#This Row],[Cliente]],'[1]Pipeline Endoscopía'!B:B,"2026",'[1]Pipeline Endoscopía'!J:J,"&gt;0")</f>
        <v>0</v>
      </c>
      <c r="AC59" s="34">
        <f>+SUMIFS('[1]Pipeline Dental'!K:K,'[1]Pipeline Dental'!E:E,Tabla1[[#This Row],[Cliente]],'[1]Pipeline Dental'!B:B,"2026",'[1]Pipeline Dental'!J:J,"&gt;0")</f>
        <v>0</v>
      </c>
      <c r="AD59" s="35">
        <f>+SUMIFS('[1]Pipeline TS'!$AB:$AB,'[1]Pipeline TS'!$F:$F,Tabla1[[#This Row],[Cliente]])</f>
        <v>0</v>
      </c>
      <c r="AE59" s="35">
        <f>+SUM(Tabla1[[#This Row],[Pipeline 2026 $MM ESTERILIZACIÓN]:[Pipeline 2026 $MM TECSERVICE]])</f>
        <v>0</v>
      </c>
      <c r="AF59" s="43">
        <v>-39.813311621267601</v>
      </c>
      <c r="AG59" s="37">
        <v>-73.236848069989605</v>
      </c>
      <c r="AH59" s="38" t="str">
        <f>+IF(Tabla1[[#This Row],['# Contratos Vigentes ]]&gt;0,"SI","NO")</f>
        <v>NO</v>
      </c>
      <c r="AI59" s="39">
        <v>0.6</v>
      </c>
      <c r="AJ59" s="40">
        <f>+Tabla1[[#This Row],[Ingreso 2025 - 2026]]*Tabla1[[#This Row],[% Costo Serv. Directo]]</f>
        <v>4108217.4</v>
      </c>
      <c r="AK59" s="41">
        <v>5</v>
      </c>
      <c r="AL5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5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8587100</v>
      </c>
      <c r="AN59" s="42">
        <f>+Tabla1[[#This Row],[Potencial Equipos]]+Tabla1[[#This Row],[Potencial Pipeline]]</f>
        <v>8587100</v>
      </c>
    </row>
    <row r="60" spans="1:40" x14ac:dyDescent="0.25">
      <c r="A60" s="22" t="s">
        <v>155</v>
      </c>
      <c r="B60" t="str">
        <f>+VLOOKUP(Tabla1[[#This Row],[Cliente]],'[1]Público Privado'!$A$1:$B$325,2,FALSE)</f>
        <v>Público</v>
      </c>
      <c r="C60" s="23">
        <f>+SUMIFS('[1]Facturacion a Fecha'!$T:$T,'[1]Facturacion a Fecha'!$AY:$AY,Tabla1[[#This Row],[Cliente]])</f>
        <v>6664475</v>
      </c>
      <c r="D60" s="24">
        <f>+SUMIFS('[1]Facturacion a Fecha'!$T:$T,'[1]Facturacion a Fecha'!$AY:$AY,Tabla1[[#This Row],[Cliente]],'[1]Facturacion a Fecha'!$AX:$AX,"Correctivo")</f>
        <v>0</v>
      </c>
      <c r="E60" s="25">
        <f>+COUNTIFS('[1]Facturacion a Fecha'!AY:AY,Tabla1[[#This Row],[Cliente]],'[1]Facturacion a Fecha'!AX:AX,"Correctivo")</f>
        <v>0</v>
      </c>
      <c r="F60" s="25">
        <f>+SUMIFS('[1]Facturacion a Fecha'!$T:$T,'[1]Facturacion a Fecha'!$AY:$AY,Tabla1[[#This Row],[Cliente]],'[1]Facturacion a Fecha'!$AX:$AX,"Preventivo")</f>
        <v>6664475</v>
      </c>
      <c r="G60" s="25">
        <f>+COUNTIFS('[1]Facturacion a Fecha'!AY:AY,Tabla1[[#This Row],[Cliente]],'[1]Facturacion a Fecha'!AX:AX,"Preventivo")</f>
        <v>3</v>
      </c>
      <c r="H60" s="26">
        <f>+Tabla1[[#This Row],['# Preventivo]]+Tabla1[[#This Row],['# Correctivo]]</f>
        <v>3</v>
      </c>
      <c r="I60" s="23">
        <f>+IFERROR(Tabla1[[#This Row],[Ingreso 2025 - 2026 Correctivo]]/Tabla1[[#This Row],[Ingreso 2025 - 2026 Preventivo]],0)</f>
        <v>0</v>
      </c>
      <c r="J60" s="27">
        <f>+IFERROR(Tabla1[[#This Row],['# Correctivo]]/Tabla1[[#This Row],['# Preventivo]],0)</f>
        <v>0</v>
      </c>
      <c r="K60" s="28">
        <f>+IFERROR(Tabla1[[#This Row],[Ingreso 2025 - 2026 Preventivo]]/(Tabla1[[#This Row],[Ingreso 2025 - 2026 Correctivo]]+Tabla1[[#This Row],[Ingreso 2025 - 2026 Preventivo]]),0)</f>
        <v>1</v>
      </c>
      <c r="L60" s="28">
        <f>1-Tabla1[[#This Row],[% Preventivo $]]</f>
        <v>0</v>
      </c>
      <c r="M60" s="29">
        <f>+COUNTIFS('[1]Base Instalada'!AA:AA,Tabla1[[#This Row],[Cliente]])</f>
        <v>3</v>
      </c>
      <c r="N60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0" s="29">
        <f>+COUNTIFS('[1]Base Instalada'!AA:AA,Tabla1[[#This Row],[Cliente]],'[1]Base Instalada'!Z:Z,"ESTERILIZACIÓN")</f>
        <v>3</v>
      </c>
      <c r="P60" s="29">
        <f>+COUNTIFS('[1]Base Instalada'!AA:AA,Tabla1[[#This Row],[Cliente]],'[1]Base Instalada'!Z:Z,"DENTAL")</f>
        <v>0</v>
      </c>
      <c r="Q60" s="29">
        <f>+COUNTIFS('[1]Base Instalada'!AA:AA,Tabla1[[#This Row],[Cliente]],'[1]Base Instalada'!Z:Z,"ENDOSCOPÍA")</f>
        <v>0</v>
      </c>
      <c r="R60" s="29">
        <f>+COUNTIFS('[1]Base Instalada'!AA:AA,Tabla1[[#This Row],[Cliente]],'[1]Base Instalada'!Z:Z,"INCARDIA")</f>
        <v>0</v>
      </c>
      <c r="S60" s="29">
        <f>+COUNTIFS('[1]Base Instalada'!AA:AA,Tabla1[[#This Row],[Cliente]],'[1]Base Instalada'!Z:Z,"MMQ")</f>
        <v>0</v>
      </c>
      <c r="T60" s="29">
        <f>+COUNTIFS('[1]Base Instalada'!AA:AA,Tabla1[[#This Row],[Cliente]],'[1]Base Instalada'!Z:Z,"REAS")</f>
        <v>0</v>
      </c>
      <c r="U60" s="30">
        <f>+COUNTIFS('[1]Base Instalada'!AA:AA,Tabla1[[#This Row],[Cliente]],'[1]Base Instalada'!Z:Z,"MOBILIARIO CLINICO")</f>
        <v>0</v>
      </c>
      <c r="V60" s="29">
        <f>+COUNTIFS('[1]Base Instalada'!AA:AA,Tabla1[[#This Row],[Cliente]],'[1]Base Instalada'!Z:Z,"OTRO")</f>
        <v>0</v>
      </c>
      <c r="W60" s="31" t="str">
        <f t="shared" si="0"/>
        <v>Región Bío Bío</v>
      </c>
      <c r="X60" s="31" t="str">
        <f t="shared" si="1"/>
        <v>Los Álamos</v>
      </c>
      <c r="Y60" s="32" t="s">
        <v>156</v>
      </c>
      <c r="Z60" s="33">
        <f>+COUNTIFS('[1]Pipeline TS'!$F:$F,Tabla1[[#This Row],[Cliente]])</f>
        <v>0</v>
      </c>
      <c r="AA60" s="34">
        <f>SUMIFS('[1]Pipeline Esterilización'!M:M,'[1]Pipeline Esterilización'!E:E,Tabla1[[#This Row],[Cliente]],'[1]Pipeline Esterilización'!B:B,"2026",'[1]Pipeline Esterilización'!L:L,"&gt;0")</f>
        <v>0</v>
      </c>
      <c r="AB60" s="33">
        <f>+SUMIFS('[1]Pipeline Endoscopía'!K:K,'[1]Pipeline Endoscopía'!E:E,Tabla1[[#This Row],[Cliente]],'[1]Pipeline Endoscopía'!B:B,"2026",'[1]Pipeline Endoscopía'!J:J,"&gt;0")</f>
        <v>0</v>
      </c>
      <c r="AC60" s="34">
        <f>+SUMIFS('[1]Pipeline Dental'!K:K,'[1]Pipeline Dental'!E:E,Tabla1[[#This Row],[Cliente]],'[1]Pipeline Dental'!B:B,"2026",'[1]Pipeline Dental'!J:J,"&gt;0")</f>
        <v>0</v>
      </c>
      <c r="AD60" s="35">
        <f>+SUMIFS('[1]Pipeline TS'!$AB:$AB,'[1]Pipeline TS'!$F:$F,Tabla1[[#This Row],[Cliente]])</f>
        <v>0</v>
      </c>
      <c r="AE60" s="35">
        <f>+SUM(Tabla1[[#This Row],[Pipeline 2026 $MM ESTERILIZACIÓN]:[Pipeline 2026 $MM TECSERVICE]])</f>
        <v>0</v>
      </c>
      <c r="AF60" s="43">
        <v>-37.625756817742896</v>
      </c>
      <c r="AG60" s="37">
        <v>-73.461804706662093</v>
      </c>
      <c r="AH60" s="38" t="str">
        <f>+IF(Tabla1[[#This Row],['# Contratos Vigentes ]]&gt;0,"SI","NO")</f>
        <v>NO</v>
      </c>
      <c r="AI60" s="39">
        <v>0.6</v>
      </c>
      <c r="AJ60" s="40">
        <f>+Tabla1[[#This Row],[Ingreso 2025 - 2026]]*Tabla1[[#This Row],[% Costo Serv. Directo]]</f>
        <v>3998685</v>
      </c>
      <c r="AK60" s="41">
        <v>5</v>
      </c>
      <c r="AL6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6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5991000</v>
      </c>
      <c r="AN60" s="42">
        <f>+Tabla1[[#This Row],[Potencial Equipos]]+Tabla1[[#This Row],[Potencial Pipeline]]</f>
        <v>5991000</v>
      </c>
    </row>
    <row r="61" spans="1:40" x14ac:dyDescent="0.25">
      <c r="A61" s="22" t="s">
        <v>157</v>
      </c>
      <c r="B61" t="str">
        <f>+VLOOKUP(Tabla1[[#This Row],[Cliente]],'[1]Público Privado'!$A$1:$B$325,2,FALSE)</f>
        <v>Privado</v>
      </c>
      <c r="C61" s="23">
        <f>+SUMIFS('[1]Facturacion a Fecha'!$T:$T,'[1]Facturacion a Fecha'!$AY:$AY,Tabla1[[#This Row],[Cliente]])</f>
        <v>6954498</v>
      </c>
      <c r="D61" s="24">
        <f>+SUMIFS('[1]Facturacion a Fecha'!$T:$T,'[1]Facturacion a Fecha'!$AY:$AY,Tabla1[[#This Row],[Cliente]],'[1]Facturacion a Fecha'!$AX:$AX,"Correctivo")</f>
        <v>6954498</v>
      </c>
      <c r="E61" s="25">
        <f>+COUNTIFS('[1]Facturacion a Fecha'!AY:AY,Tabla1[[#This Row],[Cliente]],'[1]Facturacion a Fecha'!AX:AX,"Correctivo")</f>
        <v>6</v>
      </c>
      <c r="F61" s="25">
        <f>+SUMIFS('[1]Facturacion a Fecha'!$T:$T,'[1]Facturacion a Fecha'!$AY:$AY,Tabla1[[#This Row],[Cliente]],'[1]Facturacion a Fecha'!$AX:$AX,"Preventivo")</f>
        <v>0</v>
      </c>
      <c r="G61" s="25">
        <f>+COUNTIFS('[1]Facturacion a Fecha'!AY:AY,Tabla1[[#This Row],[Cliente]],'[1]Facturacion a Fecha'!AX:AX,"Preventivo")</f>
        <v>0</v>
      </c>
      <c r="H61" s="26">
        <f>+Tabla1[[#This Row],['# Preventivo]]+Tabla1[[#This Row],['# Correctivo]]</f>
        <v>6</v>
      </c>
      <c r="I61" s="23">
        <f>+IFERROR(Tabla1[[#This Row],[Ingreso 2025 - 2026 Correctivo]]/Tabla1[[#This Row],[Ingreso 2025 - 2026 Preventivo]],0)</f>
        <v>0</v>
      </c>
      <c r="J61" s="27">
        <f>+IFERROR(Tabla1[[#This Row],['# Correctivo]]/Tabla1[[#This Row],['# Preventivo]],0)</f>
        <v>0</v>
      </c>
      <c r="K61" s="28">
        <f>+IFERROR(Tabla1[[#This Row],[Ingreso 2025 - 2026 Preventivo]]/(Tabla1[[#This Row],[Ingreso 2025 - 2026 Correctivo]]+Tabla1[[#This Row],[Ingreso 2025 - 2026 Preventivo]]),0)</f>
        <v>0</v>
      </c>
      <c r="L61" s="28">
        <f>1-Tabla1[[#This Row],[% Preventivo $]]</f>
        <v>1</v>
      </c>
      <c r="M61" s="29">
        <f>+COUNTIFS('[1]Base Instalada'!AA:AA,Tabla1[[#This Row],[Cliente]])</f>
        <v>3</v>
      </c>
      <c r="N61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1" s="29">
        <f>+COUNTIFS('[1]Base Instalada'!AA:AA,Tabla1[[#This Row],[Cliente]],'[1]Base Instalada'!Z:Z,"ESTERILIZACIÓN")</f>
        <v>3</v>
      </c>
      <c r="P61" s="29">
        <f>+COUNTIFS('[1]Base Instalada'!AA:AA,Tabla1[[#This Row],[Cliente]],'[1]Base Instalada'!Z:Z,"DENTAL")</f>
        <v>0</v>
      </c>
      <c r="Q61" s="29">
        <f>+COUNTIFS('[1]Base Instalada'!AA:AA,Tabla1[[#This Row],[Cliente]],'[1]Base Instalada'!Z:Z,"ENDOSCOPÍA")</f>
        <v>0</v>
      </c>
      <c r="R61" s="29">
        <f>+COUNTIFS('[1]Base Instalada'!AA:AA,Tabla1[[#This Row],[Cliente]],'[1]Base Instalada'!Z:Z,"INCARDIA")</f>
        <v>0</v>
      </c>
      <c r="S61" s="29">
        <f>+COUNTIFS('[1]Base Instalada'!AA:AA,Tabla1[[#This Row],[Cliente]],'[1]Base Instalada'!Z:Z,"MMQ")</f>
        <v>0</v>
      </c>
      <c r="T61" s="29">
        <f>+COUNTIFS('[1]Base Instalada'!AA:AA,Tabla1[[#This Row],[Cliente]],'[1]Base Instalada'!Z:Z,"REAS")</f>
        <v>0</v>
      </c>
      <c r="U61" s="30">
        <f>+COUNTIFS('[1]Base Instalada'!AA:AA,Tabla1[[#This Row],[Cliente]],'[1]Base Instalada'!Z:Z,"MOBILIARIO CLINICO")</f>
        <v>0</v>
      </c>
      <c r="V61" s="29">
        <f>+COUNTIFS('[1]Base Instalada'!AA:AA,Tabla1[[#This Row],[Cliente]],'[1]Base Instalada'!Z:Z,"OTRO")</f>
        <v>0</v>
      </c>
      <c r="W61" s="31" t="str">
        <f t="shared" si="0"/>
        <v>Región Bío Bío</v>
      </c>
      <c r="X61" s="31" t="str">
        <f t="shared" si="1"/>
        <v>Concepción</v>
      </c>
      <c r="Y61" s="32" t="s">
        <v>158</v>
      </c>
      <c r="Z61" s="33">
        <f>+COUNTIFS('[1]Pipeline TS'!$F:$F,Tabla1[[#This Row],[Cliente]])</f>
        <v>0</v>
      </c>
      <c r="AA61" s="34">
        <f>SUMIFS('[1]Pipeline Esterilización'!M:M,'[1]Pipeline Esterilización'!E:E,Tabla1[[#This Row],[Cliente]],'[1]Pipeline Esterilización'!B:B,"2026",'[1]Pipeline Esterilización'!L:L,"&gt;0")</f>
        <v>0</v>
      </c>
      <c r="AB61" s="33">
        <f>+SUMIFS('[1]Pipeline Endoscopía'!K:K,'[1]Pipeline Endoscopía'!E:E,Tabla1[[#This Row],[Cliente]],'[1]Pipeline Endoscopía'!B:B,"2026",'[1]Pipeline Endoscopía'!J:J,"&gt;0")</f>
        <v>0</v>
      </c>
      <c r="AC61" s="34">
        <f>+SUMIFS('[1]Pipeline Dental'!K:K,'[1]Pipeline Dental'!E:E,Tabla1[[#This Row],[Cliente]],'[1]Pipeline Dental'!B:B,"2026",'[1]Pipeline Dental'!J:J,"&gt;0")</f>
        <v>0</v>
      </c>
      <c r="AD61" s="35">
        <f>+SUMIFS('[1]Pipeline TS'!$AB:$AB,'[1]Pipeline TS'!$F:$F,Tabla1[[#This Row],[Cliente]])</f>
        <v>0</v>
      </c>
      <c r="AE61" s="35">
        <f>+SUM(Tabla1[[#This Row],[Pipeline 2026 $MM ESTERILIZACIÓN]:[Pipeline 2026 $MM TECSERVICE]])</f>
        <v>0</v>
      </c>
      <c r="AF61" s="43">
        <v>-36.824707055731402</v>
      </c>
      <c r="AG61" s="37">
        <v>-73.044244439462204</v>
      </c>
      <c r="AH61" s="38" t="str">
        <f>+IF(Tabla1[[#This Row],['# Contratos Vigentes ]]&gt;0,"SI","NO")</f>
        <v>NO</v>
      </c>
      <c r="AI61" s="39">
        <v>0.6</v>
      </c>
      <c r="AJ61" s="40">
        <f>+Tabla1[[#This Row],[Ingreso 2025 - 2026]]*Tabla1[[#This Row],[% Costo Serv. Directo]]</f>
        <v>4172698.8</v>
      </c>
      <c r="AK61" s="41">
        <v>5</v>
      </c>
      <c r="AL6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6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5991000</v>
      </c>
      <c r="AN61" s="42">
        <f>+Tabla1[[#This Row],[Potencial Equipos]]+Tabla1[[#This Row],[Potencial Pipeline]]</f>
        <v>5991000</v>
      </c>
    </row>
    <row r="62" spans="1:40" x14ac:dyDescent="0.25">
      <c r="A62" s="22" t="s">
        <v>159</v>
      </c>
      <c r="B62" t="str">
        <f>+VLOOKUP(Tabla1[[#This Row],[Cliente]],'[1]Público Privado'!$A$1:$B$325,2,FALSE)</f>
        <v>Privado</v>
      </c>
      <c r="C62" s="23">
        <f>+SUMIFS('[1]Facturacion a Fecha'!$T:$T,'[1]Facturacion a Fecha'!$AY:$AY,Tabla1[[#This Row],[Cliente]])</f>
        <v>6050404</v>
      </c>
      <c r="D62" s="24">
        <f>+SUMIFS('[1]Facturacion a Fecha'!$T:$T,'[1]Facturacion a Fecha'!$AY:$AY,Tabla1[[#This Row],[Cliente]],'[1]Facturacion a Fecha'!$AX:$AX,"Correctivo")</f>
        <v>6050404</v>
      </c>
      <c r="E62" s="25">
        <f>+COUNTIFS('[1]Facturacion a Fecha'!AY:AY,Tabla1[[#This Row],[Cliente]],'[1]Facturacion a Fecha'!AX:AX,"Correctivo")</f>
        <v>1</v>
      </c>
      <c r="F62" s="25">
        <f>+SUMIFS('[1]Facturacion a Fecha'!$T:$T,'[1]Facturacion a Fecha'!$AY:$AY,Tabla1[[#This Row],[Cliente]],'[1]Facturacion a Fecha'!$AX:$AX,"Preventivo")</f>
        <v>0</v>
      </c>
      <c r="G62" s="25">
        <f>+COUNTIFS('[1]Facturacion a Fecha'!AY:AY,Tabla1[[#This Row],[Cliente]],'[1]Facturacion a Fecha'!AX:AX,"Preventivo")</f>
        <v>0</v>
      </c>
      <c r="H62" s="26">
        <f>+Tabla1[[#This Row],['# Preventivo]]+Tabla1[[#This Row],['# Correctivo]]</f>
        <v>1</v>
      </c>
      <c r="I62" s="23">
        <f>+IFERROR(Tabla1[[#This Row],[Ingreso 2025 - 2026 Correctivo]]/Tabla1[[#This Row],[Ingreso 2025 - 2026 Preventivo]],0)</f>
        <v>0</v>
      </c>
      <c r="J62" s="27">
        <f>+IFERROR(Tabla1[[#This Row],['# Correctivo]]/Tabla1[[#This Row],['# Preventivo]],0)</f>
        <v>0</v>
      </c>
      <c r="K62" s="28">
        <f>+IFERROR(Tabla1[[#This Row],[Ingreso 2025 - 2026 Preventivo]]/(Tabla1[[#This Row],[Ingreso 2025 - 2026 Correctivo]]+Tabla1[[#This Row],[Ingreso 2025 - 2026 Preventivo]]),0)</f>
        <v>0</v>
      </c>
      <c r="L62" s="28">
        <f>1-Tabla1[[#This Row],[% Preventivo $]]</f>
        <v>1</v>
      </c>
      <c r="M62" s="29">
        <f>+COUNTIFS('[1]Base Instalada'!AA:AA,Tabla1[[#This Row],[Cliente]])</f>
        <v>54</v>
      </c>
      <c r="N62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2" s="29">
        <f>+COUNTIFS('[1]Base Instalada'!AA:AA,Tabla1[[#This Row],[Cliente]],'[1]Base Instalada'!Z:Z,"ESTERILIZACIÓN")</f>
        <v>21</v>
      </c>
      <c r="P62" s="29">
        <f>+COUNTIFS('[1]Base Instalada'!AA:AA,Tabla1[[#This Row],[Cliente]],'[1]Base Instalada'!Z:Z,"DENTAL")</f>
        <v>33</v>
      </c>
      <c r="Q62" s="29">
        <f>+COUNTIFS('[1]Base Instalada'!AA:AA,Tabla1[[#This Row],[Cliente]],'[1]Base Instalada'!Z:Z,"ENDOSCOPÍA")</f>
        <v>0</v>
      </c>
      <c r="R62" s="29">
        <f>+COUNTIFS('[1]Base Instalada'!AA:AA,Tabla1[[#This Row],[Cliente]],'[1]Base Instalada'!Z:Z,"INCARDIA")</f>
        <v>0</v>
      </c>
      <c r="S62" s="29">
        <f>+COUNTIFS('[1]Base Instalada'!AA:AA,Tabla1[[#This Row],[Cliente]],'[1]Base Instalada'!Z:Z,"MMQ")</f>
        <v>0</v>
      </c>
      <c r="T62" s="29">
        <f>+COUNTIFS('[1]Base Instalada'!AA:AA,Tabla1[[#This Row],[Cliente]],'[1]Base Instalada'!Z:Z,"REAS")</f>
        <v>0</v>
      </c>
      <c r="U62" s="30">
        <f>+COUNTIFS('[1]Base Instalada'!AA:AA,Tabla1[[#This Row],[Cliente]],'[1]Base Instalada'!Z:Z,"MOBILIARIO CLINICO")</f>
        <v>0</v>
      </c>
      <c r="V62" s="29">
        <f>+COUNTIFS('[1]Base Instalada'!AA:AA,Tabla1[[#This Row],[Cliente]],'[1]Base Instalada'!Z:Z,"OTRO")</f>
        <v>0</v>
      </c>
      <c r="W62" s="31" t="str">
        <f t="shared" si="0"/>
        <v>Valparaíso Valparaíso</v>
      </c>
      <c r="X62" s="31" t="str">
        <f t="shared" si="1"/>
        <v>Valparaíso</v>
      </c>
      <c r="Y62" s="32" t="s">
        <v>160</v>
      </c>
      <c r="Z62" s="33">
        <f>+COUNTIFS('[1]Pipeline TS'!$F:$F,Tabla1[[#This Row],[Cliente]])</f>
        <v>1</v>
      </c>
      <c r="AA62" s="34">
        <f>SUMIFS('[1]Pipeline Esterilización'!M:M,'[1]Pipeline Esterilización'!E:E,Tabla1[[#This Row],[Cliente]],'[1]Pipeline Esterilización'!B:B,"2026",'[1]Pipeline Esterilización'!L:L,"&gt;0")</f>
        <v>0</v>
      </c>
      <c r="AB62" s="33">
        <f>+SUMIFS('[1]Pipeline Endoscopía'!K:K,'[1]Pipeline Endoscopía'!E:E,Tabla1[[#This Row],[Cliente]],'[1]Pipeline Endoscopía'!B:B,"2026",'[1]Pipeline Endoscopía'!J:J,"&gt;0")</f>
        <v>0</v>
      </c>
      <c r="AC62" s="34">
        <f>+SUMIFS('[1]Pipeline Dental'!K:K,'[1]Pipeline Dental'!E:E,Tabla1[[#This Row],[Cliente]],'[1]Pipeline Dental'!B:B,"2026",'[1]Pipeline Dental'!J:J,"&gt;0")</f>
        <v>298586640</v>
      </c>
      <c r="AD62" s="35">
        <f>+SUMIFS('[1]Pipeline TS'!$AB:$AB,'[1]Pipeline TS'!$F:$F,Tabla1[[#This Row],[Cliente]])</f>
        <v>12062334.48</v>
      </c>
      <c r="AE62" s="35">
        <f>+SUM(Tabla1[[#This Row],[Pipeline 2026 $MM ESTERILIZACIÓN]:[Pipeline 2026 $MM TECSERVICE]])</f>
        <v>310648974.48000002</v>
      </c>
      <c r="AF62" s="43">
        <v>-33.040426324898803</v>
      </c>
      <c r="AG62" s="37">
        <v>-71.625379438803506</v>
      </c>
      <c r="AH62" s="38" t="str">
        <f>+IF(Tabla1[[#This Row],['# Contratos Vigentes ]]&gt;0,"SI","NO")</f>
        <v>SI</v>
      </c>
      <c r="AI62" s="39">
        <v>0.6</v>
      </c>
      <c r="AJ62" s="40">
        <f>+Tabla1[[#This Row],[Ingreso 2025 - 2026]]*Tabla1[[#This Row],[% Costo Serv. Directo]]</f>
        <v>3630242.4</v>
      </c>
      <c r="AK62" s="41">
        <v>5</v>
      </c>
      <c r="AL6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29977532.879999999</v>
      </c>
      <c r="AM6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62" s="42">
        <f>+Tabla1[[#This Row],[Potencial Equipos]]+Tabla1[[#This Row],[Potencial Pipeline]]</f>
        <v>29977532.879999999</v>
      </c>
    </row>
    <row r="63" spans="1:40" x14ac:dyDescent="0.25">
      <c r="A63" s="22" t="s">
        <v>161</v>
      </c>
      <c r="B63" t="str">
        <f>+VLOOKUP(Tabla1[[#This Row],[Cliente]],'[1]Público Privado'!$A$1:$B$325,2,FALSE)</f>
        <v>Privado</v>
      </c>
      <c r="C63" s="23">
        <f>+SUMIFS('[1]Facturacion a Fecha'!$T:$T,'[1]Facturacion a Fecha'!$AY:$AY,Tabla1[[#This Row],[Cliente]])</f>
        <v>5884104</v>
      </c>
      <c r="D63" s="24">
        <f>+SUMIFS('[1]Facturacion a Fecha'!$T:$T,'[1]Facturacion a Fecha'!$AY:$AY,Tabla1[[#This Row],[Cliente]],'[1]Facturacion a Fecha'!$AX:$AX,"Correctivo")</f>
        <v>2436178</v>
      </c>
      <c r="E63" s="25">
        <f>+COUNTIFS('[1]Facturacion a Fecha'!AY:AY,Tabla1[[#This Row],[Cliente]],'[1]Facturacion a Fecha'!AX:AX,"Correctivo")</f>
        <v>3</v>
      </c>
      <c r="F63" s="25">
        <f>+SUMIFS('[1]Facturacion a Fecha'!$T:$T,'[1]Facturacion a Fecha'!$AY:$AY,Tabla1[[#This Row],[Cliente]],'[1]Facturacion a Fecha'!$AX:$AX,"Preventivo")</f>
        <v>3447926</v>
      </c>
      <c r="G63" s="25">
        <f>+COUNTIFS('[1]Facturacion a Fecha'!AY:AY,Tabla1[[#This Row],[Cliente]],'[1]Facturacion a Fecha'!AX:AX,"Preventivo")</f>
        <v>6</v>
      </c>
      <c r="H63" s="26">
        <f>+Tabla1[[#This Row],['# Preventivo]]+Tabla1[[#This Row],['# Correctivo]]</f>
        <v>9</v>
      </c>
      <c r="I63" s="23">
        <f>+IFERROR(Tabla1[[#This Row],[Ingreso 2025 - 2026 Correctivo]]/Tabla1[[#This Row],[Ingreso 2025 - 2026 Preventivo]],0)</f>
        <v>0.70656330791322086</v>
      </c>
      <c r="J63" s="27">
        <f>+IFERROR(Tabla1[[#This Row],['# Correctivo]]/Tabla1[[#This Row],['# Preventivo]],0)</f>
        <v>0.5</v>
      </c>
      <c r="K63" s="28">
        <f>+IFERROR(Tabla1[[#This Row],[Ingreso 2025 - 2026 Preventivo]]/(Tabla1[[#This Row],[Ingreso 2025 - 2026 Correctivo]]+Tabla1[[#This Row],[Ingreso 2025 - 2026 Preventivo]]),0)</f>
        <v>0.58597298756106286</v>
      </c>
      <c r="L63" s="28">
        <f>1-Tabla1[[#This Row],[% Preventivo $]]</f>
        <v>0.41402701243893714</v>
      </c>
      <c r="M63" s="29">
        <f>+COUNTIFS('[1]Base Instalada'!AA:AA,Tabla1[[#This Row],[Cliente]])</f>
        <v>9</v>
      </c>
      <c r="N63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3" s="29">
        <f>+COUNTIFS('[1]Base Instalada'!AA:AA,Tabla1[[#This Row],[Cliente]],'[1]Base Instalada'!Z:Z,"ESTERILIZACIÓN")</f>
        <v>2</v>
      </c>
      <c r="P63" s="29">
        <f>+COUNTIFS('[1]Base Instalada'!AA:AA,Tabla1[[#This Row],[Cliente]],'[1]Base Instalada'!Z:Z,"DENTAL")</f>
        <v>7</v>
      </c>
      <c r="Q63" s="29">
        <f>+COUNTIFS('[1]Base Instalada'!AA:AA,Tabla1[[#This Row],[Cliente]],'[1]Base Instalada'!Z:Z,"ENDOSCOPÍA")</f>
        <v>0</v>
      </c>
      <c r="R63" s="29">
        <f>+COUNTIFS('[1]Base Instalada'!AA:AA,Tabla1[[#This Row],[Cliente]],'[1]Base Instalada'!Z:Z,"INCARDIA")</f>
        <v>0</v>
      </c>
      <c r="S63" s="29">
        <f>+COUNTIFS('[1]Base Instalada'!AA:AA,Tabla1[[#This Row],[Cliente]],'[1]Base Instalada'!Z:Z,"MMQ")</f>
        <v>0</v>
      </c>
      <c r="T63" s="29">
        <f>+COUNTIFS('[1]Base Instalada'!AA:AA,Tabla1[[#This Row],[Cliente]],'[1]Base Instalada'!Z:Z,"REAS")</f>
        <v>0</v>
      </c>
      <c r="U63" s="30">
        <f>+COUNTIFS('[1]Base Instalada'!AA:AA,Tabla1[[#This Row],[Cliente]],'[1]Base Instalada'!Z:Z,"MOBILIARIO CLINICO")</f>
        <v>0</v>
      </c>
      <c r="V63" s="29">
        <f>+COUNTIFS('[1]Base Instalada'!AA:AA,Tabla1[[#This Row],[Cliente]],'[1]Base Instalada'!Z:Z,"OTRO")</f>
        <v>0</v>
      </c>
      <c r="W63" s="31" t="str">
        <f t="shared" si="0"/>
        <v>Región Metropolitana</v>
      </c>
      <c r="X63" s="31" t="str">
        <f t="shared" si="1"/>
        <v>Providencia</v>
      </c>
      <c r="Y63" s="32" t="s">
        <v>162</v>
      </c>
      <c r="Z63" s="33">
        <f>+COUNTIFS('[1]Pipeline TS'!$F:$F,Tabla1[[#This Row],[Cliente]])</f>
        <v>0</v>
      </c>
      <c r="AA63" s="34">
        <f>SUMIFS('[1]Pipeline Esterilización'!M:M,'[1]Pipeline Esterilización'!E:E,Tabla1[[#This Row],[Cliente]],'[1]Pipeline Esterilización'!B:B,"2026",'[1]Pipeline Esterilización'!L:L,"&gt;0")</f>
        <v>0</v>
      </c>
      <c r="AB63" s="33">
        <f>+SUMIFS('[1]Pipeline Endoscopía'!K:K,'[1]Pipeline Endoscopía'!E:E,Tabla1[[#This Row],[Cliente]],'[1]Pipeline Endoscopía'!B:B,"2026",'[1]Pipeline Endoscopía'!J:J,"&gt;0")</f>
        <v>0</v>
      </c>
      <c r="AC63" s="34">
        <f>+SUMIFS('[1]Pipeline Dental'!K:K,'[1]Pipeline Dental'!E:E,Tabla1[[#This Row],[Cliente]],'[1]Pipeline Dental'!B:B,"2026",'[1]Pipeline Dental'!J:J,"&gt;0")</f>
        <v>0</v>
      </c>
      <c r="AD63" s="35">
        <f>+SUMIFS('[1]Pipeline TS'!$AB:$AB,'[1]Pipeline TS'!$F:$F,Tabla1[[#This Row],[Cliente]])</f>
        <v>0</v>
      </c>
      <c r="AE63" s="35">
        <f>+SUM(Tabla1[[#This Row],[Pipeline 2026 $MM ESTERILIZACIÓN]:[Pipeline 2026 $MM TECSERVICE]])</f>
        <v>0</v>
      </c>
      <c r="AF63" s="43">
        <v>-33.422537590354402</v>
      </c>
      <c r="AG63" s="37">
        <v>-70.621721822990395</v>
      </c>
      <c r="AH63" s="38" t="str">
        <f>+IF(Tabla1[[#This Row],['# Contratos Vigentes ]]&gt;0,"SI","NO")</f>
        <v>NO</v>
      </c>
      <c r="AI63" s="39">
        <v>0.6</v>
      </c>
      <c r="AJ63" s="40">
        <f>+Tabla1[[#This Row],[Ingreso 2025 - 2026]]*Tabla1[[#This Row],[% Costo Serv. Directo]]</f>
        <v>3530462.4</v>
      </c>
      <c r="AK63" s="41">
        <v>4</v>
      </c>
      <c r="AL6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6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8187700</v>
      </c>
      <c r="AN63" s="42">
        <f>+Tabla1[[#This Row],[Potencial Equipos]]+Tabla1[[#This Row],[Potencial Pipeline]]</f>
        <v>8187700</v>
      </c>
    </row>
    <row r="64" spans="1:40" x14ac:dyDescent="0.25">
      <c r="A64" s="22" t="s">
        <v>163</v>
      </c>
      <c r="B64" t="str">
        <f>+VLOOKUP(Tabla1[[#This Row],[Cliente]],'[1]Público Privado'!$A$1:$B$325,2,FALSE)</f>
        <v>Público</v>
      </c>
      <c r="C64" s="23">
        <f>+SUMIFS('[1]Facturacion a Fecha'!$T:$T,'[1]Facturacion a Fecha'!$AY:$AY,Tabla1[[#This Row],[Cliente]])</f>
        <v>5768479</v>
      </c>
      <c r="D64" s="24">
        <f>+SUMIFS('[1]Facturacion a Fecha'!$T:$T,'[1]Facturacion a Fecha'!$AY:$AY,Tabla1[[#This Row],[Cliente]],'[1]Facturacion a Fecha'!$AX:$AX,"Correctivo")</f>
        <v>5768479</v>
      </c>
      <c r="E64" s="25">
        <f>+COUNTIFS('[1]Facturacion a Fecha'!AY:AY,Tabla1[[#This Row],[Cliente]],'[1]Facturacion a Fecha'!AX:AX,"Correctivo")</f>
        <v>10</v>
      </c>
      <c r="F64" s="25">
        <f>+SUMIFS('[1]Facturacion a Fecha'!$T:$T,'[1]Facturacion a Fecha'!$AY:$AY,Tabla1[[#This Row],[Cliente]],'[1]Facturacion a Fecha'!$AX:$AX,"Preventivo")</f>
        <v>0</v>
      </c>
      <c r="G64" s="25">
        <f>+COUNTIFS('[1]Facturacion a Fecha'!AY:AY,Tabla1[[#This Row],[Cliente]],'[1]Facturacion a Fecha'!AX:AX,"Preventivo")</f>
        <v>0</v>
      </c>
      <c r="H64" s="26">
        <f>+Tabla1[[#This Row],['# Preventivo]]+Tabla1[[#This Row],['# Correctivo]]</f>
        <v>10</v>
      </c>
      <c r="I64" s="23">
        <f>+IFERROR(Tabla1[[#This Row],[Ingreso 2025 - 2026 Correctivo]]/Tabla1[[#This Row],[Ingreso 2025 - 2026 Preventivo]],0)</f>
        <v>0</v>
      </c>
      <c r="J64" s="27">
        <f>+IFERROR(Tabla1[[#This Row],['# Correctivo]]/Tabla1[[#This Row],['# Preventivo]],0)</f>
        <v>0</v>
      </c>
      <c r="K64" s="28">
        <f>+IFERROR(Tabla1[[#This Row],[Ingreso 2025 - 2026 Preventivo]]/(Tabla1[[#This Row],[Ingreso 2025 - 2026 Correctivo]]+Tabla1[[#This Row],[Ingreso 2025 - 2026 Preventivo]]),0)</f>
        <v>0</v>
      </c>
      <c r="L64" s="28">
        <f>1-Tabla1[[#This Row],[% Preventivo $]]</f>
        <v>1</v>
      </c>
      <c r="M64" s="29">
        <f>+COUNTIFS('[1]Base Instalada'!AA:AA,Tabla1[[#This Row],[Cliente]])</f>
        <v>13</v>
      </c>
      <c r="N64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4" s="29">
        <f>+COUNTIFS('[1]Base Instalada'!AA:AA,Tabla1[[#This Row],[Cliente]],'[1]Base Instalada'!Z:Z,"ESTERILIZACIÓN")</f>
        <v>2</v>
      </c>
      <c r="P64" s="29">
        <f>+COUNTIFS('[1]Base Instalada'!AA:AA,Tabla1[[#This Row],[Cliente]],'[1]Base Instalada'!Z:Z,"DENTAL")</f>
        <v>10</v>
      </c>
      <c r="Q64" s="29">
        <f>+COUNTIFS('[1]Base Instalada'!AA:AA,Tabla1[[#This Row],[Cliente]],'[1]Base Instalada'!Z:Z,"ENDOSCOPÍA")</f>
        <v>0</v>
      </c>
      <c r="R64" s="29">
        <f>+COUNTIFS('[1]Base Instalada'!AA:AA,Tabla1[[#This Row],[Cliente]],'[1]Base Instalada'!Z:Z,"INCARDIA")</f>
        <v>1</v>
      </c>
      <c r="S64" s="29">
        <f>+COUNTIFS('[1]Base Instalada'!AA:AA,Tabla1[[#This Row],[Cliente]],'[1]Base Instalada'!Z:Z,"MMQ")</f>
        <v>0</v>
      </c>
      <c r="T64" s="29">
        <f>+COUNTIFS('[1]Base Instalada'!AA:AA,Tabla1[[#This Row],[Cliente]],'[1]Base Instalada'!Z:Z,"REAS")</f>
        <v>0</v>
      </c>
      <c r="U64" s="30">
        <f>+COUNTIFS('[1]Base Instalada'!AA:AA,Tabla1[[#This Row],[Cliente]],'[1]Base Instalada'!Z:Z,"MOBILIARIO CLINICO")</f>
        <v>0</v>
      </c>
      <c r="V64" s="29">
        <f>+COUNTIFS('[1]Base Instalada'!AA:AA,Tabla1[[#This Row],[Cliente]],'[1]Base Instalada'!Z:Z,"OTRO")</f>
        <v>0</v>
      </c>
      <c r="W64" s="31" t="str">
        <f t="shared" si="0"/>
        <v>Región Bío Bío</v>
      </c>
      <c r="X64" s="31" t="str">
        <f t="shared" si="1"/>
        <v>Yumbel</v>
      </c>
      <c r="Y64" s="32" t="s">
        <v>164</v>
      </c>
      <c r="Z64" s="33">
        <f>+COUNTIFS('[1]Pipeline TS'!$F:$F,Tabla1[[#This Row],[Cliente]])</f>
        <v>0</v>
      </c>
      <c r="AA64" s="34">
        <f>SUMIFS('[1]Pipeline Esterilización'!M:M,'[1]Pipeline Esterilización'!E:E,Tabla1[[#This Row],[Cliente]],'[1]Pipeline Esterilización'!B:B,"2026",'[1]Pipeline Esterilización'!L:L,"&gt;0")</f>
        <v>0</v>
      </c>
      <c r="AB64" s="33">
        <f>+SUMIFS('[1]Pipeline Endoscopía'!K:K,'[1]Pipeline Endoscopía'!E:E,Tabla1[[#This Row],[Cliente]],'[1]Pipeline Endoscopía'!B:B,"2026",'[1]Pipeline Endoscopía'!J:J,"&gt;0")</f>
        <v>0</v>
      </c>
      <c r="AC64" s="34">
        <f>+SUMIFS('[1]Pipeline Dental'!K:K,'[1]Pipeline Dental'!E:E,Tabla1[[#This Row],[Cliente]],'[1]Pipeline Dental'!B:B,"2026",'[1]Pipeline Dental'!J:J,"&gt;0")</f>
        <v>0</v>
      </c>
      <c r="AD64" s="35">
        <f>+SUMIFS('[1]Pipeline TS'!$AB:$AB,'[1]Pipeline TS'!$F:$F,Tabla1[[#This Row],[Cliente]])</f>
        <v>0</v>
      </c>
      <c r="AE64" s="35">
        <f>+SUM(Tabla1[[#This Row],[Pipeline 2026 $MM ESTERILIZACIÓN]:[Pipeline 2026 $MM TECSERVICE]])</f>
        <v>0</v>
      </c>
      <c r="AF64" s="43">
        <v>-37.096240175267297</v>
      </c>
      <c r="AG64" s="37">
        <v>-72.557721947006499</v>
      </c>
      <c r="AH64" s="38" t="str">
        <f>+IF(Tabla1[[#This Row],['# Contratos Vigentes ]]&gt;0,"SI","NO")</f>
        <v>NO</v>
      </c>
      <c r="AI64" s="39">
        <v>0.6</v>
      </c>
      <c r="AJ64" s="40">
        <f>+Tabla1[[#This Row],[Ingreso 2025 - 2026]]*Tabla1[[#This Row],[% Costo Serv. Directo]]</f>
        <v>3461087.4</v>
      </c>
      <c r="AK64" s="41">
        <v>4</v>
      </c>
      <c r="AL6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6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9985000</v>
      </c>
      <c r="AN64" s="42">
        <f>+Tabla1[[#This Row],[Potencial Equipos]]+Tabla1[[#This Row],[Potencial Pipeline]]</f>
        <v>9985000</v>
      </c>
    </row>
    <row r="65" spans="1:40" x14ac:dyDescent="0.25">
      <c r="A65" s="22" t="s">
        <v>165</v>
      </c>
      <c r="B65" t="str">
        <f>+VLOOKUP(Tabla1[[#This Row],[Cliente]],'[1]Público Privado'!$A$1:$B$325,2,FALSE)</f>
        <v>Público</v>
      </c>
      <c r="C65" s="23">
        <f>+SUMIFS('[1]Facturacion a Fecha'!$T:$T,'[1]Facturacion a Fecha'!$AY:$AY,Tabla1[[#This Row],[Cliente]])</f>
        <v>5732706</v>
      </c>
      <c r="D65" s="24">
        <f>+SUMIFS('[1]Facturacion a Fecha'!$T:$T,'[1]Facturacion a Fecha'!$AY:$AY,Tabla1[[#This Row],[Cliente]],'[1]Facturacion a Fecha'!$AX:$AX,"Correctivo")</f>
        <v>3251761</v>
      </c>
      <c r="E65" s="25">
        <f>+COUNTIFS('[1]Facturacion a Fecha'!AY:AY,Tabla1[[#This Row],[Cliente]],'[1]Facturacion a Fecha'!AX:AX,"Correctivo")</f>
        <v>5</v>
      </c>
      <c r="F65" s="25">
        <f>+SUMIFS('[1]Facturacion a Fecha'!$T:$T,'[1]Facturacion a Fecha'!$AY:$AY,Tabla1[[#This Row],[Cliente]],'[1]Facturacion a Fecha'!$AX:$AX,"Preventivo")</f>
        <v>2480945</v>
      </c>
      <c r="G65" s="25">
        <f>+COUNTIFS('[1]Facturacion a Fecha'!AY:AY,Tabla1[[#This Row],[Cliente]],'[1]Facturacion a Fecha'!AX:AX,"Preventivo")</f>
        <v>6</v>
      </c>
      <c r="H65" s="26">
        <f>+Tabla1[[#This Row],['# Preventivo]]+Tabla1[[#This Row],['# Correctivo]]</f>
        <v>11</v>
      </c>
      <c r="I65" s="23">
        <f>+IFERROR(Tabla1[[#This Row],[Ingreso 2025 - 2026 Correctivo]]/Tabla1[[#This Row],[Ingreso 2025 - 2026 Preventivo]],0)</f>
        <v>1.3106945135825261</v>
      </c>
      <c r="J65" s="27">
        <f>+IFERROR(Tabla1[[#This Row],['# Correctivo]]/Tabla1[[#This Row],['# Preventivo]],0)</f>
        <v>0.83333333333333337</v>
      </c>
      <c r="K65" s="28">
        <f>+IFERROR(Tabla1[[#This Row],[Ingreso 2025 - 2026 Preventivo]]/(Tabla1[[#This Row],[Ingreso 2025 - 2026 Correctivo]]+Tabla1[[#This Row],[Ingreso 2025 - 2026 Preventivo]]),0)</f>
        <v>0.43277031824063539</v>
      </c>
      <c r="L65" s="28">
        <f>1-Tabla1[[#This Row],[% Preventivo $]]</f>
        <v>0.56722968175936461</v>
      </c>
      <c r="M65" s="45">
        <f>+COUNTIFS('[1]Base Instalada'!AA:AA,Tabla1[[#This Row],[Cliente]])</f>
        <v>4</v>
      </c>
      <c r="N65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5" s="45">
        <f>+COUNTIFS('[1]Base Instalada'!AA:AA,Tabla1[[#This Row],[Cliente]],'[1]Base Instalada'!Z:Z,"ESTERILIZACIÓN")</f>
        <v>4</v>
      </c>
      <c r="P65" s="45">
        <f>+COUNTIFS('[1]Base Instalada'!AA:AA,Tabla1[[#This Row],[Cliente]],'[1]Base Instalada'!Z:Z,"DENTAL")</f>
        <v>0</v>
      </c>
      <c r="Q65" s="45">
        <f>+COUNTIFS('[1]Base Instalada'!AA:AA,Tabla1[[#This Row],[Cliente]],'[1]Base Instalada'!Z:Z,"ENDOSCOPÍA")</f>
        <v>0</v>
      </c>
      <c r="R65" s="45">
        <f>+COUNTIFS('[1]Base Instalada'!AA:AA,Tabla1[[#This Row],[Cliente]],'[1]Base Instalada'!Z:Z,"INCARDIA")</f>
        <v>0</v>
      </c>
      <c r="S65" s="45">
        <f>+COUNTIFS('[1]Base Instalada'!AA:AA,Tabla1[[#This Row],[Cliente]],'[1]Base Instalada'!Z:Z,"MMQ")</f>
        <v>0</v>
      </c>
      <c r="T65" s="45">
        <f>+COUNTIFS('[1]Base Instalada'!AA:AA,Tabla1[[#This Row],[Cliente]],'[1]Base Instalada'!Z:Z,"REAS")</f>
        <v>0</v>
      </c>
      <c r="U65" s="46">
        <f>+COUNTIFS('[1]Base Instalada'!AA:AA,Tabla1[[#This Row],[Cliente]],'[1]Base Instalada'!Z:Z,"MOBILIARIO CLINICO")</f>
        <v>0</v>
      </c>
      <c r="V65" s="29">
        <f>+COUNTIFS('[1]Base Instalada'!AA:AA,Tabla1[[#This Row],[Cliente]],'[1]Base Instalada'!Z:Z,"OTRO")</f>
        <v>0</v>
      </c>
      <c r="W65" s="31" t="str">
        <f t="shared" si="0"/>
        <v>Región Valparaíso</v>
      </c>
      <c r="X65" s="31" t="str">
        <f t="shared" si="1"/>
        <v>Viña del Mar</v>
      </c>
      <c r="Y65" s="32" t="s">
        <v>166</v>
      </c>
      <c r="Z65" s="33">
        <f>+COUNTIFS('[1]Pipeline TS'!$F:$F,Tabla1[[#This Row],[Cliente]])</f>
        <v>1</v>
      </c>
      <c r="AA65" s="34">
        <f>SUMIFS('[1]Pipeline Esterilización'!M:M,'[1]Pipeline Esterilización'!E:E,Tabla1[[#This Row],[Cliente]],'[1]Pipeline Esterilización'!B:B,"2026",'[1]Pipeline Esterilización'!L:L,"&gt;0")</f>
        <v>51000000</v>
      </c>
      <c r="AB65" s="33">
        <f>+SUMIFS('[1]Pipeline Endoscopía'!K:K,'[1]Pipeline Endoscopía'!E:E,Tabla1[[#This Row],[Cliente]],'[1]Pipeline Endoscopía'!B:B,"2026",'[1]Pipeline Endoscopía'!J:J,"&gt;0")</f>
        <v>0</v>
      </c>
      <c r="AC65" s="34">
        <f>+SUMIFS('[1]Pipeline Dental'!K:K,'[1]Pipeline Dental'!E:E,Tabla1[[#This Row],[Cliente]],'[1]Pipeline Dental'!B:B,"2026",'[1]Pipeline Dental'!J:J,"&gt;0")</f>
        <v>0</v>
      </c>
      <c r="AD65" s="35">
        <f>+SUMIFS('[1]Pipeline TS'!$AB:$AB,'[1]Pipeline TS'!$F:$F,Tabla1[[#This Row],[Cliente]])</f>
        <v>7970308.0800000001</v>
      </c>
      <c r="AE65" s="35">
        <f>+SUM(Tabla1[[#This Row],[Pipeline 2026 $MM ESTERILIZACIÓN]:[Pipeline 2026 $MM TECSERVICE]])</f>
        <v>58970308.079999998</v>
      </c>
      <c r="AF65" s="43">
        <v>-33.020417573890903</v>
      </c>
      <c r="AG65" s="37">
        <v>-71.515477837147799</v>
      </c>
      <c r="AH65" s="38" t="str">
        <f>+IF(Tabla1[[#This Row],['# Contratos Vigentes ]]&gt;0,"SI","NO")</f>
        <v>SI</v>
      </c>
      <c r="AI65" s="39">
        <v>0.6</v>
      </c>
      <c r="AJ65" s="40">
        <f>+Tabla1[[#This Row],[Ingreso 2025 - 2026]]*Tabla1[[#This Row],[% Costo Serv. Directo]]</f>
        <v>3439623.6</v>
      </c>
      <c r="AK65" s="41">
        <v>5</v>
      </c>
      <c r="AL6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13070308.08</v>
      </c>
      <c r="AM6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65" s="42">
        <f>+Tabla1[[#This Row],[Potencial Equipos]]+Tabla1[[#This Row],[Potencial Pipeline]]</f>
        <v>13070308.08</v>
      </c>
    </row>
    <row r="66" spans="1:40" x14ac:dyDescent="0.25">
      <c r="A66" s="22" t="s">
        <v>167</v>
      </c>
      <c r="B66" t="str">
        <f>+VLOOKUP(Tabla1[[#This Row],[Cliente]],'[1]Público Privado'!$A$1:$B$325,2,FALSE)</f>
        <v>Público</v>
      </c>
      <c r="C66" s="23">
        <f>+SUMIFS('[1]Facturacion a Fecha'!$T:$T,'[1]Facturacion a Fecha'!$AY:$AY,Tabla1[[#This Row],[Cliente]])</f>
        <v>5334587</v>
      </c>
      <c r="D66" s="24">
        <f>+SUMIFS('[1]Facturacion a Fecha'!$T:$T,'[1]Facturacion a Fecha'!$AY:$AY,Tabla1[[#This Row],[Cliente]],'[1]Facturacion a Fecha'!$AX:$AX,"Correctivo")</f>
        <v>4621247</v>
      </c>
      <c r="E66" s="25">
        <f>+COUNTIFS('[1]Facturacion a Fecha'!AY:AY,Tabla1[[#This Row],[Cliente]],'[1]Facturacion a Fecha'!AX:AX,"Correctivo")</f>
        <v>5</v>
      </c>
      <c r="F66" s="25">
        <f>+SUMIFS('[1]Facturacion a Fecha'!$T:$T,'[1]Facturacion a Fecha'!$AY:$AY,Tabla1[[#This Row],[Cliente]],'[1]Facturacion a Fecha'!$AX:$AX,"Preventivo")</f>
        <v>713340</v>
      </c>
      <c r="G66" s="25">
        <f>+COUNTIFS('[1]Facturacion a Fecha'!AY:AY,Tabla1[[#This Row],[Cliente]],'[1]Facturacion a Fecha'!AX:AX,"Preventivo")</f>
        <v>2</v>
      </c>
      <c r="H66" s="26">
        <f>+Tabla1[[#This Row],['# Preventivo]]+Tabla1[[#This Row],['# Correctivo]]</f>
        <v>7</v>
      </c>
      <c r="I66" s="23">
        <f>+IFERROR(Tabla1[[#This Row],[Ingreso 2025 - 2026 Correctivo]]/Tabla1[[#This Row],[Ingreso 2025 - 2026 Preventivo]],0)</f>
        <v>6.4783230997841139</v>
      </c>
      <c r="J66" s="27">
        <f>+IFERROR(Tabla1[[#This Row],['# Correctivo]]/Tabla1[[#This Row],['# Preventivo]],0)</f>
        <v>2.5</v>
      </c>
      <c r="K66" s="28">
        <f>+IFERROR(Tabla1[[#This Row],[Ingreso 2025 - 2026 Preventivo]]/(Tabla1[[#This Row],[Ingreso 2025 - 2026 Correctivo]]+Tabla1[[#This Row],[Ingreso 2025 - 2026 Preventivo]]),0)</f>
        <v>0.13371981748540235</v>
      </c>
      <c r="L66" s="28">
        <f>1-Tabla1[[#This Row],[% Preventivo $]]</f>
        <v>0.8662801825145976</v>
      </c>
      <c r="M66" s="29">
        <f>+COUNTIFS('[1]Base Instalada'!AA:AA,Tabla1[[#This Row],[Cliente]])</f>
        <v>74</v>
      </c>
      <c r="N66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6" s="29">
        <f>+COUNTIFS('[1]Base Instalada'!AA:AA,Tabla1[[#This Row],[Cliente]],'[1]Base Instalada'!Z:Z,"ESTERILIZACIÓN")</f>
        <v>14</v>
      </c>
      <c r="P66" s="29">
        <f>+COUNTIFS('[1]Base Instalada'!AA:AA,Tabla1[[#This Row],[Cliente]],'[1]Base Instalada'!Z:Z,"DENTAL")</f>
        <v>2</v>
      </c>
      <c r="Q66" s="29">
        <f>+COUNTIFS('[1]Base Instalada'!AA:AA,Tabla1[[#This Row],[Cliente]],'[1]Base Instalada'!Z:Z,"ENDOSCOPÍA")</f>
        <v>0</v>
      </c>
      <c r="R66" s="29">
        <f>+COUNTIFS('[1]Base Instalada'!AA:AA,Tabla1[[#This Row],[Cliente]],'[1]Base Instalada'!Z:Z,"INCARDIA")</f>
        <v>0</v>
      </c>
      <c r="S66" s="29">
        <f>+COUNTIFS('[1]Base Instalada'!AA:AA,Tabla1[[#This Row],[Cliente]],'[1]Base Instalada'!Z:Z,"MMQ")</f>
        <v>0</v>
      </c>
      <c r="T66" s="29">
        <f>+COUNTIFS('[1]Base Instalada'!AA:AA,Tabla1[[#This Row],[Cliente]],'[1]Base Instalada'!Z:Z,"REAS")</f>
        <v>0</v>
      </c>
      <c r="U66" s="30">
        <f>+COUNTIFS('[1]Base Instalada'!AA:AA,Tabla1[[#This Row],[Cliente]],'[1]Base Instalada'!Z:Z,"MOBILIARIO CLINICO")</f>
        <v>58</v>
      </c>
      <c r="V66" s="29">
        <f>+COUNTIFS('[1]Base Instalada'!AA:AA,Tabla1[[#This Row],[Cliente]],'[1]Base Instalada'!Z:Z,"OTRO")</f>
        <v>0</v>
      </c>
      <c r="W66" s="31" t="str">
        <f t="shared" ref="W66:W85" si="2">TRIM(RIGHT(Y66,LEN(Y66)-FIND("@",SUBSTITUTE(Y66,",","@",LEN(Y66)-LEN(SUBSTITUTE(Y66,",",""))))))</f>
        <v>Región Bío Bío</v>
      </c>
      <c r="X66" s="31" t="str">
        <f t="shared" ref="X66:X85" si="3">TRIM(MID(Y66,FIND("@",SUBSTITUTE(Y66,",","@",LEN(Y66)-LEN(SUBSTITUTE(Y66,",",""))-1))+1,FIND("@",SUBSTITUTE(Y66,",","@",LEN(Y66)-LEN(SUBSTITUTE(Y66,",",""))))-FIND("@",SUBSTITUTE(Y66,",","@",LEN(Y66)-LEN(SUBSTITUTE(Y66,",",""))-1))-1))</f>
        <v>Talcahuano</v>
      </c>
      <c r="Y66" s="32" t="s">
        <v>168</v>
      </c>
      <c r="Z66" s="33">
        <f>+COUNTIFS('[1]Pipeline TS'!$F:$F,Tabla1[[#This Row],[Cliente]])</f>
        <v>1</v>
      </c>
      <c r="AA66" s="34">
        <f>SUMIFS('[1]Pipeline Esterilización'!M:M,'[1]Pipeline Esterilización'!E:E,Tabla1[[#This Row],[Cliente]],'[1]Pipeline Esterilización'!B:B,"2026",'[1]Pipeline Esterilización'!L:L,"&gt;0")</f>
        <v>0</v>
      </c>
      <c r="AB66" s="33">
        <f>+SUMIFS('[1]Pipeline Endoscopía'!K:K,'[1]Pipeline Endoscopía'!E:E,Tabla1[[#This Row],[Cliente]],'[1]Pipeline Endoscopía'!B:B,"2026",'[1]Pipeline Endoscopía'!J:J,"&gt;0")</f>
        <v>0</v>
      </c>
      <c r="AC66" s="34">
        <f>+SUMIFS('[1]Pipeline Dental'!K:K,'[1]Pipeline Dental'!E:E,Tabla1[[#This Row],[Cliente]],'[1]Pipeline Dental'!B:B,"2026",'[1]Pipeline Dental'!J:J,"&gt;0")</f>
        <v>0</v>
      </c>
      <c r="AD66" s="35">
        <f>+SUMIFS('[1]Pipeline TS'!$AB:$AB,'[1]Pipeline TS'!$F:$F,Tabla1[[#This Row],[Cliente]])</f>
        <v>6385000</v>
      </c>
      <c r="AE66" s="35">
        <f>+SUM(Tabla1[[#This Row],[Pipeline 2026 $MM ESTERILIZACIÓN]:[Pipeline 2026 $MM TECSERVICE]])</f>
        <v>6385000</v>
      </c>
      <c r="AF66" s="43">
        <v>-36.691195688804399</v>
      </c>
      <c r="AG66" s="37">
        <v>-73.113371812881894</v>
      </c>
      <c r="AH66" s="38" t="str">
        <f>+IF(Tabla1[[#This Row],['# Contratos Vigentes ]]&gt;0,"SI","NO")</f>
        <v>SI</v>
      </c>
      <c r="AI66" s="39">
        <v>0.6</v>
      </c>
      <c r="AJ66" s="40">
        <f>+Tabla1[[#This Row],[Ingreso 2025 - 2026]]*Tabla1[[#This Row],[% Costo Serv. Directo]]</f>
        <v>3200752.1999999997</v>
      </c>
      <c r="AK66" s="41">
        <v>5</v>
      </c>
      <c r="AL6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6385000</v>
      </c>
      <c r="AM6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66" s="42">
        <f>+Tabla1[[#This Row],[Potencial Equipos]]+Tabla1[[#This Row],[Potencial Pipeline]]</f>
        <v>6385000</v>
      </c>
    </row>
    <row r="67" spans="1:40" x14ac:dyDescent="0.25">
      <c r="A67" s="22" t="s">
        <v>169</v>
      </c>
      <c r="B67" t="str">
        <f>+VLOOKUP(Tabla1[[#This Row],[Cliente]],'[1]Público Privado'!$A$1:$B$325,2,FALSE)</f>
        <v>Privado</v>
      </c>
      <c r="C67" s="23">
        <f>+SUMIFS('[1]Facturacion a Fecha'!$T:$T,'[1]Facturacion a Fecha'!$AY:$AY,Tabla1[[#This Row],[Cliente]])</f>
        <v>5291740</v>
      </c>
      <c r="D67" s="24">
        <f>+SUMIFS('[1]Facturacion a Fecha'!$T:$T,'[1]Facturacion a Fecha'!$AY:$AY,Tabla1[[#This Row],[Cliente]],'[1]Facturacion a Fecha'!$AX:$AX,"Correctivo")</f>
        <v>2610383</v>
      </c>
      <c r="E67" s="25">
        <f>+COUNTIFS('[1]Facturacion a Fecha'!AY:AY,Tabla1[[#This Row],[Cliente]],'[1]Facturacion a Fecha'!AX:AX,"Correctivo")</f>
        <v>9</v>
      </c>
      <c r="F67" s="25">
        <f>+SUMIFS('[1]Facturacion a Fecha'!$T:$T,'[1]Facturacion a Fecha'!$AY:$AY,Tabla1[[#This Row],[Cliente]],'[1]Facturacion a Fecha'!$AX:$AX,"Preventivo")</f>
        <v>2681357</v>
      </c>
      <c r="G67" s="25">
        <f>+COUNTIFS('[1]Facturacion a Fecha'!AY:AY,Tabla1[[#This Row],[Cliente]],'[1]Facturacion a Fecha'!AX:AX,"Preventivo")</f>
        <v>3</v>
      </c>
      <c r="H67" s="26">
        <f>+Tabla1[[#This Row],['# Preventivo]]+Tabla1[[#This Row],['# Correctivo]]</f>
        <v>12</v>
      </c>
      <c r="I67" s="23">
        <f>+IFERROR(Tabla1[[#This Row],[Ingreso 2025 - 2026 Correctivo]]/Tabla1[[#This Row],[Ingreso 2025 - 2026 Preventivo]],0)</f>
        <v>0.9735305667988261</v>
      </c>
      <c r="J67" s="27">
        <f>+IFERROR(Tabla1[[#This Row],['# Correctivo]]/Tabla1[[#This Row],['# Preventivo]],0)</f>
        <v>3</v>
      </c>
      <c r="K67" s="28">
        <f>+IFERROR(Tabla1[[#This Row],[Ingreso 2025 - 2026 Preventivo]]/(Tabla1[[#This Row],[Ingreso 2025 - 2026 Correctivo]]+Tabla1[[#This Row],[Ingreso 2025 - 2026 Preventivo]]),0)</f>
        <v>0.5067061117893169</v>
      </c>
      <c r="L67" s="28">
        <f>1-Tabla1[[#This Row],[% Preventivo $]]</f>
        <v>0.4932938882106831</v>
      </c>
      <c r="M67" s="29">
        <f>+COUNTIFS('[1]Base Instalada'!AA:AA,Tabla1[[#This Row],[Cliente]])</f>
        <v>6</v>
      </c>
      <c r="N67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7" s="29">
        <f>+COUNTIFS('[1]Base Instalada'!AA:AA,Tabla1[[#This Row],[Cliente]],'[1]Base Instalada'!Z:Z,"ESTERILIZACIÓN")</f>
        <v>6</v>
      </c>
      <c r="P67" s="29">
        <f>+COUNTIFS('[1]Base Instalada'!AA:AA,Tabla1[[#This Row],[Cliente]],'[1]Base Instalada'!Z:Z,"DENTAL")</f>
        <v>0</v>
      </c>
      <c r="Q67" s="29">
        <f>+COUNTIFS('[1]Base Instalada'!AA:AA,Tabla1[[#This Row],[Cliente]],'[1]Base Instalada'!Z:Z,"ENDOSCOPÍA")</f>
        <v>0</v>
      </c>
      <c r="R67" s="29">
        <f>+COUNTIFS('[1]Base Instalada'!AA:AA,Tabla1[[#This Row],[Cliente]],'[1]Base Instalada'!Z:Z,"INCARDIA")</f>
        <v>0</v>
      </c>
      <c r="S67" s="29">
        <f>+COUNTIFS('[1]Base Instalada'!AA:AA,Tabla1[[#This Row],[Cliente]],'[1]Base Instalada'!Z:Z,"MMQ")</f>
        <v>0</v>
      </c>
      <c r="T67" s="29">
        <f>+COUNTIFS('[1]Base Instalada'!AA:AA,Tabla1[[#This Row],[Cliente]],'[1]Base Instalada'!Z:Z,"REAS")</f>
        <v>0</v>
      </c>
      <c r="U67" s="30">
        <f>+COUNTIFS('[1]Base Instalada'!AA:AA,Tabla1[[#This Row],[Cliente]],'[1]Base Instalada'!Z:Z,"MOBILIARIO CLINICO")</f>
        <v>0</v>
      </c>
      <c r="V67" s="29">
        <f>+COUNTIFS('[1]Base Instalada'!AA:AA,Tabla1[[#This Row],[Cliente]],'[1]Base Instalada'!Z:Z,"OTRO")</f>
        <v>0</v>
      </c>
      <c r="W67" s="31" t="str">
        <f t="shared" si="2"/>
        <v>Región Metropolitana</v>
      </c>
      <c r="X67" s="31" t="str">
        <f t="shared" si="3"/>
        <v>Providencia</v>
      </c>
      <c r="Y67" s="32" t="s">
        <v>170</v>
      </c>
      <c r="Z67" s="33">
        <f>+COUNTIFS('[1]Pipeline TS'!$F:$F,Tabla1[[#This Row],[Cliente]])</f>
        <v>1</v>
      </c>
      <c r="AA67" s="34">
        <f>SUMIFS('[1]Pipeline Esterilización'!M:M,'[1]Pipeline Esterilización'!E:E,Tabla1[[#This Row],[Cliente]],'[1]Pipeline Esterilización'!B:B,"2026",'[1]Pipeline Esterilización'!L:L,"&gt;0")</f>
        <v>0</v>
      </c>
      <c r="AB67" s="33">
        <f>+SUMIFS('[1]Pipeline Endoscopía'!K:K,'[1]Pipeline Endoscopía'!E:E,Tabla1[[#This Row],[Cliente]],'[1]Pipeline Endoscopía'!B:B,"2026",'[1]Pipeline Endoscopía'!J:J,"&gt;0")</f>
        <v>0</v>
      </c>
      <c r="AC67" s="34">
        <f>+SUMIFS('[1]Pipeline Dental'!K:K,'[1]Pipeline Dental'!E:E,Tabla1[[#This Row],[Cliente]],'[1]Pipeline Dental'!B:B,"2026",'[1]Pipeline Dental'!J:J,"&gt;0")</f>
        <v>0</v>
      </c>
      <c r="AD67" s="35">
        <f>+SUMIFS('[1]Pipeline TS'!$AB:$AB,'[1]Pipeline TS'!$F:$F,Tabla1[[#This Row],[Cliente]])</f>
        <v>3613079.64</v>
      </c>
      <c r="AE67" s="35">
        <f>+SUM(Tabla1[[#This Row],[Pipeline 2026 $MM ESTERILIZACIÓN]:[Pipeline 2026 $MM TECSERVICE]])</f>
        <v>3613079.64</v>
      </c>
      <c r="AF67" s="43">
        <v>-33.4424003463334</v>
      </c>
      <c r="AG67" s="37">
        <v>-70.624076319471001</v>
      </c>
      <c r="AH67" s="38" t="str">
        <f>+IF(Tabla1[[#This Row],['# Contratos Vigentes ]]&gt;0,"SI","NO")</f>
        <v>SI</v>
      </c>
      <c r="AI67" s="39">
        <v>0.6</v>
      </c>
      <c r="AJ67" s="40">
        <f>+Tabla1[[#This Row],[Ingreso 2025 - 2026]]*Tabla1[[#This Row],[% Costo Serv. Directo]]</f>
        <v>3175044</v>
      </c>
      <c r="AK67" s="41">
        <v>3</v>
      </c>
      <c r="AL6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3613079.64</v>
      </c>
      <c r="AM6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67" s="42">
        <f>+Tabla1[[#This Row],[Potencial Equipos]]+Tabla1[[#This Row],[Potencial Pipeline]]</f>
        <v>3613079.64</v>
      </c>
    </row>
    <row r="68" spans="1:40" x14ac:dyDescent="0.25">
      <c r="A68" s="22" t="s">
        <v>171</v>
      </c>
      <c r="B68" t="str">
        <f>+VLOOKUP(Tabla1[[#This Row],[Cliente]],'[1]Público Privado'!$A$1:$B$325,2,FALSE)</f>
        <v>Privado</v>
      </c>
      <c r="C68" s="23">
        <f>+SUMIFS('[1]Facturacion a Fecha'!$T:$T,'[1]Facturacion a Fecha'!$AY:$AY,Tabla1[[#This Row],[Cliente]])</f>
        <v>4895257</v>
      </c>
      <c r="D68" s="24">
        <f>+SUMIFS('[1]Facturacion a Fecha'!$T:$T,'[1]Facturacion a Fecha'!$AY:$AY,Tabla1[[#This Row],[Cliente]],'[1]Facturacion a Fecha'!$AX:$AX,"Correctivo")</f>
        <v>2800487</v>
      </c>
      <c r="E68" s="25">
        <f>+COUNTIFS('[1]Facturacion a Fecha'!AY:AY,Tabla1[[#This Row],[Cliente]],'[1]Facturacion a Fecha'!AX:AX,"Correctivo")</f>
        <v>4</v>
      </c>
      <c r="F68" s="25">
        <f>+SUMIFS('[1]Facturacion a Fecha'!$T:$T,'[1]Facturacion a Fecha'!$AY:$AY,Tabla1[[#This Row],[Cliente]],'[1]Facturacion a Fecha'!$AX:$AX,"Preventivo")</f>
        <v>2094770</v>
      </c>
      <c r="G68" s="25">
        <f>+COUNTIFS('[1]Facturacion a Fecha'!AY:AY,Tabla1[[#This Row],[Cliente]],'[1]Facturacion a Fecha'!AX:AX,"Preventivo")</f>
        <v>3</v>
      </c>
      <c r="H68" s="26">
        <f>+Tabla1[[#This Row],['# Preventivo]]+Tabla1[[#This Row],['# Correctivo]]</f>
        <v>7</v>
      </c>
      <c r="I68" s="23">
        <f>+IFERROR(Tabla1[[#This Row],[Ingreso 2025 - 2026 Correctivo]]/Tabla1[[#This Row],[Ingreso 2025 - 2026 Preventivo]],0)</f>
        <v>1.3368947426209083</v>
      </c>
      <c r="J68" s="27">
        <f>+IFERROR(Tabla1[[#This Row],['# Correctivo]]/Tabla1[[#This Row],['# Preventivo]],0)</f>
        <v>1.3333333333333333</v>
      </c>
      <c r="K68" s="28">
        <f>+IFERROR(Tabla1[[#This Row],[Ingreso 2025 - 2026 Preventivo]]/(Tabla1[[#This Row],[Ingreso 2025 - 2026 Correctivo]]+Tabla1[[#This Row],[Ingreso 2025 - 2026 Preventivo]]),0)</f>
        <v>0.42791828907042062</v>
      </c>
      <c r="L68" s="28">
        <f>1-Tabla1[[#This Row],[% Preventivo $]]</f>
        <v>0.57208171092957938</v>
      </c>
      <c r="M68" s="45">
        <f>+COUNTIFS('[1]Base Instalada'!AA:AA,Tabla1[[#This Row],[Cliente]])</f>
        <v>1</v>
      </c>
      <c r="N68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8" s="45">
        <f>+COUNTIFS('[1]Base Instalada'!AA:AA,Tabla1[[#This Row],[Cliente]],'[1]Base Instalada'!Z:Z,"ESTERILIZACIÓN")</f>
        <v>1</v>
      </c>
      <c r="P68" s="45">
        <f>+COUNTIFS('[1]Base Instalada'!AA:AA,Tabla1[[#This Row],[Cliente]],'[1]Base Instalada'!Z:Z,"DENTAL")</f>
        <v>0</v>
      </c>
      <c r="Q68" s="45">
        <f>+COUNTIFS('[1]Base Instalada'!AA:AA,Tabla1[[#This Row],[Cliente]],'[1]Base Instalada'!Z:Z,"ENDOSCOPÍA")</f>
        <v>0</v>
      </c>
      <c r="R68" s="45">
        <f>+COUNTIFS('[1]Base Instalada'!AA:AA,Tabla1[[#This Row],[Cliente]],'[1]Base Instalada'!Z:Z,"INCARDIA")</f>
        <v>0</v>
      </c>
      <c r="S68" s="45">
        <f>+COUNTIFS('[1]Base Instalada'!AA:AA,Tabla1[[#This Row],[Cliente]],'[1]Base Instalada'!Z:Z,"MMQ")</f>
        <v>0</v>
      </c>
      <c r="T68" s="45">
        <f>+COUNTIFS('[1]Base Instalada'!AA:AA,Tabla1[[#This Row],[Cliente]],'[1]Base Instalada'!Z:Z,"REAS")</f>
        <v>0</v>
      </c>
      <c r="U68" s="46">
        <f>+COUNTIFS('[1]Base Instalada'!AA:AA,Tabla1[[#This Row],[Cliente]],'[1]Base Instalada'!Z:Z,"MOBILIARIO CLINICO")</f>
        <v>0</v>
      </c>
      <c r="V68" s="29">
        <f>+COUNTIFS('[1]Base Instalada'!AA:AA,Tabla1[[#This Row],[Cliente]],'[1]Base Instalada'!Z:Z,"OTRO")</f>
        <v>0</v>
      </c>
      <c r="W68" s="31" t="str">
        <f t="shared" si="2"/>
        <v>Región Antofagasta</v>
      </c>
      <c r="X68" s="31" t="str">
        <f t="shared" si="3"/>
        <v>Antofagasta</v>
      </c>
      <c r="Y68" s="32" t="s">
        <v>172</v>
      </c>
      <c r="Z68" s="33">
        <f>+COUNTIFS('[1]Pipeline TS'!$F:$F,Tabla1[[#This Row],[Cliente]])</f>
        <v>1</v>
      </c>
      <c r="AA68" s="34">
        <f>SUMIFS('[1]Pipeline Esterilización'!M:M,'[1]Pipeline Esterilización'!E:E,Tabla1[[#This Row],[Cliente]],'[1]Pipeline Esterilización'!B:B,"2026",'[1]Pipeline Esterilización'!L:L,"&gt;0")</f>
        <v>0</v>
      </c>
      <c r="AB68" s="33">
        <f>+SUMIFS('[1]Pipeline Endoscopía'!K:K,'[1]Pipeline Endoscopía'!E:E,Tabla1[[#This Row],[Cliente]],'[1]Pipeline Endoscopía'!B:B,"2026",'[1]Pipeline Endoscopía'!J:J,"&gt;0")</f>
        <v>0</v>
      </c>
      <c r="AC68" s="34">
        <f>+SUMIFS('[1]Pipeline Dental'!K:K,'[1]Pipeline Dental'!E:E,Tabla1[[#This Row],[Cliente]],'[1]Pipeline Dental'!B:B,"2026",'[1]Pipeline Dental'!J:J,"&gt;0")</f>
        <v>0</v>
      </c>
      <c r="AD68" s="35">
        <f>+SUMIFS('[1]Pipeline TS'!$AB:$AB,'[1]Pipeline TS'!$F:$F,Tabla1[[#This Row],[Cliente]])</f>
        <v>8378798.1600000001</v>
      </c>
      <c r="AE68" s="35">
        <f>+SUM(Tabla1[[#This Row],[Pipeline 2026 $MM ESTERILIZACIÓN]:[Pipeline 2026 $MM TECSERVICE]])</f>
        <v>8378798.1600000001</v>
      </c>
      <c r="AF68" s="43">
        <v>-23.654029856700301</v>
      </c>
      <c r="AG68" s="37">
        <v>-70.401493969217597</v>
      </c>
      <c r="AH68" s="38" t="str">
        <f>+IF(Tabla1[[#This Row],['# Contratos Vigentes ]]&gt;0,"SI","NO")</f>
        <v>SI</v>
      </c>
      <c r="AI68" s="39">
        <v>0.6</v>
      </c>
      <c r="AJ68" s="40">
        <f>+Tabla1[[#This Row],[Ingreso 2025 - 2026]]*Tabla1[[#This Row],[% Costo Serv. Directo]]</f>
        <v>2937154.1999999997</v>
      </c>
      <c r="AK68" s="41">
        <v>4</v>
      </c>
      <c r="AL6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8378798.1600000001</v>
      </c>
      <c r="AM6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68" s="42">
        <f>+Tabla1[[#This Row],[Potencial Equipos]]+Tabla1[[#This Row],[Potencial Pipeline]]</f>
        <v>8378798.1600000001</v>
      </c>
    </row>
    <row r="69" spans="1:40" ht="15.75" x14ac:dyDescent="0.25">
      <c r="A69" s="47" t="s">
        <v>173</v>
      </c>
      <c r="B69" t="str">
        <f>+VLOOKUP(Tabla1[[#This Row],[Cliente]],'[1]Público Privado'!$A$1:$B$325,2,FALSE)</f>
        <v>Público</v>
      </c>
      <c r="C69" s="23">
        <f>+SUMIFS('[1]Facturacion a Fecha'!$T:$T,'[1]Facturacion a Fecha'!$AY:$AY,Tabla1[[#This Row],[Cliente]])</f>
        <v>4810372</v>
      </c>
      <c r="D69" s="24">
        <f>+SUMIFS('[1]Facturacion a Fecha'!$T:$T,'[1]Facturacion a Fecha'!$AY:$AY,Tabla1[[#This Row],[Cliente]],'[1]Facturacion a Fecha'!$AX:$AX,"Correctivo")</f>
        <v>2405186</v>
      </c>
      <c r="E69" s="25">
        <f>+COUNTIFS('[1]Facturacion a Fecha'!AY:AY,Tabla1[[#This Row],[Cliente]],'[1]Facturacion a Fecha'!AX:AX,"Correctivo")</f>
        <v>1</v>
      </c>
      <c r="F69" s="25">
        <f>+SUMIFS('[1]Facturacion a Fecha'!$T:$T,'[1]Facturacion a Fecha'!$AY:$AY,Tabla1[[#This Row],[Cliente]],'[1]Facturacion a Fecha'!$AX:$AX,"Preventivo")</f>
        <v>2405186</v>
      </c>
      <c r="G69" s="25">
        <f>+COUNTIFS('[1]Facturacion a Fecha'!AY:AY,Tabla1[[#This Row],[Cliente]],'[1]Facturacion a Fecha'!AX:AX,"Preventivo")</f>
        <v>1</v>
      </c>
      <c r="H69" s="26">
        <f>+Tabla1[[#This Row],['# Preventivo]]+Tabla1[[#This Row],['# Correctivo]]</f>
        <v>2</v>
      </c>
      <c r="I69" s="23">
        <f>+IFERROR(Tabla1[[#This Row],[Ingreso 2025 - 2026 Correctivo]]/Tabla1[[#This Row],[Ingreso 2025 - 2026 Preventivo]],0)</f>
        <v>1</v>
      </c>
      <c r="J69" s="27">
        <f>+IFERROR(Tabla1[[#This Row],['# Correctivo]]/Tabla1[[#This Row],['# Preventivo]],0)</f>
        <v>1</v>
      </c>
      <c r="K69" s="28">
        <f>+IFERROR(Tabla1[[#This Row],[Ingreso 2025 - 2026 Preventivo]]/(Tabla1[[#This Row],[Ingreso 2025 - 2026 Correctivo]]+Tabla1[[#This Row],[Ingreso 2025 - 2026 Preventivo]]),0)</f>
        <v>0.5</v>
      </c>
      <c r="L69" s="28">
        <f>1-Tabla1[[#This Row],[% Preventivo $]]</f>
        <v>0.5</v>
      </c>
      <c r="M69" s="45">
        <f>+COUNTIFS('[1]Base Instalada'!AA:AA,Tabla1[[#This Row],[Cliente]])</f>
        <v>3</v>
      </c>
      <c r="N69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69" s="45">
        <f>+COUNTIFS('[1]Base Instalada'!AA:AA,Tabla1[[#This Row],[Cliente]],'[1]Base Instalada'!Z:Z,"ESTERILIZACIÓN")</f>
        <v>3</v>
      </c>
      <c r="P69" s="45">
        <f>+COUNTIFS('[1]Base Instalada'!AA:AA,Tabla1[[#This Row],[Cliente]],'[1]Base Instalada'!Z:Z,"DENTAL")</f>
        <v>0</v>
      </c>
      <c r="Q69" s="45">
        <f>+COUNTIFS('[1]Base Instalada'!AA:AA,Tabla1[[#This Row],[Cliente]],'[1]Base Instalada'!Z:Z,"ENDOSCOPÍA")</f>
        <v>0</v>
      </c>
      <c r="R69" s="45">
        <f>+COUNTIFS('[1]Base Instalada'!AA:AA,Tabla1[[#This Row],[Cliente]],'[1]Base Instalada'!Z:Z,"INCARDIA")</f>
        <v>0</v>
      </c>
      <c r="S69" s="45">
        <f>+COUNTIFS('[1]Base Instalada'!AA:AA,Tabla1[[#This Row],[Cliente]],'[1]Base Instalada'!Z:Z,"MMQ")</f>
        <v>0</v>
      </c>
      <c r="T69" s="45">
        <f>+COUNTIFS('[1]Base Instalada'!AA:AA,Tabla1[[#This Row],[Cliente]],'[1]Base Instalada'!Z:Z,"REAS")</f>
        <v>0</v>
      </c>
      <c r="U69" s="46">
        <f>+COUNTIFS('[1]Base Instalada'!AA:AA,Tabla1[[#This Row],[Cliente]],'[1]Base Instalada'!Z:Z,"MOBILIARIO CLINICO")</f>
        <v>0</v>
      </c>
      <c r="V69" s="29">
        <f>+COUNTIFS('[1]Base Instalada'!AA:AA,Tabla1[[#This Row],[Cliente]],'[1]Base Instalada'!Z:Z,"OTRO")</f>
        <v>0</v>
      </c>
      <c r="W69" s="31" t="str">
        <f t="shared" si="2"/>
        <v>Región Los Lagos</v>
      </c>
      <c r="X69" s="31" t="str">
        <f t="shared" si="3"/>
        <v>Río Negro</v>
      </c>
      <c r="Y69" s="32" t="s">
        <v>174</v>
      </c>
      <c r="Z69" s="33">
        <f>+COUNTIFS('[1]Pipeline TS'!$F:$F,Tabla1[[#This Row],[Cliente]])</f>
        <v>1</v>
      </c>
      <c r="AA69" s="34">
        <f>SUMIFS('[1]Pipeline Esterilización'!M:M,'[1]Pipeline Esterilización'!E:E,Tabla1[[#This Row],[Cliente]],'[1]Pipeline Esterilización'!B:B,"2026",'[1]Pipeline Esterilización'!L:L,"&gt;0")</f>
        <v>200000000</v>
      </c>
      <c r="AB69" s="33">
        <f>+SUMIFS('[1]Pipeline Endoscopía'!K:K,'[1]Pipeline Endoscopía'!E:E,Tabla1[[#This Row],[Cliente]],'[1]Pipeline Endoscopía'!B:B,"2026",'[1]Pipeline Endoscopía'!J:J,"&gt;0")</f>
        <v>0</v>
      </c>
      <c r="AC69" s="34">
        <f>+SUMIFS('[1]Pipeline Dental'!K:K,'[1]Pipeline Dental'!E:E,Tabla1[[#This Row],[Cliente]],'[1]Pipeline Dental'!B:B,"2026",'[1]Pipeline Dental'!J:J,"&gt;0")</f>
        <v>0</v>
      </c>
      <c r="AD69" s="35">
        <f>+SUMIFS('[1]Pipeline TS'!$AB:$AB,'[1]Pipeline TS'!$F:$F,Tabla1[[#This Row],[Cliente]])</f>
        <v>4810372</v>
      </c>
      <c r="AE69" s="35">
        <f>+SUM(Tabla1[[#This Row],[Pipeline 2026 $MM ESTERILIZACIÓN]:[Pipeline 2026 $MM TECSERVICE]])</f>
        <v>204810372</v>
      </c>
      <c r="AF69" s="43">
        <v>-40.802665570275799</v>
      </c>
      <c r="AG69" s="37">
        <v>-73.216163274061998</v>
      </c>
      <c r="AH69" s="38" t="str">
        <f>+IF(Tabla1[[#This Row],['# Contratos Vigentes ]]&gt;0,"SI","NO")</f>
        <v>SI</v>
      </c>
      <c r="AI69" s="39">
        <v>0.6</v>
      </c>
      <c r="AJ69" s="40">
        <f>+Tabla1[[#This Row],[Ingreso 2025 - 2026]]*Tabla1[[#This Row],[% Costo Serv. Directo]]</f>
        <v>2886223.1999999997</v>
      </c>
      <c r="AK69" s="41">
        <v>4</v>
      </c>
      <c r="AL6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24810372</v>
      </c>
      <c r="AM6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69" s="42">
        <f>+Tabla1[[#This Row],[Potencial Equipos]]+Tabla1[[#This Row],[Potencial Pipeline]]</f>
        <v>24810372</v>
      </c>
    </row>
    <row r="70" spans="1:40" x14ac:dyDescent="0.25">
      <c r="A70" s="22" t="s">
        <v>175</v>
      </c>
      <c r="B70" t="str">
        <f>+VLOOKUP(Tabla1[[#This Row],[Cliente]],'[1]Público Privado'!$A$1:$B$325,2,FALSE)</f>
        <v>Público</v>
      </c>
      <c r="C70" s="48">
        <f>+SUMIFS('[1]Facturacion a Fecha'!$T:$T,'[1]Facturacion a Fecha'!$AY:$AY,Tabla1[[#This Row],[Cliente]])</f>
        <v>4695548</v>
      </c>
      <c r="D70" s="24">
        <f>+SUMIFS('[1]Facturacion a Fecha'!$T:$T,'[1]Facturacion a Fecha'!$AY:$AY,Tabla1[[#This Row],[Cliente]],'[1]Facturacion a Fecha'!$AX:$AX,"Correctivo")</f>
        <v>2958118</v>
      </c>
      <c r="E70" s="25">
        <f>+COUNTIFS('[1]Facturacion a Fecha'!AY:AY,Tabla1[[#This Row],[Cliente]],'[1]Facturacion a Fecha'!AX:AX,"Correctivo")</f>
        <v>27</v>
      </c>
      <c r="F70" s="25">
        <f>+SUMIFS('[1]Facturacion a Fecha'!$T:$T,'[1]Facturacion a Fecha'!$AY:$AY,Tabla1[[#This Row],[Cliente]],'[1]Facturacion a Fecha'!$AX:$AX,"Preventivo")</f>
        <v>1737430</v>
      </c>
      <c r="G70" s="25">
        <f>+COUNTIFS('[1]Facturacion a Fecha'!AY:AY,Tabla1[[#This Row],[Cliente]],'[1]Facturacion a Fecha'!AX:AX,"Preventivo")</f>
        <v>3</v>
      </c>
      <c r="H70" s="49">
        <f>+Tabla1[[#This Row],['# Preventivo]]+Tabla1[[#This Row],['# Correctivo]]</f>
        <v>30</v>
      </c>
      <c r="I70" s="48">
        <f>+IFERROR(Tabla1[[#This Row],[Ingreso 2025 - 2026 Correctivo]]/Tabla1[[#This Row],[Ingreso 2025 - 2026 Preventivo]],0)</f>
        <v>1.7025825500883489</v>
      </c>
      <c r="J70" s="27">
        <f>+IFERROR(Tabla1[[#This Row],['# Correctivo]]/Tabla1[[#This Row],['# Preventivo]],0)</f>
        <v>9</v>
      </c>
      <c r="K70" s="50">
        <f>+IFERROR(Tabla1[[#This Row],[Ingreso 2025 - 2026 Preventivo]]/(Tabla1[[#This Row],[Ingreso 2025 - 2026 Correctivo]]+Tabla1[[#This Row],[Ingreso 2025 - 2026 Preventivo]]),0)</f>
        <v>0.37001644962419722</v>
      </c>
      <c r="L70" s="50">
        <f>1-Tabla1[[#This Row],[% Preventivo $]]</f>
        <v>0.62998355037580278</v>
      </c>
      <c r="M70" s="51">
        <f>+COUNTIFS('[1]Base Instalada'!AA:AA,Tabla1[[#This Row],[Cliente]])</f>
        <v>10</v>
      </c>
      <c r="N70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0" s="51">
        <f>+COUNTIFS('[1]Base Instalada'!AA:AA,Tabla1[[#This Row],[Cliente]],'[1]Base Instalada'!Z:Z,"ESTERILIZACIÓN")</f>
        <v>3</v>
      </c>
      <c r="P70" s="51">
        <f>+COUNTIFS('[1]Base Instalada'!AA:AA,Tabla1[[#This Row],[Cliente]],'[1]Base Instalada'!Z:Z,"DENTAL")</f>
        <v>7</v>
      </c>
      <c r="Q70" s="51">
        <f>+COUNTIFS('[1]Base Instalada'!AA:AA,Tabla1[[#This Row],[Cliente]],'[1]Base Instalada'!Z:Z,"ENDOSCOPÍA")</f>
        <v>0</v>
      </c>
      <c r="R70" s="51">
        <f>+COUNTIFS('[1]Base Instalada'!AA:AA,Tabla1[[#This Row],[Cliente]],'[1]Base Instalada'!Z:Z,"INCARDIA")</f>
        <v>0</v>
      </c>
      <c r="S70" s="51">
        <f>+COUNTIFS('[1]Base Instalada'!AA:AA,Tabla1[[#This Row],[Cliente]],'[1]Base Instalada'!Z:Z,"MMQ")</f>
        <v>0</v>
      </c>
      <c r="T70" s="51">
        <f>+COUNTIFS('[1]Base Instalada'!AA:AA,Tabla1[[#This Row],[Cliente]],'[1]Base Instalada'!Z:Z,"REAS")</f>
        <v>0</v>
      </c>
      <c r="U70" s="52">
        <f>+COUNTIFS('[1]Base Instalada'!AA:AA,Tabla1[[#This Row],[Cliente]],'[1]Base Instalada'!Z:Z,"MOBILIARIO CLINICO")</f>
        <v>0</v>
      </c>
      <c r="V70" s="29">
        <f>+COUNTIFS('[1]Base Instalada'!AA:AA,Tabla1[[#This Row],[Cliente]],'[1]Base Instalada'!Z:Z,"OTRO")</f>
        <v>0</v>
      </c>
      <c r="W70" s="31" t="str">
        <f t="shared" si="2"/>
        <v>Región Bío Bío</v>
      </c>
      <c r="X70" s="31" t="str">
        <f t="shared" si="3"/>
        <v>Tucapel</v>
      </c>
      <c r="Y70" s="32" t="s">
        <v>176</v>
      </c>
      <c r="Z70" s="33">
        <f>+COUNTIFS('[1]Pipeline TS'!$F:$F,Tabla1[[#This Row],[Cliente]])</f>
        <v>1</v>
      </c>
      <c r="AA70" s="34">
        <f>SUMIFS('[1]Pipeline Esterilización'!M:M,'[1]Pipeline Esterilización'!E:E,Tabla1[[#This Row],[Cliente]],'[1]Pipeline Esterilización'!B:B,"2026",'[1]Pipeline Esterilización'!L:L,"&gt;0")</f>
        <v>0</v>
      </c>
      <c r="AB70" s="33">
        <f>+SUMIFS('[1]Pipeline Endoscopía'!K:K,'[1]Pipeline Endoscopía'!E:E,Tabla1[[#This Row],[Cliente]],'[1]Pipeline Endoscopía'!B:B,"2026",'[1]Pipeline Endoscopía'!J:J,"&gt;0")</f>
        <v>0</v>
      </c>
      <c r="AC70" s="34">
        <f>+SUMIFS('[1]Pipeline Dental'!K:K,'[1]Pipeline Dental'!E:E,Tabla1[[#This Row],[Cliente]],'[1]Pipeline Dental'!B:B,"2026",'[1]Pipeline Dental'!J:J,"&gt;0")</f>
        <v>0</v>
      </c>
      <c r="AD70" s="35">
        <f>+SUMIFS('[1]Pipeline TS'!$AB:$AB,'[1]Pipeline TS'!$F:$F,Tabla1[[#This Row],[Cliente]])</f>
        <v>2865984</v>
      </c>
      <c r="AE70" s="35">
        <f>+SUM(Tabla1[[#This Row],[Pipeline 2026 $MM ESTERILIZACIÓN]:[Pipeline 2026 $MM TECSERVICE]])</f>
        <v>2865984</v>
      </c>
      <c r="AF70" s="43">
        <v>-37.240171465688697</v>
      </c>
      <c r="AG70" s="37">
        <v>-71.942210287712399</v>
      </c>
      <c r="AH70" s="38" t="str">
        <f>+IF(Tabla1[[#This Row],['# Contratos Vigentes ]]&gt;0,"SI","NO")</f>
        <v>SI</v>
      </c>
      <c r="AI70" s="39">
        <v>0.6</v>
      </c>
      <c r="AJ70" s="40">
        <f>+Tabla1[[#This Row],[Ingreso 2025 - 2026]]*Tabla1[[#This Row],[% Costo Serv. Directo]]</f>
        <v>2817328.8</v>
      </c>
      <c r="AK70" s="41">
        <v>4</v>
      </c>
      <c r="AL7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2865984</v>
      </c>
      <c r="AM7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0" s="42">
        <f>+Tabla1[[#This Row],[Potencial Equipos]]+Tabla1[[#This Row],[Potencial Pipeline]]</f>
        <v>2865984</v>
      </c>
    </row>
    <row r="71" spans="1:40" x14ac:dyDescent="0.25">
      <c r="A71" s="22" t="s">
        <v>177</v>
      </c>
      <c r="B71" t="str">
        <f>+VLOOKUP(Tabla1[[#This Row],[Cliente]],'[1]Público Privado'!$A$1:$B$325,2,FALSE)</f>
        <v>Público</v>
      </c>
      <c r="C71" s="23">
        <f>+SUMIFS('[1]Facturacion a Fecha'!$T:$T,'[1]Facturacion a Fecha'!$AY:$AY,Tabla1[[#This Row],[Cliente]])</f>
        <v>4691880</v>
      </c>
      <c r="D71" s="24">
        <f>+SUMIFS('[1]Facturacion a Fecha'!$T:$T,'[1]Facturacion a Fecha'!$AY:$AY,Tabla1[[#This Row],[Cliente]],'[1]Facturacion a Fecha'!$AX:$AX,"Correctivo")</f>
        <v>2345940</v>
      </c>
      <c r="E71" s="25">
        <f>+COUNTIFS('[1]Facturacion a Fecha'!AY:AY,Tabla1[[#This Row],[Cliente]],'[1]Facturacion a Fecha'!AX:AX,"Correctivo")</f>
        <v>1</v>
      </c>
      <c r="F71" s="25">
        <f>+SUMIFS('[1]Facturacion a Fecha'!$T:$T,'[1]Facturacion a Fecha'!$AY:$AY,Tabla1[[#This Row],[Cliente]],'[1]Facturacion a Fecha'!$AX:$AX,"Preventivo")</f>
        <v>2345940</v>
      </c>
      <c r="G71" s="25">
        <f>+COUNTIFS('[1]Facturacion a Fecha'!AY:AY,Tabla1[[#This Row],[Cliente]],'[1]Facturacion a Fecha'!AX:AX,"Preventivo")</f>
        <v>1</v>
      </c>
      <c r="H71" s="26">
        <f>+Tabla1[[#This Row],['# Preventivo]]+Tabla1[[#This Row],['# Correctivo]]</f>
        <v>2</v>
      </c>
      <c r="I71" s="23">
        <f>+IFERROR(Tabla1[[#This Row],[Ingreso 2025 - 2026 Correctivo]]/Tabla1[[#This Row],[Ingreso 2025 - 2026 Preventivo]],0)</f>
        <v>1</v>
      </c>
      <c r="J71" s="27">
        <f>+IFERROR(Tabla1[[#This Row],['# Correctivo]]/Tabla1[[#This Row],['# Preventivo]],0)</f>
        <v>1</v>
      </c>
      <c r="K71" s="28">
        <f>+IFERROR(Tabla1[[#This Row],[Ingreso 2025 - 2026 Preventivo]]/(Tabla1[[#This Row],[Ingreso 2025 - 2026 Correctivo]]+Tabla1[[#This Row],[Ingreso 2025 - 2026 Preventivo]]),0)</f>
        <v>0.5</v>
      </c>
      <c r="L71" s="28">
        <f>1-Tabla1[[#This Row],[% Preventivo $]]</f>
        <v>0.5</v>
      </c>
      <c r="M71" s="45">
        <f>+COUNTIFS('[1]Base Instalada'!AA:AA,Tabla1[[#This Row],[Cliente]])</f>
        <v>13</v>
      </c>
      <c r="N71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1" s="45">
        <f>+COUNTIFS('[1]Base Instalada'!AA:AA,Tabla1[[#This Row],[Cliente]],'[1]Base Instalada'!Z:Z,"ESTERILIZACIÓN")</f>
        <v>3</v>
      </c>
      <c r="P71" s="45">
        <f>+COUNTIFS('[1]Base Instalada'!AA:AA,Tabla1[[#This Row],[Cliente]],'[1]Base Instalada'!Z:Z,"DENTAL")</f>
        <v>8</v>
      </c>
      <c r="Q71" s="45">
        <f>+COUNTIFS('[1]Base Instalada'!AA:AA,Tabla1[[#This Row],[Cliente]],'[1]Base Instalada'!Z:Z,"ENDOSCOPÍA")</f>
        <v>2</v>
      </c>
      <c r="R71" s="45">
        <f>+COUNTIFS('[1]Base Instalada'!AA:AA,Tabla1[[#This Row],[Cliente]],'[1]Base Instalada'!Z:Z,"INCARDIA")</f>
        <v>0</v>
      </c>
      <c r="S71" s="45">
        <f>+COUNTIFS('[1]Base Instalada'!AA:AA,Tabla1[[#This Row],[Cliente]],'[1]Base Instalada'!Z:Z,"MMQ")</f>
        <v>0</v>
      </c>
      <c r="T71" s="45">
        <f>+COUNTIFS('[1]Base Instalada'!AA:AA,Tabla1[[#This Row],[Cliente]],'[1]Base Instalada'!Z:Z,"REAS")</f>
        <v>0</v>
      </c>
      <c r="U71" s="46">
        <f>+COUNTIFS('[1]Base Instalada'!AA:AA,Tabla1[[#This Row],[Cliente]],'[1]Base Instalada'!Z:Z,"MOBILIARIO CLINICO")</f>
        <v>0</v>
      </c>
      <c r="V71" s="29">
        <f>+COUNTIFS('[1]Base Instalada'!AA:AA,Tabla1[[#This Row],[Cliente]],'[1]Base Instalada'!Z:Z,"OTRO")</f>
        <v>0</v>
      </c>
      <c r="W71" s="31" t="str">
        <f t="shared" si="2"/>
        <v>Región Valparaíso</v>
      </c>
      <c r="X71" s="31" t="str">
        <f t="shared" si="3"/>
        <v>San Felipe</v>
      </c>
      <c r="Y71" s="32" t="s">
        <v>178</v>
      </c>
      <c r="Z71" s="33">
        <f>+COUNTIFS('[1]Pipeline TS'!$F:$F,Tabla1[[#This Row],[Cliente]])</f>
        <v>1</v>
      </c>
      <c r="AA71" s="34">
        <f>SUMIFS('[1]Pipeline Esterilización'!M:M,'[1]Pipeline Esterilización'!E:E,Tabla1[[#This Row],[Cliente]],'[1]Pipeline Esterilización'!B:B,"2026",'[1]Pipeline Esterilización'!L:L,"&gt;0")</f>
        <v>0</v>
      </c>
      <c r="AB71" s="33">
        <f>+SUMIFS('[1]Pipeline Endoscopía'!K:K,'[1]Pipeline Endoscopía'!E:E,Tabla1[[#This Row],[Cliente]],'[1]Pipeline Endoscopía'!B:B,"2026",'[1]Pipeline Endoscopía'!J:J,"&gt;0")</f>
        <v>280000000</v>
      </c>
      <c r="AC71" s="34">
        <f>+SUMIFS('[1]Pipeline Dental'!K:K,'[1]Pipeline Dental'!E:E,Tabla1[[#This Row],[Cliente]],'[1]Pipeline Dental'!B:B,"2026",'[1]Pipeline Dental'!J:J,"&gt;0")</f>
        <v>0</v>
      </c>
      <c r="AD71" s="35">
        <f>+SUMIFS('[1]Pipeline TS'!$AB:$AB,'[1]Pipeline TS'!$F:$F,Tabla1[[#This Row],[Cliente]])</f>
        <v>28151280</v>
      </c>
      <c r="AE71" s="35">
        <f>+SUM(Tabla1[[#This Row],[Pipeline 2026 $MM ESTERILIZACIÓN]:[Pipeline 2026 $MM TECSERVICE]])</f>
        <v>308151280</v>
      </c>
      <c r="AF71" s="43">
        <v>-32.749262945540799</v>
      </c>
      <c r="AG71" s="37">
        <v>-70.709096760901801</v>
      </c>
      <c r="AH71" s="38" t="str">
        <f>+IF(Tabla1[[#This Row],['# Contratos Vigentes ]]&gt;0,"SI","NO")</f>
        <v>SI</v>
      </c>
      <c r="AI71" s="39">
        <v>0.6</v>
      </c>
      <c r="AJ71" s="40">
        <f>+Tabla1[[#This Row],[Ingreso 2025 - 2026]]*Tabla1[[#This Row],[% Costo Serv. Directo]]</f>
        <v>2815128</v>
      </c>
      <c r="AK71" s="41">
        <v>5</v>
      </c>
      <c r="AL7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44951280</v>
      </c>
      <c r="AM7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1" s="42">
        <f>+Tabla1[[#This Row],[Potencial Equipos]]+Tabla1[[#This Row],[Potencial Pipeline]]</f>
        <v>44951280</v>
      </c>
    </row>
    <row r="72" spans="1:40" x14ac:dyDescent="0.25">
      <c r="A72" s="22" t="s">
        <v>179</v>
      </c>
      <c r="B72" t="str">
        <f>+VLOOKUP(Tabla1[[#This Row],[Cliente]],'[1]Público Privado'!$A$1:$B$325,2,FALSE)</f>
        <v>Privado</v>
      </c>
      <c r="C72" s="48">
        <f>+SUMIFS('[1]Facturacion a Fecha'!$T:$T,'[1]Facturacion a Fecha'!$AY:$AY,Tabla1[[#This Row],[Cliente]])</f>
        <v>4315563</v>
      </c>
      <c r="D72" s="24">
        <f>+SUMIFS('[1]Facturacion a Fecha'!$T:$T,'[1]Facturacion a Fecha'!$AY:$AY,Tabla1[[#This Row],[Cliente]],'[1]Facturacion a Fecha'!$AX:$AX,"Correctivo")</f>
        <v>2675169</v>
      </c>
      <c r="E72" s="25">
        <f>+COUNTIFS('[1]Facturacion a Fecha'!AY:AY,Tabla1[[#This Row],[Cliente]],'[1]Facturacion a Fecha'!AX:AX,"Correctivo")</f>
        <v>11</v>
      </c>
      <c r="F72" s="25">
        <f>+SUMIFS('[1]Facturacion a Fecha'!$T:$T,'[1]Facturacion a Fecha'!$AY:$AY,Tabla1[[#This Row],[Cliente]],'[1]Facturacion a Fecha'!$AX:$AX,"Preventivo")</f>
        <v>1640394</v>
      </c>
      <c r="G72" s="25">
        <f>+COUNTIFS('[1]Facturacion a Fecha'!AY:AY,Tabla1[[#This Row],[Cliente]],'[1]Facturacion a Fecha'!AX:AX,"Preventivo")</f>
        <v>6</v>
      </c>
      <c r="H72" s="49">
        <f>+Tabla1[[#This Row],['# Preventivo]]+Tabla1[[#This Row],['# Correctivo]]</f>
        <v>17</v>
      </c>
      <c r="I72" s="48">
        <f>+IFERROR(Tabla1[[#This Row],[Ingreso 2025 - 2026 Correctivo]]/Tabla1[[#This Row],[Ingreso 2025 - 2026 Preventivo]],0)</f>
        <v>1.6308088178815576</v>
      </c>
      <c r="J72" s="27">
        <f>+IFERROR(Tabla1[[#This Row],['# Correctivo]]/Tabla1[[#This Row],['# Preventivo]],0)</f>
        <v>1.8333333333333333</v>
      </c>
      <c r="K72" s="50">
        <f>+IFERROR(Tabla1[[#This Row],[Ingreso 2025 - 2026 Preventivo]]/(Tabla1[[#This Row],[Ingreso 2025 - 2026 Correctivo]]+Tabla1[[#This Row],[Ingreso 2025 - 2026 Preventivo]]),0)</f>
        <v>0.3801112392519817</v>
      </c>
      <c r="L72" s="50">
        <f>1-Tabla1[[#This Row],[% Preventivo $]]</f>
        <v>0.61988876074801835</v>
      </c>
      <c r="M72" s="51">
        <f>+COUNTIFS('[1]Base Instalada'!AA:AA,Tabla1[[#This Row],[Cliente]])</f>
        <v>3</v>
      </c>
      <c r="N72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2" s="51">
        <f>+COUNTIFS('[1]Base Instalada'!AA:AA,Tabla1[[#This Row],[Cliente]],'[1]Base Instalada'!Z:Z,"ESTERILIZACIÓN")</f>
        <v>3</v>
      </c>
      <c r="P72" s="51">
        <f>+COUNTIFS('[1]Base Instalada'!AA:AA,Tabla1[[#This Row],[Cliente]],'[1]Base Instalada'!Z:Z,"DENTAL")</f>
        <v>0</v>
      </c>
      <c r="Q72" s="51">
        <f>+COUNTIFS('[1]Base Instalada'!AA:AA,Tabla1[[#This Row],[Cliente]],'[1]Base Instalada'!Z:Z,"ENDOSCOPÍA")</f>
        <v>0</v>
      </c>
      <c r="R72" s="51">
        <f>+COUNTIFS('[1]Base Instalada'!AA:AA,Tabla1[[#This Row],[Cliente]],'[1]Base Instalada'!Z:Z,"INCARDIA")</f>
        <v>0</v>
      </c>
      <c r="S72" s="51">
        <f>+COUNTIFS('[1]Base Instalada'!AA:AA,Tabla1[[#This Row],[Cliente]],'[1]Base Instalada'!Z:Z,"MMQ")</f>
        <v>0</v>
      </c>
      <c r="T72" s="51">
        <f>+COUNTIFS('[1]Base Instalada'!AA:AA,Tabla1[[#This Row],[Cliente]],'[1]Base Instalada'!Z:Z,"REAS")</f>
        <v>0</v>
      </c>
      <c r="U72" s="52">
        <f>+COUNTIFS('[1]Base Instalada'!AA:AA,Tabla1[[#This Row],[Cliente]],'[1]Base Instalada'!Z:Z,"MOBILIARIO CLINICO")</f>
        <v>0</v>
      </c>
      <c r="V72" s="29">
        <f>+COUNTIFS('[1]Base Instalada'!AA:AA,Tabla1[[#This Row],[Cliente]],'[1]Base Instalada'!Z:Z,"OTRO")</f>
        <v>0</v>
      </c>
      <c r="W72" s="31" t="str">
        <f t="shared" si="2"/>
        <v>Región Metropolitana</v>
      </c>
      <c r="X72" s="31" t="str">
        <f t="shared" si="3"/>
        <v>Las Condes</v>
      </c>
      <c r="Y72" s="32" t="s">
        <v>180</v>
      </c>
      <c r="Z72" s="33">
        <f>+COUNTIFS('[1]Pipeline TS'!$F:$F,Tabla1[[#This Row],[Cliente]])</f>
        <v>1</v>
      </c>
      <c r="AA72" s="34">
        <f>SUMIFS('[1]Pipeline Esterilización'!M:M,'[1]Pipeline Esterilización'!E:E,Tabla1[[#This Row],[Cliente]],'[1]Pipeline Esterilización'!B:B,"2026",'[1]Pipeline Esterilización'!L:L,"&gt;0")</f>
        <v>0</v>
      </c>
      <c r="AB72" s="33">
        <f>+SUMIFS('[1]Pipeline Endoscopía'!K:K,'[1]Pipeline Endoscopía'!E:E,Tabla1[[#This Row],[Cliente]],'[1]Pipeline Endoscopía'!B:B,"2026",'[1]Pipeline Endoscopía'!J:J,"&gt;0")</f>
        <v>0</v>
      </c>
      <c r="AC72" s="34">
        <f>+SUMIFS('[1]Pipeline Dental'!K:K,'[1]Pipeline Dental'!E:E,Tabla1[[#This Row],[Cliente]],'[1]Pipeline Dental'!B:B,"2026",'[1]Pipeline Dental'!J:J,"&gt;0")</f>
        <v>0</v>
      </c>
      <c r="AD72" s="35">
        <f>+SUMIFS('[1]Pipeline TS'!$AB:$AB,'[1]Pipeline TS'!$F:$F,Tabla1[[#This Row],[Cliente]])</f>
        <v>3280788</v>
      </c>
      <c r="AE72" s="35">
        <f>+SUM(Tabla1[[#This Row],[Pipeline 2026 $MM ESTERILIZACIÓN]:[Pipeline 2026 $MM TECSERVICE]])</f>
        <v>3280788</v>
      </c>
      <c r="AF72" s="43">
        <v>-33.412349147226301</v>
      </c>
      <c r="AG72" s="37">
        <v>-70.578052223002601</v>
      </c>
      <c r="AH72" s="38" t="str">
        <f>+IF(Tabla1[[#This Row],['# Contratos Vigentes ]]&gt;0,"SI","NO")</f>
        <v>SI</v>
      </c>
      <c r="AI72" s="39">
        <v>0.6</v>
      </c>
      <c r="AJ72" s="40">
        <f>+Tabla1[[#This Row],[Ingreso 2025 - 2026]]*Tabla1[[#This Row],[% Costo Serv. Directo]]</f>
        <v>2589337.7999999998</v>
      </c>
      <c r="AK72" s="41">
        <v>4</v>
      </c>
      <c r="AL7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3280788</v>
      </c>
      <c r="AM7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2" s="42">
        <f>+Tabla1[[#This Row],[Potencial Equipos]]+Tabla1[[#This Row],[Potencial Pipeline]]</f>
        <v>3280788</v>
      </c>
    </row>
    <row r="73" spans="1:40" x14ac:dyDescent="0.25">
      <c r="A73" s="22" t="s">
        <v>181</v>
      </c>
      <c r="B73" t="str">
        <f>+VLOOKUP(Tabla1[[#This Row],[Cliente]],'[1]Público Privado'!$A$1:$B$325,2,FALSE)</f>
        <v>Público</v>
      </c>
      <c r="C73" s="23">
        <f>+SUMIFS('[1]Facturacion a Fecha'!$T:$T,'[1]Facturacion a Fecha'!$AY:$AY,Tabla1[[#This Row],[Cliente]])</f>
        <v>4195312</v>
      </c>
      <c r="D73" s="24">
        <f>+SUMIFS('[1]Facturacion a Fecha'!$T:$T,'[1]Facturacion a Fecha'!$AY:$AY,Tabla1[[#This Row],[Cliente]],'[1]Facturacion a Fecha'!$AX:$AX,"Correctivo")</f>
        <v>4195312</v>
      </c>
      <c r="E73" s="25">
        <f>+COUNTIFS('[1]Facturacion a Fecha'!AY:AY,Tabla1[[#This Row],[Cliente]],'[1]Facturacion a Fecha'!AX:AX,"Correctivo")</f>
        <v>3</v>
      </c>
      <c r="F73" s="25">
        <f>+SUMIFS('[1]Facturacion a Fecha'!$T:$T,'[1]Facturacion a Fecha'!$AY:$AY,Tabla1[[#This Row],[Cliente]],'[1]Facturacion a Fecha'!$AX:$AX,"Preventivo")</f>
        <v>0</v>
      </c>
      <c r="G73" s="25">
        <f>+COUNTIFS('[1]Facturacion a Fecha'!AY:AY,Tabla1[[#This Row],[Cliente]],'[1]Facturacion a Fecha'!AX:AX,"Preventivo")</f>
        <v>0</v>
      </c>
      <c r="H73" s="26">
        <f>+Tabla1[[#This Row],['# Preventivo]]+Tabla1[[#This Row],['# Correctivo]]</f>
        <v>3</v>
      </c>
      <c r="I73" s="23">
        <f>+IFERROR(Tabla1[[#This Row],[Ingreso 2025 - 2026 Correctivo]]/Tabla1[[#This Row],[Ingreso 2025 - 2026 Preventivo]],0)</f>
        <v>0</v>
      </c>
      <c r="J73" s="27">
        <f>+IFERROR(Tabla1[[#This Row],['# Correctivo]]/Tabla1[[#This Row],['# Preventivo]],0)</f>
        <v>0</v>
      </c>
      <c r="K73" s="28">
        <f>+IFERROR(Tabla1[[#This Row],[Ingreso 2025 - 2026 Preventivo]]/(Tabla1[[#This Row],[Ingreso 2025 - 2026 Correctivo]]+Tabla1[[#This Row],[Ingreso 2025 - 2026 Preventivo]]),0)</f>
        <v>0</v>
      </c>
      <c r="L73" s="28">
        <f>1-Tabla1[[#This Row],[% Preventivo $]]</f>
        <v>1</v>
      </c>
      <c r="M73" s="45">
        <f>+COUNTIFS('[1]Base Instalada'!AA:AA,Tabla1[[#This Row],[Cliente]])</f>
        <v>187</v>
      </c>
      <c r="N73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3" s="45">
        <f>+COUNTIFS('[1]Base Instalada'!AA:AA,Tabla1[[#This Row],[Cliente]],'[1]Base Instalada'!Z:Z,"ESTERILIZACIÓN")</f>
        <v>6</v>
      </c>
      <c r="P73" s="45">
        <f>+COUNTIFS('[1]Base Instalada'!AA:AA,Tabla1[[#This Row],[Cliente]],'[1]Base Instalada'!Z:Z,"DENTAL")</f>
        <v>34</v>
      </c>
      <c r="Q73" s="45">
        <f>+COUNTIFS('[1]Base Instalada'!AA:AA,Tabla1[[#This Row],[Cliente]],'[1]Base Instalada'!Z:Z,"ENDOSCOPÍA")</f>
        <v>0</v>
      </c>
      <c r="R73" s="45">
        <f>+COUNTIFS('[1]Base Instalada'!AA:AA,Tabla1[[#This Row],[Cliente]],'[1]Base Instalada'!Z:Z,"INCARDIA")</f>
        <v>2</v>
      </c>
      <c r="S73" s="45">
        <f>+COUNTIFS('[1]Base Instalada'!AA:AA,Tabla1[[#This Row],[Cliente]],'[1]Base Instalada'!Z:Z,"MMQ")</f>
        <v>0</v>
      </c>
      <c r="T73" s="45">
        <f>+COUNTIFS('[1]Base Instalada'!AA:AA,Tabla1[[#This Row],[Cliente]],'[1]Base Instalada'!Z:Z,"REAS")</f>
        <v>0</v>
      </c>
      <c r="U73" s="46">
        <f>+COUNTIFS('[1]Base Instalada'!AA:AA,Tabla1[[#This Row],[Cliente]],'[1]Base Instalada'!Z:Z,"MOBILIARIO CLINICO")</f>
        <v>145</v>
      </c>
      <c r="V73" s="29">
        <f>+COUNTIFS('[1]Base Instalada'!AA:AA,Tabla1[[#This Row],[Cliente]],'[1]Base Instalada'!Z:Z,"OTRO")</f>
        <v>0</v>
      </c>
      <c r="W73" s="31" t="str">
        <f t="shared" si="2"/>
        <v>Región Valparaíso</v>
      </c>
      <c r="X73" s="31" t="str">
        <f t="shared" si="3"/>
        <v>Viña del Mar</v>
      </c>
      <c r="Y73" s="32" t="s">
        <v>182</v>
      </c>
      <c r="Z73" s="33">
        <f>+COUNTIFS('[1]Pipeline TS'!$F:$F,Tabla1[[#This Row],[Cliente]])</f>
        <v>1</v>
      </c>
      <c r="AA73" s="34">
        <f>SUMIFS('[1]Pipeline Esterilización'!M:M,'[1]Pipeline Esterilización'!E:E,Tabla1[[#This Row],[Cliente]],'[1]Pipeline Esterilización'!B:B,"2026",'[1]Pipeline Esterilización'!L:L,"&gt;0")</f>
        <v>0</v>
      </c>
      <c r="AB73" s="33">
        <f>+SUMIFS('[1]Pipeline Endoscopía'!K:K,'[1]Pipeline Endoscopía'!E:E,Tabla1[[#This Row],[Cliente]],'[1]Pipeline Endoscopía'!B:B,"2026",'[1]Pipeline Endoscopía'!J:J,"&gt;0")</f>
        <v>300000000</v>
      </c>
      <c r="AC73" s="34">
        <f>+SUMIFS('[1]Pipeline Dental'!K:K,'[1]Pipeline Dental'!E:E,Tabla1[[#This Row],[Cliente]],'[1]Pipeline Dental'!B:B,"2026",'[1]Pipeline Dental'!J:J,"&gt;0")</f>
        <v>0</v>
      </c>
      <c r="AD73" s="35">
        <f>+SUMIFS('[1]Pipeline TS'!$AB:$AB,'[1]Pipeline TS'!$F:$F,Tabla1[[#This Row],[Cliente]])</f>
        <v>50135042.519999996</v>
      </c>
      <c r="AE73" s="35">
        <f>+SUM(Tabla1[[#This Row],[Pipeline 2026 $MM ESTERILIZACIÓN]:[Pipeline 2026 $MM TECSERVICE]])</f>
        <v>350135042.51999998</v>
      </c>
      <c r="AF73" s="43">
        <v>-33.0293218717256</v>
      </c>
      <c r="AG73" s="37">
        <v>-71.542639677498897</v>
      </c>
      <c r="AH73" s="38" t="str">
        <f>+IF(Tabla1[[#This Row],['# Contratos Vigentes ]]&gt;0,"SI","NO")</f>
        <v>SI</v>
      </c>
      <c r="AI73" s="39">
        <v>0.6</v>
      </c>
      <c r="AJ73" s="40">
        <f>+Tabla1[[#This Row],[Ingreso 2025 - 2026]]*Tabla1[[#This Row],[% Costo Serv. Directo]]</f>
        <v>2517187.1999999997</v>
      </c>
      <c r="AK73" s="41">
        <v>5</v>
      </c>
      <c r="AL7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68135042.519999996</v>
      </c>
      <c r="AM7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3" s="42">
        <f>+Tabla1[[#This Row],[Potencial Equipos]]+Tabla1[[#This Row],[Potencial Pipeline]]</f>
        <v>68135042.519999996</v>
      </c>
    </row>
    <row r="74" spans="1:40" x14ac:dyDescent="0.25">
      <c r="A74" s="22" t="s">
        <v>183</v>
      </c>
      <c r="B74" t="str">
        <f>+VLOOKUP(Tabla1[[#This Row],[Cliente]],'[1]Público Privado'!$A$1:$B$325,2,FALSE)</f>
        <v>Público</v>
      </c>
      <c r="C74" s="48">
        <f>+SUMIFS('[1]Facturacion a Fecha'!$T:$T,'[1]Facturacion a Fecha'!$AY:$AY,Tabla1[[#This Row],[Cliente]])</f>
        <v>4111630</v>
      </c>
      <c r="D74" s="24">
        <f>+SUMIFS('[1]Facturacion a Fecha'!$T:$T,'[1]Facturacion a Fecha'!$AY:$AY,Tabla1[[#This Row],[Cliente]],'[1]Facturacion a Fecha'!$AX:$AX,"Correctivo")</f>
        <v>4111630</v>
      </c>
      <c r="E74" s="25">
        <f>+COUNTIFS('[1]Facturacion a Fecha'!AY:AY,Tabla1[[#This Row],[Cliente]],'[1]Facturacion a Fecha'!AX:AX,"Correctivo")</f>
        <v>2</v>
      </c>
      <c r="F74" s="25">
        <f>+SUMIFS('[1]Facturacion a Fecha'!$T:$T,'[1]Facturacion a Fecha'!$AY:$AY,Tabla1[[#This Row],[Cliente]],'[1]Facturacion a Fecha'!$AX:$AX,"Preventivo")</f>
        <v>0</v>
      </c>
      <c r="G74" s="25">
        <f>+COUNTIFS('[1]Facturacion a Fecha'!AY:AY,Tabla1[[#This Row],[Cliente]],'[1]Facturacion a Fecha'!AX:AX,"Preventivo")</f>
        <v>0</v>
      </c>
      <c r="H74" s="49">
        <f>+Tabla1[[#This Row],['# Preventivo]]+Tabla1[[#This Row],['# Correctivo]]</f>
        <v>2</v>
      </c>
      <c r="I74" s="48">
        <f>+IFERROR(Tabla1[[#This Row],[Ingreso 2025 - 2026 Correctivo]]/Tabla1[[#This Row],[Ingreso 2025 - 2026 Preventivo]],0)</f>
        <v>0</v>
      </c>
      <c r="J74" s="27">
        <f>+IFERROR(Tabla1[[#This Row],['# Correctivo]]/Tabla1[[#This Row],['# Preventivo]],0)</f>
        <v>0</v>
      </c>
      <c r="K74" s="50">
        <f>+IFERROR(Tabla1[[#This Row],[Ingreso 2025 - 2026 Preventivo]]/(Tabla1[[#This Row],[Ingreso 2025 - 2026 Correctivo]]+Tabla1[[#This Row],[Ingreso 2025 - 2026 Preventivo]]),0)</f>
        <v>0</v>
      </c>
      <c r="L74" s="50">
        <f>1-Tabla1[[#This Row],[% Preventivo $]]</f>
        <v>1</v>
      </c>
      <c r="M74" s="51">
        <f>+COUNTIFS('[1]Base Instalada'!AA:AA,Tabla1[[#This Row],[Cliente]])</f>
        <v>1</v>
      </c>
      <c r="N74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4" s="51">
        <f>+COUNTIFS('[1]Base Instalada'!AA:AA,Tabla1[[#This Row],[Cliente]],'[1]Base Instalada'!Z:Z,"ESTERILIZACIÓN")</f>
        <v>0</v>
      </c>
      <c r="P74" s="51">
        <f>+COUNTIFS('[1]Base Instalada'!AA:AA,Tabla1[[#This Row],[Cliente]],'[1]Base Instalada'!Z:Z,"DENTAL")</f>
        <v>1</v>
      </c>
      <c r="Q74" s="51">
        <f>+COUNTIFS('[1]Base Instalada'!AA:AA,Tabla1[[#This Row],[Cliente]],'[1]Base Instalada'!Z:Z,"ENDOSCOPÍA")</f>
        <v>0</v>
      </c>
      <c r="R74" s="51">
        <f>+COUNTIFS('[1]Base Instalada'!AA:AA,Tabla1[[#This Row],[Cliente]],'[1]Base Instalada'!Z:Z,"INCARDIA")</f>
        <v>0</v>
      </c>
      <c r="S74" s="51">
        <f>+COUNTIFS('[1]Base Instalada'!AA:AA,Tabla1[[#This Row],[Cliente]],'[1]Base Instalada'!Z:Z,"MMQ")</f>
        <v>0</v>
      </c>
      <c r="T74" s="51">
        <f>+COUNTIFS('[1]Base Instalada'!AA:AA,Tabla1[[#This Row],[Cliente]],'[1]Base Instalada'!Z:Z,"REAS")</f>
        <v>0</v>
      </c>
      <c r="U74" s="52">
        <f>+COUNTIFS('[1]Base Instalada'!AA:AA,Tabla1[[#This Row],[Cliente]],'[1]Base Instalada'!Z:Z,"MOBILIARIO CLINICO")</f>
        <v>0</v>
      </c>
      <c r="V74" s="29">
        <f>+COUNTIFS('[1]Base Instalada'!AA:AA,Tabla1[[#This Row],[Cliente]],'[1]Base Instalada'!Z:Z,"OTRO")</f>
        <v>0</v>
      </c>
      <c r="W74" s="31" t="str">
        <f t="shared" si="2"/>
        <v>Región Metropolitana</v>
      </c>
      <c r="X74" s="31" t="str">
        <f t="shared" si="3"/>
        <v>Conchalí</v>
      </c>
      <c r="Y74" s="32" t="s">
        <v>184</v>
      </c>
      <c r="Z74" s="33">
        <f>+COUNTIFS('[1]Pipeline TS'!$F:$F,Tabla1[[#This Row],[Cliente]])</f>
        <v>1</v>
      </c>
      <c r="AA74" s="34">
        <f>SUMIFS('[1]Pipeline Esterilización'!M:M,'[1]Pipeline Esterilización'!E:E,Tabla1[[#This Row],[Cliente]],'[1]Pipeline Esterilización'!B:B,"2026",'[1]Pipeline Esterilización'!L:L,"&gt;0")</f>
        <v>0</v>
      </c>
      <c r="AB74" s="33">
        <f>+SUMIFS('[1]Pipeline Endoscopía'!K:K,'[1]Pipeline Endoscopía'!E:E,Tabla1[[#This Row],[Cliente]],'[1]Pipeline Endoscopía'!B:B,"2026",'[1]Pipeline Endoscopía'!J:J,"&gt;0")</f>
        <v>0</v>
      </c>
      <c r="AC74" s="34">
        <f>+SUMIFS('[1]Pipeline Dental'!K:K,'[1]Pipeline Dental'!E:E,Tabla1[[#This Row],[Cliente]],'[1]Pipeline Dental'!B:B,"2026",'[1]Pipeline Dental'!J:J,"&gt;0")</f>
        <v>0</v>
      </c>
      <c r="AD74" s="35">
        <f>+SUMIFS('[1]Pipeline TS'!$AB:$AB,'[1]Pipeline TS'!$F:$F,Tabla1[[#This Row],[Cliente]])</f>
        <v>3984200</v>
      </c>
      <c r="AE74" s="35">
        <f>+SUM(Tabla1[[#This Row],[Pipeline 2026 $MM ESTERILIZACIÓN]:[Pipeline 2026 $MM TECSERVICE]])</f>
        <v>3984200</v>
      </c>
      <c r="AF74" s="43">
        <v>-33.394740966462699</v>
      </c>
      <c r="AG74" s="37">
        <v>-70.682217329961304</v>
      </c>
      <c r="AH74" s="38" t="str">
        <f>+IF(Tabla1[[#This Row],['# Contratos Vigentes ]]&gt;0,"SI","NO")</f>
        <v>SI</v>
      </c>
      <c r="AI74" s="39">
        <v>0.6</v>
      </c>
      <c r="AJ74" s="40">
        <f>+Tabla1[[#This Row],[Ingreso 2025 - 2026]]*Tabla1[[#This Row],[% Costo Serv. Directo]]</f>
        <v>2466978</v>
      </c>
      <c r="AK74" s="41">
        <v>5</v>
      </c>
      <c r="AL7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3984200</v>
      </c>
      <c r="AM7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4" s="42">
        <f>+Tabla1[[#This Row],[Potencial Equipos]]+Tabla1[[#This Row],[Potencial Pipeline]]</f>
        <v>3984200</v>
      </c>
    </row>
    <row r="75" spans="1:40" x14ac:dyDescent="0.25">
      <c r="A75" s="22" t="s">
        <v>185</v>
      </c>
      <c r="B75" t="str">
        <f>+VLOOKUP(Tabla1[[#This Row],[Cliente]],'[1]Público Privado'!$A$1:$B$325,2,FALSE)</f>
        <v>Público</v>
      </c>
      <c r="C75" s="48">
        <f>+SUMIFS('[1]Facturacion a Fecha'!$T:$T,'[1]Facturacion a Fecha'!$AY:$AY,Tabla1[[#This Row],[Cliente]])</f>
        <v>3932726</v>
      </c>
      <c r="D75" s="24">
        <f>+SUMIFS('[1]Facturacion a Fecha'!$T:$T,'[1]Facturacion a Fecha'!$AY:$AY,Tabla1[[#This Row],[Cliente]],'[1]Facturacion a Fecha'!$AX:$AX,"Correctivo")</f>
        <v>3932726</v>
      </c>
      <c r="E75" s="25">
        <f>+COUNTIFS('[1]Facturacion a Fecha'!AY:AY,Tabla1[[#This Row],[Cliente]],'[1]Facturacion a Fecha'!AX:AX,"Correctivo")</f>
        <v>2</v>
      </c>
      <c r="F75" s="25">
        <f>+SUMIFS('[1]Facturacion a Fecha'!$T:$T,'[1]Facturacion a Fecha'!$AY:$AY,Tabla1[[#This Row],[Cliente]],'[1]Facturacion a Fecha'!$AX:$AX,"Preventivo")</f>
        <v>0</v>
      </c>
      <c r="G75" s="25">
        <f>+COUNTIFS('[1]Facturacion a Fecha'!AY:AY,Tabla1[[#This Row],[Cliente]],'[1]Facturacion a Fecha'!AX:AX,"Preventivo")</f>
        <v>0</v>
      </c>
      <c r="H75" s="49">
        <f>+Tabla1[[#This Row],['# Preventivo]]+Tabla1[[#This Row],['# Correctivo]]</f>
        <v>2</v>
      </c>
      <c r="I75" s="48">
        <f>+IFERROR(Tabla1[[#This Row],[Ingreso 2025 - 2026 Correctivo]]/Tabla1[[#This Row],[Ingreso 2025 - 2026 Preventivo]],0)</f>
        <v>0</v>
      </c>
      <c r="J75" s="27">
        <f>+IFERROR(Tabla1[[#This Row],['# Correctivo]]/Tabla1[[#This Row],['# Preventivo]],0)</f>
        <v>0</v>
      </c>
      <c r="K75" s="50">
        <f>+IFERROR(Tabla1[[#This Row],[Ingreso 2025 - 2026 Preventivo]]/(Tabla1[[#This Row],[Ingreso 2025 - 2026 Correctivo]]+Tabla1[[#This Row],[Ingreso 2025 - 2026 Preventivo]]),0)</f>
        <v>0</v>
      </c>
      <c r="L75" s="50">
        <f>1-Tabla1[[#This Row],[% Preventivo $]]</f>
        <v>1</v>
      </c>
      <c r="M75" s="51">
        <f>+COUNTIFS('[1]Base Instalada'!AA:AA,Tabla1[[#This Row],[Cliente]])</f>
        <v>7</v>
      </c>
      <c r="N75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5" s="51">
        <f>+COUNTIFS('[1]Base Instalada'!AA:AA,Tabla1[[#This Row],[Cliente]],'[1]Base Instalada'!Z:Z,"ESTERILIZACIÓN")</f>
        <v>5</v>
      </c>
      <c r="P75" s="51">
        <f>+COUNTIFS('[1]Base Instalada'!AA:AA,Tabla1[[#This Row],[Cliente]],'[1]Base Instalada'!Z:Z,"DENTAL")</f>
        <v>2</v>
      </c>
      <c r="Q75" s="51">
        <f>+COUNTIFS('[1]Base Instalada'!AA:AA,Tabla1[[#This Row],[Cliente]],'[1]Base Instalada'!Z:Z,"ENDOSCOPÍA")</f>
        <v>0</v>
      </c>
      <c r="R75" s="51">
        <f>+COUNTIFS('[1]Base Instalada'!AA:AA,Tabla1[[#This Row],[Cliente]],'[1]Base Instalada'!Z:Z,"INCARDIA")</f>
        <v>0</v>
      </c>
      <c r="S75" s="51">
        <f>+COUNTIFS('[1]Base Instalada'!AA:AA,Tabla1[[#This Row],[Cliente]],'[1]Base Instalada'!Z:Z,"MMQ")</f>
        <v>0</v>
      </c>
      <c r="T75" s="51">
        <f>+COUNTIFS('[1]Base Instalada'!AA:AA,Tabla1[[#This Row],[Cliente]],'[1]Base Instalada'!Z:Z,"REAS")</f>
        <v>0</v>
      </c>
      <c r="U75" s="52">
        <f>+COUNTIFS('[1]Base Instalada'!AA:AA,Tabla1[[#This Row],[Cliente]],'[1]Base Instalada'!Z:Z,"MOBILIARIO CLINICO")</f>
        <v>0</v>
      </c>
      <c r="V75" s="29">
        <f>+COUNTIFS('[1]Base Instalada'!AA:AA,Tabla1[[#This Row],[Cliente]],'[1]Base Instalada'!Z:Z,"OTRO")</f>
        <v>0</v>
      </c>
      <c r="W75" s="31" t="str">
        <f t="shared" si="2"/>
        <v>Región Coquimbo</v>
      </c>
      <c r="X75" s="31" t="str">
        <f t="shared" si="3"/>
        <v>Vicuña</v>
      </c>
      <c r="Y75" s="32" t="s">
        <v>186</v>
      </c>
      <c r="Z75" s="33">
        <f>+COUNTIFS('[1]Pipeline TS'!$F:$F,Tabla1[[#This Row],[Cliente]])</f>
        <v>1</v>
      </c>
      <c r="AA75" s="34">
        <f>SUMIFS('[1]Pipeline Esterilización'!M:M,'[1]Pipeline Esterilización'!E:E,Tabla1[[#This Row],[Cliente]],'[1]Pipeline Esterilización'!B:B,"2026",'[1]Pipeline Esterilización'!L:L,"&gt;0")</f>
        <v>0</v>
      </c>
      <c r="AB75" s="33">
        <f>+SUMIFS('[1]Pipeline Endoscopía'!K:K,'[1]Pipeline Endoscopía'!E:E,Tabla1[[#This Row],[Cliente]],'[1]Pipeline Endoscopía'!B:B,"2026",'[1]Pipeline Endoscopía'!J:J,"&gt;0")</f>
        <v>0</v>
      </c>
      <c r="AC75" s="34">
        <f>+SUMIFS('[1]Pipeline Dental'!K:K,'[1]Pipeline Dental'!E:E,Tabla1[[#This Row],[Cliente]],'[1]Pipeline Dental'!B:B,"2026",'[1]Pipeline Dental'!J:J,"&gt;0")</f>
        <v>0</v>
      </c>
      <c r="AD75" s="35">
        <f>+SUMIFS('[1]Pipeline TS'!$AB:$AB,'[1]Pipeline TS'!$F:$F,Tabla1[[#This Row],[Cliente]])</f>
        <v>7865452</v>
      </c>
      <c r="AE75" s="35">
        <f>+SUM(Tabla1[[#This Row],[Pipeline 2026 $MM ESTERILIZACIÓN]:[Pipeline 2026 $MM TECSERVICE]])</f>
        <v>7865452</v>
      </c>
      <c r="AF75" s="43">
        <v>-30.023855424696201</v>
      </c>
      <c r="AG75" s="37">
        <v>-70.693952288736497</v>
      </c>
      <c r="AH75" s="38" t="str">
        <f>+IF(Tabla1[[#This Row],['# Contratos Vigentes ]]&gt;0,"SI","NO")</f>
        <v>SI</v>
      </c>
      <c r="AI75" s="39">
        <v>0.6</v>
      </c>
      <c r="AJ75" s="40">
        <f>+Tabla1[[#This Row],[Ingreso 2025 - 2026]]*Tabla1[[#This Row],[% Costo Serv. Directo]]</f>
        <v>2359635.6</v>
      </c>
      <c r="AK75" s="41">
        <v>4</v>
      </c>
      <c r="AL7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7865452</v>
      </c>
      <c r="AM7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5" s="42">
        <f>+Tabla1[[#This Row],[Potencial Equipos]]+Tabla1[[#This Row],[Potencial Pipeline]]</f>
        <v>7865452</v>
      </c>
    </row>
    <row r="76" spans="1:40" x14ac:dyDescent="0.25">
      <c r="A76" s="22" t="s">
        <v>187</v>
      </c>
      <c r="B76" t="str">
        <f>+VLOOKUP(Tabla1[[#This Row],[Cliente]],'[1]Público Privado'!$A$1:$B$325,2,FALSE)</f>
        <v>Público</v>
      </c>
      <c r="C76" s="48">
        <f>+SUMIFS('[1]Facturacion a Fecha'!$T:$T,'[1]Facturacion a Fecha'!$AY:$AY,Tabla1[[#This Row],[Cliente]])</f>
        <v>4258706</v>
      </c>
      <c r="D76" s="24">
        <f>+SUMIFS('[1]Facturacion a Fecha'!$T:$T,'[1]Facturacion a Fecha'!$AY:$AY,Tabla1[[#This Row],[Cliente]],'[1]Facturacion a Fecha'!$AX:$AX,"Correctivo")</f>
        <v>3831361</v>
      </c>
      <c r="E76" s="25">
        <f>+COUNTIFS('[1]Facturacion a Fecha'!AY:AY,Tabla1[[#This Row],[Cliente]],'[1]Facturacion a Fecha'!AX:AX,"Correctivo")</f>
        <v>8</v>
      </c>
      <c r="F76" s="25">
        <f>+SUMIFS('[1]Facturacion a Fecha'!$T:$T,'[1]Facturacion a Fecha'!$AY:$AY,Tabla1[[#This Row],[Cliente]],'[1]Facturacion a Fecha'!$AX:$AX,"Preventivo")</f>
        <v>427345</v>
      </c>
      <c r="G76" s="25">
        <f>+COUNTIFS('[1]Facturacion a Fecha'!AY:AY,Tabla1[[#This Row],[Cliente]],'[1]Facturacion a Fecha'!AX:AX,"Preventivo")</f>
        <v>1</v>
      </c>
      <c r="H76" s="49">
        <f>+Tabla1[[#This Row],['# Preventivo]]+Tabla1[[#This Row],['# Correctivo]]</f>
        <v>9</v>
      </c>
      <c r="I76" s="48">
        <f>+IFERROR(Tabla1[[#This Row],[Ingreso 2025 - 2026 Correctivo]]/Tabla1[[#This Row],[Ingreso 2025 - 2026 Preventivo]],0)</f>
        <v>8.9654986018322429</v>
      </c>
      <c r="J76" s="27">
        <f>+IFERROR(Tabla1[[#This Row],['# Correctivo]]/Tabla1[[#This Row],['# Preventivo]],0)</f>
        <v>8</v>
      </c>
      <c r="K76" s="50">
        <f>+IFERROR(Tabla1[[#This Row],[Ingreso 2025 - 2026 Preventivo]]/(Tabla1[[#This Row],[Ingreso 2025 - 2026 Correctivo]]+Tabla1[[#This Row],[Ingreso 2025 - 2026 Preventivo]]),0)</f>
        <v>0.10034620844923317</v>
      </c>
      <c r="L76" s="50">
        <f>1-Tabla1[[#This Row],[% Preventivo $]]</f>
        <v>0.89965379155076686</v>
      </c>
      <c r="M76" s="51">
        <f>+COUNTIFS('[1]Base Instalada'!AA:AA,Tabla1[[#This Row],[Cliente]])</f>
        <v>14</v>
      </c>
      <c r="N76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6" s="51">
        <f>+COUNTIFS('[1]Base Instalada'!AA:AA,Tabla1[[#This Row],[Cliente]],'[1]Base Instalada'!Z:Z,"ESTERILIZACIÓN")</f>
        <v>3</v>
      </c>
      <c r="P76" s="51">
        <f>+COUNTIFS('[1]Base Instalada'!AA:AA,Tabla1[[#This Row],[Cliente]],'[1]Base Instalada'!Z:Z,"DENTAL")</f>
        <v>1</v>
      </c>
      <c r="Q76" s="51">
        <f>+COUNTIFS('[1]Base Instalada'!AA:AA,Tabla1[[#This Row],[Cliente]],'[1]Base Instalada'!Z:Z,"ENDOSCOPÍA")</f>
        <v>4</v>
      </c>
      <c r="R76" s="51">
        <f>+COUNTIFS('[1]Base Instalada'!AA:AA,Tabla1[[#This Row],[Cliente]],'[1]Base Instalada'!Z:Z,"INCARDIA")</f>
        <v>0</v>
      </c>
      <c r="S76" s="51">
        <f>+COUNTIFS('[1]Base Instalada'!AA:AA,Tabla1[[#This Row],[Cliente]],'[1]Base Instalada'!Z:Z,"MMQ")</f>
        <v>0</v>
      </c>
      <c r="T76" s="51">
        <f>+COUNTIFS('[1]Base Instalada'!AA:AA,Tabla1[[#This Row],[Cliente]],'[1]Base Instalada'!Z:Z,"REAS")</f>
        <v>0</v>
      </c>
      <c r="U76" s="52">
        <f>+COUNTIFS('[1]Base Instalada'!AA:AA,Tabla1[[#This Row],[Cliente]],'[1]Base Instalada'!Z:Z,"MOBILIARIO CLINICO")</f>
        <v>6</v>
      </c>
      <c r="V76" s="29">
        <f>+COUNTIFS('[1]Base Instalada'!AA:AA,Tabla1[[#This Row],[Cliente]],'[1]Base Instalada'!Z:Z,"OTRO")</f>
        <v>0</v>
      </c>
      <c r="W76" s="31" t="str">
        <f t="shared" si="2"/>
        <v>Región Coquimbo</v>
      </c>
      <c r="X76" s="31" t="str">
        <f t="shared" si="3"/>
        <v>Illapel</v>
      </c>
      <c r="Y76" s="32" t="s">
        <v>188</v>
      </c>
      <c r="Z76" s="33">
        <f>+COUNTIFS('[1]Pipeline TS'!$F:$F,Tabla1[[#This Row],[Cliente]])</f>
        <v>1</v>
      </c>
      <c r="AA76" s="34">
        <f>SUMIFS('[1]Pipeline Esterilización'!M:M,'[1]Pipeline Esterilización'!E:E,Tabla1[[#This Row],[Cliente]],'[1]Pipeline Esterilización'!B:B,"2026",'[1]Pipeline Esterilización'!L:L,"&gt;0")</f>
        <v>0</v>
      </c>
      <c r="AB76" s="33">
        <f>+SUMIFS('[1]Pipeline Endoscopía'!K:K,'[1]Pipeline Endoscopía'!E:E,Tabla1[[#This Row],[Cliente]],'[1]Pipeline Endoscopía'!B:B,"2026",'[1]Pipeline Endoscopía'!J:J,"&gt;0")</f>
        <v>0</v>
      </c>
      <c r="AC76" s="34">
        <f>+SUMIFS('[1]Pipeline Dental'!K:K,'[1]Pipeline Dental'!E:E,Tabla1[[#This Row],[Cliente]],'[1]Pipeline Dental'!B:B,"2026",'[1]Pipeline Dental'!J:J,"&gt;0")</f>
        <v>0</v>
      </c>
      <c r="AD76" s="35">
        <f>+SUMIFS('[1]Pipeline TS'!$AB:$AB,'[1]Pipeline TS'!$F:$F,Tabla1[[#This Row],[Cliente]])</f>
        <v>3429404</v>
      </c>
      <c r="AE76" s="35">
        <f>+SUM(Tabla1[[#This Row],[Pipeline 2026 $MM ESTERILIZACIÓN]:[Pipeline 2026 $MM TECSERVICE]])</f>
        <v>3429404</v>
      </c>
      <c r="AF76" s="43">
        <v>-31.634347011704801</v>
      </c>
      <c r="AG76" s="37">
        <v>-71.1736725186136</v>
      </c>
      <c r="AH76" s="38" t="str">
        <f>+IF(Tabla1[[#This Row],['# Contratos Vigentes ]]&gt;0,"SI","NO")</f>
        <v>SI</v>
      </c>
      <c r="AI76" s="39">
        <v>0.6</v>
      </c>
      <c r="AJ76" s="40">
        <f>+Tabla1[[#This Row],[Ingreso 2025 - 2026]]*Tabla1[[#This Row],[% Costo Serv. Directo]]</f>
        <v>2555223.6</v>
      </c>
      <c r="AK76" s="41">
        <v>5</v>
      </c>
      <c r="AL7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3429404</v>
      </c>
      <c r="AM7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6" s="42">
        <f>+Tabla1[[#This Row],[Potencial Equipos]]+Tabla1[[#This Row],[Potencial Pipeline]]</f>
        <v>3429404</v>
      </c>
    </row>
    <row r="77" spans="1:40" x14ac:dyDescent="0.25">
      <c r="A77" s="22" t="s">
        <v>189</v>
      </c>
      <c r="B77" t="str">
        <f>+VLOOKUP(Tabla1[[#This Row],[Cliente]],'[1]Público Privado'!$A$1:$B$325,2,FALSE)</f>
        <v>Público</v>
      </c>
      <c r="C77" s="48">
        <f>+SUMIFS('[1]Facturacion a Fecha'!$T:$T,'[1]Facturacion a Fecha'!$AY:$AY,Tabla1[[#This Row],[Cliente]])</f>
        <v>3308250</v>
      </c>
      <c r="D77" s="24">
        <f>+SUMIFS('[1]Facturacion a Fecha'!$T:$T,'[1]Facturacion a Fecha'!$AY:$AY,Tabla1[[#This Row],[Cliente]],'[1]Facturacion a Fecha'!$AX:$AX,"Correctivo")</f>
        <v>1654125</v>
      </c>
      <c r="E77" s="25">
        <f>+COUNTIFS('[1]Facturacion a Fecha'!AY:AY,Tabla1[[#This Row],[Cliente]],'[1]Facturacion a Fecha'!AX:AX,"Correctivo")</f>
        <v>1</v>
      </c>
      <c r="F77" s="25">
        <f>+SUMIFS('[1]Facturacion a Fecha'!$T:$T,'[1]Facturacion a Fecha'!$AY:$AY,Tabla1[[#This Row],[Cliente]],'[1]Facturacion a Fecha'!$AX:$AX,"Preventivo")</f>
        <v>1654125</v>
      </c>
      <c r="G77" s="25">
        <f>+COUNTIFS('[1]Facturacion a Fecha'!AY:AY,Tabla1[[#This Row],[Cliente]],'[1]Facturacion a Fecha'!AX:AX,"Preventivo")</f>
        <v>1</v>
      </c>
      <c r="H77" s="49">
        <f>+Tabla1[[#This Row],['# Preventivo]]+Tabla1[[#This Row],['# Correctivo]]</f>
        <v>2</v>
      </c>
      <c r="I77" s="48">
        <f>+IFERROR(Tabla1[[#This Row],[Ingreso 2025 - 2026 Correctivo]]/Tabla1[[#This Row],[Ingreso 2025 - 2026 Preventivo]],0)</f>
        <v>1</v>
      </c>
      <c r="J77" s="27">
        <f>+IFERROR(Tabla1[[#This Row],['# Correctivo]]/Tabla1[[#This Row],['# Preventivo]],0)</f>
        <v>1</v>
      </c>
      <c r="K77" s="50">
        <f>+IFERROR(Tabla1[[#This Row],[Ingreso 2025 - 2026 Preventivo]]/(Tabla1[[#This Row],[Ingreso 2025 - 2026 Correctivo]]+Tabla1[[#This Row],[Ingreso 2025 - 2026 Preventivo]]),0)</f>
        <v>0.5</v>
      </c>
      <c r="L77" s="50">
        <f>1-Tabla1[[#This Row],[% Preventivo $]]</f>
        <v>0.5</v>
      </c>
      <c r="M77" s="51">
        <f>+COUNTIFS('[1]Base Instalada'!AA:AA,Tabla1[[#This Row],[Cliente]])</f>
        <v>15</v>
      </c>
      <c r="N77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7" s="51">
        <f>+COUNTIFS('[1]Base Instalada'!AA:AA,Tabla1[[#This Row],[Cliente]],'[1]Base Instalada'!Z:Z,"ESTERILIZACIÓN")</f>
        <v>5</v>
      </c>
      <c r="P77" s="51">
        <f>+COUNTIFS('[1]Base Instalada'!AA:AA,Tabla1[[#This Row],[Cliente]],'[1]Base Instalada'!Z:Z,"DENTAL")</f>
        <v>10</v>
      </c>
      <c r="Q77" s="51">
        <f>+COUNTIFS('[1]Base Instalada'!AA:AA,Tabla1[[#This Row],[Cliente]],'[1]Base Instalada'!Z:Z,"ENDOSCOPÍA")</f>
        <v>0</v>
      </c>
      <c r="R77" s="51">
        <f>+COUNTIFS('[1]Base Instalada'!AA:AA,Tabla1[[#This Row],[Cliente]],'[1]Base Instalada'!Z:Z,"INCARDIA")</f>
        <v>0</v>
      </c>
      <c r="S77" s="51">
        <f>+COUNTIFS('[1]Base Instalada'!AA:AA,Tabla1[[#This Row],[Cliente]],'[1]Base Instalada'!Z:Z,"MMQ")</f>
        <v>0</v>
      </c>
      <c r="T77" s="51">
        <f>+COUNTIFS('[1]Base Instalada'!AA:AA,Tabla1[[#This Row],[Cliente]],'[1]Base Instalada'!Z:Z,"REAS")</f>
        <v>0</v>
      </c>
      <c r="U77" s="52">
        <f>+COUNTIFS('[1]Base Instalada'!AA:AA,Tabla1[[#This Row],[Cliente]],'[1]Base Instalada'!Z:Z,"MOBILIARIO CLINICO")</f>
        <v>0</v>
      </c>
      <c r="V77" s="29">
        <f>+COUNTIFS('[1]Base Instalada'!AA:AA,Tabla1[[#This Row],[Cliente]],'[1]Base Instalada'!Z:Z,"OTRO")</f>
        <v>0</v>
      </c>
      <c r="W77" s="31" t="str">
        <f t="shared" si="2"/>
        <v>Región Los Ríos</v>
      </c>
      <c r="X77" s="31" t="str">
        <f t="shared" si="3"/>
        <v>La Unión</v>
      </c>
      <c r="Y77" s="32" t="s">
        <v>190</v>
      </c>
      <c r="Z77" s="33">
        <f>+COUNTIFS('[1]Pipeline TS'!$F:$F,Tabla1[[#This Row],[Cliente]])</f>
        <v>1</v>
      </c>
      <c r="AA77" s="34">
        <f>SUMIFS('[1]Pipeline Esterilización'!M:M,'[1]Pipeline Esterilización'!E:E,Tabla1[[#This Row],[Cliente]],'[1]Pipeline Esterilización'!B:B,"2026",'[1]Pipeline Esterilización'!L:L,"&gt;0")</f>
        <v>72000000</v>
      </c>
      <c r="AB77" s="33">
        <f>+SUMIFS('[1]Pipeline Endoscopía'!K:K,'[1]Pipeline Endoscopía'!E:E,Tabla1[[#This Row],[Cliente]],'[1]Pipeline Endoscopía'!B:B,"2026",'[1]Pipeline Endoscopía'!J:J,"&gt;0")</f>
        <v>0</v>
      </c>
      <c r="AC77" s="34">
        <f>+SUMIFS('[1]Pipeline Dental'!K:K,'[1]Pipeline Dental'!E:E,Tabla1[[#This Row],[Cliente]],'[1]Pipeline Dental'!B:B,"2026",'[1]Pipeline Dental'!J:J,"&gt;0")</f>
        <v>0</v>
      </c>
      <c r="AD77" s="35">
        <f>+SUMIFS('[1]Pipeline TS'!$AB:$AB,'[1]Pipeline TS'!$F:$F,Tabla1[[#This Row],[Cliente]])</f>
        <v>3308250</v>
      </c>
      <c r="AE77" s="35">
        <f>+SUM(Tabla1[[#This Row],[Pipeline 2026 $MM ESTERILIZACIÓN]:[Pipeline 2026 $MM TECSERVICE]])</f>
        <v>75308250</v>
      </c>
      <c r="AF77" s="43">
        <v>-40.3049887786323</v>
      </c>
      <c r="AG77" s="37">
        <v>-73.062217178358793</v>
      </c>
      <c r="AH77" s="38" t="str">
        <f>+IF(Tabla1[[#This Row],['# Contratos Vigentes ]]&gt;0,"SI","NO")</f>
        <v>SI</v>
      </c>
      <c r="AI77" s="39">
        <v>0.6</v>
      </c>
      <c r="AJ77" s="40">
        <f>+Tabla1[[#This Row],[Ingreso 2025 - 2026]]*Tabla1[[#This Row],[% Costo Serv. Directo]]</f>
        <v>1984950</v>
      </c>
      <c r="AK77" s="41">
        <v>5</v>
      </c>
      <c r="AL7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10508250</v>
      </c>
      <c r="AM7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7" s="42">
        <f>+Tabla1[[#This Row],[Potencial Equipos]]+Tabla1[[#This Row],[Potencial Pipeline]]</f>
        <v>10508250</v>
      </c>
    </row>
    <row r="78" spans="1:40" x14ac:dyDescent="0.25">
      <c r="A78" s="22" t="s">
        <v>191</v>
      </c>
      <c r="B78" t="str">
        <f>+VLOOKUP(Tabla1[[#This Row],[Cliente]],'[1]Público Privado'!$A$1:$B$325,2,FALSE)</f>
        <v>Privado</v>
      </c>
      <c r="C78" s="48">
        <f>+SUMIFS('[1]Facturacion a Fecha'!$T:$T,'[1]Facturacion a Fecha'!$AY:$AY,Tabla1[[#This Row],[Cliente]])</f>
        <v>3248134</v>
      </c>
      <c r="D78" s="24">
        <f>+SUMIFS('[1]Facturacion a Fecha'!$T:$T,'[1]Facturacion a Fecha'!$AY:$AY,Tabla1[[#This Row],[Cliente]],'[1]Facturacion a Fecha'!$AX:$AX,"Correctivo")</f>
        <v>3248134</v>
      </c>
      <c r="E78" s="25">
        <f>+COUNTIFS('[1]Facturacion a Fecha'!AY:AY,Tabla1[[#This Row],[Cliente]],'[1]Facturacion a Fecha'!AX:AX,"Correctivo")</f>
        <v>5</v>
      </c>
      <c r="F78" s="25">
        <f>+SUMIFS('[1]Facturacion a Fecha'!$T:$T,'[1]Facturacion a Fecha'!$AY:$AY,Tabla1[[#This Row],[Cliente]],'[1]Facturacion a Fecha'!$AX:$AX,"Preventivo")</f>
        <v>0</v>
      </c>
      <c r="G78" s="25">
        <f>+COUNTIFS('[1]Facturacion a Fecha'!AY:AY,Tabla1[[#This Row],[Cliente]],'[1]Facturacion a Fecha'!AX:AX,"Preventivo")</f>
        <v>0</v>
      </c>
      <c r="H78" s="49">
        <f>+Tabla1[[#This Row],['# Preventivo]]+Tabla1[[#This Row],['# Correctivo]]</f>
        <v>5</v>
      </c>
      <c r="I78" s="48">
        <f>+IFERROR(Tabla1[[#This Row],[Ingreso 2025 - 2026 Correctivo]]/Tabla1[[#This Row],[Ingreso 2025 - 2026 Preventivo]],0)</f>
        <v>0</v>
      </c>
      <c r="J78" s="27">
        <f>+IFERROR(Tabla1[[#This Row],['# Correctivo]]/Tabla1[[#This Row],['# Preventivo]],0)</f>
        <v>0</v>
      </c>
      <c r="K78" s="50">
        <f>+IFERROR(Tabla1[[#This Row],[Ingreso 2025 - 2026 Preventivo]]/(Tabla1[[#This Row],[Ingreso 2025 - 2026 Correctivo]]+Tabla1[[#This Row],[Ingreso 2025 - 2026 Preventivo]]),0)</f>
        <v>0</v>
      </c>
      <c r="L78" s="50">
        <f>1-Tabla1[[#This Row],[% Preventivo $]]</f>
        <v>1</v>
      </c>
      <c r="M78" s="51">
        <f>+COUNTIFS('[1]Base Instalada'!AA:AA,Tabla1[[#This Row],[Cliente]])</f>
        <v>2</v>
      </c>
      <c r="N78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8" s="51">
        <f>+COUNTIFS('[1]Base Instalada'!AA:AA,Tabla1[[#This Row],[Cliente]],'[1]Base Instalada'!Z:Z,"ESTERILIZACIÓN")</f>
        <v>2</v>
      </c>
      <c r="P78" s="51">
        <f>+COUNTIFS('[1]Base Instalada'!AA:AA,Tabla1[[#This Row],[Cliente]],'[1]Base Instalada'!Z:Z,"DENTAL")</f>
        <v>0</v>
      </c>
      <c r="Q78" s="51">
        <f>+COUNTIFS('[1]Base Instalada'!AA:AA,Tabla1[[#This Row],[Cliente]],'[1]Base Instalada'!Z:Z,"ENDOSCOPÍA")</f>
        <v>0</v>
      </c>
      <c r="R78" s="51">
        <f>+COUNTIFS('[1]Base Instalada'!AA:AA,Tabla1[[#This Row],[Cliente]],'[1]Base Instalada'!Z:Z,"INCARDIA")</f>
        <v>0</v>
      </c>
      <c r="S78" s="51">
        <f>+COUNTIFS('[1]Base Instalada'!AA:AA,Tabla1[[#This Row],[Cliente]],'[1]Base Instalada'!Z:Z,"MMQ")</f>
        <v>0</v>
      </c>
      <c r="T78" s="51">
        <f>+COUNTIFS('[1]Base Instalada'!AA:AA,Tabla1[[#This Row],[Cliente]],'[1]Base Instalada'!Z:Z,"REAS")</f>
        <v>0</v>
      </c>
      <c r="U78" s="52">
        <f>+COUNTIFS('[1]Base Instalada'!AA:AA,Tabla1[[#This Row],[Cliente]],'[1]Base Instalada'!Z:Z,"MOBILIARIO CLINICO")</f>
        <v>0</v>
      </c>
      <c r="V78" s="29">
        <f>+COUNTIFS('[1]Base Instalada'!AA:AA,Tabla1[[#This Row],[Cliente]],'[1]Base Instalada'!Z:Z,"OTRO")</f>
        <v>0</v>
      </c>
      <c r="W78" s="31" t="str">
        <f t="shared" si="2"/>
        <v>Región Metropolitana</v>
      </c>
      <c r="X78" s="31" t="str">
        <f t="shared" si="3"/>
        <v>Providencia</v>
      </c>
      <c r="Y78" s="32" t="s">
        <v>192</v>
      </c>
      <c r="Z78" s="33">
        <f>+COUNTIFS('[1]Pipeline TS'!$F:$F,Tabla1[[#This Row],[Cliente]])</f>
        <v>2</v>
      </c>
      <c r="AA78" s="34">
        <f>SUMIFS('[1]Pipeline Esterilización'!M:M,'[1]Pipeline Esterilización'!E:E,Tabla1[[#This Row],[Cliente]],'[1]Pipeline Esterilización'!B:B,"2026",'[1]Pipeline Esterilización'!L:L,"&gt;0")</f>
        <v>0</v>
      </c>
      <c r="AB78" s="33">
        <f>+SUMIFS('[1]Pipeline Endoscopía'!K:K,'[1]Pipeline Endoscopía'!E:E,Tabla1[[#This Row],[Cliente]],'[1]Pipeline Endoscopía'!B:B,"2026",'[1]Pipeline Endoscopía'!J:J,"&gt;0")</f>
        <v>0</v>
      </c>
      <c r="AC78" s="34">
        <f>+SUMIFS('[1]Pipeline Dental'!K:K,'[1]Pipeline Dental'!E:E,Tabla1[[#This Row],[Cliente]],'[1]Pipeline Dental'!B:B,"2026",'[1]Pipeline Dental'!J:J,"&gt;0")</f>
        <v>0</v>
      </c>
      <c r="AD78" s="35">
        <f>+SUMIFS('[1]Pipeline TS'!$AB:$AB,'[1]Pipeline TS'!$F:$F,Tabla1[[#This Row],[Cliente]])</f>
        <v>31357452.800000001</v>
      </c>
      <c r="AE78" s="35">
        <f>+SUM(Tabla1[[#This Row],[Pipeline 2026 $MM ESTERILIZACIÓN]:[Pipeline 2026 $MM TECSERVICE]])</f>
        <v>31357452.800000001</v>
      </c>
      <c r="AF78" s="43">
        <v>-33.424156177625399</v>
      </c>
      <c r="AG78" s="37">
        <v>-70.604554268138202</v>
      </c>
      <c r="AH78" s="38" t="str">
        <f>+IF(Tabla1[[#This Row],['# Contratos Vigentes ]]&gt;0,"SI","NO")</f>
        <v>SI</v>
      </c>
      <c r="AI78" s="39">
        <v>0.6</v>
      </c>
      <c r="AJ78" s="40">
        <f>+Tabla1[[#This Row],[Ingreso 2025 - 2026]]*Tabla1[[#This Row],[% Costo Serv. Directo]]</f>
        <v>1948880.4</v>
      </c>
      <c r="AK78" s="41">
        <v>4</v>
      </c>
      <c r="AL7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31357452.800000001</v>
      </c>
      <c r="AM7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8" s="42">
        <f>+Tabla1[[#This Row],[Potencial Equipos]]+Tabla1[[#This Row],[Potencial Pipeline]]</f>
        <v>31357452.800000001</v>
      </c>
    </row>
    <row r="79" spans="1:40" ht="15.75" x14ac:dyDescent="0.25">
      <c r="A79" s="47" t="s">
        <v>193</v>
      </c>
      <c r="B79" t="str">
        <f>+VLOOKUP(Tabla1[[#This Row],[Cliente]],'[1]Público Privado'!$A$1:$B$325,2,FALSE)</f>
        <v>Público</v>
      </c>
      <c r="C79" s="23">
        <f>+SUMIFS('[1]Facturacion a Fecha'!$T:$T,'[1]Facturacion a Fecha'!$AY:$AY,Tabla1[[#This Row],[Cliente]])</f>
        <v>2195246</v>
      </c>
      <c r="D79" s="24">
        <f>+SUMIFS('[1]Facturacion a Fecha'!$T:$T,'[1]Facturacion a Fecha'!$AY:$AY,Tabla1[[#This Row],[Cliente]],'[1]Facturacion a Fecha'!$AX:$AX,"Correctivo")</f>
        <v>1097623</v>
      </c>
      <c r="E79" s="25">
        <f>+COUNTIFS('[1]Facturacion a Fecha'!AY:AY,Tabla1[[#This Row],[Cliente]],'[1]Facturacion a Fecha'!AX:AX,"Correctivo")</f>
        <v>1</v>
      </c>
      <c r="F79" s="25">
        <f>+SUMIFS('[1]Facturacion a Fecha'!$T:$T,'[1]Facturacion a Fecha'!$AY:$AY,Tabla1[[#This Row],[Cliente]],'[1]Facturacion a Fecha'!$AX:$AX,"Preventivo")</f>
        <v>1097623</v>
      </c>
      <c r="G79" s="25">
        <f>+COUNTIFS('[1]Facturacion a Fecha'!AY:AY,Tabla1[[#This Row],[Cliente]],'[1]Facturacion a Fecha'!AX:AX,"Preventivo")</f>
        <v>1</v>
      </c>
      <c r="H79" s="26">
        <f>+Tabla1[[#This Row],['# Preventivo]]+Tabla1[[#This Row],['# Correctivo]]</f>
        <v>2</v>
      </c>
      <c r="I79" s="23">
        <f>+IFERROR(Tabla1[[#This Row],[Ingreso 2025 - 2026 Correctivo]]/Tabla1[[#This Row],[Ingreso 2025 - 2026 Preventivo]],0)</f>
        <v>1</v>
      </c>
      <c r="J79" s="27">
        <f>+IFERROR(Tabla1[[#This Row],['# Correctivo]]/Tabla1[[#This Row],['# Preventivo]],0)</f>
        <v>1</v>
      </c>
      <c r="K79" s="28">
        <f>+IFERROR(Tabla1[[#This Row],[Ingreso 2025 - 2026 Preventivo]]/(Tabla1[[#This Row],[Ingreso 2025 - 2026 Correctivo]]+Tabla1[[#This Row],[Ingreso 2025 - 2026 Preventivo]]),0)</f>
        <v>0.5</v>
      </c>
      <c r="L79" s="28">
        <f>1-Tabla1[[#This Row],[% Preventivo $]]</f>
        <v>0.5</v>
      </c>
      <c r="M79" s="45">
        <f>+COUNTIFS('[1]Base Instalada'!AA:AA,Tabla1[[#This Row],[Cliente]])</f>
        <v>16</v>
      </c>
      <c r="N79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79" s="45">
        <f>+COUNTIFS('[1]Base Instalada'!AA:AA,Tabla1[[#This Row],[Cliente]],'[1]Base Instalada'!Z:Z,"ESTERILIZACIÓN")</f>
        <v>1</v>
      </c>
      <c r="P79" s="45">
        <f>+COUNTIFS('[1]Base Instalada'!AA:AA,Tabla1[[#This Row],[Cliente]],'[1]Base Instalada'!Z:Z,"DENTAL")</f>
        <v>0</v>
      </c>
      <c r="Q79" s="45">
        <f>+COUNTIFS('[1]Base Instalada'!AA:AA,Tabla1[[#This Row],[Cliente]],'[1]Base Instalada'!Z:Z,"ENDOSCOPÍA")</f>
        <v>0</v>
      </c>
      <c r="R79" s="45">
        <f>+COUNTIFS('[1]Base Instalada'!AA:AA,Tabla1[[#This Row],[Cliente]],'[1]Base Instalada'!Z:Z,"INCARDIA")</f>
        <v>15</v>
      </c>
      <c r="S79" s="45">
        <f>+COUNTIFS('[1]Base Instalada'!AA:AA,Tabla1[[#This Row],[Cliente]],'[1]Base Instalada'!Z:Z,"MMQ")</f>
        <v>0</v>
      </c>
      <c r="T79" s="45">
        <f>+COUNTIFS('[1]Base Instalada'!AA:AA,Tabla1[[#This Row],[Cliente]],'[1]Base Instalada'!Z:Z,"REAS")</f>
        <v>0</v>
      </c>
      <c r="U79" s="46">
        <f>+COUNTIFS('[1]Base Instalada'!AA:AA,Tabla1[[#This Row],[Cliente]],'[1]Base Instalada'!Z:Z,"MOBILIARIO CLINICO")</f>
        <v>0</v>
      </c>
      <c r="V79" s="29">
        <f>+COUNTIFS('[1]Base Instalada'!AA:AA,Tabla1[[#This Row],[Cliente]],'[1]Base Instalada'!Z:Z,"OTRO")</f>
        <v>0</v>
      </c>
      <c r="W79" s="31" t="str">
        <f t="shared" si="2"/>
        <v>Región Los Lagos</v>
      </c>
      <c r="X79" s="31" t="str">
        <f t="shared" si="3"/>
        <v>San Pablo</v>
      </c>
      <c r="Y79" s="32" t="s">
        <v>194</v>
      </c>
      <c r="Z79" s="33">
        <f>+COUNTIFS('[1]Pipeline TS'!$F:$F,Tabla1[[#This Row],[Cliente]])</f>
        <v>1</v>
      </c>
      <c r="AA79" s="34">
        <f>SUMIFS('[1]Pipeline Esterilización'!M:M,'[1]Pipeline Esterilización'!E:E,Tabla1[[#This Row],[Cliente]],'[1]Pipeline Esterilización'!B:B,"2026",'[1]Pipeline Esterilización'!L:L,"&gt;0")</f>
        <v>0</v>
      </c>
      <c r="AB79" s="33">
        <f>+SUMIFS('[1]Pipeline Endoscopía'!K:K,'[1]Pipeline Endoscopía'!E:E,Tabla1[[#This Row],[Cliente]],'[1]Pipeline Endoscopía'!B:B,"2026",'[1]Pipeline Endoscopía'!J:J,"&gt;0")</f>
        <v>0</v>
      </c>
      <c r="AC79" s="34">
        <f>+SUMIFS('[1]Pipeline Dental'!K:K,'[1]Pipeline Dental'!E:E,Tabla1[[#This Row],[Cliente]],'[1]Pipeline Dental'!B:B,"2026",'[1]Pipeline Dental'!J:J,"&gt;0")</f>
        <v>0</v>
      </c>
      <c r="AD79" s="35">
        <f>+SUMIFS('[1]Pipeline TS'!$AB:$AB,'[1]Pipeline TS'!$F:$F,Tabla1[[#This Row],[Cliente]])</f>
        <v>2195246</v>
      </c>
      <c r="AE79" s="35">
        <f>+SUM(Tabla1[[#This Row],[Pipeline 2026 $MM ESTERILIZACIÓN]:[Pipeline 2026 $MM TECSERVICE]])</f>
        <v>2195246</v>
      </c>
      <c r="AF79" s="43">
        <v>-40.367989421820504</v>
      </c>
      <c r="AG79" s="53">
        <v>-73.2608338175841</v>
      </c>
      <c r="AH79" s="38" t="str">
        <f>+IF(Tabla1[[#This Row],['# Contratos Vigentes ]]&gt;0,"SI","NO")</f>
        <v>SI</v>
      </c>
      <c r="AI79" s="39">
        <v>0.6</v>
      </c>
      <c r="AJ79" s="40">
        <f>+Tabla1[[#This Row],[Ingreso 2025 - 2026]]*Tabla1[[#This Row],[% Costo Serv. Directo]]</f>
        <v>1317147.5999999999</v>
      </c>
      <c r="AK79" s="41">
        <v>4</v>
      </c>
      <c r="AL7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2195246</v>
      </c>
      <c r="AM7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79" s="42">
        <f>+Tabla1[[#This Row],[Potencial Equipos]]+Tabla1[[#This Row],[Potencial Pipeline]]</f>
        <v>2195246</v>
      </c>
    </row>
    <row r="80" spans="1:40" ht="15.75" x14ac:dyDescent="0.25">
      <c r="A80" s="47" t="s">
        <v>195</v>
      </c>
      <c r="B80" t="str">
        <f>+VLOOKUP(Tabla1[[#This Row],[Cliente]],'[1]Público Privado'!$A$1:$B$325,2,FALSE)</f>
        <v>Público</v>
      </c>
      <c r="C80" s="23">
        <f>+SUMIFS('[1]Facturacion a Fecha'!$T:$T,'[1]Facturacion a Fecha'!$AY:$AY,Tabla1[[#This Row],[Cliente]])</f>
        <v>2195246</v>
      </c>
      <c r="D80" s="24">
        <f>+SUMIFS('[1]Facturacion a Fecha'!$T:$T,'[1]Facturacion a Fecha'!$AY:$AY,Tabla1[[#This Row],[Cliente]],'[1]Facturacion a Fecha'!$AX:$AX,"Correctivo")</f>
        <v>1097623</v>
      </c>
      <c r="E80" s="25">
        <f>+COUNTIFS('[1]Facturacion a Fecha'!AY:AY,Tabla1[[#This Row],[Cliente]],'[1]Facturacion a Fecha'!AX:AX,"Correctivo")</f>
        <v>1</v>
      </c>
      <c r="F80" s="25">
        <f>+SUMIFS('[1]Facturacion a Fecha'!$T:$T,'[1]Facturacion a Fecha'!$AY:$AY,Tabla1[[#This Row],[Cliente]],'[1]Facturacion a Fecha'!$AX:$AX,"Preventivo")</f>
        <v>1097623</v>
      </c>
      <c r="G80" s="25">
        <f>+COUNTIFS('[1]Facturacion a Fecha'!AY:AY,Tabla1[[#This Row],[Cliente]],'[1]Facturacion a Fecha'!AX:AX,"Preventivo")</f>
        <v>1</v>
      </c>
      <c r="H80" s="26">
        <f>+Tabla1[[#This Row],['# Preventivo]]+Tabla1[[#This Row],['# Correctivo]]</f>
        <v>2</v>
      </c>
      <c r="I80" s="23">
        <f>+IFERROR(Tabla1[[#This Row],[Ingreso 2025 - 2026 Correctivo]]/Tabla1[[#This Row],[Ingreso 2025 - 2026 Preventivo]],0)</f>
        <v>1</v>
      </c>
      <c r="J80" s="27">
        <f>+IFERROR(Tabla1[[#This Row],['# Correctivo]]/Tabla1[[#This Row],['# Preventivo]],0)</f>
        <v>1</v>
      </c>
      <c r="K80" s="28">
        <f>+IFERROR(Tabla1[[#This Row],[Ingreso 2025 - 2026 Preventivo]]/(Tabla1[[#This Row],[Ingreso 2025 - 2026 Correctivo]]+Tabla1[[#This Row],[Ingreso 2025 - 2026 Preventivo]]),0)</f>
        <v>0.5</v>
      </c>
      <c r="L80" s="28">
        <f>1-Tabla1[[#This Row],[% Preventivo $]]</f>
        <v>0.5</v>
      </c>
      <c r="M80" s="45">
        <f>+COUNTIFS('[1]Base Instalada'!AA:AA,Tabla1[[#This Row],[Cliente]])</f>
        <v>17</v>
      </c>
      <c r="N80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0" s="45">
        <f>+COUNTIFS('[1]Base Instalada'!AA:AA,Tabla1[[#This Row],[Cliente]],'[1]Base Instalada'!Z:Z,"ESTERILIZACIÓN")</f>
        <v>1</v>
      </c>
      <c r="P80" s="45">
        <f>+COUNTIFS('[1]Base Instalada'!AA:AA,Tabla1[[#This Row],[Cliente]],'[1]Base Instalada'!Z:Z,"DENTAL")</f>
        <v>0</v>
      </c>
      <c r="Q80" s="45">
        <f>+COUNTIFS('[1]Base Instalada'!AA:AA,Tabla1[[#This Row],[Cliente]],'[1]Base Instalada'!Z:Z,"ENDOSCOPÍA")</f>
        <v>0</v>
      </c>
      <c r="R80" s="45">
        <f>+COUNTIFS('[1]Base Instalada'!AA:AA,Tabla1[[#This Row],[Cliente]],'[1]Base Instalada'!Z:Z,"INCARDIA")</f>
        <v>16</v>
      </c>
      <c r="S80" s="45">
        <f>+COUNTIFS('[1]Base Instalada'!AA:AA,Tabla1[[#This Row],[Cliente]],'[1]Base Instalada'!Z:Z,"MMQ")</f>
        <v>0</v>
      </c>
      <c r="T80" s="45">
        <f>+COUNTIFS('[1]Base Instalada'!AA:AA,Tabla1[[#This Row],[Cliente]],'[1]Base Instalada'!Z:Z,"REAS")</f>
        <v>0</v>
      </c>
      <c r="U80" s="46">
        <f>+COUNTIFS('[1]Base Instalada'!AA:AA,Tabla1[[#This Row],[Cliente]],'[1]Base Instalada'!Z:Z,"MOBILIARIO CLINICO")</f>
        <v>0</v>
      </c>
      <c r="V80" s="29">
        <f>+COUNTIFS('[1]Base Instalada'!AA:AA,Tabla1[[#This Row],[Cliente]],'[1]Base Instalada'!Z:Z,"OTRO")</f>
        <v>0</v>
      </c>
      <c r="W80" s="31" t="str">
        <f t="shared" si="2"/>
        <v>Región Los Lagos</v>
      </c>
      <c r="X80" s="31" t="str">
        <f t="shared" si="3"/>
        <v>San Juan de la Costa</v>
      </c>
      <c r="Y80" s="32" t="s">
        <v>196</v>
      </c>
      <c r="Z80" s="33">
        <f>+COUNTIFS('[1]Pipeline TS'!$F:$F,Tabla1[[#This Row],[Cliente]])</f>
        <v>1</v>
      </c>
      <c r="AA80" s="34">
        <f>SUMIFS('[1]Pipeline Esterilización'!M:M,'[1]Pipeline Esterilización'!E:E,Tabla1[[#This Row],[Cliente]],'[1]Pipeline Esterilización'!B:B,"2026",'[1]Pipeline Esterilización'!L:L,"&gt;0")</f>
        <v>0</v>
      </c>
      <c r="AB80" s="33">
        <f>+SUMIFS('[1]Pipeline Endoscopía'!K:K,'[1]Pipeline Endoscopía'!E:E,Tabla1[[#This Row],[Cliente]],'[1]Pipeline Endoscopía'!B:B,"2026",'[1]Pipeline Endoscopía'!J:J,"&gt;0")</f>
        <v>0</v>
      </c>
      <c r="AC80" s="34">
        <f>+SUMIFS('[1]Pipeline Dental'!K:K,'[1]Pipeline Dental'!E:E,Tabla1[[#This Row],[Cliente]],'[1]Pipeline Dental'!B:B,"2026",'[1]Pipeline Dental'!J:J,"&gt;0")</f>
        <v>0</v>
      </c>
      <c r="AD80" s="35">
        <f>+SUMIFS('[1]Pipeline TS'!$AB:$AB,'[1]Pipeline TS'!$F:$F,Tabla1[[#This Row],[Cliente]])</f>
        <v>2195246</v>
      </c>
      <c r="AE80" s="35">
        <f>+SUM(Tabla1[[#This Row],[Pipeline 2026 $MM ESTERILIZACIÓN]:[Pipeline 2026 $MM TECSERVICE]])</f>
        <v>2195246</v>
      </c>
      <c r="AF80" s="43">
        <v>-40.491564483819303</v>
      </c>
      <c r="AG80" s="53">
        <v>-73.403365093408595</v>
      </c>
      <c r="AH80" s="38" t="str">
        <f>+IF(Tabla1[[#This Row],['# Contratos Vigentes ]]&gt;0,"SI","NO")</f>
        <v>SI</v>
      </c>
      <c r="AI80" s="39">
        <v>0.6</v>
      </c>
      <c r="AJ80" s="40">
        <f>+Tabla1[[#This Row],[Ingreso 2025 - 2026]]*Tabla1[[#This Row],[% Costo Serv. Directo]]</f>
        <v>1317147.5999999999</v>
      </c>
      <c r="AK80" s="41">
        <v>5</v>
      </c>
      <c r="AL8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2195246</v>
      </c>
      <c r="AM8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80" s="42">
        <f>+Tabla1[[#This Row],[Potencial Equipos]]+Tabla1[[#This Row],[Potencial Pipeline]]</f>
        <v>2195246</v>
      </c>
    </row>
    <row r="81" spans="1:40" ht="15.75" x14ac:dyDescent="0.25">
      <c r="A81" s="47" t="s">
        <v>197</v>
      </c>
      <c r="B81" t="str">
        <f>+VLOOKUP(Tabla1[[#This Row],[Cliente]],'[1]Público Privado'!$A$1:$B$325,2,FALSE)</f>
        <v>Privado</v>
      </c>
      <c r="C81" s="48">
        <f>+SUMIFS('[1]Facturacion a Fecha'!$T:$T,'[1]Facturacion a Fecha'!$AY:$AY,Tabla1[[#This Row],[Cliente]])</f>
        <v>2695834</v>
      </c>
      <c r="D81" s="24">
        <f>+SUMIFS('[1]Facturacion a Fecha'!$T:$T,'[1]Facturacion a Fecha'!$AY:$AY,Tabla1[[#This Row],[Cliente]],'[1]Facturacion a Fecha'!$AX:$AX,"Correctivo")</f>
        <v>2104561</v>
      </c>
      <c r="E81" s="25">
        <f>+COUNTIFS('[1]Facturacion a Fecha'!AY:AY,Tabla1[[#This Row],[Cliente]],'[1]Facturacion a Fecha'!AX:AX,"Correctivo")</f>
        <v>8</v>
      </c>
      <c r="F81" s="25">
        <f>+SUMIFS('[1]Facturacion a Fecha'!$T:$T,'[1]Facturacion a Fecha'!$AY:$AY,Tabla1[[#This Row],[Cliente]],'[1]Facturacion a Fecha'!$AX:$AX,"Preventivo")</f>
        <v>591273</v>
      </c>
      <c r="G81" s="25">
        <f>+COUNTIFS('[1]Facturacion a Fecha'!AY:AY,Tabla1[[#This Row],[Cliente]],'[1]Facturacion a Fecha'!AX:AX,"Preventivo")</f>
        <v>2</v>
      </c>
      <c r="H81" s="49">
        <f>+Tabla1[[#This Row],['# Preventivo]]+Tabla1[[#This Row],['# Correctivo]]</f>
        <v>10</v>
      </c>
      <c r="I81" s="48">
        <f>+IFERROR(Tabla1[[#This Row],[Ingreso 2025 - 2026 Correctivo]]/Tabla1[[#This Row],[Ingreso 2025 - 2026 Preventivo]],0)</f>
        <v>3.5593727432167546</v>
      </c>
      <c r="J81" s="27">
        <f>+IFERROR(Tabla1[[#This Row],['# Correctivo]]/Tabla1[[#This Row],['# Preventivo]],0)</f>
        <v>4</v>
      </c>
      <c r="K81" s="50">
        <f>+IFERROR(Tabla1[[#This Row],[Ingreso 2025 - 2026 Preventivo]]/(Tabla1[[#This Row],[Ingreso 2025 - 2026 Correctivo]]+Tabla1[[#This Row],[Ingreso 2025 - 2026 Preventivo]]),0)</f>
        <v>0.21932841562203015</v>
      </c>
      <c r="L81" s="50">
        <f>1-Tabla1[[#This Row],[% Preventivo $]]</f>
        <v>0.78067158437796991</v>
      </c>
      <c r="M81" s="51">
        <f>+COUNTIFS('[1]Base Instalada'!AA:AA,Tabla1[[#This Row],[Cliente]])</f>
        <v>2</v>
      </c>
      <c r="N81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1" s="51">
        <f>+COUNTIFS('[1]Base Instalada'!AA:AA,Tabla1[[#This Row],[Cliente]],'[1]Base Instalada'!Z:Z,"ESTERILIZACIÓN")</f>
        <v>2</v>
      </c>
      <c r="P81" s="51">
        <f>+COUNTIFS('[1]Base Instalada'!AA:AA,Tabla1[[#This Row],[Cliente]],'[1]Base Instalada'!Z:Z,"DENTAL")</f>
        <v>0</v>
      </c>
      <c r="Q81" s="51">
        <f>+COUNTIFS('[1]Base Instalada'!AA:AA,Tabla1[[#This Row],[Cliente]],'[1]Base Instalada'!Z:Z,"ENDOSCOPÍA")</f>
        <v>0</v>
      </c>
      <c r="R81" s="51">
        <f>+COUNTIFS('[1]Base Instalada'!AA:AA,Tabla1[[#This Row],[Cliente]],'[1]Base Instalada'!Z:Z,"INCARDIA")</f>
        <v>0</v>
      </c>
      <c r="S81" s="51">
        <f>+COUNTIFS('[1]Base Instalada'!AA:AA,Tabla1[[#This Row],[Cliente]],'[1]Base Instalada'!Z:Z,"MMQ")</f>
        <v>0</v>
      </c>
      <c r="T81" s="51">
        <f>+COUNTIFS('[1]Base Instalada'!AA:AA,Tabla1[[#This Row],[Cliente]],'[1]Base Instalada'!Z:Z,"REAS")</f>
        <v>0</v>
      </c>
      <c r="U81" s="52">
        <f>+COUNTIFS('[1]Base Instalada'!AA:AA,Tabla1[[#This Row],[Cliente]],'[1]Base Instalada'!Z:Z,"MOBILIARIO CLINICO")</f>
        <v>0</v>
      </c>
      <c r="V81" s="29">
        <f>+COUNTIFS('[1]Base Instalada'!AA:AA,Tabla1[[#This Row],[Cliente]],'[1]Base Instalada'!Z:Z,"OTRO")</f>
        <v>0</v>
      </c>
      <c r="W81" s="31" t="str">
        <f t="shared" si="2"/>
        <v>Región Metropolitana</v>
      </c>
      <c r="X81" s="31" t="str">
        <f t="shared" si="3"/>
        <v>Providencia</v>
      </c>
      <c r="Y81" s="32" t="s">
        <v>198</v>
      </c>
      <c r="Z81" s="33">
        <f>+COUNTIFS('[1]Pipeline TS'!$F:$F,Tabla1[[#This Row],[Cliente]])</f>
        <v>1</v>
      </c>
      <c r="AA81" s="34">
        <f>SUMIFS('[1]Pipeline Esterilización'!M:M,'[1]Pipeline Esterilización'!E:E,Tabla1[[#This Row],[Cliente]],'[1]Pipeline Esterilización'!B:B,"2026",'[1]Pipeline Esterilización'!L:L,"&gt;0")</f>
        <v>0</v>
      </c>
      <c r="AB81" s="33">
        <f>+SUMIFS('[1]Pipeline Endoscopía'!K:K,'[1]Pipeline Endoscopía'!E:E,Tabla1[[#This Row],[Cliente]],'[1]Pipeline Endoscopía'!B:B,"2026",'[1]Pipeline Endoscopía'!J:J,"&gt;0")</f>
        <v>0</v>
      </c>
      <c r="AC81" s="34">
        <f>+SUMIFS('[1]Pipeline Dental'!K:K,'[1]Pipeline Dental'!E:E,Tabla1[[#This Row],[Cliente]],'[1]Pipeline Dental'!B:B,"2026",'[1]Pipeline Dental'!J:J,"&gt;0")</f>
        <v>0</v>
      </c>
      <c r="AD81" s="35">
        <f>+SUMIFS('[1]Pipeline TS'!$AB:$AB,'[1]Pipeline TS'!$F:$F,Tabla1[[#This Row],[Cliente]])</f>
        <v>3562414.1999999997</v>
      </c>
      <c r="AE81" s="35">
        <f>+SUM(Tabla1[[#This Row],[Pipeline 2026 $MM ESTERILIZACIÓN]:[Pipeline 2026 $MM TECSERVICE]])</f>
        <v>3562414.1999999997</v>
      </c>
      <c r="AF81" s="43">
        <v>-33.426360608599303</v>
      </c>
      <c r="AG81" s="53">
        <v>-70.612275898777796</v>
      </c>
      <c r="AH81" s="38" t="str">
        <f>+IF(Tabla1[[#This Row],['# Contratos Vigentes ]]&gt;0,"SI","NO")</f>
        <v>SI</v>
      </c>
      <c r="AI81" s="39">
        <v>0.6</v>
      </c>
      <c r="AJ81" s="40">
        <f>+Tabla1[[#This Row],[Ingreso 2025 - 2026]]*Tabla1[[#This Row],[% Costo Serv. Directo]]</f>
        <v>1617500.4</v>
      </c>
      <c r="AK81" s="41">
        <v>5</v>
      </c>
      <c r="AL8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3562414.1999999997</v>
      </c>
      <c r="AM8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81" s="42">
        <f>+Tabla1[[#This Row],[Potencial Equipos]]+Tabla1[[#This Row],[Potencial Pipeline]]</f>
        <v>3562414.1999999997</v>
      </c>
    </row>
    <row r="82" spans="1:40" ht="15.75" x14ac:dyDescent="0.25">
      <c r="A82" s="47" t="s">
        <v>199</v>
      </c>
      <c r="B82" t="str">
        <f>+VLOOKUP(Tabla1[[#This Row],[Cliente]],'[1]Público Privado'!$A$1:$B$325,2,FALSE)</f>
        <v>Público</v>
      </c>
      <c r="C82" s="23">
        <f>+SUMIFS('[1]Facturacion a Fecha'!$T:$T,'[1]Facturacion a Fecha'!$AY:$AY,Tabla1[[#This Row],[Cliente]])</f>
        <v>1365988</v>
      </c>
      <c r="D82" s="24">
        <f>+SUMIFS('[1]Facturacion a Fecha'!$T:$T,'[1]Facturacion a Fecha'!$AY:$AY,Tabla1[[#This Row],[Cliente]],'[1]Facturacion a Fecha'!$AX:$AX,"Correctivo")</f>
        <v>1365988</v>
      </c>
      <c r="E82" s="25">
        <f>+COUNTIFS('[1]Facturacion a Fecha'!AY:AY,Tabla1[[#This Row],[Cliente]],'[1]Facturacion a Fecha'!AX:AX,"Correctivo")</f>
        <v>1</v>
      </c>
      <c r="F82" s="25">
        <f>+SUMIFS('[1]Facturacion a Fecha'!$T:$T,'[1]Facturacion a Fecha'!$AY:$AY,Tabla1[[#This Row],[Cliente]],'[1]Facturacion a Fecha'!$AX:$AX,"Preventivo")</f>
        <v>0</v>
      </c>
      <c r="G82" s="25">
        <f>+COUNTIFS('[1]Facturacion a Fecha'!AY:AY,Tabla1[[#This Row],[Cliente]],'[1]Facturacion a Fecha'!AX:AX,"Preventivo")</f>
        <v>0</v>
      </c>
      <c r="H82" s="26">
        <f>+Tabla1[[#This Row],['# Preventivo]]+Tabla1[[#This Row],['# Correctivo]]</f>
        <v>1</v>
      </c>
      <c r="I82" s="23">
        <f>+IFERROR(Tabla1[[#This Row],[Ingreso 2025 - 2026 Correctivo]]/Tabla1[[#This Row],[Ingreso 2025 - 2026 Preventivo]],0)</f>
        <v>0</v>
      </c>
      <c r="J82" s="27">
        <f>+IFERROR(Tabla1[[#This Row],['# Correctivo]]/Tabla1[[#This Row],['# Preventivo]],0)</f>
        <v>0</v>
      </c>
      <c r="K82" s="28">
        <f>+IFERROR(Tabla1[[#This Row],[Ingreso 2025 - 2026 Preventivo]]/(Tabla1[[#This Row],[Ingreso 2025 - 2026 Correctivo]]+Tabla1[[#This Row],[Ingreso 2025 - 2026 Preventivo]]),0)</f>
        <v>0</v>
      </c>
      <c r="L82" s="28">
        <f>1-Tabla1[[#This Row],[% Preventivo $]]</f>
        <v>1</v>
      </c>
      <c r="M82" s="45">
        <f>+COUNTIFS('[1]Base Instalada'!AA:AA,Tabla1[[#This Row],[Cliente]])</f>
        <v>2</v>
      </c>
      <c r="N82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2" s="45">
        <f>+COUNTIFS('[1]Base Instalada'!AA:AA,Tabla1[[#This Row],[Cliente]],'[1]Base Instalada'!Z:Z,"ESTERILIZACIÓN")</f>
        <v>2</v>
      </c>
      <c r="P82" s="45">
        <f>+COUNTIFS('[1]Base Instalada'!AA:AA,Tabla1[[#This Row],[Cliente]],'[1]Base Instalada'!Z:Z,"DENTAL")</f>
        <v>0</v>
      </c>
      <c r="Q82" s="45">
        <f>+COUNTIFS('[1]Base Instalada'!AA:AA,Tabla1[[#This Row],[Cliente]],'[1]Base Instalada'!Z:Z,"ENDOSCOPÍA")</f>
        <v>0</v>
      </c>
      <c r="R82" s="45">
        <f>+COUNTIFS('[1]Base Instalada'!AA:AA,Tabla1[[#This Row],[Cliente]],'[1]Base Instalada'!Z:Z,"INCARDIA")</f>
        <v>0</v>
      </c>
      <c r="S82" s="45">
        <f>+COUNTIFS('[1]Base Instalada'!AA:AA,Tabla1[[#This Row],[Cliente]],'[1]Base Instalada'!Z:Z,"MMQ")</f>
        <v>0</v>
      </c>
      <c r="T82" s="45">
        <f>+COUNTIFS('[1]Base Instalada'!AA:AA,Tabla1[[#This Row],[Cliente]],'[1]Base Instalada'!Z:Z,"REAS")</f>
        <v>0</v>
      </c>
      <c r="U82" s="46">
        <f>+COUNTIFS('[1]Base Instalada'!AA:AA,Tabla1[[#This Row],[Cliente]],'[1]Base Instalada'!Z:Z,"MOBILIARIO CLINICO")</f>
        <v>0</v>
      </c>
      <c r="V82" s="29">
        <f>+COUNTIFS('[1]Base Instalada'!AA:AA,Tabla1[[#This Row],[Cliente]],'[1]Base Instalada'!Z:Z,"OTRO")</f>
        <v>0</v>
      </c>
      <c r="W82" s="31" t="str">
        <f t="shared" si="2"/>
        <v>Región Los Lagos</v>
      </c>
      <c r="X82" s="31" t="str">
        <f t="shared" si="3"/>
        <v>Dalcahue</v>
      </c>
      <c r="Y82" s="32" t="s">
        <v>200</v>
      </c>
      <c r="Z82" s="33">
        <f>+COUNTIFS('[1]Pipeline TS'!$F:$F,Tabla1[[#This Row],[Cliente]])</f>
        <v>1</v>
      </c>
      <c r="AA82" s="34">
        <f>SUMIFS('[1]Pipeline Esterilización'!M:M,'[1]Pipeline Esterilización'!E:E,Tabla1[[#This Row],[Cliente]],'[1]Pipeline Esterilización'!B:B,"2026",'[1]Pipeline Esterilización'!L:L,"&gt;0")</f>
        <v>0</v>
      </c>
      <c r="AB82" s="33">
        <f>+SUMIFS('[1]Pipeline Endoscopía'!K:K,'[1]Pipeline Endoscopía'!E:E,Tabla1[[#This Row],[Cliente]],'[1]Pipeline Endoscopía'!B:B,"2026",'[1]Pipeline Endoscopía'!J:J,"&gt;0")</f>
        <v>0</v>
      </c>
      <c r="AC82" s="34">
        <f>+SUMIFS('[1]Pipeline Dental'!K:K,'[1]Pipeline Dental'!E:E,Tabla1[[#This Row],[Cliente]],'[1]Pipeline Dental'!B:B,"2026",'[1]Pipeline Dental'!J:J,"&gt;0")</f>
        <v>0</v>
      </c>
      <c r="AD82" s="35">
        <f>+SUMIFS('[1]Pipeline TS'!$AB:$AB,'[1]Pipeline TS'!$F:$F,Tabla1[[#This Row],[Cliente]])</f>
        <v>2731975.86</v>
      </c>
      <c r="AE82" s="35">
        <f>+SUM(Tabla1[[#This Row],[Pipeline 2026 $MM ESTERILIZACIÓN]:[Pipeline 2026 $MM TECSERVICE]])</f>
        <v>2731975.86</v>
      </c>
      <c r="AF82" s="43">
        <v>-42.378701946313697</v>
      </c>
      <c r="AG82" s="53">
        <v>-73.653259827693205</v>
      </c>
      <c r="AH82" s="38" t="str">
        <f>+IF(Tabla1[[#This Row],['# Contratos Vigentes ]]&gt;0,"SI","NO")</f>
        <v>SI</v>
      </c>
      <c r="AI82" s="39">
        <v>0.6</v>
      </c>
      <c r="AJ82" s="40">
        <f>+Tabla1[[#This Row],[Ingreso 2025 - 2026]]*Tabla1[[#This Row],[% Costo Serv. Directo]]</f>
        <v>819592.79999999993</v>
      </c>
      <c r="AK82" s="41">
        <v>5</v>
      </c>
      <c r="AL8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2731975.86</v>
      </c>
      <c r="AM8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82" s="42">
        <f>+Tabla1[[#This Row],[Potencial Equipos]]+Tabla1[[#This Row],[Potencial Pipeline]]</f>
        <v>2731975.86</v>
      </c>
    </row>
    <row r="83" spans="1:40" ht="15.75" x14ac:dyDescent="0.25">
      <c r="A83" s="47" t="s">
        <v>201</v>
      </c>
      <c r="B83" t="str">
        <f>+VLOOKUP(Tabla1[[#This Row],[Cliente]],'[1]Público Privado'!$A$1:$B$325,2,FALSE)</f>
        <v>Público</v>
      </c>
      <c r="C83" s="23">
        <f>+SUMIFS('[1]Facturacion a Fecha'!$T:$T,'[1]Facturacion a Fecha'!$AY:$AY,Tabla1[[#This Row],[Cliente]])</f>
        <v>0</v>
      </c>
      <c r="D83" s="24">
        <f>+SUMIFS('[1]Facturacion a Fecha'!$T:$T,'[1]Facturacion a Fecha'!$AY:$AY,Tabla1[[#This Row],[Cliente]],'[1]Facturacion a Fecha'!$AX:$AX,"Correctivo")</f>
        <v>0</v>
      </c>
      <c r="E83" s="25">
        <f>+COUNTIFS('[1]Facturacion a Fecha'!AY:AY,Tabla1[[#This Row],[Cliente]],'[1]Facturacion a Fecha'!AX:AX,"Correctivo")</f>
        <v>0</v>
      </c>
      <c r="F83" s="25">
        <f>+SUMIFS('[1]Facturacion a Fecha'!$T:$T,'[1]Facturacion a Fecha'!$AY:$AY,Tabla1[[#This Row],[Cliente]],'[1]Facturacion a Fecha'!$AX:$AX,"Preventivo")</f>
        <v>0</v>
      </c>
      <c r="G83" s="25">
        <f>+COUNTIFS('[1]Facturacion a Fecha'!AY:AY,Tabla1[[#This Row],[Cliente]],'[1]Facturacion a Fecha'!AX:AX,"Preventivo")</f>
        <v>0</v>
      </c>
      <c r="H83" s="26">
        <f>+Tabla1[[#This Row],['# Preventivo]]+Tabla1[[#This Row],['# Correctivo]]</f>
        <v>0</v>
      </c>
      <c r="I83" s="23">
        <f>+IFERROR(Tabla1[[#This Row],[Ingreso 2025 - 2026 Correctivo]]/Tabla1[[#This Row],[Ingreso 2025 - 2026 Preventivo]],0)</f>
        <v>0</v>
      </c>
      <c r="J83" s="27">
        <f>+IFERROR(Tabla1[[#This Row],['# Correctivo]]/Tabla1[[#This Row],['# Preventivo]],0)</f>
        <v>0</v>
      </c>
      <c r="K83" s="28">
        <f>+IFERROR(Tabla1[[#This Row],[Ingreso 2025 - 2026 Preventivo]]/(Tabla1[[#This Row],[Ingreso 2025 - 2026 Correctivo]]+Tabla1[[#This Row],[Ingreso 2025 - 2026 Preventivo]]),0)</f>
        <v>0</v>
      </c>
      <c r="L83" s="28">
        <f>1-Tabla1[[#This Row],[% Preventivo $]]</f>
        <v>1</v>
      </c>
      <c r="M83" s="45">
        <f>+COUNTIFS('[1]Base Instalada'!AA:AA,Tabla1[[#This Row],[Cliente]])</f>
        <v>1</v>
      </c>
      <c r="N83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3" s="45">
        <f>+COUNTIFS('[1]Base Instalada'!AA:AA,Tabla1[[#This Row],[Cliente]],'[1]Base Instalada'!Z:Z,"ESTERILIZACIÓN")</f>
        <v>0</v>
      </c>
      <c r="P83" s="45">
        <f>+COUNTIFS('[1]Base Instalada'!AA:AA,Tabla1[[#This Row],[Cliente]],'[1]Base Instalada'!Z:Z,"DENTAL")</f>
        <v>1</v>
      </c>
      <c r="Q83" s="45">
        <f>+COUNTIFS('[1]Base Instalada'!AA:AA,Tabla1[[#This Row],[Cliente]],'[1]Base Instalada'!Z:Z,"ENDOSCOPÍA")</f>
        <v>0</v>
      </c>
      <c r="R83" s="45">
        <f>+COUNTIFS('[1]Base Instalada'!AA:AA,Tabla1[[#This Row],[Cliente]],'[1]Base Instalada'!Z:Z,"INCARDIA")</f>
        <v>0</v>
      </c>
      <c r="S83" s="45">
        <f>+COUNTIFS('[1]Base Instalada'!AA:AA,Tabla1[[#This Row],[Cliente]],'[1]Base Instalada'!Z:Z,"MMQ")</f>
        <v>0</v>
      </c>
      <c r="T83" s="45">
        <f>+COUNTIFS('[1]Base Instalada'!AA:AA,Tabla1[[#This Row],[Cliente]],'[1]Base Instalada'!Z:Z,"REAS")</f>
        <v>0</v>
      </c>
      <c r="U83" s="46">
        <f>+COUNTIFS('[1]Base Instalada'!AA:AA,Tabla1[[#This Row],[Cliente]],'[1]Base Instalada'!Z:Z,"MOBILIARIO CLINICO")</f>
        <v>0</v>
      </c>
      <c r="V83" s="29">
        <f>+COUNTIFS('[1]Base Instalada'!AA:AA,Tabla1[[#This Row],[Cliente]],'[1]Base Instalada'!Z:Z,"OTRO")</f>
        <v>0</v>
      </c>
      <c r="W83" s="31" t="str">
        <f t="shared" si="2"/>
        <v>Región Maule</v>
      </c>
      <c r="X83" s="31" t="str">
        <f t="shared" si="3"/>
        <v>Talca</v>
      </c>
      <c r="Y83" s="32" t="s">
        <v>202</v>
      </c>
      <c r="Z83" s="33">
        <f>+COUNTIFS('[1]Pipeline TS'!$F:$F,Tabla1[[#This Row],[Cliente]])</f>
        <v>1</v>
      </c>
      <c r="AA83" s="34">
        <f>SUMIFS('[1]Pipeline Esterilización'!M:M,'[1]Pipeline Esterilización'!E:E,Tabla1[[#This Row],[Cliente]],'[1]Pipeline Esterilización'!B:B,"2026",'[1]Pipeline Esterilización'!L:L,"&gt;0")</f>
        <v>0</v>
      </c>
      <c r="AB83" s="33">
        <f>+SUMIFS('[1]Pipeline Endoscopía'!K:K,'[1]Pipeline Endoscopía'!E:E,Tabla1[[#This Row],[Cliente]],'[1]Pipeline Endoscopía'!B:B,"2026",'[1]Pipeline Endoscopía'!J:J,"&gt;0")</f>
        <v>0</v>
      </c>
      <c r="AC83" s="34">
        <f>+SUMIFS('[1]Pipeline Dental'!K:K,'[1]Pipeline Dental'!E:E,Tabla1[[#This Row],[Cliente]],'[1]Pipeline Dental'!B:B,"2026",'[1]Pipeline Dental'!J:J,"&gt;0")</f>
        <v>0</v>
      </c>
      <c r="AD83" s="35">
        <f>+SUMIFS('[1]Pipeline TS'!$AB:$AB,'[1]Pipeline TS'!$F:$F,Tabla1[[#This Row],[Cliente]])</f>
        <v>0</v>
      </c>
      <c r="AE83" s="35">
        <f>+SUM(Tabla1[[#This Row],[Pipeline 2026 $MM ESTERILIZACIÓN]:[Pipeline 2026 $MM TECSERVICE]])</f>
        <v>0</v>
      </c>
      <c r="AF83" s="43">
        <v>-35.427126309099101</v>
      </c>
      <c r="AG83" s="53">
        <v>-71.645643447887394</v>
      </c>
      <c r="AH83" s="38" t="str">
        <f>+IF(Tabla1[[#This Row],['# Contratos Vigentes ]]&gt;0,"SI","NO")</f>
        <v>SI</v>
      </c>
      <c r="AI83" s="39">
        <v>0.6</v>
      </c>
      <c r="AJ83" s="40">
        <f>+Tabla1[[#This Row],[Ingreso 2025 - 2026]]*Tabla1[[#This Row],[% Costo Serv. Directo]]</f>
        <v>0</v>
      </c>
      <c r="AK83" s="41">
        <v>4</v>
      </c>
      <c r="AL8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8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</v>
      </c>
      <c r="AN83" s="42">
        <f>+Tabla1[[#This Row],[Potencial Equipos]]+Tabla1[[#This Row],[Potencial Pipeline]]</f>
        <v>599100</v>
      </c>
    </row>
    <row r="84" spans="1:40" ht="15.75" x14ac:dyDescent="0.25">
      <c r="A84" s="47" t="s">
        <v>203</v>
      </c>
      <c r="B84" t="str">
        <f>+VLOOKUP(Tabla1[[#This Row],[Cliente]],'[1]Público Privado'!$A$1:$B$325,2,FALSE)</f>
        <v>Público</v>
      </c>
      <c r="C84" s="23">
        <f>+SUMIFS('[1]Facturacion a Fecha'!$T:$T,'[1]Facturacion a Fecha'!$AY:$AY,Tabla1[[#This Row],[Cliente]])</f>
        <v>0</v>
      </c>
      <c r="D84" s="24">
        <f>+SUMIFS('[1]Facturacion a Fecha'!$T:$T,'[1]Facturacion a Fecha'!$AY:$AY,Tabla1[[#This Row],[Cliente]],'[1]Facturacion a Fecha'!$AX:$AX,"Correctivo")</f>
        <v>0</v>
      </c>
      <c r="E84" s="25">
        <f>+COUNTIFS('[1]Facturacion a Fecha'!AY:AY,Tabla1[[#This Row],[Cliente]],'[1]Facturacion a Fecha'!AX:AX,"Correctivo")</f>
        <v>4</v>
      </c>
      <c r="F84" s="25">
        <f>+SUMIFS('[1]Facturacion a Fecha'!$T:$T,'[1]Facturacion a Fecha'!$AY:$AY,Tabla1[[#This Row],[Cliente]],'[1]Facturacion a Fecha'!$AX:$AX,"Preventivo")</f>
        <v>0</v>
      </c>
      <c r="G84" s="25">
        <f>+COUNTIFS('[1]Facturacion a Fecha'!AY:AY,Tabla1[[#This Row],[Cliente]],'[1]Facturacion a Fecha'!AX:AX,"Preventivo")</f>
        <v>0</v>
      </c>
      <c r="H84" s="26">
        <f>+Tabla1[[#This Row],['# Preventivo]]+Tabla1[[#This Row],['# Correctivo]]</f>
        <v>4</v>
      </c>
      <c r="I84" s="23">
        <f>+IFERROR(Tabla1[[#This Row],[Ingreso 2025 - 2026 Correctivo]]/Tabla1[[#This Row],[Ingreso 2025 - 2026 Preventivo]],0)</f>
        <v>0</v>
      </c>
      <c r="J84" s="27">
        <f>+IFERROR(Tabla1[[#This Row],['# Correctivo]]/Tabla1[[#This Row],['# Preventivo]],0)</f>
        <v>0</v>
      </c>
      <c r="K84" s="28">
        <f>+IFERROR(Tabla1[[#This Row],[Ingreso 2025 - 2026 Preventivo]]/(Tabla1[[#This Row],[Ingreso 2025 - 2026 Correctivo]]+Tabla1[[#This Row],[Ingreso 2025 - 2026 Preventivo]]),0)</f>
        <v>0</v>
      </c>
      <c r="L84" s="28">
        <f>1-Tabla1[[#This Row],[% Preventivo $]]</f>
        <v>1</v>
      </c>
      <c r="M84" s="45">
        <f>+COUNTIFS('[1]Base Instalada'!AA:AA,Tabla1[[#This Row],[Cliente]])</f>
        <v>5</v>
      </c>
      <c r="N84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4" s="45">
        <f>+COUNTIFS('[1]Base Instalada'!AA:AA,Tabla1[[#This Row],[Cliente]],'[1]Base Instalada'!Z:Z,"ESTERILIZACIÓN")</f>
        <v>5</v>
      </c>
      <c r="P84" s="45">
        <f>+COUNTIFS('[1]Base Instalada'!AA:AA,Tabla1[[#This Row],[Cliente]],'[1]Base Instalada'!Z:Z,"DENTAL")</f>
        <v>0</v>
      </c>
      <c r="Q84" s="45">
        <f>+COUNTIFS('[1]Base Instalada'!AA:AA,Tabla1[[#This Row],[Cliente]],'[1]Base Instalada'!Z:Z,"ENDOSCOPÍA")</f>
        <v>0</v>
      </c>
      <c r="R84" s="45">
        <f>+COUNTIFS('[1]Base Instalada'!AA:AA,Tabla1[[#This Row],[Cliente]],'[1]Base Instalada'!Z:Z,"INCARDIA")</f>
        <v>0</v>
      </c>
      <c r="S84" s="45">
        <f>+COUNTIFS('[1]Base Instalada'!AA:AA,Tabla1[[#This Row],[Cliente]],'[1]Base Instalada'!Z:Z,"MMQ")</f>
        <v>0</v>
      </c>
      <c r="T84" s="45">
        <f>+COUNTIFS('[1]Base Instalada'!AA:AA,Tabla1[[#This Row],[Cliente]],'[1]Base Instalada'!Z:Z,"REAS")</f>
        <v>0</v>
      </c>
      <c r="U84" s="46">
        <f>+COUNTIFS('[1]Base Instalada'!AA:AA,Tabla1[[#This Row],[Cliente]],'[1]Base Instalada'!Z:Z,"MOBILIARIO CLINICO")</f>
        <v>0</v>
      </c>
      <c r="V84" s="29">
        <f>+COUNTIFS('[1]Base Instalada'!AA:AA,Tabla1[[#This Row],[Cliente]],'[1]Base Instalada'!Z:Z,"OTRO")</f>
        <v>0</v>
      </c>
      <c r="W84" s="54" t="str">
        <f t="shared" si="2"/>
        <v>Región Los Lagos</v>
      </c>
      <c r="X84" s="31" t="str">
        <f t="shared" si="3"/>
        <v>Quellón</v>
      </c>
      <c r="Y84" s="55" t="s">
        <v>204</v>
      </c>
      <c r="Z84" s="33">
        <f>+COUNTIFS('[1]Pipeline TS'!$F:$F,Tabla1[[#This Row],[Cliente]])</f>
        <v>1</v>
      </c>
      <c r="AA84" s="34">
        <f>SUMIFS('[1]Pipeline Esterilización'!M:M,'[1]Pipeline Esterilización'!E:E,Tabla1[[#This Row],[Cliente]],'[1]Pipeline Esterilización'!B:B,"2026",'[1]Pipeline Esterilización'!L:L,"&gt;0")</f>
        <v>0</v>
      </c>
      <c r="AB84" s="33">
        <f>+SUMIFS('[1]Pipeline Endoscopía'!K:K,'[1]Pipeline Endoscopía'!E:E,Tabla1[[#This Row],[Cliente]],'[1]Pipeline Endoscopía'!B:B,"2026",'[1]Pipeline Endoscopía'!J:J,"&gt;0")</f>
        <v>0</v>
      </c>
      <c r="AC84" s="34">
        <f>+SUMIFS('[1]Pipeline Dental'!K:K,'[1]Pipeline Dental'!E:E,Tabla1[[#This Row],[Cliente]],'[1]Pipeline Dental'!B:B,"2026",'[1]Pipeline Dental'!J:J,"&gt;0")</f>
        <v>0</v>
      </c>
      <c r="AD84" s="35">
        <f>+SUMIFS('[1]Pipeline TS'!$AB:$AB,'[1]Pipeline TS'!$F:$F,Tabla1[[#This Row],[Cliente]])</f>
        <v>0</v>
      </c>
      <c r="AE84" s="35">
        <f>+SUM(Tabla1[[#This Row],[Pipeline 2026 $MM ESTERILIZACIÓN]:[Pipeline 2026 $MM TECSERVICE]])</f>
        <v>0</v>
      </c>
      <c r="AF84" s="43">
        <v>-43.114738498163099</v>
      </c>
      <c r="AG84" s="56">
        <v>-73.617084288458898</v>
      </c>
      <c r="AH84" s="57" t="str">
        <f>+IF(Tabla1[[#This Row],['# Contratos Vigentes ]]&gt;0,"SI","NO")</f>
        <v>SI</v>
      </c>
      <c r="AI84" s="39">
        <v>0.6</v>
      </c>
      <c r="AJ84" s="40">
        <f>+Tabla1[[#This Row],[Ingreso 2025 - 2026]]*Tabla1[[#This Row],[% Costo Serv. Directo]]</f>
        <v>0</v>
      </c>
      <c r="AK84" s="41">
        <v>4</v>
      </c>
      <c r="AL8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8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9985000</v>
      </c>
      <c r="AN84" s="42">
        <f>+Tabla1[[#This Row],[Potencial Equipos]]+Tabla1[[#This Row],[Potencial Pipeline]]</f>
        <v>9985000</v>
      </c>
    </row>
    <row r="85" spans="1:40" ht="15.75" x14ac:dyDescent="0.25">
      <c r="A85" s="47" t="s">
        <v>205</v>
      </c>
      <c r="B85" t="str">
        <f>+VLOOKUP(Tabla1[[#This Row],[Cliente]],'[1]Público Privado'!$A$1:$B$325,2,FALSE)</f>
        <v>Privado</v>
      </c>
      <c r="C85" s="23">
        <f>+SUMIFS('[1]Facturacion a Fecha'!$T:$T,'[1]Facturacion a Fecha'!$AY:$AY,Tabla1[[#This Row],[Cliente]])</f>
        <v>35000</v>
      </c>
      <c r="D85" s="24">
        <f>+SUMIFS('[1]Facturacion a Fecha'!$T:$T,'[1]Facturacion a Fecha'!$AY:$AY,Tabla1[[#This Row],[Cliente]],'[1]Facturacion a Fecha'!$AX:$AX,"Correctivo")</f>
        <v>30000</v>
      </c>
      <c r="E85" s="25">
        <f>+COUNTIFS('[1]Facturacion a Fecha'!AY:AY,Tabla1[[#This Row],[Cliente]],'[1]Facturacion a Fecha'!AX:AX,"Correctivo")</f>
        <v>1</v>
      </c>
      <c r="F85" s="25">
        <f>+SUMIFS('[1]Facturacion a Fecha'!$T:$T,'[1]Facturacion a Fecha'!$AY:$AY,Tabla1[[#This Row],[Cliente]],'[1]Facturacion a Fecha'!$AX:$AX,"Preventivo")</f>
        <v>5000</v>
      </c>
      <c r="G85" s="25">
        <f>+COUNTIFS('[1]Facturacion a Fecha'!AY:AY,Tabla1[[#This Row],[Cliente]],'[1]Facturacion a Fecha'!AX:AX,"Preventivo")</f>
        <v>1</v>
      </c>
      <c r="H85" s="26">
        <f>+Tabla1[[#This Row],['# Preventivo]]+Tabla1[[#This Row],['# Correctivo]]</f>
        <v>2</v>
      </c>
      <c r="I85" s="23">
        <f>+IFERROR(Tabla1[[#This Row],[Ingreso 2025 - 2026 Correctivo]]/Tabla1[[#This Row],[Ingreso 2025 - 2026 Preventivo]],0)</f>
        <v>6</v>
      </c>
      <c r="J85" s="27">
        <f>+IFERROR(Tabla1[[#This Row],['# Correctivo]]/Tabla1[[#This Row],['# Preventivo]],0)</f>
        <v>1</v>
      </c>
      <c r="K85" s="28">
        <f>+IFERROR(Tabla1[[#This Row],[Ingreso 2025 - 2026 Preventivo]]/(Tabla1[[#This Row],[Ingreso 2025 - 2026 Correctivo]]+Tabla1[[#This Row],[Ingreso 2025 - 2026 Preventivo]]),0)</f>
        <v>0.14285714285714285</v>
      </c>
      <c r="L85" s="28">
        <f>1-Tabla1[[#This Row],[% Preventivo $]]</f>
        <v>0.85714285714285721</v>
      </c>
      <c r="M85" s="45">
        <f>+COUNTIFS('[1]Base Instalada'!AA:AA,Tabla1[[#This Row],[Cliente]])</f>
        <v>52</v>
      </c>
      <c r="N85" s="29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5" s="45">
        <f>+COUNTIFS('[1]Base Instalada'!AA:AA,Tabla1[[#This Row],[Cliente]],'[1]Base Instalada'!Z:Z,"ESTERILIZACIÓN")</f>
        <v>2</v>
      </c>
      <c r="P85" s="45">
        <f>+COUNTIFS('[1]Base Instalada'!AA:AA,Tabla1[[#This Row],[Cliente]],'[1]Base Instalada'!Z:Z,"DENTAL")</f>
        <v>49</v>
      </c>
      <c r="Q85" s="45">
        <f>+COUNTIFS('[1]Base Instalada'!AA:AA,Tabla1[[#This Row],[Cliente]],'[1]Base Instalada'!Z:Z,"ENDOSCOPÍA")</f>
        <v>1</v>
      </c>
      <c r="R85" s="45">
        <f>+COUNTIFS('[1]Base Instalada'!AA:AA,Tabla1[[#This Row],[Cliente]],'[1]Base Instalada'!Z:Z,"INCARDIA")</f>
        <v>0</v>
      </c>
      <c r="S85" s="45">
        <f>+COUNTIFS('[1]Base Instalada'!AA:AA,Tabla1[[#This Row],[Cliente]],'[1]Base Instalada'!Z:Z,"MMQ")</f>
        <v>0</v>
      </c>
      <c r="T85" s="45">
        <f>+COUNTIFS('[1]Base Instalada'!AA:AA,Tabla1[[#This Row],[Cliente]],'[1]Base Instalada'!Z:Z,"REAS")</f>
        <v>0</v>
      </c>
      <c r="U85" s="46">
        <f>+COUNTIFS('[1]Base Instalada'!AA:AA,Tabla1[[#This Row],[Cliente]],'[1]Base Instalada'!Z:Z,"MOBILIARIO CLINICO")</f>
        <v>0</v>
      </c>
      <c r="V85" s="29">
        <f>+COUNTIFS('[1]Base Instalada'!AA:AA,Tabla1[[#This Row],[Cliente]],'[1]Base Instalada'!Z:Z,"OTRO")</f>
        <v>0</v>
      </c>
      <c r="W85" s="54" t="str">
        <f t="shared" si="2"/>
        <v>Región Metropolitana</v>
      </c>
      <c r="X85" s="31" t="str">
        <f t="shared" si="3"/>
        <v>Las Condes</v>
      </c>
      <c r="Y85" s="55" t="s">
        <v>206</v>
      </c>
      <c r="Z85" s="33">
        <f>+COUNTIFS('[1]Pipeline TS'!$F:$F,Tabla1[[#This Row],[Cliente]])</f>
        <v>1</v>
      </c>
      <c r="AA85" s="34">
        <f>SUMIFS('[1]Pipeline Esterilización'!M:M,'[1]Pipeline Esterilización'!E:E,Tabla1[[#This Row],[Cliente]],'[1]Pipeline Esterilización'!B:B,"2026",'[1]Pipeline Esterilización'!L:L,"&gt;0")</f>
        <v>0</v>
      </c>
      <c r="AB85" s="33">
        <f>+SUMIFS('[1]Pipeline Endoscopía'!K:K,'[1]Pipeline Endoscopía'!E:E,Tabla1[[#This Row],[Cliente]],'[1]Pipeline Endoscopía'!B:B,"2026",'[1]Pipeline Endoscopía'!J:J,"&gt;0")</f>
        <v>0</v>
      </c>
      <c r="AC85" s="34">
        <f>+SUMIFS('[1]Pipeline Dental'!K:K,'[1]Pipeline Dental'!E:E,Tabla1[[#This Row],[Cliente]],'[1]Pipeline Dental'!B:B,"2026",'[1]Pipeline Dental'!J:J,"&gt;0")</f>
        <v>0</v>
      </c>
      <c r="AD85" s="35">
        <f>+SUMIFS('[1]Pipeline TS'!$AB:$AB,'[1]Pipeline TS'!$F:$F,Tabla1[[#This Row],[Cliente]])</f>
        <v>2485056</v>
      </c>
      <c r="AE85" s="35">
        <f>+SUM(Tabla1[[#This Row],[Pipeline 2026 $MM ESTERILIZACIÓN]:[Pipeline 2026 $MM TECSERVICE]])</f>
        <v>2485056</v>
      </c>
      <c r="AF85" s="43">
        <v>-33.390865402609798</v>
      </c>
      <c r="AG85" s="58">
        <v>-70.546195766841294</v>
      </c>
      <c r="AH85" s="57" t="str">
        <f>+IF(Tabla1[[#This Row],['# Contratos Vigentes ]]&gt;0,"SI","NO")</f>
        <v>SI</v>
      </c>
      <c r="AI85" s="39">
        <v>0.6</v>
      </c>
      <c r="AJ85" s="40">
        <f>+Tabla1[[#This Row],[Ingreso 2025 - 2026]]*Tabla1[[#This Row],[% Costo Serv. Directo]]</f>
        <v>21000</v>
      </c>
      <c r="AK85" s="41">
        <v>5</v>
      </c>
      <c r="AL8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2485056</v>
      </c>
      <c r="AM8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0</v>
      </c>
      <c r="AN85" s="42">
        <f>+Tabla1[[#This Row],[Potencial Equipos]]+Tabla1[[#This Row],[Potencial Pipeline]]</f>
        <v>2485056</v>
      </c>
    </row>
    <row r="86" spans="1:40" ht="15.75" x14ac:dyDescent="0.25">
      <c r="A86" s="47" t="s">
        <v>207</v>
      </c>
      <c r="B86" t="str">
        <f>+VLOOKUP(Tabla1[[#This Row],[Cliente]],'[1]Público Privado'!$A$1:$B$325,2,FALSE)</f>
        <v>Público</v>
      </c>
      <c r="C86" s="23">
        <f>+SUMIFS('[1]Facturacion a Fecha'!$T:$T,'[1]Facturacion a Fecha'!$AY:$AY,Tabla1[[#This Row],[Cliente]])</f>
        <v>0</v>
      </c>
      <c r="D86" s="24">
        <f>+SUMIFS('[1]Facturacion a Fecha'!$T:$T,'[1]Facturacion a Fecha'!$AY:$AY,Tabla1[[#This Row],[Cliente]],'[1]Facturacion a Fecha'!$AX:$AX,"Correctivo")</f>
        <v>0</v>
      </c>
      <c r="E86" s="25">
        <f>+COUNTIFS('[1]Facturacion a Fecha'!AY:AY,Tabla1[[#This Row],[Cliente]],'[1]Facturacion a Fecha'!AX:AX,"Correctivo")</f>
        <v>0</v>
      </c>
      <c r="F86" s="25">
        <f>+SUMIFS('[1]Facturacion a Fecha'!$T:$T,'[1]Facturacion a Fecha'!$AY:$AY,Tabla1[[#This Row],[Cliente]],'[1]Facturacion a Fecha'!$AX:$AX,"Preventivo")</f>
        <v>0</v>
      </c>
      <c r="G86" s="25">
        <f>+COUNTIFS('[1]Facturacion a Fecha'!AY:AY,Tabla1[[#This Row],[Cliente]],'[1]Facturacion a Fecha'!AX:AX,"Preventivo")</f>
        <v>0</v>
      </c>
      <c r="H86" s="26">
        <f>+Tabla1[[#This Row],['# Preventivo]]+Tabla1[[#This Row],['# Correctivo]]</f>
        <v>0</v>
      </c>
      <c r="I86" s="23">
        <f>+IFERROR(Tabla1[[#This Row],[Ingreso 2025 - 2026 Correctivo]]/Tabla1[[#This Row],[Ingreso 2025 - 2026 Preventivo]],0)</f>
        <v>0</v>
      </c>
      <c r="J86" s="59">
        <f>+IFERROR(Tabla1[[#This Row],['# Correctivo]]/Tabla1[[#This Row],['# Preventivo]],0)</f>
        <v>0</v>
      </c>
      <c r="K86" s="60">
        <f>+IFERROR(Tabla1[[#This Row],[Ingreso 2025 - 2026 Preventivo]]/(Tabla1[[#This Row],[Ingreso 2025 - 2026 Correctivo]]+Tabla1[[#This Row],[Ingreso 2025 - 2026 Preventivo]]),0)</f>
        <v>0</v>
      </c>
      <c r="L86" s="60">
        <f>1-Tabla1[[#This Row],[% Preventivo $]]</f>
        <v>1</v>
      </c>
      <c r="M86" s="45">
        <f>+COUNTIFS('[1]Base Instalada'!AA:AA,Tabla1[[#This Row],[Cliente]])</f>
        <v>16</v>
      </c>
      <c r="N8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6" s="45">
        <f>+COUNTIFS('[1]Base Instalada'!AA:AA,Tabla1[[#This Row],[Cliente]],'[1]Base Instalada'!Z:Z,"ESTERILIZACIÓN")</f>
        <v>4</v>
      </c>
      <c r="P86" s="45">
        <f>+COUNTIFS('[1]Base Instalada'!AA:AA,Tabla1[[#This Row],[Cliente]],'[1]Base Instalada'!Z:Z,"DENTAL")</f>
        <v>12</v>
      </c>
      <c r="Q86" s="45">
        <f>+COUNTIFS('[1]Base Instalada'!AA:AA,Tabla1[[#This Row],[Cliente]],'[1]Base Instalada'!Z:Z,"ENDOSCOPÍA")</f>
        <v>0</v>
      </c>
      <c r="R86" s="45">
        <f>+COUNTIFS('[1]Base Instalada'!AA:AA,Tabla1[[#This Row],[Cliente]],'[1]Base Instalada'!Z:Z,"INCARDIA")</f>
        <v>0</v>
      </c>
      <c r="S86" s="45">
        <f>+COUNTIFS('[1]Base Instalada'!AA:AA,Tabla1[[#This Row],[Cliente]],'[1]Base Instalada'!Z:Z,"MMQ")</f>
        <v>0</v>
      </c>
      <c r="T86" s="45">
        <f>+COUNTIFS('[1]Base Instalada'!AA:AA,Tabla1[[#This Row],[Cliente]],'[1]Base Instalada'!Z:Z,"REAS")</f>
        <v>0</v>
      </c>
      <c r="U86" s="46">
        <f>+COUNTIFS('[1]Base Instalada'!AA:AA,Tabla1[[#This Row],[Cliente]],'[1]Base Instalada'!Z:Z,"MOBILIARIO CLINICO")</f>
        <v>0</v>
      </c>
      <c r="V86" s="29">
        <f>+COUNTIFS('[1]Base Instalada'!AA:AA,Tabla1[[#This Row],[Cliente]],'[1]Base Instalada'!Z:Z,"OTRO")</f>
        <v>0</v>
      </c>
      <c r="W86" s="61" t="str">
        <f>TRIM(RIGHT(Y86,LEN(Y86)-FIND("@",SUBSTITUTE(Y86,",","@",LEN(Y86)-LEN(SUBSTITUTE(Y86,",",""))))))</f>
        <v>Región O'Higgins</v>
      </c>
      <c r="X86" s="61" t="str">
        <f>TRIM(MID(Y86,FIND("@",SUBSTITUTE(Y86,",","@",LEN(Y86)-LEN(SUBSTITUTE(Y86,",",""))-1))+1,FIND("@",SUBSTITUTE(Y86,",","@",LEN(Y86)-LEN(SUBSTITUTE(Y86,",",""))))-FIND("@",SUBSTITUTE(Y86,",","@",LEN(Y86)-LEN(SUBSTITUTE(Y86,",",""))-1))-1))</f>
        <v>Rancagua</v>
      </c>
      <c r="Y86" s="62" t="s">
        <v>208</v>
      </c>
      <c r="Z86" s="33">
        <f>+COUNTIFS('[1]Pipeline TS'!$F:$F,Tabla1[[#This Row],[Cliente]])</f>
        <v>0</v>
      </c>
      <c r="AA86" s="63">
        <f>SUMIFS('[1]Pipeline Esterilización'!M:M,'[1]Pipeline Esterilización'!E:E,Tabla1[[#This Row],[Cliente]],'[1]Pipeline Esterilización'!B:B,"2026",'[1]Pipeline Esterilización'!L:L,"&gt;0")</f>
        <v>0</v>
      </c>
      <c r="AB86" s="33">
        <f>+SUMIFS('[1]Pipeline Endoscopía'!K:K,'[1]Pipeline Endoscopía'!E:E,Tabla1[[#This Row],[Cliente]],'[1]Pipeline Endoscopía'!B:B,"2026",'[1]Pipeline Endoscopía'!J:J,"&gt;0")</f>
        <v>0</v>
      </c>
      <c r="AC86" s="63">
        <f>+SUMIFS('[1]Pipeline Dental'!K:K,'[1]Pipeline Dental'!E:E,Tabla1[[#This Row],[Cliente]],'[1]Pipeline Dental'!B:B,"2026",'[1]Pipeline Dental'!J:J,"&gt;0")</f>
        <v>0</v>
      </c>
      <c r="AD86" s="64">
        <f>+SUMIFS('[1]Pipeline TS'!$AB:$AB,'[1]Pipeline TS'!$F:$F,Tabla1[[#This Row],[Cliente]])</f>
        <v>0</v>
      </c>
      <c r="AE86" s="65">
        <f>+SUM(Tabla1[[#This Row],[Pipeline 2026 $MM ESTERILIZACIÓN]:[Pipeline 2026 $MM TECSERVICE]])</f>
        <v>0</v>
      </c>
      <c r="AF86" s="43">
        <v>-34.169001276917903</v>
      </c>
      <c r="AG86" s="58">
        <v>-70.740953033291007</v>
      </c>
      <c r="AH86" s="57" t="str">
        <f>+IF(Tabla1[[#This Row],['# Contratos Vigentes ]]&gt;0,"SI","NO")</f>
        <v>NO</v>
      </c>
      <c r="AI86" s="66"/>
      <c r="AJ86" s="67">
        <f>+Tabla1[[#This Row],[Ingreso 2025 - 2026]]*Tabla1[[#This Row],[% Costo Serv. Directo]]</f>
        <v>0</v>
      </c>
      <c r="AK86" s="68"/>
      <c r="AL8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8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15177200</v>
      </c>
      <c r="AN86" s="42">
        <f>+Tabla1[[#This Row],[Potencial Equipos]]+Tabla1[[#This Row],[Potencial Pipeline]]</f>
        <v>15177200</v>
      </c>
    </row>
    <row r="87" spans="1:40" ht="15.75" x14ac:dyDescent="0.25">
      <c r="A87" s="47" t="s">
        <v>209</v>
      </c>
      <c r="B87" t="str">
        <f>+VLOOKUP(Tabla1[[#This Row],[Cliente]],'[1]Público Privado'!$A$1:$B$325,2,FALSE)</f>
        <v>Público</v>
      </c>
      <c r="C87" s="23">
        <f>+SUMIFS('[1]Facturacion a Fecha'!$T:$T,'[1]Facturacion a Fecha'!$AY:$AY,Tabla1[[#This Row],[Cliente]])</f>
        <v>0</v>
      </c>
      <c r="D87" s="24">
        <f>+SUMIFS('[1]Facturacion a Fecha'!$T:$T,'[1]Facturacion a Fecha'!$AY:$AY,Tabla1[[#This Row],[Cliente]],'[1]Facturacion a Fecha'!$AX:$AX,"Correctivo")</f>
        <v>0</v>
      </c>
      <c r="E87" s="25">
        <f>+COUNTIFS('[1]Facturacion a Fecha'!AY:AY,Tabla1[[#This Row],[Cliente]],'[1]Facturacion a Fecha'!AX:AX,"Correctivo")</f>
        <v>0</v>
      </c>
      <c r="F87" s="25">
        <f>+SUMIFS('[1]Facturacion a Fecha'!$T:$T,'[1]Facturacion a Fecha'!$AY:$AY,Tabla1[[#This Row],[Cliente]],'[1]Facturacion a Fecha'!$AX:$AX,"Preventivo")</f>
        <v>0</v>
      </c>
      <c r="G87" s="25">
        <f>+COUNTIFS('[1]Facturacion a Fecha'!AY:AY,Tabla1[[#This Row],[Cliente]],'[1]Facturacion a Fecha'!AX:AX,"Preventivo")</f>
        <v>0</v>
      </c>
      <c r="H87" s="26">
        <f>+Tabla1[[#This Row],['# Preventivo]]+Tabla1[[#This Row],['# Correctivo]]</f>
        <v>0</v>
      </c>
      <c r="I87" s="23">
        <f>+IFERROR(Tabla1[[#This Row],[Ingreso 2025 - 2026 Correctivo]]/Tabla1[[#This Row],[Ingreso 2025 - 2026 Preventivo]],0)</f>
        <v>0</v>
      </c>
      <c r="J87" s="59">
        <f>+IFERROR(Tabla1[[#This Row],['# Correctivo]]/Tabla1[[#This Row],['# Preventivo]],0)</f>
        <v>0</v>
      </c>
      <c r="K87" s="60">
        <f>+IFERROR(Tabla1[[#This Row],[Ingreso 2025 - 2026 Preventivo]]/(Tabla1[[#This Row],[Ingreso 2025 - 2026 Correctivo]]+Tabla1[[#This Row],[Ingreso 2025 - 2026 Preventivo]]),0)</f>
        <v>0</v>
      </c>
      <c r="L87" s="60">
        <f>1-Tabla1[[#This Row],[% Preventivo $]]</f>
        <v>1</v>
      </c>
      <c r="M87" s="45">
        <f>+COUNTIFS('[1]Base Instalada'!AA:AA,Tabla1[[#This Row],[Cliente]])</f>
        <v>7</v>
      </c>
      <c r="N8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7" s="45">
        <f>+COUNTIFS('[1]Base Instalada'!AA:AA,Tabla1[[#This Row],[Cliente]],'[1]Base Instalada'!Z:Z,"ESTERILIZACIÓN")</f>
        <v>4</v>
      </c>
      <c r="P87" s="45">
        <f>+COUNTIFS('[1]Base Instalada'!AA:AA,Tabla1[[#This Row],[Cliente]],'[1]Base Instalada'!Z:Z,"DENTAL")</f>
        <v>3</v>
      </c>
      <c r="Q87" s="45">
        <f>+COUNTIFS('[1]Base Instalada'!AA:AA,Tabla1[[#This Row],[Cliente]],'[1]Base Instalada'!Z:Z,"ENDOSCOPÍA")</f>
        <v>0</v>
      </c>
      <c r="R87" s="45">
        <f>+COUNTIFS('[1]Base Instalada'!AA:AA,Tabla1[[#This Row],[Cliente]],'[1]Base Instalada'!Z:Z,"INCARDIA")</f>
        <v>0</v>
      </c>
      <c r="S87" s="45">
        <f>+COUNTIFS('[1]Base Instalada'!AA:AA,Tabla1[[#This Row],[Cliente]],'[1]Base Instalada'!Z:Z,"MMQ")</f>
        <v>0</v>
      </c>
      <c r="T87" s="45">
        <f>+COUNTIFS('[1]Base Instalada'!AA:AA,Tabla1[[#This Row],[Cliente]],'[1]Base Instalada'!Z:Z,"REAS")</f>
        <v>0</v>
      </c>
      <c r="U87" s="46">
        <f>+COUNTIFS('[1]Base Instalada'!AA:AA,Tabla1[[#This Row],[Cliente]],'[1]Base Instalada'!Z:Z,"MOBILIARIO CLINICO")</f>
        <v>0</v>
      </c>
      <c r="V87" s="29">
        <f>+COUNTIFS('[1]Base Instalada'!AA:AA,Tabla1[[#This Row],[Cliente]],'[1]Base Instalada'!Z:Z,"OTRO")</f>
        <v>0</v>
      </c>
      <c r="W87" s="61" t="str">
        <f>TRIM(RIGHT(Y87,LEN(Y87)-FIND("@",SUBSTITUTE(Y87,",","@",LEN(Y87)-LEN(SUBSTITUTE(Y87,",",""))))))</f>
        <v>Región Los Ríos</v>
      </c>
      <c r="X87" s="61" t="str">
        <f>TRIM(MID(Y87,FIND("@",SUBSTITUTE(Y87,",","@",LEN(Y87)-LEN(SUBSTITUTE(Y87,",",""))-1))+1,FIND("@",SUBSTITUTE(Y87,",","@",LEN(Y87)-LEN(SUBSTITUTE(Y87,",",""))))-FIND("@",SUBSTITUTE(Y87,",","@",LEN(Y87)-LEN(SUBSTITUTE(Y87,",",""))-1))-1))</f>
        <v>La Unión</v>
      </c>
      <c r="Y87" s="62" t="s">
        <v>190</v>
      </c>
      <c r="Z87" s="33">
        <f>+COUNTIFS('[1]Pipeline TS'!$F:$F,Tabla1[[#This Row],[Cliente]])</f>
        <v>0</v>
      </c>
      <c r="AA87" s="63">
        <f>SUMIFS('[1]Pipeline Esterilización'!M:M,'[1]Pipeline Esterilización'!E:E,Tabla1[[#This Row],[Cliente]],'[1]Pipeline Esterilización'!B:B,"2026",'[1]Pipeline Esterilización'!L:L,"&gt;0")</f>
        <v>0</v>
      </c>
      <c r="AB87" s="33">
        <f>+SUMIFS('[1]Pipeline Endoscopía'!K:K,'[1]Pipeline Endoscopía'!E:E,Tabla1[[#This Row],[Cliente]],'[1]Pipeline Endoscopía'!B:B,"2026",'[1]Pipeline Endoscopía'!J:J,"&gt;0")</f>
        <v>0</v>
      </c>
      <c r="AC87" s="63">
        <f>+SUMIFS('[1]Pipeline Dental'!K:K,'[1]Pipeline Dental'!E:E,Tabla1[[#This Row],[Cliente]],'[1]Pipeline Dental'!B:B,"2026",'[1]Pipeline Dental'!J:J,"&gt;0")</f>
        <v>0</v>
      </c>
      <c r="AD87" s="64">
        <f>+SUMIFS('[1]Pipeline TS'!$AB:$AB,'[1]Pipeline TS'!$F:$F,Tabla1[[#This Row],[Cliente]])</f>
        <v>0</v>
      </c>
      <c r="AE87" s="65">
        <f>+SUM(Tabla1[[#This Row],[Pipeline 2026 $MM ESTERILIZACIÓN]:[Pipeline 2026 $MM TECSERVICE]])</f>
        <v>0</v>
      </c>
      <c r="AF87" s="43">
        <v>-40.3043084284812</v>
      </c>
      <c r="AG87" s="58">
        <v>-73.061942879775501</v>
      </c>
      <c r="AH87" s="57" t="str">
        <f>+IF(Tabla1[[#This Row],['# Contratos Vigentes ]]&gt;0,"SI","NO")</f>
        <v>NO</v>
      </c>
      <c r="AI87" s="66"/>
      <c r="AJ87" s="67">
        <f>+Tabla1[[#This Row],[Ingreso 2025 - 2026]]*Tabla1[[#This Row],[% Costo Serv. Directo]]</f>
        <v>0</v>
      </c>
      <c r="AK87" s="68"/>
      <c r="AL8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8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9785300</v>
      </c>
      <c r="AN87" s="42">
        <f>+Tabla1[[#This Row],[Potencial Equipos]]+Tabla1[[#This Row],[Potencial Pipeline]]</f>
        <v>9785300</v>
      </c>
    </row>
    <row r="88" spans="1:40" ht="15.75" x14ac:dyDescent="0.25">
      <c r="A88" s="47" t="s">
        <v>210</v>
      </c>
      <c r="B88" t="str">
        <f>+VLOOKUP(Tabla1[[#This Row],[Cliente]],'[1]Público Privado'!$A$1:$B$325,2,FALSE)</f>
        <v>Público</v>
      </c>
      <c r="C88" s="23">
        <f>+SUMIFS('[1]Facturacion a Fecha'!$T:$T,'[1]Facturacion a Fecha'!$AY:$AY,Tabla1[[#This Row],[Cliente]])</f>
        <v>0</v>
      </c>
      <c r="D88" s="24">
        <f>+SUMIFS('[1]Facturacion a Fecha'!$T:$T,'[1]Facturacion a Fecha'!$AY:$AY,Tabla1[[#This Row],[Cliente]],'[1]Facturacion a Fecha'!$AX:$AX,"Correctivo")</f>
        <v>0</v>
      </c>
      <c r="E88" s="25">
        <f>+COUNTIFS('[1]Facturacion a Fecha'!AY:AY,Tabla1[[#This Row],[Cliente]],'[1]Facturacion a Fecha'!AX:AX,"Correctivo")</f>
        <v>0</v>
      </c>
      <c r="F88" s="25">
        <f>+SUMIFS('[1]Facturacion a Fecha'!$T:$T,'[1]Facturacion a Fecha'!$AY:$AY,Tabla1[[#This Row],[Cliente]],'[1]Facturacion a Fecha'!$AX:$AX,"Preventivo")</f>
        <v>0</v>
      </c>
      <c r="G88" s="25">
        <f>+COUNTIFS('[1]Facturacion a Fecha'!AY:AY,Tabla1[[#This Row],[Cliente]],'[1]Facturacion a Fecha'!AX:AX,"Preventivo")</f>
        <v>0</v>
      </c>
      <c r="H88" s="26">
        <f>+Tabla1[[#This Row],['# Preventivo]]+Tabla1[[#This Row],['# Correctivo]]</f>
        <v>0</v>
      </c>
      <c r="I88" s="23">
        <f>+IFERROR(Tabla1[[#This Row],[Ingreso 2025 - 2026 Correctivo]]/Tabla1[[#This Row],[Ingreso 2025 - 2026 Preventivo]],0)</f>
        <v>0</v>
      </c>
      <c r="J88" s="59">
        <f>+IFERROR(Tabla1[[#This Row],['# Correctivo]]/Tabla1[[#This Row],['# Preventivo]],0)</f>
        <v>0</v>
      </c>
      <c r="K88" s="60">
        <f>+IFERROR(Tabla1[[#This Row],[Ingreso 2025 - 2026 Preventivo]]/(Tabla1[[#This Row],[Ingreso 2025 - 2026 Correctivo]]+Tabla1[[#This Row],[Ingreso 2025 - 2026 Preventivo]]),0)</f>
        <v>0</v>
      </c>
      <c r="L88" s="60">
        <f>1-Tabla1[[#This Row],[% Preventivo $]]</f>
        <v>1</v>
      </c>
      <c r="M88" s="45">
        <f>+COUNTIFS('[1]Base Instalada'!AA:AA,Tabla1[[#This Row],[Cliente]])</f>
        <v>9</v>
      </c>
      <c r="N8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8" s="45">
        <f>+COUNTIFS('[1]Base Instalada'!AA:AA,Tabla1[[#This Row],[Cliente]],'[1]Base Instalada'!Z:Z,"ESTERILIZACIÓN")</f>
        <v>4</v>
      </c>
      <c r="P88" s="45">
        <f>+COUNTIFS('[1]Base Instalada'!AA:AA,Tabla1[[#This Row],[Cliente]],'[1]Base Instalada'!Z:Z,"DENTAL")</f>
        <v>5</v>
      </c>
      <c r="Q88" s="45">
        <f>+COUNTIFS('[1]Base Instalada'!AA:AA,Tabla1[[#This Row],[Cliente]],'[1]Base Instalada'!Z:Z,"ENDOSCOPÍA")</f>
        <v>0</v>
      </c>
      <c r="R88" s="45">
        <f>+COUNTIFS('[1]Base Instalada'!AA:AA,Tabla1[[#This Row],[Cliente]],'[1]Base Instalada'!Z:Z,"INCARDIA")</f>
        <v>0</v>
      </c>
      <c r="S88" s="45">
        <f>+COUNTIFS('[1]Base Instalada'!AA:AA,Tabla1[[#This Row],[Cliente]],'[1]Base Instalada'!Z:Z,"MMQ")</f>
        <v>0</v>
      </c>
      <c r="T88" s="45">
        <f>+COUNTIFS('[1]Base Instalada'!AA:AA,Tabla1[[#This Row],[Cliente]],'[1]Base Instalada'!Z:Z,"REAS")</f>
        <v>0</v>
      </c>
      <c r="U88" s="46">
        <f>+COUNTIFS('[1]Base Instalada'!AA:AA,Tabla1[[#This Row],[Cliente]],'[1]Base Instalada'!Z:Z,"MOBILIARIO CLINICO")</f>
        <v>0</v>
      </c>
      <c r="V88" s="29">
        <f>+COUNTIFS('[1]Base Instalada'!AA:AA,Tabla1[[#This Row],[Cliente]],'[1]Base Instalada'!Z:Z,"OTRO")</f>
        <v>0</v>
      </c>
      <c r="W88" s="61" t="str">
        <f t="shared" ref="W88:W151" si="4">TRIM(RIGHT(Y88,LEN(Y88)-FIND("@",SUBSTITUTE(Y88,",","@",LEN(Y88)-LEN(SUBSTITUTE(Y88,",",""))))))</f>
        <v>Región Magallanes y la Antártica Chilena</v>
      </c>
      <c r="X88" s="61" t="str">
        <f t="shared" ref="X88:X151" si="5">TRIM(MID(Y88,FIND("@",SUBSTITUTE(Y88,",","@",LEN(Y88)-LEN(SUBSTITUTE(Y88,",",""))-1))+1,FIND("@",SUBSTITUTE(Y88,",","@",LEN(Y88)-LEN(SUBSTITUTE(Y88,",",""))))-FIND("@",SUBSTITUTE(Y88,",","@",LEN(Y88)-LEN(SUBSTITUTE(Y88,",",""))-1))-1))</f>
        <v>Punta Arenas</v>
      </c>
      <c r="Y88" s="62" t="s">
        <v>211</v>
      </c>
      <c r="Z88" s="33">
        <f>+COUNTIFS('[1]Pipeline TS'!$F:$F,Tabla1[[#This Row],[Cliente]])</f>
        <v>0</v>
      </c>
      <c r="AA88" s="63">
        <f>SUMIFS('[1]Pipeline Esterilización'!M:M,'[1]Pipeline Esterilización'!E:E,Tabla1[[#This Row],[Cliente]],'[1]Pipeline Esterilización'!B:B,"2026",'[1]Pipeline Esterilización'!L:L,"&gt;0")</f>
        <v>0</v>
      </c>
      <c r="AB88" s="33">
        <f>+SUMIFS('[1]Pipeline Endoscopía'!K:K,'[1]Pipeline Endoscopía'!E:E,Tabla1[[#This Row],[Cliente]],'[1]Pipeline Endoscopía'!B:B,"2026",'[1]Pipeline Endoscopía'!J:J,"&gt;0")</f>
        <v>0</v>
      </c>
      <c r="AC88" s="63">
        <f>+SUMIFS('[1]Pipeline Dental'!K:K,'[1]Pipeline Dental'!E:E,Tabla1[[#This Row],[Cliente]],'[1]Pipeline Dental'!B:B,"2026",'[1]Pipeline Dental'!J:J,"&gt;0")</f>
        <v>0</v>
      </c>
      <c r="AD88" s="64">
        <f>+SUMIFS('[1]Pipeline TS'!$AB:$AB,'[1]Pipeline TS'!$F:$F,Tabla1[[#This Row],[Cliente]])</f>
        <v>0</v>
      </c>
      <c r="AE88" s="65">
        <f>+SUM(Tabla1[[#This Row],[Pipeline 2026 $MM ESTERILIZACIÓN]:[Pipeline 2026 $MM TECSERVICE]])</f>
        <v>0</v>
      </c>
      <c r="AF88" s="43">
        <v>-53.121237222606297</v>
      </c>
      <c r="AG88" s="58">
        <v>-70.900771360875297</v>
      </c>
      <c r="AH88" s="57" t="str">
        <f>+IF(Tabla1[[#This Row],['# Contratos Vigentes ]]&gt;0,"SI","NO")</f>
        <v>NO</v>
      </c>
      <c r="AI88" s="66"/>
      <c r="AJ88" s="67">
        <f>+Tabla1[[#This Row],[Ingreso 2025 - 2026]]*Tabla1[[#This Row],[% Costo Serv. Directo]]</f>
        <v>0</v>
      </c>
      <c r="AK88" s="68"/>
      <c r="AL8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8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10983500</v>
      </c>
      <c r="AN88" s="42">
        <f>+Tabla1[[#This Row],[Potencial Equipos]]+Tabla1[[#This Row],[Potencial Pipeline]]</f>
        <v>10983500</v>
      </c>
    </row>
    <row r="89" spans="1:40" ht="15.75" x14ac:dyDescent="0.25">
      <c r="A89" s="47" t="s">
        <v>212</v>
      </c>
      <c r="B89" t="str">
        <f>+VLOOKUP(Tabla1[[#This Row],[Cliente]],'[1]Público Privado'!$A$1:$B$325,2,FALSE)</f>
        <v>Público</v>
      </c>
      <c r="C89" s="23">
        <f>+SUMIFS('[1]Facturacion a Fecha'!$T:$T,'[1]Facturacion a Fecha'!$AY:$AY,Tabla1[[#This Row],[Cliente]])</f>
        <v>0</v>
      </c>
      <c r="D89" s="24">
        <f>+SUMIFS('[1]Facturacion a Fecha'!$T:$T,'[1]Facturacion a Fecha'!$AY:$AY,Tabla1[[#This Row],[Cliente]],'[1]Facturacion a Fecha'!$AX:$AX,"Correctivo")</f>
        <v>0</v>
      </c>
      <c r="E89" s="25">
        <f>+COUNTIFS('[1]Facturacion a Fecha'!AY:AY,Tabla1[[#This Row],[Cliente]],'[1]Facturacion a Fecha'!AX:AX,"Correctivo")</f>
        <v>0</v>
      </c>
      <c r="F89" s="25">
        <f>+SUMIFS('[1]Facturacion a Fecha'!$T:$T,'[1]Facturacion a Fecha'!$AY:$AY,Tabla1[[#This Row],[Cliente]],'[1]Facturacion a Fecha'!$AX:$AX,"Preventivo")</f>
        <v>0</v>
      </c>
      <c r="G89" s="25">
        <f>+COUNTIFS('[1]Facturacion a Fecha'!AY:AY,Tabla1[[#This Row],[Cliente]],'[1]Facturacion a Fecha'!AX:AX,"Preventivo")</f>
        <v>0</v>
      </c>
      <c r="H89" s="26">
        <f>+Tabla1[[#This Row],['# Preventivo]]+Tabla1[[#This Row],['# Correctivo]]</f>
        <v>0</v>
      </c>
      <c r="I89" s="23">
        <f>+IFERROR(Tabla1[[#This Row],[Ingreso 2025 - 2026 Correctivo]]/Tabla1[[#This Row],[Ingreso 2025 - 2026 Preventivo]],0)</f>
        <v>0</v>
      </c>
      <c r="J89" s="59">
        <f>+IFERROR(Tabla1[[#This Row],['# Correctivo]]/Tabla1[[#This Row],['# Preventivo]],0)</f>
        <v>0</v>
      </c>
      <c r="K89" s="60">
        <f>+IFERROR(Tabla1[[#This Row],[Ingreso 2025 - 2026 Preventivo]]/(Tabla1[[#This Row],[Ingreso 2025 - 2026 Correctivo]]+Tabla1[[#This Row],[Ingreso 2025 - 2026 Preventivo]]),0)</f>
        <v>0</v>
      </c>
      <c r="L89" s="60">
        <f>1-Tabla1[[#This Row],[% Preventivo $]]</f>
        <v>1</v>
      </c>
      <c r="M89" s="45">
        <f>+COUNTIFS('[1]Base Instalada'!AA:AA,Tabla1[[#This Row],[Cliente]])</f>
        <v>9</v>
      </c>
      <c r="N8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89" s="45">
        <f>+COUNTIFS('[1]Base Instalada'!AA:AA,Tabla1[[#This Row],[Cliente]],'[1]Base Instalada'!Z:Z,"ESTERILIZACIÓN")</f>
        <v>2</v>
      </c>
      <c r="P89" s="45">
        <f>+COUNTIFS('[1]Base Instalada'!AA:AA,Tabla1[[#This Row],[Cliente]],'[1]Base Instalada'!Z:Z,"DENTAL")</f>
        <v>6</v>
      </c>
      <c r="Q89" s="45">
        <f>+COUNTIFS('[1]Base Instalada'!AA:AA,Tabla1[[#This Row],[Cliente]],'[1]Base Instalada'!Z:Z,"ENDOSCOPÍA")</f>
        <v>0</v>
      </c>
      <c r="R89" s="45">
        <f>+COUNTIFS('[1]Base Instalada'!AA:AA,Tabla1[[#This Row],[Cliente]],'[1]Base Instalada'!Z:Z,"INCARDIA")</f>
        <v>1</v>
      </c>
      <c r="S89" s="45">
        <f>+COUNTIFS('[1]Base Instalada'!AA:AA,Tabla1[[#This Row],[Cliente]],'[1]Base Instalada'!Z:Z,"MMQ")</f>
        <v>0</v>
      </c>
      <c r="T89" s="45">
        <f>+COUNTIFS('[1]Base Instalada'!AA:AA,Tabla1[[#This Row],[Cliente]],'[1]Base Instalada'!Z:Z,"REAS")</f>
        <v>0</v>
      </c>
      <c r="U89" s="46">
        <f>+COUNTIFS('[1]Base Instalada'!AA:AA,Tabla1[[#This Row],[Cliente]],'[1]Base Instalada'!Z:Z,"MOBILIARIO CLINICO")</f>
        <v>0</v>
      </c>
      <c r="V89" s="29">
        <f>+COUNTIFS('[1]Base Instalada'!AA:AA,Tabla1[[#This Row],[Cliente]],'[1]Base Instalada'!Z:Z,"OTRO")</f>
        <v>0</v>
      </c>
      <c r="W89" s="61" t="str">
        <f t="shared" si="4"/>
        <v>Región Valparaíso</v>
      </c>
      <c r="X89" s="61" t="str">
        <f t="shared" si="5"/>
        <v>Los Andes</v>
      </c>
      <c r="Y89" s="62" t="s">
        <v>213</v>
      </c>
      <c r="Z89" s="33">
        <f>+COUNTIFS('[1]Pipeline TS'!$F:$F,Tabla1[[#This Row],[Cliente]])</f>
        <v>0</v>
      </c>
      <c r="AA89" s="63">
        <f>SUMIFS('[1]Pipeline Esterilización'!M:M,'[1]Pipeline Esterilización'!E:E,Tabla1[[#This Row],[Cliente]],'[1]Pipeline Esterilización'!B:B,"2026",'[1]Pipeline Esterilización'!L:L,"&gt;0")</f>
        <v>0</v>
      </c>
      <c r="AB89" s="33">
        <f>+SUMIFS('[1]Pipeline Endoscopía'!K:K,'[1]Pipeline Endoscopía'!E:E,Tabla1[[#This Row],[Cliente]],'[1]Pipeline Endoscopía'!B:B,"2026",'[1]Pipeline Endoscopía'!J:J,"&gt;0")</f>
        <v>0</v>
      </c>
      <c r="AC89" s="63">
        <f>+SUMIFS('[1]Pipeline Dental'!K:K,'[1]Pipeline Dental'!E:E,Tabla1[[#This Row],[Cliente]],'[1]Pipeline Dental'!B:B,"2026",'[1]Pipeline Dental'!J:J,"&gt;0")</f>
        <v>0</v>
      </c>
      <c r="AD89" s="64">
        <f>+SUMIFS('[1]Pipeline TS'!$AB:$AB,'[1]Pipeline TS'!$F:$F,Tabla1[[#This Row],[Cliente]])</f>
        <v>0</v>
      </c>
      <c r="AE89" s="65">
        <f>+SUM(Tabla1[[#This Row],[Pipeline 2026 $MM ESTERILIZACIÓN]:[Pipeline 2026 $MM TECSERVICE]])</f>
        <v>0</v>
      </c>
      <c r="AF89" s="43">
        <v>-32.827885718034103</v>
      </c>
      <c r="AG89" s="58">
        <v>-70.5976092892178</v>
      </c>
      <c r="AH89" s="57" t="str">
        <f>+IF(Tabla1[[#This Row],['# Contratos Vigentes ]]&gt;0,"SI","NO")</f>
        <v>NO</v>
      </c>
      <c r="AI89" s="66"/>
      <c r="AJ89" s="67">
        <f>+Tabla1[[#This Row],[Ingreso 2025 - 2026]]*Tabla1[[#This Row],[% Costo Serv. Directo]]</f>
        <v>0</v>
      </c>
      <c r="AK89" s="68"/>
      <c r="AL8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8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7588600</v>
      </c>
      <c r="AN89" s="42">
        <f>+Tabla1[[#This Row],[Potencial Equipos]]+Tabla1[[#This Row],[Potencial Pipeline]]</f>
        <v>7588600</v>
      </c>
    </row>
    <row r="90" spans="1:40" ht="15.75" x14ac:dyDescent="0.25">
      <c r="A90" s="47" t="s">
        <v>214</v>
      </c>
      <c r="B90" t="str">
        <f>+VLOOKUP(Tabla1[[#This Row],[Cliente]],'[1]Público Privado'!$A$1:$B$325,2,FALSE)</f>
        <v>Público</v>
      </c>
      <c r="C90" s="23">
        <f>+SUMIFS('[1]Facturacion a Fecha'!$T:$T,'[1]Facturacion a Fecha'!$AY:$AY,Tabla1[[#This Row],[Cliente]])</f>
        <v>0</v>
      </c>
      <c r="D90" s="24">
        <f>+SUMIFS('[1]Facturacion a Fecha'!$T:$T,'[1]Facturacion a Fecha'!$AY:$AY,Tabla1[[#This Row],[Cliente]],'[1]Facturacion a Fecha'!$AX:$AX,"Correctivo")</f>
        <v>0</v>
      </c>
      <c r="E90" s="25">
        <f>+COUNTIFS('[1]Facturacion a Fecha'!AY:AY,Tabla1[[#This Row],[Cliente]],'[1]Facturacion a Fecha'!AX:AX,"Correctivo")</f>
        <v>0</v>
      </c>
      <c r="F90" s="25">
        <f>+SUMIFS('[1]Facturacion a Fecha'!$T:$T,'[1]Facturacion a Fecha'!$AY:$AY,Tabla1[[#This Row],[Cliente]],'[1]Facturacion a Fecha'!$AX:$AX,"Preventivo")</f>
        <v>0</v>
      </c>
      <c r="G90" s="25">
        <f>+COUNTIFS('[1]Facturacion a Fecha'!AY:AY,Tabla1[[#This Row],[Cliente]],'[1]Facturacion a Fecha'!AX:AX,"Preventivo")</f>
        <v>0</v>
      </c>
      <c r="H90" s="26">
        <f>+Tabla1[[#This Row],['# Preventivo]]+Tabla1[[#This Row],['# Correctivo]]</f>
        <v>0</v>
      </c>
      <c r="I90" s="23">
        <f>+IFERROR(Tabla1[[#This Row],[Ingreso 2025 - 2026 Correctivo]]/Tabla1[[#This Row],[Ingreso 2025 - 2026 Preventivo]],0)</f>
        <v>0</v>
      </c>
      <c r="J90" s="59">
        <f>+IFERROR(Tabla1[[#This Row],['# Correctivo]]/Tabla1[[#This Row],['# Preventivo]],0)</f>
        <v>0</v>
      </c>
      <c r="K90" s="60">
        <f>+IFERROR(Tabla1[[#This Row],[Ingreso 2025 - 2026 Preventivo]]/(Tabla1[[#This Row],[Ingreso 2025 - 2026 Correctivo]]+Tabla1[[#This Row],[Ingreso 2025 - 2026 Preventivo]]),0)</f>
        <v>0</v>
      </c>
      <c r="L90" s="60">
        <f>1-Tabla1[[#This Row],[% Preventivo $]]</f>
        <v>1</v>
      </c>
      <c r="M90" s="45">
        <f>+COUNTIFS('[1]Base Instalada'!AA:AA,Tabla1[[#This Row],[Cliente]])</f>
        <v>5</v>
      </c>
      <c r="N9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0" s="45">
        <f>+COUNTIFS('[1]Base Instalada'!AA:AA,Tabla1[[#This Row],[Cliente]],'[1]Base Instalada'!Z:Z,"ESTERILIZACIÓN")</f>
        <v>5</v>
      </c>
      <c r="P90" s="45">
        <f>+COUNTIFS('[1]Base Instalada'!AA:AA,Tabla1[[#This Row],[Cliente]],'[1]Base Instalada'!Z:Z,"DENTAL")</f>
        <v>0</v>
      </c>
      <c r="Q90" s="45">
        <f>+COUNTIFS('[1]Base Instalada'!AA:AA,Tabla1[[#This Row],[Cliente]],'[1]Base Instalada'!Z:Z,"ENDOSCOPÍA")</f>
        <v>0</v>
      </c>
      <c r="R90" s="45">
        <f>+COUNTIFS('[1]Base Instalada'!AA:AA,Tabla1[[#This Row],[Cliente]],'[1]Base Instalada'!Z:Z,"INCARDIA")</f>
        <v>0</v>
      </c>
      <c r="S90" s="45">
        <f>+COUNTIFS('[1]Base Instalada'!AA:AA,Tabla1[[#This Row],[Cliente]],'[1]Base Instalada'!Z:Z,"MMQ")</f>
        <v>0</v>
      </c>
      <c r="T90" s="45">
        <f>+COUNTIFS('[1]Base Instalada'!AA:AA,Tabla1[[#This Row],[Cliente]],'[1]Base Instalada'!Z:Z,"REAS")</f>
        <v>0</v>
      </c>
      <c r="U90" s="46">
        <f>+COUNTIFS('[1]Base Instalada'!AA:AA,Tabla1[[#This Row],[Cliente]],'[1]Base Instalada'!Z:Z,"MOBILIARIO CLINICO")</f>
        <v>0</v>
      </c>
      <c r="V90" s="29">
        <f>+COUNTIFS('[1]Base Instalada'!AA:AA,Tabla1[[#This Row],[Cliente]],'[1]Base Instalada'!Z:Z,"OTRO")</f>
        <v>0</v>
      </c>
      <c r="W90" s="61" t="str">
        <f t="shared" si="4"/>
        <v>Región Valparaíso</v>
      </c>
      <c r="X90" s="61" t="str">
        <f t="shared" si="5"/>
        <v>Quillota</v>
      </c>
      <c r="Y90" s="62" t="s">
        <v>215</v>
      </c>
      <c r="Z90" s="33">
        <f>+COUNTIFS('[1]Pipeline TS'!$F:$F,Tabla1[[#This Row],[Cliente]])</f>
        <v>0</v>
      </c>
      <c r="AA90" s="63">
        <f>SUMIFS('[1]Pipeline Esterilización'!M:M,'[1]Pipeline Esterilización'!E:E,Tabla1[[#This Row],[Cliente]],'[1]Pipeline Esterilización'!B:B,"2026",'[1]Pipeline Esterilización'!L:L,"&gt;0")</f>
        <v>0</v>
      </c>
      <c r="AB90" s="33">
        <f>+SUMIFS('[1]Pipeline Endoscopía'!K:K,'[1]Pipeline Endoscopía'!E:E,Tabla1[[#This Row],[Cliente]],'[1]Pipeline Endoscopía'!B:B,"2026",'[1]Pipeline Endoscopía'!J:J,"&gt;0")</f>
        <v>0</v>
      </c>
      <c r="AC90" s="63">
        <f>+SUMIFS('[1]Pipeline Dental'!K:K,'[1]Pipeline Dental'!E:E,Tabla1[[#This Row],[Cliente]],'[1]Pipeline Dental'!B:B,"2026",'[1]Pipeline Dental'!J:J,"&gt;0")</f>
        <v>0</v>
      </c>
      <c r="AD90" s="64">
        <f>+SUMIFS('[1]Pipeline TS'!$AB:$AB,'[1]Pipeline TS'!$F:$F,Tabla1[[#This Row],[Cliente]])</f>
        <v>0</v>
      </c>
      <c r="AE90" s="65">
        <f>+SUM(Tabla1[[#This Row],[Pipeline 2026 $MM ESTERILIZACIÓN]:[Pipeline 2026 $MM TECSERVICE]])</f>
        <v>0</v>
      </c>
      <c r="AF90" s="43">
        <v>-32.894641965343297</v>
      </c>
      <c r="AG90" s="58">
        <v>-71.250002204555599</v>
      </c>
      <c r="AH90" s="57" t="str">
        <f>+IF(Tabla1[[#This Row],['# Contratos Vigentes ]]&gt;0,"SI","NO")</f>
        <v>NO</v>
      </c>
      <c r="AI90" s="66"/>
      <c r="AJ90" s="67">
        <f>+Tabla1[[#This Row],[Ingreso 2025 - 2026]]*Tabla1[[#This Row],[% Costo Serv. Directo]]</f>
        <v>0</v>
      </c>
      <c r="AK90" s="68"/>
      <c r="AL9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9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9985000</v>
      </c>
      <c r="AN90" s="42">
        <f>+Tabla1[[#This Row],[Potencial Equipos]]+Tabla1[[#This Row],[Potencial Pipeline]]</f>
        <v>9985000</v>
      </c>
    </row>
    <row r="91" spans="1:40" ht="15.75" x14ac:dyDescent="0.25">
      <c r="A91" s="47" t="s">
        <v>216</v>
      </c>
      <c r="B91" t="str">
        <f>+VLOOKUP(Tabla1[[#This Row],[Cliente]],'[1]Público Privado'!$A$1:$B$325,2,FALSE)</f>
        <v>Público</v>
      </c>
      <c r="C91" s="23">
        <f>+SUMIFS('[1]Facturacion a Fecha'!$T:$T,'[1]Facturacion a Fecha'!$AY:$AY,Tabla1[[#This Row],[Cliente]])</f>
        <v>0</v>
      </c>
      <c r="D91" s="24">
        <f>+SUMIFS('[1]Facturacion a Fecha'!$T:$T,'[1]Facturacion a Fecha'!$AY:$AY,Tabla1[[#This Row],[Cliente]],'[1]Facturacion a Fecha'!$AX:$AX,"Correctivo")</f>
        <v>0</v>
      </c>
      <c r="E91" s="25">
        <f>+COUNTIFS('[1]Facturacion a Fecha'!AY:AY,Tabla1[[#This Row],[Cliente]],'[1]Facturacion a Fecha'!AX:AX,"Correctivo")</f>
        <v>0</v>
      </c>
      <c r="F91" s="25">
        <f>+SUMIFS('[1]Facturacion a Fecha'!$T:$T,'[1]Facturacion a Fecha'!$AY:$AY,Tabla1[[#This Row],[Cliente]],'[1]Facturacion a Fecha'!$AX:$AX,"Preventivo")</f>
        <v>0</v>
      </c>
      <c r="G91" s="25">
        <f>+COUNTIFS('[1]Facturacion a Fecha'!AY:AY,Tabla1[[#This Row],[Cliente]],'[1]Facturacion a Fecha'!AX:AX,"Preventivo")</f>
        <v>0</v>
      </c>
      <c r="H91" s="26">
        <f>+Tabla1[[#This Row],['# Preventivo]]+Tabla1[[#This Row],['# Correctivo]]</f>
        <v>0</v>
      </c>
      <c r="I91" s="23">
        <f>+IFERROR(Tabla1[[#This Row],[Ingreso 2025 - 2026 Correctivo]]/Tabla1[[#This Row],[Ingreso 2025 - 2026 Preventivo]],0)</f>
        <v>0</v>
      </c>
      <c r="J91" s="59">
        <f>+IFERROR(Tabla1[[#This Row],['# Correctivo]]/Tabla1[[#This Row],['# Preventivo]],0)</f>
        <v>0</v>
      </c>
      <c r="K91" s="60">
        <f>+IFERROR(Tabla1[[#This Row],[Ingreso 2025 - 2026 Preventivo]]/(Tabla1[[#This Row],[Ingreso 2025 - 2026 Correctivo]]+Tabla1[[#This Row],[Ingreso 2025 - 2026 Preventivo]]),0)</f>
        <v>0</v>
      </c>
      <c r="L91" s="60">
        <f>1-Tabla1[[#This Row],[% Preventivo $]]</f>
        <v>1</v>
      </c>
      <c r="M91" s="45">
        <f>+COUNTIFS('[1]Base Instalada'!AA:AA,Tabla1[[#This Row],[Cliente]])</f>
        <v>25</v>
      </c>
      <c r="N9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1" s="45">
        <f>+COUNTIFS('[1]Base Instalada'!AA:AA,Tabla1[[#This Row],[Cliente]],'[1]Base Instalada'!Z:Z,"ESTERILIZACIÓN")</f>
        <v>3</v>
      </c>
      <c r="P91" s="45">
        <f>+COUNTIFS('[1]Base Instalada'!AA:AA,Tabla1[[#This Row],[Cliente]],'[1]Base Instalada'!Z:Z,"DENTAL")</f>
        <v>5</v>
      </c>
      <c r="Q91" s="45">
        <f>+COUNTIFS('[1]Base Instalada'!AA:AA,Tabla1[[#This Row],[Cliente]],'[1]Base Instalada'!Z:Z,"ENDOSCOPÍA")</f>
        <v>2</v>
      </c>
      <c r="R91" s="45">
        <f>+COUNTIFS('[1]Base Instalada'!AA:AA,Tabla1[[#This Row],[Cliente]],'[1]Base Instalada'!Z:Z,"INCARDIA")</f>
        <v>14</v>
      </c>
      <c r="S91" s="45">
        <f>+COUNTIFS('[1]Base Instalada'!AA:AA,Tabla1[[#This Row],[Cliente]],'[1]Base Instalada'!Z:Z,"MMQ")</f>
        <v>0</v>
      </c>
      <c r="T91" s="45">
        <f>+COUNTIFS('[1]Base Instalada'!AA:AA,Tabla1[[#This Row],[Cliente]],'[1]Base Instalada'!Z:Z,"REAS")</f>
        <v>0</v>
      </c>
      <c r="U91" s="46">
        <f>+COUNTIFS('[1]Base Instalada'!AA:AA,Tabla1[[#This Row],[Cliente]],'[1]Base Instalada'!Z:Z,"MOBILIARIO CLINICO")</f>
        <v>0</v>
      </c>
      <c r="V91" s="29">
        <f>+COUNTIFS('[1]Base Instalada'!AA:AA,Tabla1[[#This Row],[Cliente]],'[1]Base Instalada'!Z:Z,"OTRO")</f>
        <v>1</v>
      </c>
      <c r="W91" s="61" t="str">
        <f t="shared" si="4"/>
        <v>Región Antofagasta</v>
      </c>
      <c r="X91" s="61" t="str">
        <f t="shared" si="5"/>
        <v>Calama</v>
      </c>
      <c r="Y91" s="62" t="s">
        <v>217</v>
      </c>
      <c r="Z91" s="33">
        <f>+COUNTIFS('[1]Pipeline TS'!$F:$F,Tabla1[[#This Row],[Cliente]])</f>
        <v>0</v>
      </c>
      <c r="AA91" s="63">
        <f>SUMIFS('[1]Pipeline Esterilización'!M:M,'[1]Pipeline Esterilización'!E:E,Tabla1[[#This Row],[Cliente]],'[1]Pipeline Esterilización'!B:B,"2026",'[1]Pipeline Esterilización'!L:L,"&gt;0")</f>
        <v>258000000</v>
      </c>
      <c r="AB91" s="33">
        <f>+SUMIFS('[1]Pipeline Endoscopía'!K:K,'[1]Pipeline Endoscopía'!E:E,Tabla1[[#This Row],[Cliente]],'[1]Pipeline Endoscopía'!B:B,"2026",'[1]Pipeline Endoscopía'!J:J,"&gt;0")</f>
        <v>0</v>
      </c>
      <c r="AC91" s="63">
        <f>+SUMIFS('[1]Pipeline Dental'!K:K,'[1]Pipeline Dental'!E:E,Tabla1[[#This Row],[Cliente]],'[1]Pipeline Dental'!B:B,"2026",'[1]Pipeline Dental'!J:J,"&gt;0")</f>
        <v>0</v>
      </c>
      <c r="AD91" s="64">
        <f>+SUMIFS('[1]Pipeline TS'!$AB:$AB,'[1]Pipeline TS'!$F:$F,Tabla1[[#This Row],[Cliente]])</f>
        <v>0</v>
      </c>
      <c r="AE91" s="65">
        <f>+SUM(Tabla1[[#This Row],[Pipeline 2026 $MM ESTERILIZACIÓN]:[Pipeline 2026 $MM TECSERVICE]])</f>
        <v>258000000</v>
      </c>
      <c r="AF91" s="43">
        <v>-22.444938993548099</v>
      </c>
      <c r="AG91" s="58">
        <v>-68.918143760872994</v>
      </c>
      <c r="AH91" s="57" t="str">
        <f>+IF(Tabla1[[#This Row],['# Contratos Vigentes ]]&gt;0,"SI","NO")</f>
        <v>NO</v>
      </c>
      <c r="AI91" s="66"/>
      <c r="AJ91" s="67">
        <f>+Tabla1[[#This Row],[Ingreso 2025 - 2026]]*Tabla1[[#This Row],[% Costo Serv. Directo]]</f>
        <v>0</v>
      </c>
      <c r="AK91" s="68"/>
      <c r="AL9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25800000</v>
      </c>
      <c r="AM9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10786872.307692308</v>
      </c>
      <c r="AN91" s="42">
        <f>+Tabla1[[#This Row],[Potencial Equipos]]+Tabla1[[#This Row],[Potencial Pipeline]]</f>
        <v>36586872.307692304</v>
      </c>
    </row>
    <row r="92" spans="1:40" ht="15.75" x14ac:dyDescent="0.25">
      <c r="A92" s="47" t="s">
        <v>218</v>
      </c>
      <c r="B92" t="str">
        <f>+VLOOKUP(Tabla1[[#This Row],[Cliente]],'[1]Público Privado'!$A$1:$B$325,2,FALSE)</f>
        <v>Público</v>
      </c>
      <c r="C92" s="23">
        <f>+SUMIFS('[1]Facturacion a Fecha'!$T:$T,'[1]Facturacion a Fecha'!$AY:$AY,Tabla1[[#This Row],[Cliente]])</f>
        <v>0</v>
      </c>
      <c r="D92" s="24">
        <f>+SUMIFS('[1]Facturacion a Fecha'!$T:$T,'[1]Facturacion a Fecha'!$AY:$AY,Tabla1[[#This Row],[Cliente]],'[1]Facturacion a Fecha'!$AX:$AX,"Correctivo")</f>
        <v>0</v>
      </c>
      <c r="E92" s="25">
        <f>+COUNTIFS('[1]Facturacion a Fecha'!AY:AY,Tabla1[[#This Row],[Cliente]],'[1]Facturacion a Fecha'!AX:AX,"Correctivo")</f>
        <v>0</v>
      </c>
      <c r="F92" s="25">
        <f>+SUMIFS('[1]Facturacion a Fecha'!$T:$T,'[1]Facturacion a Fecha'!$AY:$AY,Tabla1[[#This Row],[Cliente]],'[1]Facturacion a Fecha'!$AX:$AX,"Preventivo")</f>
        <v>0</v>
      </c>
      <c r="G92" s="25">
        <f>+COUNTIFS('[1]Facturacion a Fecha'!AY:AY,Tabla1[[#This Row],[Cliente]],'[1]Facturacion a Fecha'!AX:AX,"Preventivo")</f>
        <v>0</v>
      </c>
      <c r="H92" s="26">
        <f>+Tabla1[[#This Row],['# Preventivo]]+Tabla1[[#This Row],['# Correctivo]]</f>
        <v>0</v>
      </c>
      <c r="I92" s="23">
        <f>+IFERROR(Tabla1[[#This Row],[Ingreso 2025 - 2026 Correctivo]]/Tabla1[[#This Row],[Ingreso 2025 - 2026 Preventivo]],0)</f>
        <v>0</v>
      </c>
      <c r="J92" s="59">
        <f>+IFERROR(Tabla1[[#This Row],['# Correctivo]]/Tabla1[[#This Row],['# Preventivo]],0)</f>
        <v>0</v>
      </c>
      <c r="K92" s="60">
        <f>+IFERROR(Tabla1[[#This Row],[Ingreso 2025 - 2026 Preventivo]]/(Tabla1[[#This Row],[Ingreso 2025 - 2026 Correctivo]]+Tabla1[[#This Row],[Ingreso 2025 - 2026 Preventivo]]),0)</f>
        <v>0</v>
      </c>
      <c r="L92" s="60">
        <f>1-Tabla1[[#This Row],[% Preventivo $]]</f>
        <v>1</v>
      </c>
      <c r="M92" s="45">
        <f>+COUNTIFS('[1]Base Instalada'!AA:AA,Tabla1[[#This Row],[Cliente]])</f>
        <v>11</v>
      </c>
      <c r="N9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2" s="45">
        <f>+COUNTIFS('[1]Base Instalada'!AA:AA,Tabla1[[#This Row],[Cliente]],'[1]Base Instalada'!Z:Z,"ESTERILIZACIÓN")</f>
        <v>2</v>
      </c>
      <c r="P92" s="45">
        <f>+COUNTIFS('[1]Base Instalada'!AA:AA,Tabla1[[#This Row],[Cliente]],'[1]Base Instalada'!Z:Z,"DENTAL")</f>
        <v>8</v>
      </c>
      <c r="Q92" s="45">
        <f>+COUNTIFS('[1]Base Instalada'!AA:AA,Tabla1[[#This Row],[Cliente]],'[1]Base Instalada'!Z:Z,"ENDOSCOPÍA")</f>
        <v>0</v>
      </c>
      <c r="R92" s="45">
        <f>+COUNTIFS('[1]Base Instalada'!AA:AA,Tabla1[[#This Row],[Cliente]],'[1]Base Instalada'!Z:Z,"INCARDIA")</f>
        <v>0</v>
      </c>
      <c r="S92" s="45">
        <f>+COUNTIFS('[1]Base Instalada'!AA:AA,Tabla1[[#This Row],[Cliente]],'[1]Base Instalada'!Z:Z,"MMQ")</f>
        <v>0</v>
      </c>
      <c r="T92" s="45">
        <f>+COUNTIFS('[1]Base Instalada'!AA:AA,Tabla1[[#This Row],[Cliente]],'[1]Base Instalada'!Z:Z,"REAS")</f>
        <v>0</v>
      </c>
      <c r="U92" s="46">
        <f>+COUNTIFS('[1]Base Instalada'!AA:AA,Tabla1[[#This Row],[Cliente]],'[1]Base Instalada'!Z:Z,"MOBILIARIO CLINICO")</f>
        <v>0</v>
      </c>
      <c r="V92" s="29">
        <f>+COUNTIFS('[1]Base Instalada'!AA:AA,Tabla1[[#This Row],[Cliente]],'[1]Base Instalada'!Z:Z,"OTRO")</f>
        <v>1</v>
      </c>
      <c r="W92" s="61" t="str">
        <f t="shared" si="4"/>
        <v>Región Bío Bío</v>
      </c>
      <c r="X92" s="61" t="str">
        <f t="shared" si="5"/>
        <v>Los Ángeles</v>
      </c>
      <c r="Y92" s="62" t="s">
        <v>219</v>
      </c>
      <c r="Z92" s="33">
        <f>+COUNTIFS('[1]Pipeline TS'!$F:$F,Tabla1[[#This Row],[Cliente]])</f>
        <v>0</v>
      </c>
      <c r="AA92" s="63">
        <f>SUMIFS('[1]Pipeline Esterilización'!M:M,'[1]Pipeline Esterilización'!E:E,Tabla1[[#This Row],[Cliente]],'[1]Pipeline Esterilización'!B:B,"2026",'[1]Pipeline Esterilización'!L:L,"&gt;0")</f>
        <v>0</v>
      </c>
      <c r="AB92" s="33">
        <f>+SUMIFS('[1]Pipeline Endoscopía'!K:K,'[1]Pipeline Endoscopía'!E:E,Tabla1[[#This Row],[Cliente]],'[1]Pipeline Endoscopía'!B:B,"2026",'[1]Pipeline Endoscopía'!J:J,"&gt;0")</f>
        <v>0</v>
      </c>
      <c r="AC92" s="63">
        <f>+SUMIFS('[1]Pipeline Dental'!K:K,'[1]Pipeline Dental'!E:E,Tabla1[[#This Row],[Cliente]],'[1]Pipeline Dental'!B:B,"2026",'[1]Pipeline Dental'!J:J,"&gt;0")</f>
        <v>0</v>
      </c>
      <c r="AD92" s="64">
        <f>+SUMIFS('[1]Pipeline TS'!$AB:$AB,'[1]Pipeline TS'!$F:$F,Tabla1[[#This Row],[Cliente]])</f>
        <v>0</v>
      </c>
      <c r="AE92" s="65">
        <f>+SUM(Tabla1[[#This Row],[Pipeline 2026 $MM ESTERILIZACIÓN]:[Pipeline 2026 $MM TECSERVICE]])</f>
        <v>0</v>
      </c>
      <c r="AF92" s="43">
        <v>-37.475060393485002</v>
      </c>
      <c r="AG92" s="58">
        <v>-72.347805049559298</v>
      </c>
      <c r="AH92" s="57" t="str">
        <f>+IF(Tabla1[[#This Row],['# Contratos Vigentes ]]&gt;0,"SI","NO")</f>
        <v>NO</v>
      </c>
      <c r="AI92" s="66"/>
      <c r="AJ92" s="67">
        <f>+Tabla1[[#This Row],[Ingreso 2025 - 2026]]*Tabla1[[#This Row],[% Costo Serv. Directo]]</f>
        <v>0</v>
      </c>
      <c r="AK92" s="68"/>
      <c r="AL9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9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8866680</v>
      </c>
      <c r="AN92" s="42">
        <f>+Tabla1[[#This Row],[Potencial Equipos]]+Tabla1[[#This Row],[Potencial Pipeline]]</f>
        <v>8866680</v>
      </c>
    </row>
    <row r="93" spans="1:40" ht="15.75" x14ac:dyDescent="0.25">
      <c r="A93" s="47" t="s">
        <v>220</v>
      </c>
      <c r="B93" t="str">
        <f>+VLOOKUP(Tabla1[[#This Row],[Cliente]],'[1]Público Privado'!$A$1:$B$325,2,FALSE)</f>
        <v>Público</v>
      </c>
      <c r="C93" s="23">
        <f>+SUMIFS('[1]Facturacion a Fecha'!$T:$T,'[1]Facturacion a Fecha'!$AY:$AY,Tabla1[[#This Row],[Cliente]])</f>
        <v>0</v>
      </c>
      <c r="D93" s="24">
        <f>+SUMIFS('[1]Facturacion a Fecha'!$T:$T,'[1]Facturacion a Fecha'!$AY:$AY,Tabla1[[#This Row],[Cliente]],'[1]Facturacion a Fecha'!$AX:$AX,"Correctivo")</f>
        <v>0</v>
      </c>
      <c r="E93" s="25">
        <f>+COUNTIFS('[1]Facturacion a Fecha'!AY:AY,Tabla1[[#This Row],[Cliente]],'[1]Facturacion a Fecha'!AX:AX,"Correctivo")</f>
        <v>0</v>
      </c>
      <c r="F93" s="25">
        <f>+SUMIFS('[1]Facturacion a Fecha'!$T:$T,'[1]Facturacion a Fecha'!$AY:$AY,Tabla1[[#This Row],[Cliente]],'[1]Facturacion a Fecha'!$AX:$AX,"Preventivo")</f>
        <v>0</v>
      </c>
      <c r="G93" s="25">
        <f>+COUNTIFS('[1]Facturacion a Fecha'!AY:AY,Tabla1[[#This Row],[Cliente]],'[1]Facturacion a Fecha'!AX:AX,"Preventivo")</f>
        <v>0</v>
      </c>
      <c r="H93" s="26">
        <f>+Tabla1[[#This Row],['# Preventivo]]+Tabla1[[#This Row],['# Correctivo]]</f>
        <v>0</v>
      </c>
      <c r="I93" s="23">
        <f>+IFERROR(Tabla1[[#This Row],[Ingreso 2025 - 2026 Correctivo]]/Tabla1[[#This Row],[Ingreso 2025 - 2026 Preventivo]],0)</f>
        <v>0</v>
      </c>
      <c r="J93" s="59">
        <f>+IFERROR(Tabla1[[#This Row],['# Correctivo]]/Tabla1[[#This Row],['# Preventivo]],0)</f>
        <v>0</v>
      </c>
      <c r="K93" s="60">
        <f>+IFERROR(Tabla1[[#This Row],[Ingreso 2025 - 2026 Preventivo]]/(Tabla1[[#This Row],[Ingreso 2025 - 2026 Correctivo]]+Tabla1[[#This Row],[Ingreso 2025 - 2026 Preventivo]]),0)</f>
        <v>0</v>
      </c>
      <c r="L93" s="60">
        <f>1-Tabla1[[#This Row],[% Preventivo $]]</f>
        <v>1</v>
      </c>
      <c r="M93" s="45">
        <f>+COUNTIFS('[1]Base Instalada'!AA:AA,Tabla1[[#This Row],[Cliente]])</f>
        <v>11</v>
      </c>
      <c r="N9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3" s="45">
        <f>+COUNTIFS('[1]Base Instalada'!AA:AA,Tabla1[[#This Row],[Cliente]],'[1]Base Instalada'!Z:Z,"ESTERILIZACIÓN")</f>
        <v>2</v>
      </c>
      <c r="P93" s="45">
        <f>+COUNTIFS('[1]Base Instalada'!AA:AA,Tabla1[[#This Row],[Cliente]],'[1]Base Instalada'!Z:Z,"DENTAL")</f>
        <v>8</v>
      </c>
      <c r="Q93" s="45">
        <f>+COUNTIFS('[1]Base Instalada'!AA:AA,Tabla1[[#This Row],[Cliente]],'[1]Base Instalada'!Z:Z,"ENDOSCOPÍA")</f>
        <v>0</v>
      </c>
      <c r="R93" s="45">
        <f>+COUNTIFS('[1]Base Instalada'!AA:AA,Tabla1[[#This Row],[Cliente]],'[1]Base Instalada'!Z:Z,"INCARDIA")</f>
        <v>0</v>
      </c>
      <c r="S93" s="45">
        <f>+COUNTIFS('[1]Base Instalada'!AA:AA,Tabla1[[#This Row],[Cliente]],'[1]Base Instalada'!Z:Z,"MMQ")</f>
        <v>0</v>
      </c>
      <c r="T93" s="45">
        <f>+COUNTIFS('[1]Base Instalada'!AA:AA,Tabla1[[#This Row],[Cliente]],'[1]Base Instalada'!Z:Z,"REAS")</f>
        <v>0</v>
      </c>
      <c r="U93" s="46">
        <f>+COUNTIFS('[1]Base Instalada'!AA:AA,Tabla1[[#This Row],[Cliente]],'[1]Base Instalada'!Z:Z,"MOBILIARIO CLINICO")</f>
        <v>0</v>
      </c>
      <c r="V93" s="29">
        <f>+COUNTIFS('[1]Base Instalada'!AA:AA,Tabla1[[#This Row],[Cliente]],'[1]Base Instalada'!Z:Z,"OTRO")</f>
        <v>1</v>
      </c>
      <c r="W93" s="61" t="str">
        <f t="shared" si="4"/>
        <v>Región Los Lagos</v>
      </c>
      <c r="X93" s="61" t="str">
        <f t="shared" si="5"/>
        <v>Puerto Montt</v>
      </c>
      <c r="Y93" s="62" t="s">
        <v>221</v>
      </c>
      <c r="Z93" s="33">
        <f>+COUNTIFS('[1]Pipeline TS'!$F:$F,Tabla1[[#This Row],[Cliente]])</f>
        <v>0</v>
      </c>
      <c r="AA93" s="63">
        <f>SUMIFS('[1]Pipeline Esterilización'!M:M,'[1]Pipeline Esterilización'!E:E,Tabla1[[#This Row],[Cliente]],'[1]Pipeline Esterilización'!B:B,"2026",'[1]Pipeline Esterilización'!L:L,"&gt;0")</f>
        <v>0</v>
      </c>
      <c r="AB93" s="33">
        <f>+SUMIFS('[1]Pipeline Endoscopía'!K:K,'[1]Pipeline Endoscopía'!E:E,Tabla1[[#This Row],[Cliente]],'[1]Pipeline Endoscopía'!B:B,"2026",'[1]Pipeline Endoscopía'!J:J,"&gt;0")</f>
        <v>0</v>
      </c>
      <c r="AC93" s="63">
        <f>+SUMIFS('[1]Pipeline Dental'!K:K,'[1]Pipeline Dental'!E:E,Tabla1[[#This Row],[Cliente]],'[1]Pipeline Dental'!B:B,"2026",'[1]Pipeline Dental'!J:J,"&gt;0")</f>
        <v>0</v>
      </c>
      <c r="AD93" s="64">
        <f>+SUMIFS('[1]Pipeline TS'!$AB:$AB,'[1]Pipeline TS'!$F:$F,Tabla1[[#This Row],[Cliente]])</f>
        <v>0</v>
      </c>
      <c r="AE93" s="65">
        <f>+SUM(Tabla1[[#This Row],[Pipeline 2026 $MM ESTERILIZACIÓN]:[Pipeline 2026 $MM TECSERVICE]])</f>
        <v>0</v>
      </c>
      <c r="AF93" s="43">
        <v>-41.46568788882</v>
      </c>
      <c r="AG93" s="58">
        <v>-72.933373006292697</v>
      </c>
      <c r="AH93" s="57" t="str">
        <f>+IF(Tabla1[[#This Row],['# Contratos Vigentes ]]&gt;0,"SI","NO")</f>
        <v>NO</v>
      </c>
      <c r="AI93" s="66"/>
      <c r="AJ93" s="67">
        <f>+Tabla1[[#This Row],[Ingreso 2025 - 2026]]*Tabla1[[#This Row],[% Costo Serv. Directo]]</f>
        <v>0</v>
      </c>
      <c r="AK93" s="68"/>
      <c r="AL9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9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8866680</v>
      </c>
      <c r="AN93" s="42">
        <f>+Tabla1[[#This Row],[Potencial Equipos]]+Tabla1[[#This Row],[Potencial Pipeline]]</f>
        <v>8866680</v>
      </c>
    </row>
    <row r="94" spans="1:40" ht="15.75" x14ac:dyDescent="0.25">
      <c r="A94" s="47" t="s">
        <v>222</v>
      </c>
      <c r="B94" t="str">
        <f>+VLOOKUP(Tabla1[[#This Row],[Cliente]],'[1]Público Privado'!$A$1:$B$325,2,FALSE)</f>
        <v>Público</v>
      </c>
      <c r="C94" s="23">
        <f>+SUMIFS('[1]Facturacion a Fecha'!$T:$T,'[1]Facturacion a Fecha'!$AY:$AY,Tabla1[[#This Row],[Cliente]])</f>
        <v>0</v>
      </c>
      <c r="D94" s="24">
        <f>+SUMIFS('[1]Facturacion a Fecha'!$T:$T,'[1]Facturacion a Fecha'!$AY:$AY,Tabla1[[#This Row],[Cliente]],'[1]Facturacion a Fecha'!$AX:$AX,"Correctivo")</f>
        <v>0</v>
      </c>
      <c r="E94" s="25">
        <f>+COUNTIFS('[1]Facturacion a Fecha'!AY:AY,Tabla1[[#This Row],[Cliente]],'[1]Facturacion a Fecha'!AX:AX,"Correctivo")</f>
        <v>0</v>
      </c>
      <c r="F94" s="25">
        <f>+SUMIFS('[1]Facturacion a Fecha'!$T:$T,'[1]Facturacion a Fecha'!$AY:$AY,Tabla1[[#This Row],[Cliente]],'[1]Facturacion a Fecha'!$AX:$AX,"Preventivo")</f>
        <v>0</v>
      </c>
      <c r="G94" s="25">
        <f>+COUNTIFS('[1]Facturacion a Fecha'!AY:AY,Tabla1[[#This Row],[Cliente]],'[1]Facturacion a Fecha'!AX:AX,"Preventivo")</f>
        <v>0</v>
      </c>
      <c r="H94" s="26">
        <f>+Tabla1[[#This Row],['# Preventivo]]+Tabla1[[#This Row],['# Correctivo]]</f>
        <v>0</v>
      </c>
      <c r="I94" s="23">
        <f>+IFERROR(Tabla1[[#This Row],[Ingreso 2025 - 2026 Correctivo]]/Tabla1[[#This Row],[Ingreso 2025 - 2026 Preventivo]],0)</f>
        <v>0</v>
      </c>
      <c r="J94" s="59">
        <f>+IFERROR(Tabla1[[#This Row],['# Correctivo]]/Tabla1[[#This Row],['# Preventivo]],0)</f>
        <v>0</v>
      </c>
      <c r="K94" s="60">
        <f>+IFERROR(Tabla1[[#This Row],[Ingreso 2025 - 2026 Preventivo]]/(Tabla1[[#This Row],[Ingreso 2025 - 2026 Correctivo]]+Tabla1[[#This Row],[Ingreso 2025 - 2026 Preventivo]]),0)</f>
        <v>0</v>
      </c>
      <c r="L94" s="60">
        <f>1-Tabla1[[#This Row],[% Preventivo $]]</f>
        <v>1</v>
      </c>
      <c r="M94" s="45">
        <f>+COUNTIFS('[1]Base Instalada'!AA:AA,Tabla1[[#This Row],[Cliente]])</f>
        <v>11</v>
      </c>
      <c r="N9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4" s="45">
        <f>+COUNTIFS('[1]Base Instalada'!AA:AA,Tabla1[[#This Row],[Cliente]],'[1]Base Instalada'!Z:Z,"ESTERILIZACIÓN")</f>
        <v>2</v>
      </c>
      <c r="P94" s="45">
        <f>+COUNTIFS('[1]Base Instalada'!AA:AA,Tabla1[[#This Row],[Cliente]],'[1]Base Instalada'!Z:Z,"DENTAL")</f>
        <v>8</v>
      </c>
      <c r="Q94" s="45">
        <f>+COUNTIFS('[1]Base Instalada'!AA:AA,Tabla1[[#This Row],[Cliente]],'[1]Base Instalada'!Z:Z,"ENDOSCOPÍA")</f>
        <v>0</v>
      </c>
      <c r="R94" s="45">
        <f>+COUNTIFS('[1]Base Instalada'!AA:AA,Tabla1[[#This Row],[Cliente]],'[1]Base Instalada'!Z:Z,"INCARDIA")</f>
        <v>0</v>
      </c>
      <c r="S94" s="45">
        <f>+COUNTIFS('[1]Base Instalada'!AA:AA,Tabla1[[#This Row],[Cliente]],'[1]Base Instalada'!Z:Z,"MMQ")</f>
        <v>0</v>
      </c>
      <c r="T94" s="45">
        <f>+COUNTIFS('[1]Base Instalada'!AA:AA,Tabla1[[#This Row],[Cliente]],'[1]Base Instalada'!Z:Z,"REAS")</f>
        <v>0</v>
      </c>
      <c r="U94" s="46">
        <f>+COUNTIFS('[1]Base Instalada'!AA:AA,Tabla1[[#This Row],[Cliente]],'[1]Base Instalada'!Z:Z,"MOBILIARIO CLINICO")</f>
        <v>0</v>
      </c>
      <c r="V94" s="29">
        <f>+COUNTIFS('[1]Base Instalada'!AA:AA,Tabla1[[#This Row],[Cliente]],'[1]Base Instalada'!Z:Z,"OTRO")</f>
        <v>1</v>
      </c>
      <c r="W94" s="61" t="str">
        <f t="shared" si="4"/>
        <v>Región Bío Bío</v>
      </c>
      <c r="X94" s="61" t="str">
        <f t="shared" si="5"/>
        <v>Coronel</v>
      </c>
      <c r="Y94" s="62" t="s">
        <v>223</v>
      </c>
      <c r="Z94" s="33">
        <f>+COUNTIFS('[1]Pipeline TS'!$F:$F,Tabla1[[#This Row],[Cliente]])</f>
        <v>0</v>
      </c>
      <c r="AA94" s="63">
        <f>SUMIFS('[1]Pipeline Esterilización'!M:M,'[1]Pipeline Esterilización'!E:E,Tabla1[[#This Row],[Cliente]],'[1]Pipeline Esterilización'!B:B,"2026",'[1]Pipeline Esterilización'!L:L,"&gt;0")</f>
        <v>0</v>
      </c>
      <c r="AB94" s="33">
        <f>+SUMIFS('[1]Pipeline Endoscopía'!K:K,'[1]Pipeline Endoscopía'!E:E,Tabla1[[#This Row],[Cliente]],'[1]Pipeline Endoscopía'!B:B,"2026",'[1]Pipeline Endoscopía'!J:J,"&gt;0")</f>
        <v>0</v>
      </c>
      <c r="AC94" s="63">
        <f>+SUMIFS('[1]Pipeline Dental'!K:K,'[1]Pipeline Dental'!E:E,Tabla1[[#This Row],[Cliente]],'[1]Pipeline Dental'!B:B,"2026",'[1]Pipeline Dental'!J:J,"&gt;0")</f>
        <v>0</v>
      </c>
      <c r="AD94" s="64">
        <f>+SUMIFS('[1]Pipeline TS'!$AB:$AB,'[1]Pipeline TS'!$F:$F,Tabla1[[#This Row],[Cliente]])</f>
        <v>0</v>
      </c>
      <c r="AE94" s="65">
        <f>+SUM(Tabla1[[#This Row],[Pipeline 2026 $MM ESTERILIZACIÓN]:[Pipeline 2026 $MM TECSERVICE]])</f>
        <v>0</v>
      </c>
      <c r="AF94" s="43">
        <v>-41.46568788882</v>
      </c>
      <c r="AG94" s="58">
        <v>-72.933373006292697</v>
      </c>
      <c r="AH94" s="57" t="str">
        <f>+IF(Tabla1[[#This Row],['# Contratos Vigentes ]]&gt;0,"SI","NO")</f>
        <v>NO</v>
      </c>
      <c r="AI94" s="66"/>
      <c r="AJ94" s="67">
        <f>+Tabla1[[#This Row],[Ingreso 2025 - 2026]]*Tabla1[[#This Row],[% Costo Serv. Directo]]</f>
        <v>0</v>
      </c>
      <c r="AK94" s="68"/>
      <c r="AL9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9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8866680</v>
      </c>
      <c r="AN94" s="42">
        <f>+Tabla1[[#This Row],[Potencial Equipos]]+Tabla1[[#This Row],[Potencial Pipeline]]</f>
        <v>8866680</v>
      </c>
    </row>
    <row r="95" spans="1:40" ht="15.75" x14ac:dyDescent="0.25">
      <c r="A95" s="47" t="s">
        <v>224</v>
      </c>
      <c r="B95" t="str">
        <f>+VLOOKUP(Tabla1[[#This Row],[Cliente]],'[1]Público Privado'!$A$1:$B$325,2,FALSE)</f>
        <v>Público</v>
      </c>
      <c r="C95" s="23">
        <f>+SUMIFS('[1]Facturacion a Fecha'!$T:$T,'[1]Facturacion a Fecha'!$AY:$AY,Tabla1[[#This Row],[Cliente]])</f>
        <v>0</v>
      </c>
      <c r="D95" s="24">
        <f>+SUMIFS('[1]Facturacion a Fecha'!$T:$T,'[1]Facturacion a Fecha'!$AY:$AY,Tabla1[[#This Row],[Cliente]],'[1]Facturacion a Fecha'!$AX:$AX,"Correctivo")</f>
        <v>0</v>
      </c>
      <c r="E95" s="25">
        <f>+COUNTIFS('[1]Facturacion a Fecha'!AY:AY,Tabla1[[#This Row],[Cliente]],'[1]Facturacion a Fecha'!AX:AX,"Correctivo")</f>
        <v>0</v>
      </c>
      <c r="F95" s="25">
        <f>+SUMIFS('[1]Facturacion a Fecha'!$T:$T,'[1]Facturacion a Fecha'!$AY:$AY,Tabla1[[#This Row],[Cliente]],'[1]Facturacion a Fecha'!$AX:$AX,"Preventivo")</f>
        <v>0</v>
      </c>
      <c r="G95" s="25">
        <f>+COUNTIFS('[1]Facturacion a Fecha'!AY:AY,Tabla1[[#This Row],[Cliente]],'[1]Facturacion a Fecha'!AX:AX,"Preventivo")</f>
        <v>0</v>
      </c>
      <c r="H95" s="26">
        <f>+Tabla1[[#This Row],['# Preventivo]]+Tabla1[[#This Row],['# Correctivo]]</f>
        <v>0</v>
      </c>
      <c r="I95" s="23">
        <f>+IFERROR(Tabla1[[#This Row],[Ingreso 2025 - 2026 Correctivo]]/Tabla1[[#This Row],[Ingreso 2025 - 2026 Preventivo]],0)</f>
        <v>0</v>
      </c>
      <c r="J95" s="59">
        <f>+IFERROR(Tabla1[[#This Row],['# Correctivo]]/Tabla1[[#This Row],['# Preventivo]],0)</f>
        <v>0</v>
      </c>
      <c r="K95" s="60">
        <f>+IFERROR(Tabla1[[#This Row],[Ingreso 2025 - 2026 Preventivo]]/(Tabla1[[#This Row],[Ingreso 2025 - 2026 Correctivo]]+Tabla1[[#This Row],[Ingreso 2025 - 2026 Preventivo]]),0)</f>
        <v>0</v>
      </c>
      <c r="L95" s="60">
        <f>1-Tabla1[[#This Row],[% Preventivo $]]</f>
        <v>1</v>
      </c>
      <c r="M95" s="45">
        <f>+COUNTIFS('[1]Base Instalada'!AA:AA,Tabla1[[#This Row],[Cliente]])</f>
        <v>28</v>
      </c>
      <c r="N9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5" s="45">
        <f>+COUNTIFS('[1]Base Instalada'!AA:AA,Tabla1[[#This Row],[Cliente]],'[1]Base Instalada'!Z:Z,"ESTERILIZACIÓN")</f>
        <v>3</v>
      </c>
      <c r="P95" s="45">
        <f>+COUNTIFS('[1]Base Instalada'!AA:AA,Tabla1[[#This Row],[Cliente]],'[1]Base Instalada'!Z:Z,"DENTAL")</f>
        <v>22</v>
      </c>
      <c r="Q95" s="45">
        <f>+COUNTIFS('[1]Base Instalada'!AA:AA,Tabla1[[#This Row],[Cliente]],'[1]Base Instalada'!Z:Z,"ENDOSCOPÍA")</f>
        <v>0</v>
      </c>
      <c r="R95" s="45">
        <f>+COUNTIFS('[1]Base Instalada'!AA:AA,Tabla1[[#This Row],[Cliente]],'[1]Base Instalada'!Z:Z,"INCARDIA")</f>
        <v>0</v>
      </c>
      <c r="S95" s="45">
        <f>+COUNTIFS('[1]Base Instalada'!AA:AA,Tabla1[[#This Row],[Cliente]],'[1]Base Instalada'!Z:Z,"MMQ")</f>
        <v>0</v>
      </c>
      <c r="T95" s="45">
        <f>+COUNTIFS('[1]Base Instalada'!AA:AA,Tabla1[[#This Row],[Cliente]],'[1]Base Instalada'!Z:Z,"REAS")</f>
        <v>0</v>
      </c>
      <c r="U95" s="46">
        <f>+COUNTIFS('[1]Base Instalada'!AA:AA,Tabla1[[#This Row],[Cliente]],'[1]Base Instalada'!Z:Z,"MOBILIARIO CLINICO")</f>
        <v>0</v>
      </c>
      <c r="V95" s="29">
        <f>+COUNTIFS('[1]Base Instalada'!AA:AA,Tabla1[[#This Row],[Cliente]],'[1]Base Instalada'!Z:Z,"OTRO")</f>
        <v>3</v>
      </c>
      <c r="W95" s="61" t="str">
        <f t="shared" si="4"/>
        <v>Región Metropolitana</v>
      </c>
      <c r="X95" s="61" t="str">
        <f t="shared" si="5"/>
        <v>Independencia</v>
      </c>
      <c r="Y95" s="69" t="s">
        <v>225</v>
      </c>
      <c r="Z95" s="33">
        <f>+COUNTIFS('[1]Pipeline TS'!$F:$F,Tabla1[[#This Row],[Cliente]])</f>
        <v>0</v>
      </c>
      <c r="AA95" s="63">
        <f>SUMIFS('[1]Pipeline Esterilización'!M:M,'[1]Pipeline Esterilización'!E:E,Tabla1[[#This Row],[Cliente]],'[1]Pipeline Esterilización'!B:B,"2026",'[1]Pipeline Esterilización'!L:L,"&gt;0")</f>
        <v>0</v>
      </c>
      <c r="AB95" s="33">
        <f>+SUMIFS('[1]Pipeline Endoscopía'!K:K,'[1]Pipeline Endoscopía'!E:E,Tabla1[[#This Row],[Cliente]],'[1]Pipeline Endoscopía'!B:B,"2026",'[1]Pipeline Endoscopía'!J:J,"&gt;0")</f>
        <v>0</v>
      </c>
      <c r="AC95" s="63">
        <f>+SUMIFS('[1]Pipeline Dental'!K:K,'[1]Pipeline Dental'!E:E,Tabla1[[#This Row],[Cliente]],'[1]Pipeline Dental'!B:B,"2026",'[1]Pipeline Dental'!J:J,"&gt;0")</f>
        <v>0</v>
      </c>
      <c r="AD95" s="64">
        <f>+SUMIFS('[1]Pipeline TS'!$AB:$AB,'[1]Pipeline TS'!$F:$F,Tabla1[[#This Row],[Cliente]])</f>
        <v>0</v>
      </c>
      <c r="AE95" s="65">
        <f>+SUM(Tabla1[[#This Row],[Pipeline 2026 $MM ESTERILIZACIÓN]:[Pipeline 2026 $MM TECSERVICE]])</f>
        <v>0</v>
      </c>
      <c r="AF95" s="43">
        <v>-33.4211948973809</v>
      </c>
      <c r="AG95" s="58">
        <v>-70.671837663552793</v>
      </c>
      <c r="AH95" s="57" t="str">
        <f>+IF(Tabla1[[#This Row],['# Contratos Vigentes ]]&gt;0,"SI","NO")</f>
        <v>NO</v>
      </c>
      <c r="AI95" s="66"/>
      <c r="AJ95" s="67">
        <f>+Tabla1[[#This Row],[Ingreso 2025 - 2026]]*Tabla1[[#This Row],[% Costo Serv. Directo]]</f>
        <v>0</v>
      </c>
      <c r="AK95" s="68"/>
      <c r="AL9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9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19410840</v>
      </c>
      <c r="AN95" s="42">
        <f>+Tabla1[[#This Row],[Potencial Equipos]]+Tabla1[[#This Row],[Potencial Pipeline]]</f>
        <v>19410840</v>
      </c>
    </row>
    <row r="96" spans="1:40" ht="15.75" x14ac:dyDescent="0.25">
      <c r="A96" s="47" t="s">
        <v>226</v>
      </c>
      <c r="B96" t="str">
        <f>+VLOOKUP(Tabla1[[#This Row],[Cliente]],'[1]Público Privado'!$A$1:$B$325,2,FALSE)</f>
        <v>Público</v>
      </c>
      <c r="C96" s="23">
        <f>+SUMIFS('[1]Facturacion a Fecha'!$T:$T,'[1]Facturacion a Fecha'!$AY:$AY,Tabla1[[#This Row],[Cliente]])</f>
        <v>0</v>
      </c>
      <c r="D96" s="24">
        <f>+SUMIFS('[1]Facturacion a Fecha'!$T:$T,'[1]Facturacion a Fecha'!$AY:$AY,Tabla1[[#This Row],[Cliente]],'[1]Facturacion a Fecha'!$AX:$AX,"Correctivo")</f>
        <v>0</v>
      </c>
      <c r="E96" s="25">
        <f>+COUNTIFS('[1]Facturacion a Fecha'!AY:AY,Tabla1[[#This Row],[Cliente]],'[1]Facturacion a Fecha'!AX:AX,"Correctivo")</f>
        <v>0</v>
      </c>
      <c r="F96" s="25">
        <f>+SUMIFS('[1]Facturacion a Fecha'!$T:$T,'[1]Facturacion a Fecha'!$AY:$AY,Tabla1[[#This Row],[Cliente]],'[1]Facturacion a Fecha'!$AX:$AX,"Preventivo")</f>
        <v>0</v>
      </c>
      <c r="G96" s="25">
        <f>+COUNTIFS('[1]Facturacion a Fecha'!AY:AY,Tabla1[[#This Row],[Cliente]],'[1]Facturacion a Fecha'!AX:AX,"Preventivo")</f>
        <v>0</v>
      </c>
      <c r="H96" s="26">
        <f>+Tabla1[[#This Row],['# Preventivo]]+Tabla1[[#This Row],['# Correctivo]]</f>
        <v>0</v>
      </c>
      <c r="I96" s="23">
        <f>+IFERROR(Tabla1[[#This Row],[Ingreso 2025 - 2026 Correctivo]]/Tabla1[[#This Row],[Ingreso 2025 - 2026 Preventivo]],0)</f>
        <v>0</v>
      </c>
      <c r="J96" s="59">
        <f>+IFERROR(Tabla1[[#This Row],['# Correctivo]]/Tabla1[[#This Row],['# Preventivo]],0)</f>
        <v>0</v>
      </c>
      <c r="K96" s="60">
        <f>+IFERROR(Tabla1[[#This Row],[Ingreso 2025 - 2026 Preventivo]]/(Tabla1[[#This Row],[Ingreso 2025 - 2026 Correctivo]]+Tabla1[[#This Row],[Ingreso 2025 - 2026 Preventivo]]),0)</f>
        <v>0</v>
      </c>
      <c r="L96" s="60">
        <f>1-Tabla1[[#This Row],[% Preventivo $]]</f>
        <v>1</v>
      </c>
      <c r="M96" s="45">
        <f>+COUNTIFS('[1]Base Instalada'!AA:AA,Tabla1[[#This Row],[Cliente]])</f>
        <v>7</v>
      </c>
      <c r="N9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6" s="45">
        <f>+COUNTIFS('[1]Base Instalada'!AA:AA,Tabla1[[#This Row],[Cliente]],'[1]Base Instalada'!Z:Z,"ESTERILIZACIÓN")</f>
        <v>0</v>
      </c>
      <c r="P96" s="45">
        <f>+COUNTIFS('[1]Base Instalada'!AA:AA,Tabla1[[#This Row],[Cliente]],'[1]Base Instalada'!Z:Z,"DENTAL")</f>
        <v>7</v>
      </c>
      <c r="Q96" s="45">
        <f>+COUNTIFS('[1]Base Instalada'!AA:AA,Tabla1[[#This Row],[Cliente]],'[1]Base Instalada'!Z:Z,"ENDOSCOPÍA")</f>
        <v>0</v>
      </c>
      <c r="R96" s="45">
        <f>+COUNTIFS('[1]Base Instalada'!AA:AA,Tabla1[[#This Row],[Cliente]],'[1]Base Instalada'!Z:Z,"INCARDIA")</f>
        <v>0</v>
      </c>
      <c r="S96" s="45">
        <f>+COUNTIFS('[1]Base Instalada'!AA:AA,Tabla1[[#This Row],[Cliente]],'[1]Base Instalada'!Z:Z,"MMQ")</f>
        <v>0</v>
      </c>
      <c r="T96" s="45">
        <f>+COUNTIFS('[1]Base Instalada'!AA:AA,Tabla1[[#This Row],[Cliente]],'[1]Base Instalada'!Z:Z,"REAS")</f>
        <v>0</v>
      </c>
      <c r="U96" s="46">
        <f>+COUNTIFS('[1]Base Instalada'!AA:AA,Tabla1[[#This Row],[Cliente]],'[1]Base Instalada'!Z:Z,"MOBILIARIO CLINICO")</f>
        <v>0</v>
      </c>
      <c r="V96" s="29">
        <f>+COUNTIFS('[1]Base Instalada'!AA:AA,Tabla1[[#This Row],[Cliente]],'[1]Base Instalada'!Z:Z,"OTRO")</f>
        <v>0</v>
      </c>
      <c r="W96" s="61" t="str">
        <f t="shared" si="4"/>
        <v>Región Maule</v>
      </c>
      <c r="X96" s="61" t="str">
        <f t="shared" si="5"/>
        <v>Pencahue</v>
      </c>
      <c r="Y96" s="62" t="s">
        <v>227</v>
      </c>
      <c r="Z96" s="33">
        <f>+COUNTIFS('[1]Pipeline TS'!$F:$F,Tabla1[[#This Row],[Cliente]])</f>
        <v>0</v>
      </c>
      <c r="AA96" s="63">
        <f>SUMIFS('[1]Pipeline Esterilización'!M:M,'[1]Pipeline Esterilización'!E:E,Tabla1[[#This Row],[Cliente]],'[1]Pipeline Esterilización'!B:B,"2026",'[1]Pipeline Esterilización'!L:L,"&gt;0")</f>
        <v>0</v>
      </c>
      <c r="AB96" s="33">
        <f>+SUMIFS('[1]Pipeline Endoscopía'!K:K,'[1]Pipeline Endoscopía'!E:E,Tabla1[[#This Row],[Cliente]],'[1]Pipeline Endoscopía'!B:B,"2026",'[1]Pipeline Endoscopía'!J:J,"&gt;0")</f>
        <v>0</v>
      </c>
      <c r="AC96" s="63">
        <f>+SUMIFS('[1]Pipeline Dental'!K:K,'[1]Pipeline Dental'!E:E,Tabla1[[#This Row],[Cliente]],'[1]Pipeline Dental'!B:B,"2026",'[1]Pipeline Dental'!J:J,"&gt;0")</f>
        <v>0</v>
      </c>
      <c r="AD96" s="64">
        <f>+SUMIFS('[1]Pipeline TS'!$AB:$AB,'[1]Pipeline TS'!$F:$F,Tabla1[[#This Row],[Cliente]])</f>
        <v>0</v>
      </c>
      <c r="AE96" s="65">
        <f>+SUM(Tabla1[[#This Row],[Pipeline 2026 $MM ESTERILIZACIÓN]:[Pipeline 2026 $MM TECSERVICE]])</f>
        <v>0</v>
      </c>
      <c r="AF96" s="43">
        <v>-35.396973870557296</v>
      </c>
      <c r="AG96" s="58">
        <v>-71.798428134410599</v>
      </c>
      <c r="AH96" s="57" t="str">
        <f>+IF(Tabla1[[#This Row],['# Contratos Vigentes ]]&gt;0,"SI","NO")</f>
        <v>NO</v>
      </c>
      <c r="AI96" s="66"/>
      <c r="AJ96" s="67">
        <f>+Tabla1[[#This Row],[Ingreso 2025 - 2026]]*Tabla1[[#This Row],[% Costo Serv. Directo]]</f>
        <v>0</v>
      </c>
      <c r="AK96" s="68"/>
      <c r="AL9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9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96" s="42">
        <f>+Tabla1[[#This Row],[Potencial Equipos]]+Tabla1[[#This Row],[Potencial Pipeline]]</f>
        <v>4193700</v>
      </c>
    </row>
    <row r="97" spans="1:40" ht="15.75" x14ac:dyDescent="0.25">
      <c r="A97" s="47" t="s">
        <v>228</v>
      </c>
      <c r="B97" t="str">
        <f>+VLOOKUP(Tabla1[[#This Row],[Cliente]],'[1]Público Privado'!$A$1:$B$325,2,FALSE)</f>
        <v>Público</v>
      </c>
      <c r="C97" s="23">
        <f>+SUMIFS('[1]Facturacion a Fecha'!$T:$T,'[1]Facturacion a Fecha'!$AY:$AY,Tabla1[[#This Row],[Cliente]])</f>
        <v>0</v>
      </c>
      <c r="D97" s="24">
        <f>+SUMIFS('[1]Facturacion a Fecha'!$T:$T,'[1]Facturacion a Fecha'!$AY:$AY,Tabla1[[#This Row],[Cliente]],'[1]Facturacion a Fecha'!$AX:$AX,"Correctivo")</f>
        <v>0</v>
      </c>
      <c r="E97" s="25">
        <f>+COUNTIFS('[1]Facturacion a Fecha'!AY:AY,Tabla1[[#This Row],[Cliente]],'[1]Facturacion a Fecha'!AX:AX,"Correctivo")</f>
        <v>0</v>
      </c>
      <c r="F97" s="25">
        <f>+SUMIFS('[1]Facturacion a Fecha'!$T:$T,'[1]Facturacion a Fecha'!$AY:$AY,Tabla1[[#This Row],[Cliente]],'[1]Facturacion a Fecha'!$AX:$AX,"Preventivo")</f>
        <v>0</v>
      </c>
      <c r="G97" s="25">
        <f>+COUNTIFS('[1]Facturacion a Fecha'!AY:AY,Tabla1[[#This Row],[Cliente]],'[1]Facturacion a Fecha'!AX:AX,"Preventivo")</f>
        <v>0</v>
      </c>
      <c r="H97" s="26">
        <f>+Tabla1[[#This Row],['# Preventivo]]+Tabla1[[#This Row],['# Correctivo]]</f>
        <v>0</v>
      </c>
      <c r="I97" s="23">
        <f>+IFERROR(Tabla1[[#This Row],[Ingreso 2025 - 2026 Correctivo]]/Tabla1[[#This Row],[Ingreso 2025 - 2026 Preventivo]],0)</f>
        <v>0</v>
      </c>
      <c r="J97" s="59">
        <f>+IFERROR(Tabla1[[#This Row],['# Correctivo]]/Tabla1[[#This Row],['# Preventivo]],0)</f>
        <v>0</v>
      </c>
      <c r="K97" s="60">
        <f>+IFERROR(Tabla1[[#This Row],[Ingreso 2025 - 2026 Preventivo]]/(Tabla1[[#This Row],[Ingreso 2025 - 2026 Correctivo]]+Tabla1[[#This Row],[Ingreso 2025 - 2026 Preventivo]]),0)</f>
        <v>0</v>
      </c>
      <c r="L97" s="60">
        <f>1-Tabla1[[#This Row],[% Preventivo $]]</f>
        <v>1</v>
      </c>
      <c r="M97" s="45">
        <f>+COUNTIFS('[1]Base Instalada'!AA:AA,Tabla1[[#This Row],[Cliente]])</f>
        <v>19</v>
      </c>
      <c r="N9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7" s="45">
        <f>+COUNTIFS('[1]Base Instalada'!AA:AA,Tabla1[[#This Row],[Cliente]],'[1]Base Instalada'!Z:Z,"ESTERILIZACIÓN")</f>
        <v>0</v>
      </c>
      <c r="P97" s="45">
        <f>+COUNTIFS('[1]Base Instalada'!AA:AA,Tabla1[[#This Row],[Cliente]],'[1]Base Instalada'!Z:Z,"DENTAL")</f>
        <v>19</v>
      </c>
      <c r="Q97" s="45">
        <f>+COUNTIFS('[1]Base Instalada'!AA:AA,Tabla1[[#This Row],[Cliente]],'[1]Base Instalada'!Z:Z,"ENDOSCOPÍA")</f>
        <v>0</v>
      </c>
      <c r="R97" s="45">
        <f>+COUNTIFS('[1]Base Instalada'!AA:AA,Tabla1[[#This Row],[Cliente]],'[1]Base Instalada'!Z:Z,"INCARDIA")</f>
        <v>0</v>
      </c>
      <c r="S97" s="45">
        <f>+COUNTIFS('[1]Base Instalada'!AA:AA,Tabla1[[#This Row],[Cliente]],'[1]Base Instalada'!Z:Z,"MMQ")</f>
        <v>0</v>
      </c>
      <c r="T97" s="45">
        <f>+COUNTIFS('[1]Base Instalada'!AA:AA,Tabla1[[#This Row],[Cliente]],'[1]Base Instalada'!Z:Z,"REAS")</f>
        <v>0</v>
      </c>
      <c r="U97" s="46">
        <f>+COUNTIFS('[1]Base Instalada'!AA:AA,Tabla1[[#This Row],[Cliente]],'[1]Base Instalada'!Z:Z,"MOBILIARIO CLINICO")</f>
        <v>0</v>
      </c>
      <c r="V97" s="29">
        <f>+COUNTIFS('[1]Base Instalada'!AA:AA,Tabla1[[#This Row],[Cliente]],'[1]Base Instalada'!Z:Z,"OTRO")</f>
        <v>0</v>
      </c>
      <c r="W97" s="61" t="str">
        <f t="shared" si="4"/>
        <v>Región Maule</v>
      </c>
      <c r="X97" s="61" t="str">
        <f t="shared" si="5"/>
        <v>Linares</v>
      </c>
      <c r="Y97" s="62" t="s">
        <v>229</v>
      </c>
      <c r="Z97" s="33">
        <f>+COUNTIFS('[1]Pipeline TS'!$F:$F,Tabla1[[#This Row],[Cliente]])</f>
        <v>0</v>
      </c>
      <c r="AA97" s="63">
        <f>SUMIFS('[1]Pipeline Esterilización'!M:M,'[1]Pipeline Esterilización'!E:E,Tabla1[[#This Row],[Cliente]],'[1]Pipeline Esterilización'!B:B,"2026",'[1]Pipeline Esterilización'!L:L,"&gt;0")</f>
        <v>0</v>
      </c>
      <c r="AB97" s="33">
        <f>+SUMIFS('[1]Pipeline Endoscopía'!K:K,'[1]Pipeline Endoscopía'!E:E,Tabla1[[#This Row],[Cliente]],'[1]Pipeline Endoscopía'!B:B,"2026",'[1]Pipeline Endoscopía'!J:J,"&gt;0")</f>
        <v>0</v>
      </c>
      <c r="AC97" s="63">
        <f>+SUMIFS('[1]Pipeline Dental'!K:K,'[1]Pipeline Dental'!E:E,Tabla1[[#This Row],[Cliente]],'[1]Pipeline Dental'!B:B,"2026",'[1]Pipeline Dental'!J:J,"&gt;0")</f>
        <v>0</v>
      </c>
      <c r="AD97" s="64">
        <f>+SUMIFS('[1]Pipeline TS'!$AB:$AB,'[1]Pipeline TS'!$F:$F,Tabla1[[#This Row],[Cliente]])</f>
        <v>0</v>
      </c>
      <c r="AE97" s="65">
        <f>+SUM(Tabla1[[#This Row],[Pipeline 2026 $MM ESTERILIZACIÓN]:[Pipeline 2026 $MM TECSERVICE]])</f>
        <v>0</v>
      </c>
      <c r="AF97" s="43">
        <v>-35.844261118837601</v>
      </c>
      <c r="AG97" s="58">
        <v>-71.591016190895004</v>
      </c>
      <c r="AH97" s="57" t="str">
        <f>+IF(Tabla1[[#This Row],['# Contratos Vigentes ]]&gt;0,"SI","NO")</f>
        <v>NO</v>
      </c>
      <c r="AI97" s="66"/>
      <c r="AJ97" s="67">
        <f>+Tabla1[[#This Row],[Ingreso 2025 - 2026]]*Tabla1[[#This Row],[% Costo Serv. Directo]]</f>
        <v>0</v>
      </c>
      <c r="AK97" s="68"/>
      <c r="AL9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9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11382900</v>
      </c>
      <c r="AN97" s="42">
        <f>+Tabla1[[#This Row],[Potencial Equipos]]+Tabla1[[#This Row],[Potencial Pipeline]]</f>
        <v>11382900</v>
      </c>
    </row>
    <row r="98" spans="1:40" ht="15.75" x14ac:dyDescent="0.25">
      <c r="A98" s="47" t="s">
        <v>230</v>
      </c>
      <c r="B98" t="str">
        <f>+VLOOKUP(Tabla1[[#This Row],[Cliente]],'[1]Público Privado'!$A$1:$B$325,2,FALSE)</f>
        <v>Público</v>
      </c>
      <c r="C98" s="23">
        <f>+SUMIFS('[1]Facturacion a Fecha'!$T:$T,'[1]Facturacion a Fecha'!$AY:$AY,Tabla1[[#This Row],[Cliente]])</f>
        <v>0</v>
      </c>
      <c r="D98" s="24">
        <f>+SUMIFS('[1]Facturacion a Fecha'!$T:$T,'[1]Facturacion a Fecha'!$AY:$AY,Tabla1[[#This Row],[Cliente]],'[1]Facturacion a Fecha'!$AX:$AX,"Correctivo")</f>
        <v>0</v>
      </c>
      <c r="E98" s="25">
        <f>+COUNTIFS('[1]Facturacion a Fecha'!AY:AY,Tabla1[[#This Row],[Cliente]],'[1]Facturacion a Fecha'!AX:AX,"Correctivo")</f>
        <v>0</v>
      </c>
      <c r="F98" s="25">
        <f>+SUMIFS('[1]Facturacion a Fecha'!$T:$T,'[1]Facturacion a Fecha'!$AY:$AY,Tabla1[[#This Row],[Cliente]],'[1]Facturacion a Fecha'!$AX:$AX,"Preventivo")</f>
        <v>0</v>
      </c>
      <c r="G98" s="25">
        <f>+COUNTIFS('[1]Facturacion a Fecha'!AY:AY,Tabla1[[#This Row],[Cliente]],'[1]Facturacion a Fecha'!AX:AX,"Preventivo")</f>
        <v>0</v>
      </c>
      <c r="H98" s="26">
        <f>+Tabla1[[#This Row],['# Preventivo]]+Tabla1[[#This Row],['# Correctivo]]</f>
        <v>0</v>
      </c>
      <c r="I98" s="23">
        <f>+IFERROR(Tabla1[[#This Row],[Ingreso 2025 - 2026 Correctivo]]/Tabla1[[#This Row],[Ingreso 2025 - 2026 Preventivo]],0)</f>
        <v>0</v>
      </c>
      <c r="J98" s="59">
        <f>+IFERROR(Tabla1[[#This Row],['# Correctivo]]/Tabla1[[#This Row],['# Preventivo]],0)</f>
        <v>0</v>
      </c>
      <c r="K98" s="60">
        <f>+IFERROR(Tabla1[[#This Row],[Ingreso 2025 - 2026 Preventivo]]/(Tabla1[[#This Row],[Ingreso 2025 - 2026 Correctivo]]+Tabla1[[#This Row],[Ingreso 2025 - 2026 Preventivo]]),0)</f>
        <v>0</v>
      </c>
      <c r="L98" s="60">
        <f>1-Tabla1[[#This Row],[% Preventivo $]]</f>
        <v>1</v>
      </c>
      <c r="M98" s="45">
        <f>+COUNTIFS('[1]Base Instalada'!AA:AA,Tabla1[[#This Row],[Cliente]])</f>
        <v>23</v>
      </c>
      <c r="N9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8" s="45">
        <f>+COUNTIFS('[1]Base Instalada'!AA:AA,Tabla1[[#This Row],[Cliente]],'[1]Base Instalada'!Z:Z,"ESTERILIZACIÓN")</f>
        <v>12</v>
      </c>
      <c r="P98" s="45">
        <f>+COUNTIFS('[1]Base Instalada'!AA:AA,Tabla1[[#This Row],[Cliente]],'[1]Base Instalada'!Z:Z,"DENTAL")</f>
        <v>0</v>
      </c>
      <c r="Q98" s="45">
        <f>+COUNTIFS('[1]Base Instalada'!AA:AA,Tabla1[[#This Row],[Cliente]],'[1]Base Instalada'!Z:Z,"ENDOSCOPÍA")</f>
        <v>11</v>
      </c>
      <c r="R98" s="45">
        <f>+COUNTIFS('[1]Base Instalada'!AA:AA,Tabla1[[#This Row],[Cliente]],'[1]Base Instalada'!Z:Z,"INCARDIA")</f>
        <v>0</v>
      </c>
      <c r="S98" s="45">
        <f>+COUNTIFS('[1]Base Instalada'!AA:AA,Tabla1[[#This Row],[Cliente]],'[1]Base Instalada'!Z:Z,"MMQ")</f>
        <v>0</v>
      </c>
      <c r="T98" s="45">
        <f>+COUNTIFS('[1]Base Instalada'!AA:AA,Tabla1[[#This Row],[Cliente]],'[1]Base Instalada'!Z:Z,"REAS")</f>
        <v>0</v>
      </c>
      <c r="U98" s="46">
        <f>+COUNTIFS('[1]Base Instalada'!AA:AA,Tabla1[[#This Row],[Cliente]],'[1]Base Instalada'!Z:Z,"MOBILIARIO CLINICO")</f>
        <v>0</v>
      </c>
      <c r="V98" s="29">
        <f>+COUNTIFS('[1]Base Instalada'!AA:AA,Tabla1[[#This Row],[Cliente]],'[1]Base Instalada'!Z:Z,"OTRO")</f>
        <v>0</v>
      </c>
      <c r="W98" s="61" t="str">
        <f t="shared" si="4"/>
        <v>Región Los Lagos</v>
      </c>
      <c r="X98" s="61" t="str">
        <f t="shared" si="5"/>
        <v>Castro</v>
      </c>
      <c r="Y98" s="62" t="s">
        <v>231</v>
      </c>
      <c r="Z98" s="33">
        <f>+COUNTIFS('[1]Pipeline TS'!$F:$F,Tabla1[[#This Row],[Cliente]])</f>
        <v>0</v>
      </c>
      <c r="AA98" s="63">
        <f>SUMIFS('[1]Pipeline Esterilización'!M:M,'[1]Pipeline Esterilización'!E:E,Tabla1[[#This Row],[Cliente]],'[1]Pipeline Esterilización'!B:B,"2026",'[1]Pipeline Esterilización'!L:L,"&gt;0")</f>
        <v>0</v>
      </c>
      <c r="AB98" s="33">
        <f>+SUMIFS('[1]Pipeline Endoscopía'!K:K,'[1]Pipeline Endoscopía'!E:E,Tabla1[[#This Row],[Cliente]],'[1]Pipeline Endoscopía'!B:B,"2026",'[1]Pipeline Endoscopía'!J:J,"&gt;0")</f>
        <v>0</v>
      </c>
      <c r="AC98" s="63">
        <f>+SUMIFS('[1]Pipeline Dental'!K:K,'[1]Pipeline Dental'!E:E,Tabla1[[#This Row],[Cliente]],'[1]Pipeline Dental'!B:B,"2026",'[1]Pipeline Dental'!J:J,"&gt;0")</f>
        <v>0</v>
      </c>
      <c r="AD98" s="64">
        <f>+SUMIFS('[1]Pipeline TS'!$AB:$AB,'[1]Pipeline TS'!$F:$F,Tabla1[[#This Row],[Cliente]])</f>
        <v>0</v>
      </c>
      <c r="AE98" s="65">
        <f>+SUM(Tabla1[[#This Row],[Pipeline 2026 $MM ESTERILIZACIÓN]:[Pipeline 2026 $MM TECSERVICE]])</f>
        <v>0</v>
      </c>
      <c r="AF98" s="43">
        <v>-42.476918284387096</v>
      </c>
      <c r="AG98" s="58">
        <v>-73.769042419315497</v>
      </c>
      <c r="AH98" s="57" t="str">
        <f>+IF(Tabla1[[#This Row],['# Contratos Vigentes ]]&gt;0,"SI","NO")</f>
        <v>NO</v>
      </c>
      <c r="AI98" s="66"/>
      <c r="AJ98" s="67">
        <f>+Tabla1[[#This Row],[Ingreso 2025 - 2026]]*Tabla1[[#This Row],[% Costo Serv. Directo]]</f>
        <v>0</v>
      </c>
      <c r="AK98" s="68"/>
      <c r="AL9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9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33426707.692307692</v>
      </c>
      <c r="AN98" s="42">
        <f>+Tabla1[[#This Row],[Potencial Equipos]]+Tabla1[[#This Row],[Potencial Pipeline]]</f>
        <v>33426707.692307692</v>
      </c>
    </row>
    <row r="99" spans="1:40" ht="15.75" x14ac:dyDescent="0.25">
      <c r="A99" s="47" t="s">
        <v>232</v>
      </c>
      <c r="B99" t="str">
        <f>+VLOOKUP(Tabla1[[#This Row],[Cliente]],'[1]Público Privado'!$A$1:$B$325,2,FALSE)</f>
        <v>Público</v>
      </c>
      <c r="C99" s="23">
        <f>+SUMIFS('[1]Facturacion a Fecha'!$T:$T,'[1]Facturacion a Fecha'!$AY:$AY,Tabla1[[#This Row],[Cliente]])</f>
        <v>0</v>
      </c>
      <c r="D99" s="24">
        <f>+SUMIFS('[1]Facturacion a Fecha'!$T:$T,'[1]Facturacion a Fecha'!$AY:$AY,Tabla1[[#This Row],[Cliente]],'[1]Facturacion a Fecha'!$AX:$AX,"Correctivo")</f>
        <v>0</v>
      </c>
      <c r="E99" s="25">
        <f>+COUNTIFS('[1]Facturacion a Fecha'!AY:AY,Tabla1[[#This Row],[Cliente]],'[1]Facturacion a Fecha'!AX:AX,"Correctivo")</f>
        <v>0</v>
      </c>
      <c r="F99" s="25">
        <f>+SUMIFS('[1]Facturacion a Fecha'!$T:$T,'[1]Facturacion a Fecha'!$AY:$AY,Tabla1[[#This Row],[Cliente]],'[1]Facturacion a Fecha'!$AX:$AX,"Preventivo")</f>
        <v>0</v>
      </c>
      <c r="G99" s="25">
        <f>+COUNTIFS('[1]Facturacion a Fecha'!AY:AY,Tabla1[[#This Row],[Cliente]],'[1]Facturacion a Fecha'!AX:AX,"Preventivo")</f>
        <v>0</v>
      </c>
      <c r="H99" s="26">
        <f>+Tabla1[[#This Row],['# Preventivo]]+Tabla1[[#This Row],['# Correctivo]]</f>
        <v>0</v>
      </c>
      <c r="I99" s="23">
        <f>+IFERROR(Tabla1[[#This Row],[Ingreso 2025 - 2026 Correctivo]]/Tabla1[[#This Row],[Ingreso 2025 - 2026 Preventivo]],0)</f>
        <v>0</v>
      </c>
      <c r="J99" s="59">
        <f>+IFERROR(Tabla1[[#This Row],['# Correctivo]]/Tabla1[[#This Row],['# Preventivo]],0)</f>
        <v>0</v>
      </c>
      <c r="K99" s="60">
        <f>+IFERROR(Tabla1[[#This Row],[Ingreso 2025 - 2026 Preventivo]]/(Tabla1[[#This Row],[Ingreso 2025 - 2026 Correctivo]]+Tabla1[[#This Row],[Ingreso 2025 - 2026 Preventivo]]),0)</f>
        <v>0</v>
      </c>
      <c r="L99" s="60">
        <f>1-Tabla1[[#This Row],[% Preventivo $]]</f>
        <v>1</v>
      </c>
      <c r="M99" s="45">
        <f>+COUNTIFS('[1]Base Instalada'!AA:AA,Tabla1[[#This Row],[Cliente]])</f>
        <v>14</v>
      </c>
      <c r="N9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99" s="45">
        <f>+COUNTIFS('[1]Base Instalada'!AA:AA,Tabla1[[#This Row],[Cliente]],'[1]Base Instalada'!Z:Z,"ESTERILIZACIÓN")</f>
        <v>5</v>
      </c>
      <c r="P99" s="45">
        <f>+COUNTIFS('[1]Base Instalada'!AA:AA,Tabla1[[#This Row],[Cliente]],'[1]Base Instalada'!Z:Z,"DENTAL")</f>
        <v>4</v>
      </c>
      <c r="Q99" s="45">
        <f>+COUNTIFS('[1]Base Instalada'!AA:AA,Tabla1[[#This Row],[Cliente]],'[1]Base Instalada'!Z:Z,"ENDOSCOPÍA")</f>
        <v>3</v>
      </c>
      <c r="R99" s="45">
        <f>+COUNTIFS('[1]Base Instalada'!AA:AA,Tabla1[[#This Row],[Cliente]],'[1]Base Instalada'!Z:Z,"INCARDIA")</f>
        <v>1</v>
      </c>
      <c r="S99" s="45">
        <f>+COUNTIFS('[1]Base Instalada'!AA:AA,Tabla1[[#This Row],[Cliente]],'[1]Base Instalada'!Z:Z,"MMQ")</f>
        <v>0</v>
      </c>
      <c r="T99" s="45">
        <f>+COUNTIFS('[1]Base Instalada'!AA:AA,Tabla1[[#This Row],[Cliente]],'[1]Base Instalada'!Z:Z,"REAS")</f>
        <v>1</v>
      </c>
      <c r="U99" s="46">
        <f>+COUNTIFS('[1]Base Instalada'!AA:AA,Tabla1[[#This Row],[Cliente]],'[1]Base Instalada'!Z:Z,"MOBILIARIO CLINICO")</f>
        <v>0</v>
      </c>
      <c r="V99" s="29">
        <f>+COUNTIFS('[1]Base Instalada'!AA:AA,Tabla1[[#This Row],[Cliente]],'[1]Base Instalada'!Z:Z,"OTRO")</f>
        <v>0</v>
      </c>
      <c r="W99" s="61" t="str">
        <f t="shared" si="4"/>
        <v>Región Coquimbo</v>
      </c>
      <c r="X99" s="61" t="str">
        <f t="shared" si="5"/>
        <v>Ovalle</v>
      </c>
      <c r="Y99" s="62" t="s">
        <v>233</v>
      </c>
      <c r="Z99" s="33">
        <f>+COUNTIFS('[1]Pipeline TS'!$F:$F,Tabla1[[#This Row],[Cliente]])</f>
        <v>0</v>
      </c>
      <c r="AA99" s="63">
        <f>SUMIFS('[1]Pipeline Esterilización'!M:M,'[1]Pipeline Esterilización'!E:E,Tabla1[[#This Row],[Cliente]],'[1]Pipeline Esterilización'!B:B,"2026",'[1]Pipeline Esterilización'!L:L,"&gt;0")</f>
        <v>0</v>
      </c>
      <c r="AB99" s="33">
        <f>+SUMIFS('[1]Pipeline Endoscopía'!K:K,'[1]Pipeline Endoscopía'!E:E,Tabla1[[#This Row],[Cliente]],'[1]Pipeline Endoscopía'!B:B,"2026",'[1]Pipeline Endoscopía'!J:J,"&gt;0")</f>
        <v>0</v>
      </c>
      <c r="AC99" s="63">
        <f>+SUMIFS('[1]Pipeline Dental'!K:K,'[1]Pipeline Dental'!E:E,Tabla1[[#This Row],[Cliente]],'[1]Pipeline Dental'!B:B,"2026",'[1]Pipeline Dental'!J:J,"&gt;0")</f>
        <v>0</v>
      </c>
      <c r="AD99" s="64">
        <f>+SUMIFS('[1]Pipeline TS'!$AB:$AB,'[1]Pipeline TS'!$F:$F,Tabla1[[#This Row],[Cliente]])</f>
        <v>0</v>
      </c>
      <c r="AE99" s="65">
        <f>+SUM(Tabla1[[#This Row],[Pipeline 2026 $MM ESTERILIZACIÓN]:[Pipeline 2026 $MM TECSERVICE]])</f>
        <v>0</v>
      </c>
      <c r="AF99" s="43">
        <v>-30.577732752882699</v>
      </c>
      <c r="AG99" s="58">
        <v>-71.189205804678394</v>
      </c>
      <c r="AH99" s="57" t="str">
        <f>+IF(Tabla1[[#This Row],['# Contratos Vigentes ]]&gt;0,"SI","NO")</f>
        <v>NO</v>
      </c>
      <c r="AI99" s="66"/>
      <c r="AJ99" s="67">
        <f>+Tabla1[[#This Row],[Ingreso 2025 - 2026]]*Tabla1[[#This Row],[% Costo Serv. Directo]]</f>
        <v>0</v>
      </c>
      <c r="AK99" s="68"/>
      <c r="AL9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9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14962138.461538462</v>
      </c>
      <c r="AN99" s="42">
        <f>+Tabla1[[#This Row],[Potencial Equipos]]+Tabla1[[#This Row],[Potencial Pipeline]]</f>
        <v>14962138.461538462</v>
      </c>
    </row>
    <row r="100" spans="1:40" ht="15.75" x14ac:dyDescent="0.25">
      <c r="A100" s="47" t="s">
        <v>234</v>
      </c>
      <c r="B100" t="str">
        <f>+VLOOKUP(Tabla1[[#This Row],[Cliente]],'[1]Público Privado'!$A$1:$B$325,2,FALSE)</f>
        <v>Privado</v>
      </c>
      <c r="C100" s="23">
        <f>+SUMIFS('[1]Facturacion a Fecha'!$T:$T,'[1]Facturacion a Fecha'!$AY:$AY,Tabla1[[#This Row],[Cliente]])</f>
        <v>0</v>
      </c>
      <c r="D100" s="24">
        <f>+SUMIFS('[1]Facturacion a Fecha'!$T:$T,'[1]Facturacion a Fecha'!$AY:$AY,Tabla1[[#This Row],[Cliente]],'[1]Facturacion a Fecha'!$AX:$AX,"Correctivo")</f>
        <v>0</v>
      </c>
      <c r="E100" s="25">
        <f>+COUNTIFS('[1]Facturacion a Fecha'!AY:AY,Tabla1[[#This Row],[Cliente]],'[1]Facturacion a Fecha'!AX:AX,"Correctivo")</f>
        <v>0</v>
      </c>
      <c r="F100" s="25">
        <f>+SUMIFS('[1]Facturacion a Fecha'!$T:$T,'[1]Facturacion a Fecha'!$AY:$AY,Tabla1[[#This Row],[Cliente]],'[1]Facturacion a Fecha'!$AX:$AX,"Preventivo")</f>
        <v>0</v>
      </c>
      <c r="G100" s="25">
        <f>+COUNTIFS('[1]Facturacion a Fecha'!AY:AY,Tabla1[[#This Row],[Cliente]],'[1]Facturacion a Fecha'!AX:AX,"Preventivo")</f>
        <v>0</v>
      </c>
      <c r="H100" s="26">
        <f>+Tabla1[[#This Row],['# Preventivo]]+Tabla1[[#This Row],['# Correctivo]]</f>
        <v>0</v>
      </c>
      <c r="I100" s="23">
        <f>+IFERROR(Tabla1[[#This Row],[Ingreso 2025 - 2026 Correctivo]]/Tabla1[[#This Row],[Ingreso 2025 - 2026 Preventivo]],0)</f>
        <v>0</v>
      </c>
      <c r="J100" s="59">
        <f>+IFERROR(Tabla1[[#This Row],['# Correctivo]]/Tabla1[[#This Row],['# Preventivo]],0)</f>
        <v>0</v>
      </c>
      <c r="K100" s="60">
        <f>+IFERROR(Tabla1[[#This Row],[Ingreso 2025 - 2026 Preventivo]]/(Tabla1[[#This Row],[Ingreso 2025 - 2026 Correctivo]]+Tabla1[[#This Row],[Ingreso 2025 - 2026 Preventivo]]),0)</f>
        <v>0</v>
      </c>
      <c r="L100" s="60">
        <f>1-Tabla1[[#This Row],[% Preventivo $]]</f>
        <v>1</v>
      </c>
      <c r="M100" s="45">
        <f>+COUNTIFS('[1]Base Instalada'!AA:AA,Tabla1[[#This Row],[Cliente]])</f>
        <v>5</v>
      </c>
      <c r="N10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0" s="45">
        <f>+COUNTIFS('[1]Base Instalada'!AA:AA,Tabla1[[#This Row],[Cliente]],'[1]Base Instalada'!Z:Z,"ESTERILIZACIÓN")</f>
        <v>5</v>
      </c>
      <c r="P100" s="45">
        <f>+COUNTIFS('[1]Base Instalada'!AA:AA,Tabla1[[#This Row],[Cliente]],'[1]Base Instalada'!Z:Z,"DENTAL")</f>
        <v>0</v>
      </c>
      <c r="Q100" s="45">
        <f>+COUNTIFS('[1]Base Instalada'!AA:AA,Tabla1[[#This Row],[Cliente]],'[1]Base Instalada'!Z:Z,"ENDOSCOPÍA")</f>
        <v>0</v>
      </c>
      <c r="R100" s="45">
        <f>+COUNTIFS('[1]Base Instalada'!AA:AA,Tabla1[[#This Row],[Cliente]],'[1]Base Instalada'!Z:Z,"INCARDIA")</f>
        <v>0</v>
      </c>
      <c r="S100" s="45">
        <f>+COUNTIFS('[1]Base Instalada'!AA:AA,Tabla1[[#This Row],[Cliente]],'[1]Base Instalada'!Z:Z,"MMQ")</f>
        <v>0</v>
      </c>
      <c r="T100" s="45">
        <f>+COUNTIFS('[1]Base Instalada'!AA:AA,Tabla1[[#This Row],[Cliente]],'[1]Base Instalada'!Z:Z,"REAS")</f>
        <v>0</v>
      </c>
      <c r="U100" s="46">
        <f>+COUNTIFS('[1]Base Instalada'!AA:AA,Tabla1[[#This Row],[Cliente]],'[1]Base Instalada'!Z:Z,"MOBILIARIO CLINICO")</f>
        <v>0</v>
      </c>
      <c r="V100" s="29">
        <f>+COUNTIFS('[1]Base Instalada'!AA:AA,Tabla1[[#This Row],[Cliente]],'[1]Base Instalada'!Z:Z,"OTRO")</f>
        <v>0</v>
      </c>
      <c r="W100" s="61" t="str">
        <f t="shared" si="4"/>
        <v>Región Arica y Parinacota</v>
      </c>
      <c r="X100" s="61" t="str">
        <f t="shared" si="5"/>
        <v>Arica</v>
      </c>
      <c r="Y100" s="62" t="s">
        <v>235</v>
      </c>
      <c r="Z100" s="33">
        <f>+COUNTIFS('[1]Pipeline TS'!$F:$F,Tabla1[[#This Row],[Cliente]])</f>
        <v>0</v>
      </c>
      <c r="AA100" s="63">
        <f>SUMIFS('[1]Pipeline Esterilización'!M:M,'[1]Pipeline Esterilización'!E:E,Tabla1[[#This Row],[Cliente]],'[1]Pipeline Esterilización'!B:B,"2026",'[1]Pipeline Esterilización'!L:L,"&gt;0")</f>
        <v>0</v>
      </c>
      <c r="AB100" s="33">
        <f>+SUMIFS('[1]Pipeline Endoscopía'!K:K,'[1]Pipeline Endoscopía'!E:E,Tabla1[[#This Row],[Cliente]],'[1]Pipeline Endoscopía'!B:B,"2026",'[1]Pipeline Endoscopía'!J:J,"&gt;0")</f>
        <v>0</v>
      </c>
      <c r="AC100" s="63">
        <f>+SUMIFS('[1]Pipeline Dental'!K:K,'[1]Pipeline Dental'!E:E,Tabla1[[#This Row],[Cliente]],'[1]Pipeline Dental'!B:B,"2026",'[1]Pipeline Dental'!J:J,"&gt;0")</f>
        <v>0</v>
      </c>
      <c r="AD100" s="64">
        <f>+SUMIFS('[1]Pipeline TS'!$AB:$AB,'[1]Pipeline TS'!$F:$F,Tabla1[[#This Row],[Cliente]])</f>
        <v>0</v>
      </c>
      <c r="AE100" s="65">
        <f>+SUM(Tabla1[[#This Row],[Pipeline 2026 $MM ESTERILIZACIÓN]:[Pipeline 2026 $MM TECSERVICE]])</f>
        <v>0</v>
      </c>
      <c r="AF100" s="43">
        <v>-18.472623191438799</v>
      </c>
      <c r="AG100" s="58">
        <v>-70.3122004303371</v>
      </c>
      <c r="AH100" s="57" t="str">
        <f>+IF(Tabla1[[#This Row],['# Contratos Vigentes ]]&gt;0,"SI","NO")</f>
        <v>NO</v>
      </c>
      <c r="AI100" s="66"/>
      <c r="AJ100" s="67">
        <f>+Tabla1[[#This Row],[Ingreso 2025 - 2026]]*Tabla1[[#This Row],[% Costo Serv. Directo]]</f>
        <v>0</v>
      </c>
      <c r="AK100" s="68"/>
      <c r="AL10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9985000</v>
      </c>
      <c r="AN100" s="42">
        <f>+Tabla1[[#This Row],[Potencial Equipos]]+Tabla1[[#This Row],[Potencial Pipeline]]</f>
        <v>9985000</v>
      </c>
    </row>
    <row r="101" spans="1:40" ht="15.75" x14ac:dyDescent="0.25">
      <c r="A101" s="47" t="s">
        <v>236</v>
      </c>
      <c r="B101" t="str">
        <f>+VLOOKUP(Tabla1[[#This Row],[Cliente]],'[1]Público Privado'!$A$1:$B$325,2,FALSE)</f>
        <v>Público</v>
      </c>
      <c r="C101" s="23">
        <f>+SUMIFS('[1]Facturacion a Fecha'!$T:$T,'[1]Facturacion a Fecha'!$AY:$AY,Tabla1[[#This Row],[Cliente]])</f>
        <v>0</v>
      </c>
      <c r="D101" s="24">
        <f>+SUMIFS('[1]Facturacion a Fecha'!$T:$T,'[1]Facturacion a Fecha'!$AY:$AY,Tabla1[[#This Row],[Cliente]],'[1]Facturacion a Fecha'!$AX:$AX,"Correctivo")</f>
        <v>0</v>
      </c>
      <c r="E101" s="25">
        <f>+COUNTIFS('[1]Facturacion a Fecha'!AY:AY,Tabla1[[#This Row],[Cliente]],'[1]Facturacion a Fecha'!AX:AX,"Correctivo")</f>
        <v>0</v>
      </c>
      <c r="F101" s="25">
        <f>+SUMIFS('[1]Facturacion a Fecha'!$T:$T,'[1]Facturacion a Fecha'!$AY:$AY,Tabla1[[#This Row],[Cliente]],'[1]Facturacion a Fecha'!$AX:$AX,"Preventivo")</f>
        <v>0</v>
      </c>
      <c r="G101" s="25">
        <f>+COUNTIFS('[1]Facturacion a Fecha'!AY:AY,Tabla1[[#This Row],[Cliente]],'[1]Facturacion a Fecha'!AX:AX,"Preventivo")</f>
        <v>0</v>
      </c>
      <c r="H101" s="26">
        <f>+Tabla1[[#This Row],['# Preventivo]]+Tabla1[[#This Row],['# Correctivo]]</f>
        <v>0</v>
      </c>
      <c r="I101" s="23">
        <f>+IFERROR(Tabla1[[#This Row],[Ingreso 2025 - 2026 Correctivo]]/Tabla1[[#This Row],[Ingreso 2025 - 2026 Preventivo]],0)</f>
        <v>0</v>
      </c>
      <c r="J101" s="59">
        <f>+IFERROR(Tabla1[[#This Row],['# Correctivo]]/Tabla1[[#This Row],['# Preventivo]],0)</f>
        <v>0</v>
      </c>
      <c r="K101" s="60">
        <f>+IFERROR(Tabla1[[#This Row],[Ingreso 2025 - 2026 Preventivo]]/(Tabla1[[#This Row],[Ingreso 2025 - 2026 Correctivo]]+Tabla1[[#This Row],[Ingreso 2025 - 2026 Preventivo]]),0)</f>
        <v>0</v>
      </c>
      <c r="L101" s="60">
        <f>1-Tabla1[[#This Row],[% Preventivo $]]</f>
        <v>1</v>
      </c>
      <c r="M101" s="45">
        <f>+COUNTIFS('[1]Base Instalada'!AA:AA,Tabla1[[#This Row],[Cliente]])</f>
        <v>13</v>
      </c>
      <c r="N10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1" s="45">
        <f>+COUNTIFS('[1]Base Instalada'!AA:AA,Tabla1[[#This Row],[Cliente]],'[1]Base Instalada'!Z:Z,"ESTERILIZACIÓN")</f>
        <v>5</v>
      </c>
      <c r="P101" s="45">
        <f>+COUNTIFS('[1]Base Instalada'!AA:AA,Tabla1[[#This Row],[Cliente]],'[1]Base Instalada'!Z:Z,"DENTAL")</f>
        <v>8</v>
      </c>
      <c r="Q101" s="45">
        <f>+COUNTIFS('[1]Base Instalada'!AA:AA,Tabla1[[#This Row],[Cliente]],'[1]Base Instalada'!Z:Z,"ENDOSCOPÍA")</f>
        <v>0</v>
      </c>
      <c r="R101" s="45">
        <f>+COUNTIFS('[1]Base Instalada'!AA:AA,Tabla1[[#This Row],[Cliente]],'[1]Base Instalada'!Z:Z,"INCARDIA")</f>
        <v>0</v>
      </c>
      <c r="S101" s="45">
        <f>+COUNTIFS('[1]Base Instalada'!AA:AA,Tabla1[[#This Row],[Cliente]],'[1]Base Instalada'!Z:Z,"MMQ")</f>
        <v>0</v>
      </c>
      <c r="T101" s="45">
        <f>+COUNTIFS('[1]Base Instalada'!AA:AA,Tabla1[[#This Row],[Cliente]],'[1]Base Instalada'!Z:Z,"REAS")</f>
        <v>0</v>
      </c>
      <c r="U101" s="46">
        <f>+COUNTIFS('[1]Base Instalada'!AA:AA,Tabla1[[#This Row],[Cliente]],'[1]Base Instalada'!Z:Z,"MOBILIARIO CLINICO")</f>
        <v>0</v>
      </c>
      <c r="V101" s="29">
        <f>+COUNTIFS('[1]Base Instalada'!AA:AA,Tabla1[[#This Row],[Cliente]],'[1]Base Instalada'!Z:Z,"OTRO")</f>
        <v>0</v>
      </c>
      <c r="W101" s="61" t="str">
        <f t="shared" si="4"/>
        <v>Región Maule</v>
      </c>
      <c r="X101" s="61" t="str">
        <f t="shared" si="5"/>
        <v>Constitución</v>
      </c>
      <c r="Y101" s="62" t="s">
        <v>237</v>
      </c>
      <c r="Z101" s="33">
        <f>+COUNTIFS('[1]Pipeline TS'!$F:$F,Tabla1[[#This Row],[Cliente]])</f>
        <v>0</v>
      </c>
      <c r="AA101" s="63">
        <f>SUMIFS('[1]Pipeline Esterilización'!M:M,'[1]Pipeline Esterilización'!E:E,Tabla1[[#This Row],[Cliente]],'[1]Pipeline Esterilización'!B:B,"2026",'[1]Pipeline Esterilización'!L:L,"&gt;0")</f>
        <v>0</v>
      </c>
      <c r="AB101" s="33">
        <f>+SUMIFS('[1]Pipeline Endoscopía'!K:K,'[1]Pipeline Endoscopía'!E:E,Tabla1[[#This Row],[Cliente]],'[1]Pipeline Endoscopía'!B:B,"2026",'[1]Pipeline Endoscopía'!J:J,"&gt;0")</f>
        <v>0</v>
      </c>
      <c r="AC101" s="63">
        <f>+SUMIFS('[1]Pipeline Dental'!K:K,'[1]Pipeline Dental'!E:E,Tabla1[[#This Row],[Cliente]],'[1]Pipeline Dental'!B:B,"2026",'[1]Pipeline Dental'!J:J,"&gt;0")</f>
        <v>0</v>
      </c>
      <c r="AD101" s="64">
        <f>+SUMIFS('[1]Pipeline TS'!$AB:$AB,'[1]Pipeline TS'!$F:$F,Tabla1[[#This Row],[Cliente]])</f>
        <v>0</v>
      </c>
      <c r="AE101" s="65">
        <f>+SUM(Tabla1[[#This Row],[Pipeline 2026 $MM ESTERILIZACIÓN]:[Pipeline 2026 $MM TECSERVICE]])</f>
        <v>0</v>
      </c>
      <c r="AF101" s="43">
        <v>-35.332275628964297</v>
      </c>
      <c r="AG101" s="58">
        <v>-72.417091851491605</v>
      </c>
      <c r="AH101" s="57" t="str">
        <f>+IF(Tabla1[[#This Row],['# Contratos Vigentes ]]&gt;0,"SI","NO")</f>
        <v>NO</v>
      </c>
      <c r="AI101" s="66"/>
      <c r="AJ101" s="67">
        <f>+Tabla1[[#This Row],[Ingreso 2025 - 2026]]*Tabla1[[#This Row],[% Costo Serv. Directo]]</f>
        <v>0</v>
      </c>
      <c r="AK101" s="68"/>
      <c r="AL10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14777800</v>
      </c>
      <c r="AN101" s="42">
        <f>+Tabla1[[#This Row],[Potencial Equipos]]+Tabla1[[#This Row],[Potencial Pipeline]]</f>
        <v>14777800</v>
      </c>
    </row>
    <row r="102" spans="1:40" ht="15.75" x14ac:dyDescent="0.25">
      <c r="A102" s="47" t="s">
        <v>238</v>
      </c>
      <c r="B102" t="str">
        <f>+VLOOKUP(Tabla1[[#This Row],[Cliente]],'[1]Público Privado'!$A$1:$B$325,2,FALSE)</f>
        <v>Público</v>
      </c>
      <c r="C102" s="23">
        <f>+SUMIFS('[1]Facturacion a Fecha'!$T:$T,'[1]Facturacion a Fecha'!$AY:$AY,Tabla1[[#This Row],[Cliente]])</f>
        <v>0</v>
      </c>
      <c r="D102" s="24">
        <f>+SUMIFS('[1]Facturacion a Fecha'!$T:$T,'[1]Facturacion a Fecha'!$AY:$AY,Tabla1[[#This Row],[Cliente]],'[1]Facturacion a Fecha'!$AX:$AX,"Correctivo")</f>
        <v>0</v>
      </c>
      <c r="E102" s="25">
        <f>+COUNTIFS('[1]Facturacion a Fecha'!AY:AY,Tabla1[[#This Row],[Cliente]],'[1]Facturacion a Fecha'!AX:AX,"Correctivo")</f>
        <v>0</v>
      </c>
      <c r="F102" s="25">
        <f>+SUMIFS('[1]Facturacion a Fecha'!$T:$T,'[1]Facturacion a Fecha'!$AY:$AY,Tabla1[[#This Row],[Cliente]],'[1]Facturacion a Fecha'!$AX:$AX,"Preventivo")</f>
        <v>0</v>
      </c>
      <c r="G102" s="25">
        <f>+COUNTIFS('[1]Facturacion a Fecha'!AY:AY,Tabla1[[#This Row],[Cliente]],'[1]Facturacion a Fecha'!AX:AX,"Preventivo")</f>
        <v>0</v>
      </c>
      <c r="H102" s="26">
        <f>+Tabla1[[#This Row],['# Preventivo]]+Tabla1[[#This Row],['# Correctivo]]</f>
        <v>0</v>
      </c>
      <c r="I102" s="23">
        <f>+IFERROR(Tabla1[[#This Row],[Ingreso 2025 - 2026 Correctivo]]/Tabla1[[#This Row],[Ingreso 2025 - 2026 Preventivo]],0)</f>
        <v>0</v>
      </c>
      <c r="J102" s="59">
        <f>+IFERROR(Tabla1[[#This Row],['# Correctivo]]/Tabla1[[#This Row],['# Preventivo]],0)</f>
        <v>0</v>
      </c>
      <c r="K102" s="60">
        <f>+IFERROR(Tabla1[[#This Row],[Ingreso 2025 - 2026 Preventivo]]/(Tabla1[[#This Row],[Ingreso 2025 - 2026 Correctivo]]+Tabla1[[#This Row],[Ingreso 2025 - 2026 Preventivo]]),0)</f>
        <v>0</v>
      </c>
      <c r="L102" s="60">
        <f>1-Tabla1[[#This Row],[% Preventivo $]]</f>
        <v>1</v>
      </c>
      <c r="M102" s="45">
        <f>+COUNTIFS('[1]Base Instalada'!AA:AA,Tabla1[[#This Row],[Cliente]])</f>
        <v>11</v>
      </c>
      <c r="N10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2" s="45">
        <f>+COUNTIFS('[1]Base Instalada'!AA:AA,Tabla1[[#This Row],[Cliente]],'[1]Base Instalada'!Z:Z,"ESTERILIZACIÓN")</f>
        <v>2</v>
      </c>
      <c r="P102" s="45">
        <f>+COUNTIFS('[1]Base Instalada'!AA:AA,Tabla1[[#This Row],[Cliente]],'[1]Base Instalada'!Z:Z,"DENTAL")</f>
        <v>9</v>
      </c>
      <c r="Q102" s="45">
        <f>+COUNTIFS('[1]Base Instalada'!AA:AA,Tabla1[[#This Row],[Cliente]],'[1]Base Instalada'!Z:Z,"ENDOSCOPÍA")</f>
        <v>0</v>
      </c>
      <c r="R102" s="45">
        <f>+COUNTIFS('[1]Base Instalada'!AA:AA,Tabla1[[#This Row],[Cliente]],'[1]Base Instalada'!Z:Z,"INCARDIA")</f>
        <v>0</v>
      </c>
      <c r="S102" s="45">
        <f>+COUNTIFS('[1]Base Instalada'!AA:AA,Tabla1[[#This Row],[Cliente]],'[1]Base Instalada'!Z:Z,"MMQ")</f>
        <v>0</v>
      </c>
      <c r="T102" s="45">
        <f>+COUNTIFS('[1]Base Instalada'!AA:AA,Tabla1[[#This Row],[Cliente]],'[1]Base Instalada'!Z:Z,"REAS")</f>
        <v>0</v>
      </c>
      <c r="U102" s="46">
        <f>+COUNTIFS('[1]Base Instalada'!AA:AA,Tabla1[[#This Row],[Cliente]],'[1]Base Instalada'!Z:Z,"MOBILIARIO CLINICO")</f>
        <v>0</v>
      </c>
      <c r="V102" s="29">
        <f>+COUNTIFS('[1]Base Instalada'!AA:AA,Tabla1[[#This Row],[Cliente]],'[1]Base Instalada'!Z:Z,"OTRO")</f>
        <v>0</v>
      </c>
      <c r="W102" s="61" t="str">
        <f t="shared" si="4"/>
        <v>Región Metropolitana</v>
      </c>
      <c r="X102" s="61" t="str">
        <f t="shared" si="5"/>
        <v>Quilicura</v>
      </c>
      <c r="Y102" s="62" t="s">
        <v>239</v>
      </c>
      <c r="Z102" s="33">
        <f>+COUNTIFS('[1]Pipeline TS'!$F:$F,Tabla1[[#This Row],[Cliente]])</f>
        <v>0</v>
      </c>
      <c r="AA102" s="63">
        <f>SUMIFS('[1]Pipeline Esterilización'!M:M,'[1]Pipeline Esterilización'!E:E,Tabla1[[#This Row],[Cliente]],'[1]Pipeline Esterilización'!B:B,"2026",'[1]Pipeline Esterilización'!L:L,"&gt;0")</f>
        <v>0</v>
      </c>
      <c r="AB102" s="33">
        <f>+SUMIFS('[1]Pipeline Endoscopía'!K:K,'[1]Pipeline Endoscopía'!E:E,Tabla1[[#This Row],[Cliente]],'[1]Pipeline Endoscopía'!B:B,"2026",'[1]Pipeline Endoscopía'!J:J,"&gt;0")</f>
        <v>0</v>
      </c>
      <c r="AC102" s="63">
        <f>+SUMIFS('[1]Pipeline Dental'!K:K,'[1]Pipeline Dental'!E:E,Tabla1[[#This Row],[Cliente]],'[1]Pipeline Dental'!B:B,"2026",'[1]Pipeline Dental'!J:J,"&gt;0")</f>
        <v>0</v>
      </c>
      <c r="AD102" s="64">
        <f>+SUMIFS('[1]Pipeline TS'!$AB:$AB,'[1]Pipeline TS'!$F:$F,Tabla1[[#This Row],[Cliente]])</f>
        <v>0</v>
      </c>
      <c r="AE102" s="65">
        <f>+SUM(Tabla1[[#This Row],[Pipeline 2026 $MM ESTERILIZACIÓN]:[Pipeline 2026 $MM TECSERVICE]])</f>
        <v>0</v>
      </c>
      <c r="AF102" s="43">
        <v>-33.369139343682697</v>
      </c>
      <c r="AG102" s="58">
        <v>-70.731899378009103</v>
      </c>
      <c r="AH102" s="57" t="str">
        <f>+IF(Tabla1[[#This Row],['# Contratos Vigentes ]]&gt;0,"SI","NO")</f>
        <v>NO</v>
      </c>
      <c r="AI102" s="66"/>
      <c r="AJ102" s="67">
        <f>+Tabla1[[#This Row],[Ingreso 2025 - 2026]]*Tabla1[[#This Row],[% Costo Serv. Directo]]</f>
        <v>0</v>
      </c>
      <c r="AK102" s="68"/>
      <c r="AL10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9385900</v>
      </c>
      <c r="AN102" s="42">
        <f>+Tabla1[[#This Row],[Potencial Equipos]]+Tabla1[[#This Row],[Potencial Pipeline]]</f>
        <v>9385900</v>
      </c>
    </row>
    <row r="103" spans="1:40" ht="15.75" x14ac:dyDescent="0.25">
      <c r="A103" s="47" t="s">
        <v>240</v>
      </c>
      <c r="B103" t="str">
        <f>+VLOOKUP(Tabla1[[#This Row],[Cliente]],'[1]Público Privado'!$A$1:$B$325,2,FALSE)</f>
        <v>Público</v>
      </c>
      <c r="C103" s="23">
        <f>+SUMIFS('[1]Facturacion a Fecha'!$T:$T,'[1]Facturacion a Fecha'!$AY:$AY,Tabla1[[#This Row],[Cliente]])</f>
        <v>0</v>
      </c>
      <c r="D103" s="24">
        <f>+SUMIFS('[1]Facturacion a Fecha'!$T:$T,'[1]Facturacion a Fecha'!$AY:$AY,Tabla1[[#This Row],[Cliente]],'[1]Facturacion a Fecha'!$AX:$AX,"Correctivo")</f>
        <v>0</v>
      </c>
      <c r="E103" s="25">
        <f>+COUNTIFS('[1]Facturacion a Fecha'!AY:AY,Tabla1[[#This Row],[Cliente]],'[1]Facturacion a Fecha'!AX:AX,"Correctivo")</f>
        <v>0</v>
      </c>
      <c r="F103" s="25">
        <f>+SUMIFS('[1]Facturacion a Fecha'!$T:$T,'[1]Facturacion a Fecha'!$AY:$AY,Tabla1[[#This Row],[Cliente]],'[1]Facturacion a Fecha'!$AX:$AX,"Preventivo")</f>
        <v>0</v>
      </c>
      <c r="G103" s="25">
        <f>+COUNTIFS('[1]Facturacion a Fecha'!AY:AY,Tabla1[[#This Row],[Cliente]],'[1]Facturacion a Fecha'!AX:AX,"Preventivo")</f>
        <v>0</v>
      </c>
      <c r="H103" s="26">
        <f>+Tabla1[[#This Row],['# Preventivo]]+Tabla1[[#This Row],['# Correctivo]]</f>
        <v>0</v>
      </c>
      <c r="I103" s="23">
        <f>+IFERROR(Tabla1[[#This Row],[Ingreso 2025 - 2026 Correctivo]]/Tabla1[[#This Row],[Ingreso 2025 - 2026 Preventivo]],0)</f>
        <v>0</v>
      </c>
      <c r="J103" s="59">
        <f>+IFERROR(Tabla1[[#This Row],['# Correctivo]]/Tabla1[[#This Row],['# Preventivo]],0)</f>
        <v>0</v>
      </c>
      <c r="K103" s="60">
        <f>+IFERROR(Tabla1[[#This Row],[Ingreso 2025 - 2026 Preventivo]]/(Tabla1[[#This Row],[Ingreso 2025 - 2026 Correctivo]]+Tabla1[[#This Row],[Ingreso 2025 - 2026 Preventivo]]),0)</f>
        <v>0</v>
      </c>
      <c r="L103" s="60">
        <f>1-Tabla1[[#This Row],[% Preventivo $]]</f>
        <v>1</v>
      </c>
      <c r="M103" s="45">
        <f>+COUNTIFS('[1]Base Instalada'!AA:AA,Tabla1[[#This Row],[Cliente]])</f>
        <v>9</v>
      </c>
      <c r="N10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3" s="45">
        <f>+COUNTIFS('[1]Base Instalada'!AA:AA,Tabla1[[#This Row],[Cliente]],'[1]Base Instalada'!Z:Z,"ESTERILIZACIÓN")</f>
        <v>3</v>
      </c>
      <c r="P103" s="45">
        <f>+COUNTIFS('[1]Base Instalada'!AA:AA,Tabla1[[#This Row],[Cliente]],'[1]Base Instalada'!Z:Z,"DENTAL")</f>
        <v>6</v>
      </c>
      <c r="Q103" s="45">
        <f>+COUNTIFS('[1]Base Instalada'!AA:AA,Tabla1[[#This Row],[Cliente]],'[1]Base Instalada'!Z:Z,"ENDOSCOPÍA")</f>
        <v>0</v>
      </c>
      <c r="R103" s="45">
        <f>+COUNTIFS('[1]Base Instalada'!AA:AA,Tabla1[[#This Row],[Cliente]],'[1]Base Instalada'!Z:Z,"INCARDIA")</f>
        <v>0</v>
      </c>
      <c r="S103" s="45">
        <f>+COUNTIFS('[1]Base Instalada'!AA:AA,Tabla1[[#This Row],[Cliente]],'[1]Base Instalada'!Z:Z,"MMQ")</f>
        <v>0</v>
      </c>
      <c r="T103" s="45">
        <f>+COUNTIFS('[1]Base Instalada'!AA:AA,Tabla1[[#This Row],[Cliente]],'[1]Base Instalada'!Z:Z,"REAS")</f>
        <v>0</v>
      </c>
      <c r="U103" s="46">
        <f>+COUNTIFS('[1]Base Instalada'!AA:AA,Tabla1[[#This Row],[Cliente]],'[1]Base Instalada'!Z:Z,"MOBILIARIO CLINICO")</f>
        <v>0</v>
      </c>
      <c r="V103" s="29">
        <f>+COUNTIFS('[1]Base Instalada'!AA:AA,Tabla1[[#This Row],[Cliente]],'[1]Base Instalada'!Z:Z,"OTRO")</f>
        <v>0</v>
      </c>
      <c r="W103" s="61" t="str">
        <f t="shared" si="4"/>
        <v>Región Metropolitana</v>
      </c>
      <c r="X103" s="61" t="str">
        <f t="shared" si="5"/>
        <v>Huechuraba</v>
      </c>
      <c r="Y103" s="62" t="s">
        <v>241</v>
      </c>
      <c r="Z103" s="33">
        <f>+COUNTIFS('[1]Pipeline TS'!$F:$F,Tabla1[[#This Row],[Cliente]])</f>
        <v>0</v>
      </c>
      <c r="AA103" s="63">
        <f>SUMIFS('[1]Pipeline Esterilización'!M:M,'[1]Pipeline Esterilización'!E:E,Tabla1[[#This Row],[Cliente]],'[1]Pipeline Esterilización'!B:B,"2026",'[1]Pipeline Esterilización'!L:L,"&gt;0")</f>
        <v>0</v>
      </c>
      <c r="AB103" s="33">
        <f>+SUMIFS('[1]Pipeline Endoscopía'!K:K,'[1]Pipeline Endoscopía'!E:E,Tabla1[[#This Row],[Cliente]],'[1]Pipeline Endoscopía'!B:B,"2026",'[1]Pipeline Endoscopía'!J:J,"&gt;0")</f>
        <v>0</v>
      </c>
      <c r="AC103" s="63">
        <f>+SUMIFS('[1]Pipeline Dental'!K:K,'[1]Pipeline Dental'!E:E,Tabla1[[#This Row],[Cliente]],'[1]Pipeline Dental'!B:B,"2026",'[1]Pipeline Dental'!J:J,"&gt;0")</f>
        <v>0</v>
      </c>
      <c r="AD103" s="64">
        <f>+SUMIFS('[1]Pipeline TS'!$AB:$AB,'[1]Pipeline TS'!$F:$F,Tabla1[[#This Row],[Cliente]])</f>
        <v>0</v>
      </c>
      <c r="AE103" s="65">
        <f>+SUM(Tabla1[[#This Row],[Pipeline 2026 $MM ESTERILIZACIÓN]:[Pipeline 2026 $MM TECSERVICE]])</f>
        <v>0</v>
      </c>
      <c r="AF103" s="43">
        <v>-33.352191100066399</v>
      </c>
      <c r="AG103" s="58">
        <v>-70.677019177998602</v>
      </c>
      <c r="AH103" s="57" t="str">
        <f>+IF(Tabla1[[#This Row],['# Contratos Vigentes ]]&gt;0,"SI","NO")</f>
        <v>NO</v>
      </c>
      <c r="AI103" s="66"/>
      <c r="AJ103" s="67">
        <f>+Tabla1[[#This Row],[Ingreso 2025 - 2026]]*Tabla1[[#This Row],[% Costo Serv. Directo]]</f>
        <v>0</v>
      </c>
      <c r="AK103" s="68"/>
      <c r="AL10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9585600</v>
      </c>
      <c r="AN103" s="42">
        <f>+Tabla1[[#This Row],[Potencial Equipos]]+Tabla1[[#This Row],[Potencial Pipeline]]</f>
        <v>9585600</v>
      </c>
    </row>
    <row r="104" spans="1:40" ht="15.75" x14ac:dyDescent="0.25">
      <c r="A104" s="47" t="s">
        <v>242</v>
      </c>
      <c r="B104" t="str">
        <f>+VLOOKUP(Tabla1[[#This Row],[Cliente]],'[1]Público Privado'!$A$1:$B$325,2,FALSE)</f>
        <v>Público</v>
      </c>
      <c r="C104" s="23">
        <f>+SUMIFS('[1]Facturacion a Fecha'!$T:$T,'[1]Facturacion a Fecha'!$AY:$AY,Tabla1[[#This Row],[Cliente]])</f>
        <v>0</v>
      </c>
      <c r="D104" s="24">
        <f>+SUMIFS('[1]Facturacion a Fecha'!$T:$T,'[1]Facturacion a Fecha'!$AY:$AY,Tabla1[[#This Row],[Cliente]],'[1]Facturacion a Fecha'!$AX:$AX,"Correctivo")</f>
        <v>0</v>
      </c>
      <c r="E104" s="25">
        <f>+COUNTIFS('[1]Facturacion a Fecha'!AY:AY,Tabla1[[#This Row],[Cliente]],'[1]Facturacion a Fecha'!AX:AX,"Correctivo")</f>
        <v>0</v>
      </c>
      <c r="F104" s="25">
        <f>+SUMIFS('[1]Facturacion a Fecha'!$T:$T,'[1]Facturacion a Fecha'!$AY:$AY,Tabla1[[#This Row],[Cliente]],'[1]Facturacion a Fecha'!$AX:$AX,"Preventivo")</f>
        <v>0</v>
      </c>
      <c r="G104" s="25">
        <f>+COUNTIFS('[1]Facturacion a Fecha'!AY:AY,Tabla1[[#This Row],[Cliente]],'[1]Facturacion a Fecha'!AX:AX,"Preventivo")</f>
        <v>0</v>
      </c>
      <c r="H104" s="26">
        <f>+Tabla1[[#This Row],['# Preventivo]]+Tabla1[[#This Row],['# Correctivo]]</f>
        <v>0</v>
      </c>
      <c r="I104" s="23">
        <f>+IFERROR(Tabla1[[#This Row],[Ingreso 2025 - 2026 Correctivo]]/Tabla1[[#This Row],[Ingreso 2025 - 2026 Preventivo]],0)</f>
        <v>0</v>
      </c>
      <c r="J104" s="59">
        <f>+IFERROR(Tabla1[[#This Row],['# Correctivo]]/Tabla1[[#This Row],['# Preventivo]],0)</f>
        <v>0</v>
      </c>
      <c r="K104" s="60">
        <f>+IFERROR(Tabla1[[#This Row],[Ingreso 2025 - 2026 Preventivo]]/(Tabla1[[#This Row],[Ingreso 2025 - 2026 Correctivo]]+Tabla1[[#This Row],[Ingreso 2025 - 2026 Preventivo]]),0)</f>
        <v>0</v>
      </c>
      <c r="L104" s="60">
        <f>1-Tabla1[[#This Row],[% Preventivo $]]</f>
        <v>1</v>
      </c>
      <c r="M104" s="45">
        <f>+COUNTIFS('[1]Base Instalada'!AA:AA,Tabla1[[#This Row],[Cliente]])</f>
        <v>20</v>
      </c>
      <c r="N10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4" s="45">
        <f>+COUNTIFS('[1]Base Instalada'!AA:AA,Tabla1[[#This Row],[Cliente]],'[1]Base Instalada'!Z:Z,"ESTERILIZACIÓN")</f>
        <v>6</v>
      </c>
      <c r="P104" s="45">
        <f>+COUNTIFS('[1]Base Instalada'!AA:AA,Tabla1[[#This Row],[Cliente]],'[1]Base Instalada'!Z:Z,"DENTAL")</f>
        <v>0</v>
      </c>
      <c r="Q104" s="45">
        <f>+COUNTIFS('[1]Base Instalada'!AA:AA,Tabla1[[#This Row],[Cliente]],'[1]Base Instalada'!Z:Z,"ENDOSCOPÍA")</f>
        <v>0</v>
      </c>
      <c r="R104" s="45">
        <f>+COUNTIFS('[1]Base Instalada'!AA:AA,Tabla1[[#This Row],[Cliente]],'[1]Base Instalada'!Z:Z,"INCARDIA")</f>
        <v>0</v>
      </c>
      <c r="S104" s="45">
        <f>+COUNTIFS('[1]Base Instalada'!AA:AA,Tabla1[[#This Row],[Cliente]],'[1]Base Instalada'!Z:Z,"MMQ")</f>
        <v>0</v>
      </c>
      <c r="T104" s="45">
        <f>+COUNTIFS('[1]Base Instalada'!AA:AA,Tabla1[[#This Row],[Cliente]],'[1]Base Instalada'!Z:Z,"REAS")</f>
        <v>0</v>
      </c>
      <c r="U104" s="46">
        <f>+COUNTIFS('[1]Base Instalada'!AA:AA,Tabla1[[#This Row],[Cliente]],'[1]Base Instalada'!Z:Z,"MOBILIARIO CLINICO")</f>
        <v>14</v>
      </c>
      <c r="V104" s="29">
        <f>+COUNTIFS('[1]Base Instalada'!AA:AA,Tabla1[[#This Row],[Cliente]],'[1]Base Instalada'!Z:Z,"OTRO")</f>
        <v>0</v>
      </c>
      <c r="W104" s="61" t="str">
        <f t="shared" si="4"/>
        <v>Región Araucanía</v>
      </c>
      <c r="X104" s="61" t="str">
        <f t="shared" si="5"/>
        <v>Collipulli</v>
      </c>
      <c r="Y104" s="62" t="s">
        <v>243</v>
      </c>
      <c r="Z104" s="33">
        <f>+COUNTIFS('[1]Pipeline TS'!$F:$F,Tabla1[[#This Row],[Cliente]])</f>
        <v>0</v>
      </c>
      <c r="AA104" s="63">
        <f>SUMIFS('[1]Pipeline Esterilización'!M:M,'[1]Pipeline Esterilización'!E:E,Tabla1[[#This Row],[Cliente]],'[1]Pipeline Esterilización'!B:B,"2026",'[1]Pipeline Esterilización'!L:L,"&gt;0")</f>
        <v>0</v>
      </c>
      <c r="AB104" s="33">
        <f>+SUMIFS('[1]Pipeline Endoscopía'!K:K,'[1]Pipeline Endoscopía'!E:E,Tabla1[[#This Row],[Cliente]],'[1]Pipeline Endoscopía'!B:B,"2026",'[1]Pipeline Endoscopía'!J:J,"&gt;0")</f>
        <v>0</v>
      </c>
      <c r="AC104" s="63">
        <f>+SUMIFS('[1]Pipeline Dental'!K:K,'[1]Pipeline Dental'!E:E,Tabla1[[#This Row],[Cliente]],'[1]Pipeline Dental'!B:B,"2026",'[1]Pipeline Dental'!J:J,"&gt;0")</f>
        <v>0</v>
      </c>
      <c r="AD104" s="64">
        <f>+SUMIFS('[1]Pipeline TS'!$AB:$AB,'[1]Pipeline TS'!$F:$F,Tabla1[[#This Row],[Cliente]])</f>
        <v>0</v>
      </c>
      <c r="AE104" s="65">
        <f>+SUM(Tabla1[[#This Row],[Pipeline 2026 $MM ESTERILIZACIÓN]:[Pipeline 2026 $MM TECSERVICE]])</f>
        <v>0</v>
      </c>
      <c r="AF104" s="43">
        <v>-37.956864194086798</v>
      </c>
      <c r="AG104" s="58">
        <v>-72.426447291585006</v>
      </c>
      <c r="AH104" s="57" t="str">
        <f>+IF(Tabla1[[#This Row],['# Contratos Vigentes ]]&gt;0,"SI","NO")</f>
        <v>NO</v>
      </c>
      <c r="AI104" s="66"/>
      <c r="AJ104" s="67">
        <f>+Tabla1[[#This Row],[Ingreso 2025 - 2026]]*Tabla1[[#This Row],[% Costo Serv. Directo]]</f>
        <v>0</v>
      </c>
      <c r="AK104" s="68"/>
      <c r="AL10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11982000</v>
      </c>
      <c r="AN104" s="42">
        <f>+Tabla1[[#This Row],[Potencial Equipos]]+Tabla1[[#This Row],[Potencial Pipeline]]</f>
        <v>11982000</v>
      </c>
    </row>
    <row r="105" spans="1:40" ht="15.75" x14ac:dyDescent="0.25">
      <c r="A105" s="47" t="s">
        <v>244</v>
      </c>
      <c r="B105" t="str">
        <f>+VLOOKUP(Tabla1[[#This Row],[Cliente]],'[1]Público Privado'!$A$1:$B$325,2,FALSE)</f>
        <v>Público</v>
      </c>
      <c r="C105" s="23">
        <f>+SUMIFS('[1]Facturacion a Fecha'!$T:$T,'[1]Facturacion a Fecha'!$AY:$AY,Tabla1[[#This Row],[Cliente]])</f>
        <v>0</v>
      </c>
      <c r="D105" s="24">
        <f>+SUMIFS('[1]Facturacion a Fecha'!$T:$T,'[1]Facturacion a Fecha'!$AY:$AY,Tabla1[[#This Row],[Cliente]],'[1]Facturacion a Fecha'!$AX:$AX,"Correctivo")</f>
        <v>0</v>
      </c>
      <c r="E105" s="25">
        <f>+COUNTIFS('[1]Facturacion a Fecha'!AY:AY,Tabla1[[#This Row],[Cliente]],'[1]Facturacion a Fecha'!AX:AX,"Correctivo")</f>
        <v>0</v>
      </c>
      <c r="F105" s="25">
        <f>+SUMIFS('[1]Facturacion a Fecha'!$T:$T,'[1]Facturacion a Fecha'!$AY:$AY,Tabla1[[#This Row],[Cliente]],'[1]Facturacion a Fecha'!$AX:$AX,"Preventivo")</f>
        <v>0</v>
      </c>
      <c r="G105" s="25">
        <f>+COUNTIFS('[1]Facturacion a Fecha'!AY:AY,Tabla1[[#This Row],[Cliente]],'[1]Facturacion a Fecha'!AX:AX,"Preventivo")</f>
        <v>0</v>
      </c>
      <c r="H105" s="26">
        <f>+Tabla1[[#This Row],['# Preventivo]]+Tabla1[[#This Row],['# Correctivo]]</f>
        <v>0</v>
      </c>
      <c r="I105" s="23">
        <f>+IFERROR(Tabla1[[#This Row],[Ingreso 2025 - 2026 Correctivo]]/Tabla1[[#This Row],[Ingreso 2025 - 2026 Preventivo]],0)</f>
        <v>0</v>
      </c>
      <c r="J105" s="59">
        <f>+IFERROR(Tabla1[[#This Row],['# Correctivo]]/Tabla1[[#This Row],['# Preventivo]],0)</f>
        <v>0</v>
      </c>
      <c r="K105" s="60">
        <f>+IFERROR(Tabla1[[#This Row],[Ingreso 2025 - 2026 Preventivo]]/(Tabla1[[#This Row],[Ingreso 2025 - 2026 Correctivo]]+Tabla1[[#This Row],[Ingreso 2025 - 2026 Preventivo]]),0)</f>
        <v>0</v>
      </c>
      <c r="L105" s="60">
        <f>1-Tabla1[[#This Row],[% Preventivo $]]</f>
        <v>1</v>
      </c>
      <c r="M105" s="45">
        <f>+COUNTIFS('[1]Base Instalada'!AA:AA,Tabla1[[#This Row],[Cliente]])</f>
        <v>6</v>
      </c>
      <c r="N10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5" s="45">
        <f>+COUNTIFS('[1]Base Instalada'!AA:AA,Tabla1[[#This Row],[Cliente]],'[1]Base Instalada'!Z:Z,"ESTERILIZACIÓN")</f>
        <v>6</v>
      </c>
      <c r="P105" s="45">
        <f>+COUNTIFS('[1]Base Instalada'!AA:AA,Tabla1[[#This Row],[Cliente]],'[1]Base Instalada'!Z:Z,"DENTAL")</f>
        <v>0</v>
      </c>
      <c r="Q105" s="45">
        <f>+COUNTIFS('[1]Base Instalada'!AA:AA,Tabla1[[#This Row],[Cliente]],'[1]Base Instalada'!Z:Z,"ENDOSCOPÍA")</f>
        <v>0</v>
      </c>
      <c r="R105" s="45">
        <f>+COUNTIFS('[1]Base Instalada'!AA:AA,Tabla1[[#This Row],[Cliente]],'[1]Base Instalada'!Z:Z,"INCARDIA")</f>
        <v>0</v>
      </c>
      <c r="S105" s="45">
        <f>+COUNTIFS('[1]Base Instalada'!AA:AA,Tabla1[[#This Row],[Cliente]],'[1]Base Instalada'!Z:Z,"MMQ")</f>
        <v>0</v>
      </c>
      <c r="T105" s="45">
        <f>+COUNTIFS('[1]Base Instalada'!AA:AA,Tabla1[[#This Row],[Cliente]],'[1]Base Instalada'!Z:Z,"REAS")</f>
        <v>0</v>
      </c>
      <c r="U105" s="46">
        <f>+COUNTIFS('[1]Base Instalada'!AA:AA,Tabla1[[#This Row],[Cliente]],'[1]Base Instalada'!Z:Z,"MOBILIARIO CLINICO")</f>
        <v>0</v>
      </c>
      <c r="V105" s="29">
        <f>+COUNTIFS('[1]Base Instalada'!AA:AA,Tabla1[[#This Row],[Cliente]],'[1]Base Instalada'!Z:Z,"OTRO")</f>
        <v>0</v>
      </c>
      <c r="W105" s="61" t="str">
        <f t="shared" si="4"/>
        <v>Región Los Lagos</v>
      </c>
      <c r="X105" s="61" t="str">
        <f t="shared" si="5"/>
        <v>Puerto Montt</v>
      </c>
      <c r="Y105" s="62" t="s">
        <v>245</v>
      </c>
      <c r="Z105" s="33">
        <f>+COUNTIFS('[1]Pipeline TS'!$F:$F,Tabla1[[#This Row],[Cliente]])</f>
        <v>0</v>
      </c>
      <c r="AA105" s="63">
        <f>SUMIFS('[1]Pipeline Esterilización'!M:M,'[1]Pipeline Esterilización'!E:E,Tabla1[[#This Row],[Cliente]],'[1]Pipeline Esterilización'!B:B,"2026",'[1]Pipeline Esterilización'!L:L,"&gt;0")</f>
        <v>0</v>
      </c>
      <c r="AB105" s="33">
        <f>+SUMIFS('[1]Pipeline Endoscopía'!K:K,'[1]Pipeline Endoscopía'!E:E,Tabla1[[#This Row],[Cliente]],'[1]Pipeline Endoscopía'!B:B,"2026",'[1]Pipeline Endoscopía'!J:J,"&gt;0")</f>
        <v>0</v>
      </c>
      <c r="AC105" s="63">
        <f>+SUMIFS('[1]Pipeline Dental'!K:K,'[1]Pipeline Dental'!E:E,Tabla1[[#This Row],[Cliente]],'[1]Pipeline Dental'!B:B,"2026",'[1]Pipeline Dental'!J:J,"&gt;0")</f>
        <v>0</v>
      </c>
      <c r="AD105" s="64">
        <f>+SUMIFS('[1]Pipeline TS'!$AB:$AB,'[1]Pipeline TS'!$F:$F,Tabla1[[#This Row],[Cliente]])</f>
        <v>0</v>
      </c>
      <c r="AE105" s="65">
        <f>+SUM(Tabla1[[#This Row],[Pipeline 2026 $MM ESTERILIZACIÓN]:[Pipeline 2026 $MM TECSERVICE]])</f>
        <v>0</v>
      </c>
      <c r="AF105" s="43">
        <v>-41.397397332066198</v>
      </c>
      <c r="AG105" s="58">
        <v>-72.903692435772996</v>
      </c>
      <c r="AH105" s="57" t="str">
        <f>+IF(Tabla1[[#This Row],['# Contratos Vigentes ]]&gt;0,"SI","NO")</f>
        <v>NO</v>
      </c>
      <c r="AI105" s="66"/>
      <c r="AJ105" s="67">
        <f>+Tabla1[[#This Row],[Ingreso 2025 - 2026]]*Tabla1[[#This Row],[% Costo Serv. Directo]]</f>
        <v>0</v>
      </c>
      <c r="AK105" s="68"/>
      <c r="AL10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11982000</v>
      </c>
      <c r="AN105" s="42">
        <f>+Tabla1[[#This Row],[Potencial Equipos]]+Tabla1[[#This Row],[Potencial Pipeline]]</f>
        <v>11982000</v>
      </c>
    </row>
    <row r="106" spans="1:40" ht="15.75" x14ac:dyDescent="0.25">
      <c r="A106" s="47" t="s">
        <v>246</v>
      </c>
      <c r="B106" t="str">
        <f>+VLOOKUP(Tabla1[[#This Row],[Cliente]],'[1]Público Privado'!$A$1:$B$325,2,FALSE)</f>
        <v>Público</v>
      </c>
      <c r="C106" s="23">
        <f>+SUMIFS('[1]Facturacion a Fecha'!$T:$T,'[1]Facturacion a Fecha'!$AY:$AY,Tabla1[[#This Row],[Cliente]])</f>
        <v>0</v>
      </c>
      <c r="D106" s="24">
        <f>+SUMIFS('[1]Facturacion a Fecha'!$T:$T,'[1]Facturacion a Fecha'!$AY:$AY,Tabla1[[#This Row],[Cliente]],'[1]Facturacion a Fecha'!$AX:$AX,"Correctivo")</f>
        <v>0</v>
      </c>
      <c r="E106" s="25">
        <f>+COUNTIFS('[1]Facturacion a Fecha'!AY:AY,Tabla1[[#This Row],[Cliente]],'[1]Facturacion a Fecha'!AX:AX,"Correctivo")</f>
        <v>0</v>
      </c>
      <c r="F106" s="25">
        <f>+SUMIFS('[1]Facturacion a Fecha'!$T:$T,'[1]Facturacion a Fecha'!$AY:$AY,Tabla1[[#This Row],[Cliente]],'[1]Facturacion a Fecha'!$AX:$AX,"Preventivo")</f>
        <v>0</v>
      </c>
      <c r="G106" s="25">
        <f>+COUNTIFS('[1]Facturacion a Fecha'!AY:AY,Tabla1[[#This Row],[Cliente]],'[1]Facturacion a Fecha'!AX:AX,"Preventivo")</f>
        <v>0</v>
      </c>
      <c r="H106" s="26">
        <f>+Tabla1[[#This Row],['# Preventivo]]+Tabla1[[#This Row],['# Correctivo]]</f>
        <v>0</v>
      </c>
      <c r="I106" s="23">
        <f>+IFERROR(Tabla1[[#This Row],[Ingreso 2025 - 2026 Correctivo]]/Tabla1[[#This Row],[Ingreso 2025 - 2026 Preventivo]],0)</f>
        <v>0</v>
      </c>
      <c r="J106" s="59">
        <f>+IFERROR(Tabla1[[#This Row],['# Correctivo]]/Tabla1[[#This Row],['# Preventivo]],0)</f>
        <v>0</v>
      </c>
      <c r="K106" s="60">
        <f>+IFERROR(Tabla1[[#This Row],[Ingreso 2025 - 2026 Preventivo]]/(Tabla1[[#This Row],[Ingreso 2025 - 2026 Correctivo]]+Tabla1[[#This Row],[Ingreso 2025 - 2026 Preventivo]]),0)</f>
        <v>0</v>
      </c>
      <c r="L106" s="60">
        <f>1-Tabla1[[#This Row],[% Preventivo $]]</f>
        <v>1</v>
      </c>
      <c r="M106" s="45">
        <f>+COUNTIFS('[1]Base Instalada'!AA:AA,Tabla1[[#This Row],[Cliente]])</f>
        <v>7</v>
      </c>
      <c r="N10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6" s="45">
        <f>+COUNTIFS('[1]Base Instalada'!AA:AA,Tabla1[[#This Row],[Cliente]],'[1]Base Instalada'!Z:Z,"ESTERILIZACIÓN")</f>
        <v>7</v>
      </c>
      <c r="P106" s="45">
        <f>+COUNTIFS('[1]Base Instalada'!AA:AA,Tabla1[[#This Row],[Cliente]],'[1]Base Instalada'!Z:Z,"DENTAL")</f>
        <v>0</v>
      </c>
      <c r="Q106" s="45">
        <f>+COUNTIFS('[1]Base Instalada'!AA:AA,Tabla1[[#This Row],[Cliente]],'[1]Base Instalada'!Z:Z,"ENDOSCOPÍA")</f>
        <v>0</v>
      </c>
      <c r="R106" s="45">
        <f>+COUNTIFS('[1]Base Instalada'!AA:AA,Tabla1[[#This Row],[Cliente]],'[1]Base Instalada'!Z:Z,"INCARDIA")</f>
        <v>0</v>
      </c>
      <c r="S106" s="45">
        <f>+COUNTIFS('[1]Base Instalada'!AA:AA,Tabla1[[#This Row],[Cliente]],'[1]Base Instalada'!Z:Z,"MMQ")</f>
        <v>0</v>
      </c>
      <c r="T106" s="45">
        <f>+COUNTIFS('[1]Base Instalada'!AA:AA,Tabla1[[#This Row],[Cliente]],'[1]Base Instalada'!Z:Z,"REAS")</f>
        <v>0</v>
      </c>
      <c r="U106" s="46">
        <f>+COUNTIFS('[1]Base Instalada'!AA:AA,Tabla1[[#This Row],[Cliente]],'[1]Base Instalada'!Z:Z,"MOBILIARIO CLINICO")</f>
        <v>0</v>
      </c>
      <c r="V106" s="29">
        <f>+COUNTIFS('[1]Base Instalada'!AA:AA,Tabla1[[#This Row],[Cliente]],'[1]Base Instalada'!Z:Z,"OTRO")</f>
        <v>0</v>
      </c>
      <c r="W106" s="61" t="str">
        <f t="shared" si="4"/>
        <v>Región Los Lagos</v>
      </c>
      <c r="X106" s="61" t="str">
        <f t="shared" si="5"/>
        <v>Puerto Octay</v>
      </c>
      <c r="Y106" s="62" t="s">
        <v>247</v>
      </c>
      <c r="Z106" s="33">
        <f>+COUNTIFS('[1]Pipeline TS'!$F:$F,Tabla1[[#This Row],[Cliente]])</f>
        <v>0</v>
      </c>
      <c r="AA106" s="63">
        <f>SUMIFS('[1]Pipeline Esterilización'!M:M,'[1]Pipeline Esterilización'!E:E,Tabla1[[#This Row],[Cliente]],'[1]Pipeline Esterilización'!B:B,"2026",'[1]Pipeline Esterilización'!L:L,"&gt;0")</f>
        <v>0</v>
      </c>
      <c r="AB106" s="33">
        <f>+SUMIFS('[1]Pipeline Endoscopía'!K:K,'[1]Pipeline Endoscopía'!E:E,Tabla1[[#This Row],[Cliente]],'[1]Pipeline Endoscopía'!B:B,"2026",'[1]Pipeline Endoscopía'!J:J,"&gt;0")</f>
        <v>0</v>
      </c>
      <c r="AC106" s="63">
        <f>+SUMIFS('[1]Pipeline Dental'!K:K,'[1]Pipeline Dental'!E:E,Tabla1[[#This Row],[Cliente]],'[1]Pipeline Dental'!B:B,"2026",'[1]Pipeline Dental'!J:J,"&gt;0")</f>
        <v>0</v>
      </c>
      <c r="AD106" s="64">
        <f>+SUMIFS('[1]Pipeline TS'!$AB:$AB,'[1]Pipeline TS'!$F:$F,Tabla1[[#This Row],[Cliente]])</f>
        <v>0</v>
      </c>
      <c r="AE106" s="65">
        <f>+SUM(Tabla1[[#This Row],[Pipeline 2026 $MM ESTERILIZACIÓN]:[Pipeline 2026 $MM TECSERVICE]])</f>
        <v>0</v>
      </c>
      <c r="AF106" s="43">
        <v>-40.973090631764997</v>
      </c>
      <c r="AG106" s="58">
        <v>-72.882791236964593</v>
      </c>
      <c r="AH106" s="57" t="str">
        <f>+IF(Tabla1[[#This Row],['# Contratos Vigentes ]]&gt;0,"SI","NO")</f>
        <v>NO</v>
      </c>
      <c r="AI106" s="66"/>
      <c r="AJ106" s="67">
        <f>+Tabla1[[#This Row],[Ingreso 2025 - 2026]]*Tabla1[[#This Row],[% Costo Serv. Directo]]</f>
        <v>0</v>
      </c>
      <c r="AK106" s="68"/>
      <c r="AL10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13979000</v>
      </c>
      <c r="AN106" s="42">
        <f>+Tabla1[[#This Row],[Potencial Equipos]]+Tabla1[[#This Row],[Potencial Pipeline]]</f>
        <v>13979000</v>
      </c>
    </row>
    <row r="107" spans="1:40" ht="15.75" x14ac:dyDescent="0.25">
      <c r="A107" s="47" t="s">
        <v>248</v>
      </c>
      <c r="B107" t="str">
        <f>+VLOOKUP(Tabla1[[#This Row],[Cliente]],'[1]Público Privado'!$A$1:$B$325,2,FALSE)</f>
        <v>Público</v>
      </c>
      <c r="C107" s="23">
        <f>+SUMIFS('[1]Facturacion a Fecha'!$T:$T,'[1]Facturacion a Fecha'!$AY:$AY,Tabla1[[#This Row],[Cliente]])</f>
        <v>0</v>
      </c>
      <c r="D107" s="24">
        <f>+SUMIFS('[1]Facturacion a Fecha'!$T:$T,'[1]Facturacion a Fecha'!$AY:$AY,Tabla1[[#This Row],[Cliente]],'[1]Facturacion a Fecha'!$AX:$AX,"Correctivo")</f>
        <v>0</v>
      </c>
      <c r="E107" s="25">
        <f>+COUNTIFS('[1]Facturacion a Fecha'!AY:AY,Tabla1[[#This Row],[Cliente]],'[1]Facturacion a Fecha'!AX:AX,"Correctivo")</f>
        <v>0</v>
      </c>
      <c r="F107" s="25">
        <f>+SUMIFS('[1]Facturacion a Fecha'!$T:$T,'[1]Facturacion a Fecha'!$AY:$AY,Tabla1[[#This Row],[Cliente]],'[1]Facturacion a Fecha'!$AX:$AX,"Preventivo")</f>
        <v>0</v>
      </c>
      <c r="G107" s="25">
        <f>+COUNTIFS('[1]Facturacion a Fecha'!AY:AY,Tabla1[[#This Row],[Cliente]],'[1]Facturacion a Fecha'!AX:AX,"Preventivo")</f>
        <v>0</v>
      </c>
      <c r="H107" s="26">
        <f>+Tabla1[[#This Row],['# Preventivo]]+Tabla1[[#This Row],['# Correctivo]]</f>
        <v>0</v>
      </c>
      <c r="I107" s="23">
        <f>+IFERROR(Tabla1[[#This Row],[Ingreso 2025 - 2026 Correctivo]]/Tabla1[[#This Row],[Ingreso 2025 - 2026 Preventivo]],0)</f>
        <v>0</v>
      </c>
      <c r="J107" s="59">
        <f>+IFERROR(Tabla1[[#This Row],['# Correctivo]]/Tabla1[[#This Row],['# Preventivo]],0)</f>
        <v>0</v>
      </c>
      <c r="K107" s="60">
        <f>+IFERROR(Tabla1[[#This Row],[Ingreso 2025 - 2026 Preventivo]]/(Tabla1[[#This Row],[Ingreso 2025 - 2026 Correctivo]]+Tabla1[[#This Row],[Ingreso 2025 - 2026 Preventivo]]),0)</f>
        <v>0</v>
      </c>
      <c r="L107" s="60">
        <f>1-Tabla1[[#This Row],[% Preventivo $]]</f>
        <v>1</v>
      </c>
      <c r="M107" s="45">
        <f>+COUNTIFS('[1]Base Instalada'!AA:AA,Tabla1[[#This Row],[Cliente]])</f>
        <v>15</v>
      </c>
      <c r="N10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7" s="45">
        <f>+COUNTIFS('[1]Base Instalada'!AA:AA,Tabla1[[#This Row],[Cliente]],'[1]Base Instalada'!Z:Z,"ESTERILIZACIÓN")</f>
        <v>3</v>
      </c>
      <c r="P107" s="45">
        <f>+COUNTIFS('[1]Base Instalada'!AA:AA,Tabla1[[#This Row],[Cliente]],'[1]Base Instalada'!Z:Z,"DENTAL")</f>
        <v>12</v>
      </c>
      <c r="Q107" s="45">
        <f>+COUNTIFS('[1]Base Instalada'!AA:AA,Tabla1[[#This Row],[Cliente]],'[1]Base Instalada'!Z:Z,"ENDOSCOPÍA")</f>
        <v>0</v>
      </c>
      <c r="R107" s="45">
        <f>+COUNTIFS('[1]Base Instalada'!AA:AA,Tabla1[[#This Row],[Cliente]],'[1]Base Instalada'!Z:Z,"INCARDIA")</f>
        <v>0</v>
      </c>
      <c r="S107" s="45">
        <f>+COUNTIFS('[1]Base Instalada'!AA:AA,Tabla1[[#This Row],[Cliente]],'[1]Base Instalada'!Z:Z,"MMQ")</f>
        <v>0</v>
      </c>
      <c r="T107" s="45">
        <f>+COUNTIFS('[1]Base Instalada'!AA:AA,Tabla1[[#This Row],[Cliente]],'[1]Base Instalada'!Z:Z,"REAS")</f>
        <v>0</v>
      </c>
      <c r="U107" s="46">
        <f>+COUNTIFS('[1]Base Instalada'!AA:AA,Tabla1[[#This Row],[Cliente]],'[1]Base Instalada'!Z:Z,"MOBILIARIO CLINICO")</f>
        <v>0</v>
      </c>
      <c r="V107" s="29">
        <f>+COUNTIFS('[1]Base Instalada'!AA:AA,Tabla1[[#This Row],[Cliente]],'[1]Base Instalada'!Z:Z,"OTRO")</f>
        <v>0</v>
      </c>
      <c r="W107" s="61" t="str">
        <f t="shared" si="4"/>
        <v>Región Maule</v>
      </c>
      <c r="X107" s="61" t="str">
        <f t="shared" si="5"/>
        <v>Longaví</v>
      </c>
      <c r="Y107" s="62" t="s">
        <v>249</v>
      </c>
      <c r="Z107" s="33">
        <f>+COUNTIFS('[1]Pipeline TS'!$F:$F,Tabla1[[#This Row],[Cliente]])</f>
        <v>0</v>
      </c>
      <c r="AA107" s="63">
        <f>SUMIFS('[1]Pipeline Esterilización'!M:M,'[1]Pipeline Esterilización'!E:E,Tabla1[[#This Row],[Cliente]],'[1]Pipeline Esterilización'!B:B,"2026",'[1]Pipeline Esterilización'!L:L,"&gt;0")</f>
        <v>0</v>
      </c>
      <c r="AB107" s="33">
        <f>+SUMIFS('[1]Pipeline Endoscopía'!K:K,'[1]Pipeline Endoscopía'!E:E,Tabla1[[#This Row],[Cliente]],'[1]Pipeline Endoscopía'!B:B,"2026",'[1]Pipeline Endoscopía'!J:J,"&gt;0")</f>
        <v>0</v>
      </c>
      <c r="AC107" s="63">
        <f>+SUMIFS('[1]Pipeline Dental'!K:K,'[1]Pipeline Dental'!E:E,Tabla1[[#This Row],[Cliente]],'[1]Pipeline Dental'!B:B,"2026",'[1]Pipeline Dental'!J:J,"&gt;0")</f>
        <v>0</v>
      </c>
      <c r="AD107" s="64">
        <f>+SUMIFS('[1]Pipeline TS'!$AB:$AB,'[1]Pipeline TS'!$F:$F,Tabla1[[#This Row],[Cliente]])</f>
        <v>0</v>
      </c>
      <c r="AE107" s="65">
        <f>+SUM(Tabla1[[#This Row],[Pipeline 2026 $MM ESTERILIZACIÓN]:[Pipeline 2026 $MM TECSERVICE]])</f>
        <v>0</v>
      </c>
      <c r="AF107" s="43">
        <v>-35.968283112777897</v>
      </c>
      <c r="AG107" s="58">
        <v>-71.684984965619506</v>
      </c>
      <c r="AH107" s="57" t="str">
        <f>+IF(Tabla1[[#This Row],['# Contratos Vigentes ]]&gt;0,"SI","NO")</f>
        <v>NO</v>
      </c>
      <c r="AI107" s="66"/>
      <c r="AJ107" s="67">
        <f>+Tabla1[[#This Row],[Ingreso 2025 - 2026]]*Tabla1[[#This Row],[% Costo Serv. Directo]]</f>
        <v>0</v>
      </c>
      <c r="AK107" s="68"/>
      <c r="AL10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13180200</v>
      </c>
      <c r="AN107" s="42">
        <f>+Tabla1[[#This Row],[Potencial Equipos]]+Tabla1[[#This Row],[Potencial Pipeline]]</f>
        <v>13180200</v>
      </c>
    </row>
    <row r="108" spans="1:40" ht="15.75" x14ac:dyDescent="0.25">
      <c r="A108" s="47" t="s">
        <v>250</v>
      </c>
      <c r="B108" t="str">
        <f>+VLOOKUP(Tabla1[[#This Row],[Cliente]],'[1]Público Privado'!$A$1:$B$325,2,FALSE)</f>
        <v>Privado</v>
      </c>
      <c r="C108" s="23">
        <f>+SUMIFS('[1]Facturacion a Fecha'!$T:$T,'[1]Facturacion a Fecha'!$AY:$AY,Tabla1[[#This Row],[Cliente]])</f>
        <v>0</v>
      </c>
      <c r="D108" s="24">
        <f>+SUMIFS('[1]Facturacion a Fecha'!$T:$T,'[1]Facturacion a Fecha'!$AY:$AY,Tabla1[[#This Row],[Cliente]],'[1]Facturacion a Fecha'!$AX:$AX,"Correctivo")</f>
        <v>0</v>
      </c>
      <c r="E108" s="25">
        <f>+COUNTIFS('[1]Facturacion a Fecha'!AY:AY,Tabla1[[#This Row],[Cliente]],'[1]Facturacion a Fecha'!AX:AX,"Correctivo")</f>
        <v>0</v>
      </c>
      <c r="F108" s="25">
        <f>+SUMIFS('[1]Facturacion a Fecha'!$T:$T,'[1]Facturacion a Fecha'!$AY:$AY,Tabla1[[#This Row],[Cliente]],'[1]Facturacion a Fecha'!$AX:$AX,"Preventivo")</f>
        <v>0</v>
      </c>
      <c r="G108" s="25">
        <f>+COUNTIFS('[1]Facturacion a Fecha'!AY:AY,Tabla1[[#This Row],[Cliente]],'[1]Facturacion a Fecha'!AX:AX,"Preventivo")</f>
        <v>0</v>
      </c>
      <c r="H108" s="26">
        <f>+Tabla1[[#This Row],['# Preventivo]]+Tabla1[[#This Row],['# Correctivo]]</f>
        <v>0</v>
      </c>
      <c r="I108" s="23">
        <f>+IFERROR(Tabla1[[#This Row],[Ingreso 2025 - 2026 Correctivo]]/Tabla1[[#This Row],[Ingreso 2025 - 2026 Preventivo]],0)</f>
        <v>0</v>
      </c>
      <c r="J108" s="59">
        <f>+IFERROR(Tabla1[[#This Row],['# Correctivo]]/Tabla1[[#This Row],['# Preventivo]],0)</f>
        <v>0</v>
      </c>
      <c r="K108" s="60">
        <f>+IFERROR(Tabla1[[#This Row],[Ingreso 2025 - 2026 Preventivo]]/(Tabla1[[#This Row],[Ingreso 2025 - 2026 Correctivo]]+Tabla1[[#This Row],[Ingreso 2025 - 2026 Preventivo]]),0)</f>
        <v>0</v>
      </c>
      <c r="L108" s="60">
        <f>1-Tabla1[[#This Row],[% Preventivo $]]</f>
        <v>1</v>
      </c>
      <c r="M108" s="45">
        <f>+COUNTIFS('[1]Base Instalada'!AA:AA,Tabla1[[#This Row],[Cliente]])</f>
        <v>22</v>
      </c>
      <c r="N10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8" s="45">
        <f>+COUNTIFS('[1]Base Instalada'!AA:AA,Tabla1[[#This Row],[Cliente]],'[1]Base Instalada'!Z:Z,"ESTERILIZACIÓN")</f>
        <v>8</v>
      </c>
      <c r="P108" s="45">
        <f>+COUNTIFS('[1]Base Instalada'!AA:AA,Tabla1[[#This Row],[Cliente]],'[1]Base Instalada'!Z:Z,"DENTAL")</f>
        <v>14</v>
      </c>
      <c r="Q108" s="45">
        <f>+COUNTIFS('[1]Base Instalada'!AA:AA,Tabla1[[#This Row],[Cliente]],'[1]Base Instalada'!Z:Z,"ENDOSCOPÍA")</f>
        <v>0</v>
      </c>
      <c r="R108" s="45">
        <f>+COUNTIFS('[1]Base Instalada'!AA:AA,Tabla1[[#This Row],[Cliente]],'[1]Base Instalada'!Z:Z,"INCARDIA")</f>
        <v>0</v>
      </c>
      <c r="S108" s="45">
        <f>+COUNTIFS('[1]Base Instalada'!AA:AA,Tabla1[[#This Row],[Cliente]],'[1]Base Instalada'!Z:Z,"MMQ")</f>
        <v>0</v>
      </c>
      <c r="T108" s="45">
        <f>+COUNTIFS('[1]Base Instalada'!AA:AA,Tabla1[[#This Row],[Cliente]],'[1]Base Instalada'!Z:Z,"REAS")</f>
        <v>0</v>
      </c>
      <c r="U108" s="46">
        <f>+COUNTIFS('[1]Base Instalada'!AA:AA,Tabla1[[#This Row],[Cliente]],'[1]Base Instalada'!Z:Z,"MOBILIARIO CLINICO")</f>
        <v>0</v>
      </c>
      <c r="V108" s="29">
        <f>+COUNTIFS('[1]Base Instalada'!AA:AA,Tabla1[[#This Row],[Cliente]],'[1]Base Instalada'!Z:Z,"OTRO")</f>
        <v>0</v>
      </c>
      <c r="W108" s="61" t="str">
        <f t="shared" si="4"/>
        <v>Región Metropolitana</v>
      </c>
      <c r="X108" s="61" t="str">
        <f t="shared" si="5"/>
        <v>Santiago</v>
      </c>
      <c r="Y108" s="62" t="s">
        <v>251</v>
      </c>
      <c r="Z108" s="33">
        <f>+COUNTIFS('[1]Pipeline TS'!$F:$F,Tabla1[[#This Row],[Cliente]])</f>
        <v>0</v>
      </c>
      <c r="AA108" s="63">
        <f>SUMIFS('[1]Pipeline Esterilización'!M:M,'[1]Pipeline Esterilización'!E:E,Tabla1[[#This Row],[Cliente]],'[1]Pipeline Esterilización'!B:B,"2026",'[1]Pipeline Esterilización'!L:L,"&gt;0")</f>
        <v>0</v>
      </c>
      <c r="AB108" s="33">
        <f>+SUMIFS('[1]Pipeline Endoscopía'!K:K,'[1]Pipeline Endoscopía'!E:E,Tabla1[[#This Row],[Cliente]],'[1]Pipeline Endoscopía'!B:B,"2026",'[1]Pipeline Endoscopía'!J:J,"&gt;0")</f>
        <v>0</v>
      </c>
      <c r="AC108" s="63">
        <f>+SUMIFS('[1]Pipeline Dental'!K:K,'[1]Pipeline Dental'!E:E,Tabla1[[#This Row],[Cliente]],'[1]Pipeline Dental'!B:B,"2026",'[1]Pipeline Dental'!J:J,"&gt;0")</f>
        <v>0</v>
      </c>
      <c r="AD108" s="64">
        <f>+SUMIFS('[1]Pipeline TS'!$AB:$AB,'[1]Pipeline TS'!$F:$F,Tabla1[[#This Row],[Cliente]])</f>
        <v>0</v>
      </c>
      <c r="AE108" s="65">
        <f>+SUM(Tabla1[[#This Row],[Pipeline 2026 $MM ESTERILIZACIÓN]:[Pipeline 2026 $MM TECSERVICE]])</f>
        <v>0</v>
      </c>
      <c r="AF108" s="43">
        <v>-33.444066746241802</v>
      </c>
      <c r="AG108" s="58">
        <v>-70.650784876963598</v>
      </c>
      <c r="AH108" s="57" t="str">
        <f>+IF(Tabla1[[#This Row],['# Contratos Vigentes ]]&gt;0,"SI","NO")</f>
        <v>NO</v>
      </c>
      <c r="AI108" s="66"/>
      <c r="AJ108" s="67">
        <f>+Tabla1[[#This Row],[Ingreso 2025 - 2026]]*Tabla1[[#This Row],[% Costo Serv. Directo]]</f>
        <v>0</v>
      </c>
      <c r="AK108" s="68"/>
      <c r="AL10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24363400</v>
      </c>
      <c r="AN108" s="42">
        <f>+Tabla1[[#This Row],[Potencial Equipos]]+Tabla1[[#This Row],[Potencial Pipeline]]</f>
        <v>24363400</v>
      </c>
    </row>
    <row r="109" spans="1:40" ht="15.75" x14ac:dyDescent="0.25">
      <c r="A109" s="47" t="s">
        <v>252</v>
      </c>
      <c r="B109" t="str">
        <f>+VLOOKUP(Tabla1[[#This Row],[Cliente]],'[1]Público Privado'!$A$1:$B$325,2,FALSE)</f>
        <v>Público</v>
      </c>
      <c r="C109" s="23">
        <f>+SUMIFS('[1]Facturacion a Fecha'!$T:$T,'[1]Facturacion a Fecha'!$AY:$AY,Tabla1[[#This Row],[Cliente]])</f>
        <v>0</v>
      </c>
      <c r="D109" s="24">
        <f>+SUMIFS('[1]Facturacion a Fecha'!$T:$T,'[1]Facturacion a Fecha'!$AY:$AY,Tabla1[[#This Row],[Cliente]],'[1]Facturacion a Fecha'!$AX:$AX,"Correctivo")</f>
        <v>0</v>
      </c>
      <c r="E109" s="25">
        <f>+COUNTIFS('[1]Facturacion a Fecha'!AY:AY,Tabla1[[#This Row],[Cliente]],'[1]Facturacion a Fecha'!AX:AX,"Correctivo")</f>
        <v>0</v>
      </c>
      <c r="F109" s="25">
        <f>+SUMIFS('[1]Facturacion a Fecha'!$T:$T,'[1]Facturacion a Fecha'!$AY:$AY,Tabla1[[#This Row],[Cliente]],'[1]Facturacion a Fecha'!$AX:$AX,"Preventivo")</f>
        <v>0</v>
      </c>
      <c r="G109" s="25">
        <f>+COUNTIFS('[1]Facturacion a Fecha'!AY:AY,Tabla1[[#This Row],[Cliente]],'[1]Facturacion a Fecha'!AX:AX,"Preventivo")</f>
        <v>0</v>
      </c>
      <c r="H109" s="26">
        <f>+Tabla1[[#This Row],['# Preventivo]]+Tabla1[[#This Row],['# Correctivo]]</f>
        <v>0</v>
      </c>
      <c r="I109" s="23">
        <f>+IFERROR(Tabla1[[#This Row],[Ingreso 2025 - 2026 Correctivo]]/Tabla1[[#This Row],[Ingreso 2025 - 2026 Preventivo]],0)</f>
        <v>0</v>
      </c>
      <c r="J109" s="59">
        <f>+IFERROR(Tabla1[[#This Row],['# Correctivo]]/Tabla1[[#This Row],['# Preventivo]],0)</f>
        <v>0</v>
      </c>
      <c r="K109" s="60">
        <f>+IFERROR(Tabla1[[#This Row],[Ingreso 2025 - 2026 Preventivo]]/(Tabla1[[#This Row],[Ingreso 2025 - 2026 Correctivo]]+Tabla1[[#This Row],[Ingreso 2025 - 2026 Preventivo]]),0)</f>
        <v>0</v>
      </c>
      <c r="L109" s="60">
        <f>1-Tabla1[[#This Row],[% Preventivo $]]</f>
        <v>1</v>
      </c>
      <c r="M109" s="45">
        <f>+COUNTIFS('[1]Base Instalada'!AA:AA,Tabla1[[#This Row],[Cliente]])</f>
        <v>65</v>
      </c>
      <c r="N10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09" s="45">
        <f>+COUNTIFS('[1]Base Instalada'!AA:AA,Tabla1[[#This Row],[Cliente]],'[1]Base Instalada'!Z:Z,"ESTERILIZACIÓN")</f>
        <v>4</v>
      </c>
      <c r="P109" s="45">
        <f>+COUNTIFS('[1]Base Instalada'!AA:AA,Tabla1[[#This Row],[Cliente]],'[1]Base Instalada'!Z:Z,"DENTAL")</f>
        <v>3</v>
      </c>
      <c r="Q109" s="45">
        <f>+COUNTIFS('[1]Base Instalada'!AA:AA,Tabla1[[#This Row],[Cliente]],'[1]Base Instalada'!Z:Z,"ENDOSCOPÍA")</f>
        <v>0</v>
      </c>
      <c r="R109" s="45">
        <f>+COUNTIFS('[1]Base Instalada'!AA:AA,Tabla1[[#This Row],[Cliente]],'[1]Base Instalada'!Z:Z,"INCARDIA")</f>
        <v>0</v>
      </c>
      <c r="S109" s="45">
        <f>+COUNTIFS('[1]Base Instalada'!AA:AA,Tabla1[[#This Row],[Cliente]],'[1]Base Instalada'!Z:Z,"MMQ")</f>
        <v>0</v>
      </c>
      <c r="T109" s="45">
        <f>+COUNTIFS('[1]Base Instalada'!AA:AA,Tabla1[[#This Row],[Cliente]],'[1]Base Instalada'!Z:Z,"REAS")</f>
        <v>0</v>
      </c>
      <c r="U109" s="46">
        <f>+COUNTIFS('[1]Base Instalada'!AA:AA,Tabla1[[#This Row],[Cliente]],'[1]Base Instalada'!Z:Z,"MOBILIARIO CLINICO")</f>
        <v>58</v>
      </c>
      <c r="V109" s="29">
        <f>+COUNTIFS('[1]Base Instalada'!AA:AA,Tabla1[[#This Row],[Cliente]],'[1]Base Instalada'!Z:Z,"OTRO")</f>
        <v>0</v>
      </c>
      <c r="W109" s="61" t="str">
        <f t="shared" si="4"/>
        <v>Región Araucanía</v>
      </c>
      <c r="X109" s="61" t="str">
        <f t="shared" si="5"/>
        <v>Traiguén</v>
      </c>
      <c r="Y109" s="62" t="s">
        <v>253</v>
      </c>
      <c r="Z109" s="33">
        <f>+COUNTIFS('[1]Pipeline TS'!$F:$F,Tabla1[[#This Row],[Cliente]])</f>
        <v>0</v>
      </c>
      <c r="AA109" s="63">
        <f>SUMIFS('[1]Pipeline Esterilización'!M:M,'[1]Pipeline Esterilización'!E:E,Tabla1[[#This Row],[Cliente]],'[1]Pipeline Esterilización'!B:B,"2026",'[1]Pipeline Esterilización'!L:L,"&gt;0")</f>
        <v>0</v>
      </c>
      <c r="AB109" s="33">
        <f>+SUMIFS('[1]Pipeline Endoscopía'!K:K,'[1]Pipeline Endoscopía'!E:E,Tabla1[[#This Row],[Cliente]],'[1]Pipeline Endoscopía'!B:B,"2026",'[1]Pipeline Endoscopía'!J:J,"&gt;0")</f>
        <v>0</v>
      </c>
      <c r="AC109" s="63">
        <f>+SUMIFS('[1]Pipeline Dental'!K:K,'[1]Pipeline Dental'!E:E,Tabla1[[#This Row],[Cliente]],'[1]Pipeline Dental'!B:B,"2026",'[1]Pipeline Dental'!J:J,"&gt;0")</f>
        <v>0</v>
      </c>
      <c r="AD109" s="64">
        <f>+SUMIFS('[1]Pipeline TS'!$AB:$AB,'[1]Pipeline TS'!$F:$F,Tabla1[[#This Row],[Cliente]])</f>
        <v>0</v>
      </c>
      <c r="AE109" s="65">
        <f>+SUM(Tabla1[[#This Row],[Pipeline 2026 $MM ESTERILIZACIÓN]:[Pipeline 2026 $MM TECSERVICE]])</f>
        <v>0</v>
      </c>
      <c r="AF109" s="43">
        <v>-38.242827566148598</v>
      </c>
      <c r="AG109" s="58">
        <v>-72.671752695362798</v>
      </c>
      <c r="AH109" s="57" t="str">
        <f>+IF(Tabla1[[#This Row],['# Contratos Vigentes ]]&gt;0,"SI","NO")</f>
        <v>NO</v>
      </c>
      <c r="AI109" s="66"/>
      <c r="AJ109" s="67">
        <f>+Tabla1[[#This Row],[Ingreso 2025 - 2026]]*Tabla1[[#This Row],[% Costo Serv. Directo]]</f>
        <v>0</v>
      </c>
      <c r="AK109" s="68"/>
      <c r="AL10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0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9785300</v>
      </c>
      <c r="AN109" s="42">
        <f>+Tabla1[[#This Row],[Potencial Equipos]]+Tabla1[[#This Row],[Potencial Pipeline]]</f>
        <v>9785300</v>
      </c>
    </row>
    <row r="110" spans="1:40" ht="15.75" x14ac:dyDescent="0.25">
      <c r="A110" s="47" t="s">
        <v>254</v>
      </c>
      <c r="B110" t="str">
        <f>+VLOOKUP(Tabla1[[#This Row],[Cliente]],'[1]Público Privado'!$A$1:$B$325,2,FALSE)</f>
        <v>Público</v>
      </c>
      <c r="C110" s="23">
        <f>+SUMIFS('[1]Facturacion a Fecha'!$T:$T,'[1]Facturacion a Fecha'!$AY:$AY,Tabla1[[#This Row],[Cliente]])</f>
        <v>0</v>
      </c>
      <c r="D110" s="24">
        <f>+SUMIFS('[1]Facturacion a Fecha'!$T:$T,'[1]Facturacion a Fecha'!$AY:$AY,Tabla1[[#This Row],[Cliente]],'[1]Facturacion a Fecha'!$AX:$AX,"Correctivo")</f>
        <v>0</v>
      </c>
      <c r="E110" s="25">
        <f>+COUNTIFS('[1]Facturacion a Fecha'!AY:AY,Tabla1[[#This Row],[Cliente]],'[1]Facturacion a Fecha'!AX:AX,"Correctivo")</f>
        <v>0</v>
      </c>
      <c r="F110" s="25">
        <f>+SUMIFS('[1]Facturacion a Fecha'!$T:$T,'[1]Facturacion a Fecha'!$AY:$AY,Tabla1[[#This Row],[Cliente]],'[1]Facturacion a Fecha'!$AX:$AX,"Preventivo")</f>
        <v>0</v>
      </c>
      <c r="G110" s="25">
        <f>+COUNTIFS('[1]Facturacion a Fecha'!AY:AY,Tabla1[[#This Row],[Cliente]],'[1]Facturacion a Fecha'!AX:AX,"Preventivo")</f>
        <v>0</v>
      </c>
      <c r="H110" s="26">
        <f>+Tabla1[[#This Row],['# Preventivo]]+Tabla1[[#This Row],['# Correctivo]]</f>
        <v>0</v>
      </c>
      <c r="I110" s="23">
        <f>+IFERROR(Tabla1[[#This Row],[Ingreso 2025 - 2026 Correctivo]]/Tabla1[[#This Row],[Ingreso 2025 - 2026 Preventivo]],0)</f>
        <v>0</v>
      </c>
      <c r="J110" s="59">
        <f>+IFERROR(Tabla1[[#This Row],['# Correctivo]]/Tabla1[[#This Row],['# Preventivo]],0)</f>
        <v>0</v>
      </c>
      <c r="K110" s="60">
        <f>+IFERROR(Tabla1[[#This Row],[Ingreso 2025 - 2026 Preventivo]]/(Tabla1[[#This Row],[Ingreso 2025 - 2026 Correctivo]]+Tabla1[[#This Row],[Ingreso 2025 - 2026 Preventivo]]),0)</f>
        <v>0</v>
      </c>
      <c r="L110" s="60">
        <f>1-Tabla1[[#This Row],[% Preventivo $]]</f>
        <v>1</v>
      </c>
      <c r="M110" s="45">
        <f>+COUNTIFS('[1]Base Instalada'!AA:AA,Tabla1[[#This Row],[Cliente]])</f>
        <v>6</v>
      </c>
      <c r="N11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0" s="45">
        <f>+COUNTIFS('[1]Base Instalada'!AA:AA,Tabla1[[#This Row],[Cliente]],'[1]Base Instalada'!Z:Z,"ESTERILIZACIÓN")</f>
        <v>4</v>
      </c>
      <c r="P110" s="45">
        <f>+COUNTIFS('[1]Base Instalada'!AA:AA,Tabla1[[#This Row],[Cliente]],'[1]Base Instalada'!Z:Z,"DENTAL")</f>
        <v>2</v>
      </c>
      <c r="Q110" s="45">
        <f>+COUNTIFS('[1]Base Instalada'!AA:AA,Tabla1[[#This Row],[Cliente]],'[1]Base Instalada'!Z:Z,"ENDOSCOPÍA")</f>
        <v>0</v>
      </c>
      <c r="R110" s="45">
        <f>+COUNTIFS('[1]Base Instalada'!AA:AA,Tabla1[[#This Row],[Cliente]],'[1]Base Instalada'!Z:Z,"INCARDIA")</f>
        <v>0</v>
      </c>
      <c r="S110" s="45">
        <f>+COUNTIFS('[1]Base Instalada'!AA:AA,Tabla1[[#This Row],[Cliente]],'[1]Base Instalada'!Z:Z,"MMQ")</f>
        <v>0</v>
      </c>
      <c r="T110" s="45">
        <f>+COUNTIFS('[1]Base Instalada'!AA:AA,Tabla1[[#This Row],[Cliente]],'[1]Base Instalada'!Z:Z,"REAS")</f>
        <v>0</v>
      </c>
      <c r="U110" s="46">
        <f>+COUNTIFS('[1]Base Instalada'!AA:AA,Tabla1[[#This Row],[Cliente]],'[1]Base Instalada'!Z:Z,"MOBILIARIO CLINICO")</f>
        <v>0</v>
      </c>
      <c r="V110" s="29">
        <f>+COUNTIFS('[1]Base Instalada'!AA:AA,Tabla1[[#This Row],[Cliente]],'[1]Base Instalada'!Z:Z,"OTRO")</f>
        <v>0</v>
      </c>
      <c r="W110" s="61" t="str">
        <f t="shared" si="4"/>
        <v>Región Maule</v>
      </c>
      <c r="X110" s="61" t="str">
        <f t="shared" si="5"/>
        <v>Yerbas Buenas</v>
      </c>
      <c r="Y110" s="62" t="s">
        <v>255</v>
      </c>
      <c r="Z110" s="33">
        <f>+COUNTIFS('[1]Pipeline TS'!$F:$F,Tabla1[[#This Row],[Cliente]])</f>
        <v>0</v>
      </c>
      <c r="AA110" s="63">
        <f>SUMIFS('[1]Pipeline Esterilización'!M:M,'[1]Pipeline Esterilización'!E:E,Tabla1[[#This Row],[Cliente]],'[1]Pipeline Esterilización'!B:B,"2026",'[1]Pipeline Esterilización'!L:L,"&gt;0")</f>
        <v>0</v>
      </c>
      <c r="AB110" s="33">
        <f>+SUMIFS('[1]Pipeline Endoscopía'!K:K,'[1]Pipeline Endoscopía'!E:E,Tabla1[[#This Row],[Cliente]],'[1]Pipeline Endoscopía'!B:B,"2026",'[1]Pipeline Endoscopía'!J:J,"&gt;0")</f>
        <v>0</v>
      </c>
      <c r="AC110" s="63">
        <f>+SUMIFS('[1]Pipeline Dental'!K:K,'[1]Pipeline Dental'!E:E,Tabla1[[#This Row],[Cliente]],'[1]Pipeline Dental'!B:B,"2026",'[1]Pipeline Dental'!J:J,"&gt;0")</f>
        <v>0</v>
      </c>
      <c r="AD110" s="64">
        <f>+SUMIFS('[1]Pipeline TS'!$AB:$AB,'[1]Pipeline TS'!$F:$F,Tabla1[[#This Row],[Cliente]])</f>
        <v>0</v>
      </c>
      <c r="AE110" s="65">
        <f>+SUM(Tabla1[[#This Row],[Pipeline 2026 $MM ESTERILIZACIÓN]:[Pipeline 2026 $MM TECSERVICE]])</f>
        <v>0</v>
      </c>
      <c r="AF110" s="43">
        <v>-35.751263454734399</v>
      </c>
      <c r="AG110" s="58">
        <v>-71.590298952096603</v>
      </c>
      <c r="AH110" s="57" t="str">
        <f>+IF(Tabla1[[#This Row],['# Contratos Vigentes ]]&gt;0,"SI","NO")</f>
        <v>NO</v>
      </c>
      <c r="AI110" s="66"/>
      <c r="AJ110" s="67">
        <f>+Tabla1[[#This Row],[Ingreso 2025 - 2026]]*Tabla1[[#This Row],[% Costo Serv. Directo]]</f>
        <v>0</v>
      </c>
      <c r="AK110" s="68"/>
      <c r="AL11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1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9186200</v>
      </c>
      <c r="AN110" s="42">
        <f>+Tabla1[[#This Row],[Potencial Equipos]]+Tabla1[[#This Row],[Potencial Pipeline]]</f>
        <v>9186200</v>
      </c>
    </row>
    <row r="111" spans="1:40" ht="15.75" x14ac:dyDescent="0.25">
      <c r="A111" s="47" t="s">
        <v>256</v>
      </c>
      <c r="B111" t="str">
        <f>+VLOOKUP(Tabla1[[#This Row],[Cliente]],'[1]Público Privado'!$A$1:$B$325,2,FALSE)</f>
        <v>Público</v>
      </c>
      <c r="C111" s="23">
        <f>+SUMIFS('[1]Facturacion a Fecha'!$T:$T,'[1]Facturacion a Fecha'!$AY:$AY,Tabla1[[#This Row],[Cliente]])</f>
        <v>0</v>
      </c>
      <c r="D111" s="24">
        <f>+SUMIFS('[1]Facturacion a Fecha'!$T:$T,'[1]Facturacion a Fecha'!$AY:$AY,Tabla1[[#This Row],[Cliente]],'[1]Facturacion a Fecha'!$AX:$AX,"Correctivo")</f>
        <v>0</v>
      </c>
      <c r="E111" s="25">
        <f>+COUNTIFS('[1]Facturacion a Fecha'!AY:AY,Tabla1[[#This Row],[Cliente]],'[1]Facturacion a Fecha'!AX:AX,"Correctivo")</f>
        <v>0</v>
      </c>
      <c r="F111" s="25">
        <f>+SUMIFS('[1]Facturacion a Fecha'!$T:$T,'[1]Facturacion a Fecha'!$AY:$AY,Tabla1[[#This Row],[Cliente]],'[1]Facturacion a Fecha'!$AX:$AX,"Preventivo")</f>
        <v>0</v>
      </c>
      <c r="G111" s="25">
        <f>+COUNTIFS('[1]Facturacion a Fecha'!AY:AY,Tabla1[[#This Row],[Cliente]],'[1]Facturacion a Fecha'!AX:AX,"Preventivo")</f>
        <v>0</v>
      </c>
      <c r="H111" s="26">
        <f>+Tabla1[[#This Row],['# Preventivo]]+Tabla1[[#This Row],['# Correctivo]]</f>
        <v>0</v>
      </c>
      <c r="I111" s="23">
        <f>+IFERROR(Tabla1[[#This Row],[Ingreso 2025 - 2026 Correctivo]]/Tabla1[[#This Row],[Ingreso 2025 - 2026 Preventivo]],0)</f>
        <v>0</v>
      </c>
      <c r="J111" s="59">
        <f>+IFERROR(Tabla1[[#This Row],['# Correctivo]]/Tabla1[[#This Row],['# Preventivo]],0)</f>
        <v>0</v>
      </c>
      <c r="K111" s="60">
        <f>+IFERROR(Tabla1[[#This Row],[Ingreso 2025 - 2026 Preventivo]]/(Tabla1[[#This Row],[Ingreso 2025 - 2026 Correctivo]]+Tabla1[[#This Row],[Ingreso 2025 - 2026 Preventivo]]),0)</f>
        <v>0</v>
      </c>
      <c r="L111" s="60">
        <f>1-Tabla1[[#This Row],[% Preventivo $]]</f>
        <v>1</v>
      </c>
      <c r="M111" s="45">
        <f>+COUNTIFS('[1]Base Instalada'!AA:AA,Tabla1[[#This Row],[Cliente]])</f>
        <v>7</v>
      </c>
      <c r="N11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1" s="45">
        <f>+COUNTIFS('[1]Base Instalada'!AA:AA,Tabla1[[#This Row],[Cliente]],'[1]Base Instalada'!Z:Z,"ESTERILIZACIÓN")</f>
        <v>5</v>
      </c>
      <c r="P111" s="45">
        <f>+COUNTIFS('[1]Base Instalada'!AA:AA,Tabla1[[#This Row],[Cliente]],'[1]Base Instalada'!Z:Z,"DENTAL")</f>
        <v>2</v>
      </c>
      <c r="Q111" s="45">
        <f>+COUNTIFS('[1]Base Instalada'!AA:AA,Tabla1[[#This Row],[Cliente]],'[1]Base Instalada'!Z:Z,"ENDOSCOPÍA")</f>
        <v>0</v>
      </c>
      <c r="R111" s="45">
        <f>+COUNTIFS('[1]Base Instalada'!AA:AA,Tabla1[[#This Row],[Cliente]],'[1]Base Instalada'!Z:Z,"INCARDIA")</f>
        <v>0</v>
      </c>
      <c r="S111" s="45">
        <f>+COUNTIFS('[1]Base Instalada'!AA:AA,Tabla1[[#This Row],[Cliente]],'[1]Base Instalada'!Z:Z,"MMQ")</f>
        <v>0</v>
      </c>
      <c r="T111" s="45">
        <f>+COUNTIFS('[1]Base Instalada'!AA:AA,Tabla1[[#This Row],[Cliente]],'[1]Base Instalada'!Z:Z,"REAS")</f>
        <v>0</v>
      </c>
      <c r="U111" s="46">
        <f>+COUNTIFS('[1]Base Instalada'!AA:AA,Tabla1[[#This Row],[Cliente]],'[1]Base Instalada'!Z:Z,"MOBILIARIO CLINICO")</f>
        <v>0</v>
      </c>
      <c r="V111" s="29">
        <f>+COUNTIFS('[1]Base Instalada'!AA:AA,Tabla1[[#This Row],[Cliente]],'[1]Base Instalada'!Z:Z,"OTRO")</f>
        <v>0</v>
      </c>
      <c r="W111" s="61" t="str">
        <f t="shared" si="4"/>
        <v>Región Bío Bío</v>
      </c>
      <c r="X111" s="61" t="str">
        <f t="shared" si="5"/>
        <v>Talcahuano</v>
      </c>
      <c r="Y111" s="62" t="s">
        <v>257</v>
      </c>
      <c r="Z111" s="33">
        <f>+COUNTIFS('[1]Pipeline TS'!$F:$F,Tabla1[[#This Row],[Cliente]])</f>
        <v>0</v>
      </c>
      <c r="AA111" s="63">
        <f>SUMIFS('[1]Pipeline Esterilización'!M:M,'[1]Pipeline Esterilización'!E:E,Tabla1[[#This Row],[Cliente]],'[1]Pipeline Esterilización'!B:B,"2026",'[1]Pipeline Esterilización'!L:L,"&gt;0")</f>
        <v>0</v>
      </c>
      <c r="AB111" s="33">
        <f>+SUMIFS('[1]Pipeline Endoscopía'!K:K,'[1]Pipeline Endoscopía'!E:E,Tabla1[[#This Row],[Cliente]],'[1]Pipeline Endoscopía'!B:B,"2026",'[1]Pipeline Endoscopía'!J:J,"&gt;0")</f>
        <v>0</v>
      </c>
      <c r="AC111" s="63">
        <f>+SUMIFS('[1]Pipeline Dental'!K:K,'[1]Pipeline Dental'!E:E,Tabla1[[#This Row],[Cliente]],'[1]Pipeline Dental'!B:B,"2026",'[1]Pipeline Dental'!J:J,"&gt;0")</f>
        <v>0</v>
      </c>
      <c r="AD111" s="64">
        <f>+SUMIFS('[1]Pipeline TS'!$AB:$AB,'[1]Pipeline TS'!$F:$F,Tabla1[[#This Row],[Cliente]])</f>
        <v>0</v>
      </c>
      <c r="AE111" s="65">
        <f>+SUM(Tabla1[[#This Row],[Pipeline 2026 $MM ESTERILIZACIÓN]:[Pipeline 2026 $MM TECSERVICE]])</f>
        <v>0</v>
      </c>
      <c r="AF111" s="43">
        <v>-36.714380871970299</v>
      </c>
      <c r="AG111" s="58">
        <v>-73.135096752939106</v>
      </c>
      <c r="AH111" s="57" t="str">
        <f>+IF(Tabla1[[#This Row],['# Contratos Vigentes ]]&gt;0,"SI","NO")</f>
        <v>NO</v>
      </c>
      <c r="AI111" s="66"/>
      <c r="AJ111" s="67">
        <f>+Tabla1[[#This Row],[Ingreso 2025 - 2026]]*Tabla1[[#This Row],[% Costo Serv. Directo]]</f>
        <v>0</v>
      </c>
      <c r="AK111" s="68"/>
      <c r="AL11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1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11183200</v>
      </c>
      <c r="AN111" s="42">
        <f>+Tabla1[[#This Row],[Potencial Equipos]]+Tabla1[[#This Row],[Potencial Pipeline]]</f>
        <v>11183200</v>
      </c>
    </row>
    <row r="112" spans="1:40" ht="15.75" x14ac:dyDescent="0.25">
      <c r="A112" s="47" t="s">
        <v>258</v>
      </c>
      <c r="B112" t="str">
        <f>+VLOOKUP(Tabla1[[#This Row],[Cliente]],'[1]Público Privado'!$A$1:$B$325,2,FALSE)</f>
        <v>Privado</v>
      </c>
      <c r="C112" s="23">
        <f>+SUMIFS('[1]Facturacion a Fecha'!$T:$T,'[1]Facturacion a Fecha'!$AY:$AY,Tabla1[[#This Row],[Cliente]])</f>
        <v>3947840</v>
      </c>
      <c r="D112" s="24">
        <f>+SUMIFS('[1]Facturacion a Fecha'!$T:$T,'[1]Facturacion a Fecha'!$AY:$AY,Tabla1[[#This Row],[Cliente]],'[1]Facturacion a Fecha'!$AX:$AX,"Correctivo")</f>
        <v>3947840</v>
      </c>
      <c r="E112" s="25">
        <f>+COUNTIFS('[1]Facturacion a Fecha'!AY:AY,Tabla1[[#This Row],[Cliente]],'[1]Facturacion a Fecha'!AX:AX,"Correctivo")</f>
        <v>5</v>
      </c>
      <c r="F112" s="25">
        <f>+SUMIFS('[1]Facturacion a Fecha'!$T:$T,'[1]Facturacion a Fecha'!$AY:$AY,Tabla1[[#This Row],[Cliente]],'[1]Facturacion a Fecha'!$AX:$AX,"Preventivo")</f>
        <v>0</v>
      </c>
      <c r="G112" s="25">
        <f>+COUNTIFS('[1]Facturacion a Fecha'!AY:AY,Tabla1[[#This Row],[Cliente]],'[1]Facturacion a Fecha'!AX:AX,"Preventivo")</f>
        <v>0</v>
      </c>
      <c r="H112" s="26">
        <f>+Tabla1[[#This Row],['# Preventivo]]+Tabla1[[#This Row],['# Correctivo]]</f>
        <v>5</v>
      </c>
      <c r="I112" s="23">
        <f>+IFERROR(Tabla1[[#This Row],[Ingreso 2025 - 2026 Correctivo]]/Tabla1[[#This Row],[Ingreso 2025 - 2026 Preventivo]],0)</f>
        <v>0</v>
      </c>
      <c r="J112" s="59">
        <f>+IFERROR(Tabla1[[#This Row],['# Correctivo]]/Tabla1[[#This Row],['# Preventivo]],0)</f>
        <v>0</v>
      </c>
      <c r="K112" s="60">
        <f>+IFERROR(Tabla1[[#This Row],[Ingreso 2025 - 2026 Preventivo]]/(Tabla1[[#This Row],[Ingreso 2025 - 2026 Correctivo]]+Tabla1[[#This Row],[Ingreso 2025 - 2026 Preventivo]]),0)</f>
        <v>0</v>
      </c>
      <c r="L112" s="60">
        <f>1-Tabla1[[#This Row],[% Preventivo $]]</f>
        <v>1</v>
      </c>
      <c r="M112" s="45">
        <f>+COUNTIFS('[1]Base Instalada'!AA:AA,Tabla1[[#This Row],[Cliente]])</f>
        <v>5</v>
      </c>
      <c r="N11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2" s="45">
        <f>+COUNTIFS('[1]Base Instalada'!AA:AA,Tabla1[[#This Row],[Cliente]],'[1]Base Instalada'!Z:Z,"ESTERILIZACIÓN")</f>
        <v>5</v>
      </c>
      <c r="P112" s="45">
        <f>+COUNTIFS('[1]Base Instalada'!AA:AA,Tabla1[[#This Row],[Cliente]],'[1]Base Instalada'!Z:Z,"DENTAL")</f>
        <v>0</v>
      </c>
      <c r="Q112" s="45">
        <f>+COUNTIFS('[1]Base Instalada'!AA:AA,Tabla1[[#This Row],[Cliente]],'[1]Base Instalada'!Z:Z,"ENDOSCOPÍA")</f>
        <v>0</v>
      </c>
      <c r="R112" s="45">
        <f>+COUNTIFS('[1]Base Instalada'!AA:AA,Tabla1[[#This Row],[Cliente]],'[1]Base Instalada'!Z:Z,"INCARDIA")</f>
        <v>0</v>
      </c>
      <c r="S112" s="45">
        <f>+COUNTIFS('[1]Base Instalada'!AA:AA,Tabla1[[#This Row],[Cliente]],'[1]Base Instalada'!Z:Z,"MMQ")</f>
        <v>0</v>
      </c>
      <c r="T112" s="45">
        <f>+COUNTIFS('[1]Base Instalada'!AA:AA,Tabla1[[#This Row],[Cliente]],'[1]Base Instalada'!Z:Z,"REAS")</f>
        <v>0</v>
      </c>
      <c r="U112" s="46">
        <f>+COUNTIFS('[1]Base Instalada'!AA:AA,Tabla1[[#This Row],[Cliente]],'[1]Base Instalada'!Z:Z,"MOBILIARIO CLINICO")</f>
        <v>0</v>
      </c>
      <c r="V112" s="29">
        <f>+COUNTIFS('[1]Base Instalada'!AA:AA,Tabla1[[#This Row],[Cliente]],'[1]Base Instalada'!Z:Z,"OTRO")</f>
        <v>0</v>
      </c>
      <c r="W112" s="61" t="str">
        <f t="shared" si="4"/>
        <v>Región Metropolitana</v>
      </c>
      <c r="X112" s="61" t="str">
        <f t="shared" si="5"/>
        <v>Providencia</v>
      </c>
      <c r="Y112" s="62" t="s">
        <v>259</v>
      </c>
      <c r="Z112" s="33">
        <f>+COUNTIFS('[1]Pipeline TS'!$F:$F,Tabla1[[#This Row],[Cliente]])</f>
        <v>0</v>
      </c>
      <c r="AA112" s="63">
        <f>SUMIFS('[1]Pipeline Esterilización'!M:M,'[1]Pipeline Esterilización'!E:E,Tabla1[[#This Row],[Cliente]],'[1]Pipeline Esterilización'!B:B,"2026",'[1]Pipeline Esterilización'!L:L,"&gt;0")</f>
        <v>78000000</v>
      </c>
      <c r="AB112" s="33">
        <f>+SUMIFS('[1]Pipeline Endoscopía'!K:K,'[1]Pipeline Endoscopía'!E:E,Tabla1[[#This Row],[Cliente]],'[1]Pipeline Endoscopía'!B:B,"2026",'[1]Pipeline Endoscopía'!J:J,"&gt;0")</f>
        <v>0</v>
      </c>
      <c r="AC112" s="63">
        <f>+SUMIFS('[1]Pipeline Dental'!K:K,'[1]Pipeline Dental'!E:E,Tabla1[[#This Row],[Cliente]],'[1]Pipeline Dental'!B:B,"2026",'[1]Pipeline Dental'!J:J,"&gt;0")</f>
        <v>0</v>
      </c>
      <c r="AD112" s="64">
        <f>+SUMIFS('[1]Pipeline TS'!$AB:$AB,'[1]Pipeline TS'!$F:$F,Tabla1[[#This Row],[Cliente]])</f>
        <v>0</v>
      </c>
      <c r="AE112" s="65">
        <f>+SUM(Tabla1[[#This Row],[Pipeline 2026 $MM ESTERILIZACIÓN]:[Pipeline 2026 $MM TECSERVICE]])</f>
        <v>78000000</v>
      </c>
      <c r="AF112" s="43">
        <v>-33.425288715670099</v>
      </c>
      <c r="AG112" s="58">
        <v>-70.613717835042706</v>
      </c>
      <c r="AH112" s="57" t="str">
        <f>+IF(Tabla1[[#This Row],['# Contratos Vigentes ]]&gt;0,"SI","NO")</f>
        <v>NO</v>
      </c>
      <c r="AI112" s="66"/>
      <c r="AJ112" s="67">
        <f>+Tabla1[[#This Row],[Ingreso 2025 - 2026]]*Tabla1[[#This Row],[% Costo Serv. Directo]]</f>
        <v>0</v>
      </c>
      <c r="AK112" s="68"/>
      <c r="AL11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7800000</v>
      </c>
      <c r="AM11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9985000</v>
      </c>
      <c r="AN112" s="42">
        <f>+Tabla1[[#This Row],[Potencial Equipos]]+Tabla1[[#This Row],[Potencial Pipeline]]</f>
        <v>17785000</v>
      </c>
    </row>
    <row r="113" spans="1:40" ht="15.75" x14ac:dyDescent="0.25">
      <c r="A113" s="47" t="s">
        <v>260</v>
      </c>
      <c r="B113" t="str">
        <f>+VLOOKUP(Tabla1[[#This Row],[Cliente]],'[1]Público Privado'!$A$1:$B$325,2,FALSE)</f>
        <v>Público</v>
      </c>
      <c r="C113" s="23">
        <f>+SUMIFS('[1]Facturacion a Fecha'!$T:$T,'[1]Facturacion a Fecha'!$AY:$AY,Tabla1[[#This Row],[Cliente]])</f>
        <v>0</v>
      </c>
      <c r="D113" s="24">
        <f>+SUMIFS('[1]Facturacion a Fecha'!$T:$T,'[1]Facturacion a Fecha'!$AY:$AY,Tabla1[[#This Row],[Cliente]],'[1]Facturacion a Fecha'!$AX:$AX,"Correctivo")</f>
        <v>0</v>
      </c>
      <c r="E113" s="25">
        <f>+COUNTIFS('[1]Facturacion a Fecha'!AY:AY,Tabla1[[#This Row],[Cliente]],'[1]Facturacion a Fecha'!AX:AX,"Correctivo")</f>
        <v>0</v>
      </c>
      <c r="F113" s="25">
        <f>+SUMIFS('[1]Facturacion a Fecha'!$T:$T,'[1]Facturacion a Fecha'!$AY:$AY,Tabla1[[#This Row],[Cliente]],'[1]Facturacion a Fecha'!$AX:$AX,"Preventivo")</f>
        <v>0</v>
      </c>
      <c r="G113" s="25">
        <f>+COUNTIFS('[1]Facturacion a Fecha'!AY:AY,Tabla1[[#This Row],[Cliente]],'[1]Facturacion a Fecha'!AX:AX,"Preventivo")</f>
        <v>0</v>
      </c>
      <c r="H113" s="26">
        <f>+Tabla1[[#This Row],['# Preventivo]]+Tabla1[[#This Row],['# Correctivo]]</f>
        <v>0</v>
      </c>
      <c r="I113" s="23">
        <f>+IFERROR(Tabla1[[#This Row],[Ingreso 2025 - 2026 Correctivo]]/Tabla1[[#This Row],[Ingreso 2025 - 2026 Preventivo]],0)</f>
        <v>0</v>
      </c>
      <c r="J113" s="59">
        <f>+IFERROR(Tabla1[[#This Row],['# Correctivo]]/Tabla1[[#This Row],['# Preventivo]],0)</f>
        <v>0</v>
      </c>
      <c r="K113" s="60">
        <f>+IFERROR(Tabla1[[#This Row],[Ingreso 2025 - 2026 Preventivo]]/(Tabla1[[#This Row],[Ingreso 2025 - 2026 Correctivo]]+Tabla1[[#This Row],[Ingreso 2025 - 2026 Preventivo]]),0)</f>
        <v>0</v>
      </c>
      <c r="L113" s="60">
        <f>1-Tabla1[[#This Row],[% Preventivo $]]</f>
        <v>1</v>
      </c>
      <c r="M113" s="45">
        <f>+COUNTIFS('[1]Base Instalada'!AA:AA,Tabla1[[#This Row],[Cliente]])</f>
        <v>6</v>
      </c>
      <c r="N11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3" s="45">
        <f>+COUNTIFS('[1]Base Instalada'!AA:AA,Tabla1[[#This Row],[Cliente]],'[1]Base Instalada'!Z:Z,"ESTERILIZACIÓN")</f>
        <v>5</v>
      </c>
      <c r="P113" s="45">
        <f>+COUNTIFS('[1]Base Instalada'!AA:AA,Tabla1[[#This Row],[Cliente]],'[1]Base Instalada'!Z:Z,"DENTAL")</f>
        <v>1</v>
      </c>
      <c r="Q113" s="45">
        <f>+COUNTIFS('[1]Base Instalada'!AA:AA,Tabla1[[#This Row],[Cliente]],'[1]Base Instalada'!Z:Z,"ENDOSCOPÍA")</f>
        <v>0</v>
      </c>
      <c r="R113" s="45">
        <f>+COUNTIFS('[1]Base Instalada'!AA:AA,Tabla1[[#This Row],[Cliente]],'[1]Base Instalada'!Z:Z,"INCARDIA")</f>
        <v>0</v>
      </c>
      <c r="S113" s="45">
        <f>+COUNTIFS('[1]Base Instalada'!AA:AA,Tabla1[[#This Row],[Cliente]],'[1]Base Instalada'!Z:Z,"MMQ")</f>
        <v>0</v>
      </c>
      <c r="T113" s="45">
        <f>+COUNTIFS('[1]Base Instalada'!AA:AA,Tabla1[[#This Row],[Cliente]],'[1]Base Instalada'!Z:Z,"REAS")</f>
        <v>0</v>
      </c>
      <c r="U113" s="46">
        <f>+COUNTIFS('[1]Base Instalada'!AA:AA,Tabla1[[#This Row],[Cliente]],'[1]Base Instalada'!Z:Z,"MOBILIARIO CLINICO")</f>
        <v>0</v>
      </c>
      <c r="V113" s="29">
        <f>+COUNTIFS('[1]Base Instalada'!AA:AA,Tabla1[[#This Row],[Cliente]],'[1]Base Instalada'!Z:Z,"OTRO")</f>
        <v>0</v>
      </c>
      <c r="W113" s="61" t="str">
        <f t="shared" si="4"/>
        <v>Región Maule</v>
      </c>
      <c r="X113" s="61" t="str">
        <f t="shared" si="5"/>
        <v>Parral</v>
      </c>
      <c r="Y113" s="62" t="s">
        <v>261</v>
      </c>
      <c r="Z113" s="33">
        <f>+COUNTIFS('[1]Pipeline TS'!$F:$F,Tabla1[[#This Row],[Cliente]])</f>
        <v>0</v>
      </c>
      <c r="AA113" s="63">
        <f>SUMIFS('[1]Pipeline Esterilización'!M:M,'[1]Pipeline Esterilización'!E:E,Tabla1[[#This Row],[Cliente]],'[1]Pipeline Esterilización'!B:B,"2026",'[1]Pipeline Esterilización'!L:L,"&gt;0")</f>
        <v>0</v>
      </c>
      <c r="AB113" s="33">
        <f>+SUMIFS('[1]Pipeline Endoscopía'!K:K,'[1]Pipeline Endoscopía'!E:E,Tabla1[[#This Row],[Cliente]],'[1]Pipeline Endoscopía'!B:B,"2026",'[1]Pipeline Endoscopía'!J:J,"&gt;0")</f>
        <v>0</v>
      </c>
      <c r="AC113" s="63">
        <f>+SUMIFS('[1]Pipeline Dental'!K:K,'[1]Pipeline Dental'!E:E,Tabla1[[#This Row],[Cliente]],'[1]Pipeline Dental'!B:B,"2026",'[1]Pipeline Dental'!J:J,"&gt;0")</f>
        <v>0</v>
      </c>
      <c r="AD113" s="64">
        <f>+SUMIFS('[1]Pipeline TS'!$AB:$AB,'[1]Pipeline TS'!$F:$F,Tabla1[[#This Row],[Cliente]])</f>
        <v>0</v>
      </c>
      <c r="AE113" s="65">
        <f>+SUM(Tabla1[[#This Row],[Pipeline 2026 $MM ESTERILIZACIÓN]:[Pipeline 2026 $MM TECSERVICE]])</f>
        <v>0</v>
      </c>
      <c r="AF113" s="43">
        <v>-36.146617747043102</v>
      </c>
      <c r="AG113" s="58">
        <v>-71.838182660542998</v>
      </c>
      <c r="AH113" s="57" t="str">
        <f>+IF(Tabla1[[#This Row],['# Contratos Vigentes ]]&gt;0,"SI","NO")</f>
        <v>NO</v>
      </c>
      <c r="AI113" s="66"/>
      <c r="AJ113" s="67">
        <f>+Tabla1[[#This Row],[Ingreso 2025 - 2026]]*Tabla1[[#This Row],[% Costo Serv. Directo]]</f>
        <v>0</v>
      </c>
      <c r="AK113" s="68"/>
      <c r="AL11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1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10584100</v>
      </c>
      <c r="AN113" s="42">
        <f>+Tabla1[[#This Row],[Potencial Equipos]]+Tabla1[[#This Row],[Potencial Pipeline]]</f>
        <v>10584100</v>
      </c>
    </row>
    <row r="114" spans="1:40" ht="15.75" x14ac:dyDescent="0.25">
      <c r="A114" s="47" t="s">
        <v>262</v>
      </c>
      <c r="B114" t="str">
        <f>+VLOOKUP(Tabla1[[#This Row],[Cliente]],'[1]Público Privado'!$A$1:$B$325,2,FALSE)</f>
        <v>Público</v>
      </c>
      <c r="C114" s="23">
        <f>+SUMIFS('[1]Facturacion a Fecha'!$T:$T,'[1]Facturacion a Fecha'!$AY:$AY,Tabla1[[#This Row],[Cliente]])</f>
        <v>0</v>
      </c>
      <c r="D114" s="24">
        <f>+SUMIFS('[1]Facturacion a Fecha'!$T:$T,'[1]Facturacion a Fecha'!$AY:$AY,Tabla1[[#This Row],[Cliente]],'[1]Facturacion a Fecha'!$AX:$AX,"Correctivo")</f>
        <v>0</v>
      </c>
      <c r="E114" s="25">
        <f>+COUNTIFS('[1]Facturacion a Fecha'!AY:AY,Tabla1[[#This Row],[Cliente]],'[1]Facturacion a Fecha'!AX:AX,"Correctivo")</f>
        <v>0</v>
      </c>
      <c r="F114" s="25">
        <f>+SUMIFS('[1]Facturacion a Fecha'!$T:$T,'[1]Facturacion a Fecha'!$AY:$AY,Tabla1[[#This Row],[Cliente]],'[1]Facturacion a Fecha'!$AX:$AX,"Preventivo")</f>
        <v>0</v>
      </c>
      <c r="G114" s="25">
        <f>+COUNTIFS('[1]Facturacion a Fecha'!AY:AY,Tabla1[[#This Row],[Cliente]],'[1]Facturacion a Fecha'!AX:AX,"Preventivo")</f>
        <v>0</v>
      </c>
      <c r="H114" s="26">
        <f>+Tabla1[[#This Row],['# Preventivo]]+Tabla1[[#This Row],['# Correctivo]]</f>
        <v>0</v>
      </c>
      <c r="I114" s="23">
        <f>+IFERROR(Tabla1[[#This Row],[Ingreso 2025 - 2026 Correctivo]]/Tabla1[[#This Row],[Ingreso 2025 - 2026 Preventivo]],0)</f>
        <v>0</v>
      </c>
      <c r="J114" s="59">
        <f>+IFERROR(Tabla1[[#This Row],['# Correctivo]]/Tabla1[[#This Row],['# Preventivo]],0)</f>
        <v>0</v>
      </c>
      <c r="K114" s="60">
        <f>+IFERROR(Tabla1[[#This Row],[Ingreso 2025 - 2026 Preventivo]]/(Tabla1[[#This Row],[Ingreso 2025 - 2026 Correctivo]]+Tabla1[[#This Row],[Ingreso 2025 - 2026 Preventivo]]),0)</f>
        <v>0</v>
      </c>
      <c r="L114" s="60">
        <f>1-Tabla1[[#This Row],[% Preventivo $]]</f>
        <v>1</v>
      </c>
      <c r="M114" s="45">
        <f>+COUNTIFS('[1]Base Instalada'!AA:AA,Tabla1[[#This Row],[Cliente]])</f>
        <v>8</v>
      </c>
      <c r="N11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4" s="45">
        <f>+COUNTIFS('[1]Base Instalada'!AA:AA,Tabla1[[#This Row],[Cliente]],'[1]Base Instalada'!Z:Z,"ESTERILIZACIÓN")</f>
        <v>1</v>
      </c>
      <c r="P114" s="45">
        <f>+COUNTIFS('[1]Base Instalada'!AA:AA,Tabla1[[#This Row],[Cliente]],'[1]Base Instalada'!Z:Z,"DENTAL")</f>
        <v>0</v>
      </c>
      <c r="Q114" s="45">
        <f>+COUNTIFS('[1]Base Instalada'!AA:AA,Tabla1[[#This Row],[Cliente]],'[1]Base Instalada'!Z:Z,"ENDOSCOPÍA")</f>
        <v>0</v>
      </c>
      <c r="R114" s="45">
        <f>+COUNTIFS('[1]Base Instalada'!AA:AA,Tabla1[[#This Row],[Cliente]],'[1]Base Instalada'!Z:Z,"INCARDIA")</f>
        <v>7</v>
      </c>
      <c r="S114" s="45">
        <f>+COUNTIFS('[1]Base Instalada'!AA:AA,Tabla1[[#This Row],[Cliente]],'[1]Base Instalada'!Z:Z,"MMQ")</f>
        <v>0</v>
      </c>
      <c r="T114" s="45">
        <f>+COUNTIFS('[1]Base Instalada'!AA:AA,Tabla1[[#This Row],[Cliente]],'[1]Base Instalada'!Z:Z,"REAS")</f>
        <v>0</v>
      </c>
      <c r="U114" s="46">
        <f>+COUNTIFS('[1]Base Instalada'!AA:AA,Tabla1[[#This Row],[Cliente]],'[1]Base Instalada'!Z:Z,"MOBILIARIO CLINICO")</f>
        <v>0</v>
      </c>
      <c r="V114" s="29">
        <f>+COUNTIFS('[1]Base Instalada'!AA:AA,Tabla1[[#This Row],[Cliente]],'[1]Base Instalada'!Z:Z,"OTRO")</f>
        <v>0</v>
      </c>
      <c r="W114" s="61" t="str">
        <f t="shared" si="4"/>
        <v>Región Bío Bío</v>
      </c>
      <c r="X114" s="61" t="str">
        <f t="shared" si="5"/>
        <v>Santa Juana</v>
      </c>
      <c r="Y114" s="62" t="s">
        <v>263</v>
      </c>
      <c r="Z114" s="33">
        <f>+COUNTIFS('[1]Pipeline TS'!$F:$F,Tabla1[[#This Row],[Cliente]])</f>
        <v>0</v>
      </c>
      <c r="AA114" s="63">
        <f>SUMIFS('[1]Pipeline Esterilización'!M:M,'[1]Pipeline Esterilización'!E:E,Tabla1[[#This Row],[Cliente]],'[1]Pipeline Esterilización'!B:B,"2026",'[1]Pipeline Esterilización'!L:L,"&gt;0")</f>
        <v>0</v>
      </c>
      <c r="AB114" s="33">
        <f>+SUMIFS('[1]Pipeline Endoscopía'!K:K,'[1]Pipeline Endoscopía'!E:E,Tabla1[[#This Row],[Cliente]],'[1]Pipeline Endoscopía'!B:B,"2026",'[1]Pipeline Endoscopía'!J:J,"&gt;0")</f>
        <v>0</v>
      </c>
      <c r="AC114" s="63">
        <f>+SUMIFS('[1]Pipeline Dental'!K:K,'[1]Pipeline Dental'!E:E,Tabla1[[#This Row],[Cliente]],'[1]Pipeline Dental'!B:B,"2026",'[1]Pipeline Dental'!J:J,"&gt;0")</f>
        <v>0</v>
      </c>
      <c r="AD114" s="64">
        <f>+SUMIFS('[1]Pipeline TS'!$AB:$AB,'[1]Pipeline TS'!$F:$F,Tabla1[[#This Row],[Cliente]])</f>
        <v>0</v>
      </c>
      <c r="AE114" s="65">
        <f>+SUM(Tabla1[[#This Row],[Pipeline 2026 $MM ESTERILIZACIÓN]:[Pipeline 2026 $MM TECSERVICE]])</f>
        <v>0</v>
      </c>
      <c r="AF114" s="43">
        <v>-37.168200355172601</v>
      </c>
      <c r="AG114" s="58">
        <v>-72.946446192084693</v>
      </c>
      <c r="AH114" s="57" t="str">
        <f>+IF(Tabla1[[#This Row],['# Contratos Vigentes ]]&gt;0,"SI","NO")</f>
        <v>NO</v>
      </c>
      <c r="AI114" s="66"/>
      <c r="AJ114" s="67">
        <f>+Tabla1[[#This Row],[Ingreso 2025 - 2026]]*Tabla1[[#This Row],[% Costo Serv. Directo]]</f>
        <v>0</v>
      </c>
      <c r="AK114" s="68"/>
      <c r="AL11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1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1997000</v>
      </c>
      <c r="AN114" s="42">
        <f>+Tabla1[[#This Row],[Potencial Equipos]]+Tabla1[[#This Row],[Potencial Pipeline]]</f>
        <v>1997000</v>
      </c>
    </row>
    <row r="115" spans="1:40" ht="15.75" x14ac:dyDescent="0.25">
      <c r="A115" s="47" t="s">
        <v>264</v>
      </c>
      <c r="B115" t="str">
        <f>+VLOOKUP(Tabla1[[#This Row],[Cliente]],'[1]Público Privado'!$A$1:$B$325,2,FALSE)</f>
        <v>Privado</v>
      </c>
      <c r="C115" s="23">
        <f>+SUMIFS('[1]Facturacion a Fecha'!$T:$T,'[1]Facturacion a Fecha'!$AY:$AY,Tabla1[[#This Row],[Cliente]])</f>
        <v>0</v>
      </c>
      <c r="D115" s="24">
        <f>+SUMIFS('[1]Facturacion a Fecha'!$T:$T,'[1]Facturacion a Fecha'!$AY:$AY,Tabla1[[#This Row],[Cliente]],'[1]Facturacion a Fecha'!$AX:$AX,"Correctivo")</f>
        <v>0</v>
      </c>
      <c r="E115" s="25">
        <f>+COUNTIFS('[1]Facturacion a Fecha'!AY:AY,Tabla1[[#This Row],[Cliente]],'[1]Facturacion a Fecha'!AX:AX,"Correctivo")</f>
        <v>0</v>
      </c>
      <c r="F115" s="25">
        <f>+SUMIFS('[1]Facturacion a Fecha'!$T:$T,'[1]Facturacion a Fecha'!$AY:$AY,Tabla1[[#This Row],[Cliente]],'[1]Facturacion a Fecha'!$AX:$AX,"Preventivo")</f>
        <v>0</v>
      </c>
      <c r="G115" s="25">
        <f>+COUNTIFS('[1]Facturacion a Fecha'!AY:AY,Tabla1[[#This Row],[Cliente]],'[1]Facturacion a Fecha'!AX:AX,"Preventivo")</f>
        <v>0</v>
      </c>
      <c r="H115" s="26">
        <f>+Tabla1[[#This Row],['# Preventivo]]+Tabla1[[#This Row],['# Correctivo]]</f>
        <v>0</v>
      </c>
      <c r="I115" s="23">
        <f>+IFERROR(Tabla1[[#This Row],[Ingreso 2025 - 2026 Correctivo]]/Tabla1[[#This Row],[Ingreso 2025 - 2026 Preventivo]],0)</f>
        <v>0</v>
      </c>
      <c r="J115" s="59">
        <f>+IFERROR(Tabla1[[#This Row],['# Correctivo]]/Tabla1[[#This Row],['# Preventivo]],0)</f>
        <v>0</v>
      </c>
      <c r="K115" s="60">
        <f>+IFERROR(Tabla1[[#This Row],[Ingreso 2025 - 2026 Preventivo]]/(Tabla1[[#This Row],[Ingreso 2025 - 2026 Correctivo]]+Tabla1[[#This Row],[Ingreso 2025 - 2026 Preventivo]]),0)</f>
        <v>0</v>
      </c>
      <c r="L115" s="60">
        <f>1-Tabla1[[#This Row],[% Preventivo $]]</f>
        <v>1</v>
      </c>
      <c r="M115" s="45">
        <f>+COUNTIFS('[1]Base Instalada'!AA:AA,Tabla1[[#This Row],[Cliente]])</f>
        <v>16</v>
      </c>
      <c r="N11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5" s="45">
        <f>+COUNTIFS('[1]Base Instalada'!AA:AA,Tabla1[[#This Row],[Cliente]],'[1]Base Instalada'!Z:Z,"ESTERILIZACIÓN")</f>
        <v>5</v>
      </c>
      <c r="P115" s="45">
        <f>+COUNTIFS('[1]Base Instalada'!AA:AA,Tabla1[[#This Row],[Cliente]],'[1]Base Instalada'!Z:Z,"DENTAL")</f>
        <v>11</v>
      </c>
      <c r="Q115" s="45">
        <f>+COUNTIFS('[1]Base Instalada'!AA:AA,Tabla1[[#This Row],[Cliente]],'[1]Base Instalada'!Z:Z,"ENDOSCOPÍA")</f>
        <v>0</v>
      </c>
      <c r="R115" s="45">
        <f>+COUNTIFS('[1]Base Instalada'!AA:AA,Tabla1[[#This Row],[Cliente]],'[1]Base Instalada'!Z:Z,"INCARDIA")</f>
        <v>0</v>
      </c>
      <c r="S115" s="45">
        <f>+COUNTIFS('[1]Base Instalada'!AA:AA,Tabla1[[#This Row],[Cliente]],'[1]Base Instalada'!Z:Z,"MMQ")</f>
        <v>0</v>
      </c>
      <c r="T115" s="45">
        <f>+COUNTIFS('[1]Base Instalada'!AA:AA,Tabla1[[#This Row],[Cliente]],'[1]Base Instalada'!Z:Z,"REAS")</f>
        <v>0</v>
      </c>
      <c r="U115" s="46">
        <f>+COUNTIFS('[1]Base Instalada'!AA:AA,Tabla1[[#This Row],[Cliente]],'[1]Base Instalada'!Z:Z,"MOBILIARIO CLINICO")</f>
        <v>0</v>
      </c>
      <c r="V115" s="29">
        <f>+COUNTIFS('[1]Base Instalada'!AA:AA,Tabla1[[#This Row],[Cliente]],'[1]Base Instalada'!Z:Z,"OTRO")</f>
        <v>0</v>
      </c>
      <c r="W115" s="61" t="str">
        <f t="shared" si="4"/>
        <v>Región Coquimbo</v>
      </c>
      <c r="X115" s="61" t="str">
        <f t="shared" si="5"/>
        <v>La Serena</v>
      </c>
      <c r="Y115" s="62" t="s">
        <v>265</v>
      </c>
      <c r="Z115" s="33">
        <f>+COUNTIFS('[1]Pipeline TS'!$F:$F,Tabla1[[#This Row],[Cliente]])</f>
        <v>0</v>
      </c>
      <c r="AA115" s="63">
        <f>SUMIFS('[1]Pipeline Esterilización'!M:M,'[1]Pipeline Esterilización'!E:E,Tabla1[[#This Row],[Cliente]],'[1]Pipeline Esterilización'!B:B,"2026",'[1]Pipeline Esterilización'!L:L,"&gt;0")</f>
        <v>0</v>
      </c>
      <c r="AB115" s="33">
        <f>+SUMIFS('[1]Pipeline Endoscopía'!K:K,'[1]Pipeline Endoscopía'!E:E,Tabla1[[#This Row],[Cliente]],'[1]Pipeline Endoscopía'!B:B,"2026",'[1]Pipeline Endoscopía'!J:J,"&gt;0")</f>
        <v>0</v>
      </c>
      <c r="AC115" s="63">
        <f>+SUMIFS('[1]Pipeline Dental'!K:K,'[1]Pipeline Dental'!E:E,Tabla1[[#This Row],[Cliente]],'[1]Pipeline Dental'!B:B,"2026",'[1]Pipeline Dental'!J:J,"&gt;0")</f>
        <v>0</v>
      </c>
      <c r="AD115" s="64">
        <f>+SUMIFS('[1]Pipeline TS'!$AB:$AB,'[1]Pipeline TS'!$F:$F,Tabla1[[#This Row],[Cliente]])</f>
        <v>0</v>
      </c>
      <c r="AE115" s="65">
        <f>+SUM(Tabla1[[#This Row],[Pipeline 2026 $MM ESTERILIZACIÓN]:[Pipeline 2026 $MM TECSERVICE]])</f>
        <v>0</v>
      </c>
      <c r="AF115" s="43">
        <v>-29.912351557423001</v>
      </c>
      <c r="AG115" s="58">
        <v>-71.258420133941001</v>
      </c>
      <c r="AH115" s="57" t="str">
        <f>+IF(Tabla1[[#This Row],['# Contratos Vigentes ]]&gt;0,"SI","NO")</f>
        <v>NO</v>
      </c>
      <c r="AI115" s="66"/>
      <c r="AJ115" s="67">
        <f>+Tabla1[[#This Row],[Ingreso 2025 - 2026]]*Tabla1[[#This Row],[% Costo Serv. Directo]]</f>
        <v>0</v>
      </c>
      <c r="AK115" s="68"/>
      <c r="AL11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1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16575100</v>
      </c>
      <c r="AN115" s="42">
        <f>+Tabla1[[#This Row],[Potencial Equipos]]+Tabla1[[#This Row],[Potencial Pipeline]]</f>
        <v>16575100</v>
      </c>
    </row>
    <row r="116" spans="1:40" ht="15.75" x14ac:dyDescent="0.25">
      <c r="A116" s="47" t="s">
        <v>266</v>
      </c>
      <c r="B116" t="str">
        <f>+VLOOKUP(Tabla1[[#This Row],[Cliente]],'[1]Público Privado'!$A$1:$B$325,2,FALSE)</f>
        <v>Privado</v>
      </c>
      <c r="C116" s="23">
        <f>+SUMIFS('[1]Facturacion a Fecha'!$T:$T,'[1]Facturacion a Fecha'!$AY:$AY,Tabla1[[#This Row],[Cliente]])</f>
        <v>0</v>
      </c>
      <c r="D116" s="24">
        <f>+SUMIFS('[1]Facturacion a Fecha'!$T:$T,'[1]Facturacion a Fecha'!$AY:$AY,Tabla1[[#This Row],[Cliente]],'[1]Facturacion a Fecha'!$AX:$AX,"Correctivo")</f>
        <v>0</v>
      </c>
      <c r="E116" s="25">
        <f>+COUNTIFS('[1]Facturacion a Fecha'!AY:AY,Tabla1[[#This Row],[Cliente]],'[1]Facturacion a Fecha'!AX:AX,"Correctivo")</f>
        <v>0</v>
      </c>
      <c r="F116" s="25">
        <f>+SUMIFS('[1]Facturacion a Fecha'!$T:$T,'[1]Facturacion a Fecha'!$AY:$AY,Tabla1[[#This Row],[Cliente]],'[1]Facturacion a Fecha'!$AX:$AX,"Preventivo")</f>
        <v>0</v>
      </c>
      <c r="G116" s="25">
        <f>+COUNTIFS('[1]Facturacion a Fecha'!AY:AY,Tabla1[[#This Row],[Cliente]],'[1]Facturacion a Fecha'!AX:AX,"Preventivo")</f>
        <v>0</v>
      </c>
      <c r="H116" s="26">
        <f>+Tabla1[[#This Row],['# Preventivo]]+Tabla1[[#This Row],['# Correctivo]]</f>
        <v>0</v>
      </c>
      <c r="I116" s="23">
        <f>+IFERROR(Tabla1[[#This Row],[Ingreso 2025 - 2026 Correctivo]]/Tabla1[[#This Row],[Ingreso 2025 - 2026 Preventivo]],0)</f>
        <v>0</v>
      </c>
      <c r="J116" s="59">
        <f>+IFERROR(Tabla1[[#This Row],['# Correctivo]]/Tabla1[[#This Row],['# Preventivo]],0)</f>
        <v>0</v>
      </c>
      <c r="K116" s="60">
        <f>+IFERROR(Tabla1[[#This Row],[Ingreso 2025 - 2026 Preventivo]]/(Tabla1[[#This Row],[Ingreso 2025 - 2026 Correctivo]]+Tabla1[[#This Row],[Ingreso 2025 - 2026 Preventivo]]),0)</f>
        <v>0</v>
      </c>
      <c r="L116" s="60">
        <f>1-Tabla1[[#This Row],[% Preventivo $]]</f>
        <v>1</v>
      </c>
      <c r="M116" s="45">
        <f>+COUNTIFS('[1]Base Instalada'!AA:AA,Tabla1[[#This Row],[Cliente]])</f>
        <v>6</v>
      </c>
      <c r="N11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6" s="45">
        <f>+COUNTIFS('[1]Base Instalada'!AA:AA,Tabla1[[#This Row],[Cliente]],'[1]Base Instalada'!Z:Z,"ESTERILIZACIÓN")</f>
        <v>6</v>
      </c>
      <c r="P116" s="45">
        <f>+COUNTIFS('[1]Base Instalada'!AA:AA,Tabla1[[#This Row],[Cliente]],'[1]Base Instalada'!Z:Z,"DENTAL")</f>
        <v>0</v>
      </c>
      <c r="Q116" s="45">
        <f>+COUNTIFS('[1]Base Instalada'!AA:AA,Tabla1[[#This Row],[Cliente]],'[1]Base Instalada'!Z:Z,"ENDOSCOPÍA")</f>
        <v>0</v>
      </c>
      <c r="R116" s="45">
        <f>+COUNTIFS('[1]Base Instalada'!AA:AA,Tabla1[[#This Row],[Cliente]],'[1]Base Instalada'!Z:Z,"INCARDIA")</f>
        <v>0</v>
      </c>
      <c r="S116" s="45">
        <f>+COUNTIFS('[1]Base Instalada'!AA:AA,Tabla1[[#This Row],[Cliente]],'[1]Base Instalada'!Z:Z,"MMQ")</f>
        <v>0</v>
      </c>
      <c r="T116" s="45">
        <f>+COUNTIFS('[1]Base Instalada'!AA:AA,Tabla1[[#This Row],[Cliente]],'[1]Base Instalada'!Z:Z,"REAS")</f>
        <v>0</v>
      </c>
      <c r="U116" s="46">
        <f>+COUNTIFS('[1]Base Instalada'!AA:AA,Tabla1[[#This Row],[Cliente]],'[1]Base Instalada'!Z:Z,"MOBILIARIO CLINICO")</f>
        <v>0</v>
      </c>
      <c r="V116" s="29">
        <f>+COUNTIFS('[1]Base Instalada'!AA:AA,Tabla1[[#This Row],[Cliente]],'[1]Base Instalada'!Z:Z,"OTRO")</f>
        <v>0</v>
      </c>
      <c r="W116" s="61" t="str">
        <f t="shared" si="4"/>
        <v>Región Valparaíso</v>
      </c>
      <c r="X116" s="61" t="str">
        <f t="shared" si="5"/>
        <v>Viña del Mar</v>
      </c>
      <c r="Y116" s="62" t="s">
        <v>267</v>
      </c>
      <c r="Z116" s="33">
        <f>+COUNTIFS('[1]Pipeline TS'!$F:$F,Tabla1[[#This Row],[Cliente]])</f>
        <v>0</v>
      </c>
      <c r="AA116" s="63">
        <f>SUMIFS('[1]Pipeline Esterilización'!M:M,'[1]Pipeline Esterilización'!E:E,Tabla1[[#This Row],[Cliente]],'[1]Pipeline Esterilización'!B:B,"2026",'[1]Pipeline Esterilización'!L:L,"&gt;0")</f>
        <v>0</v>
      </c>
      <c r="AB116" s="33">
        <f>+SUMIFS('[1]Pipeline Endoscopía'!K:K,'[1]Pipeline Endoscopía'!E:E,Tabla1[[#This Row],[Cliente]],'[1]Pipeline Endoscopía'!B:B,"2026",'[1]Pipeline Endoscopía'!J:J,"&gt;0")</f>
        <v>0</v>
      </c>
      <c r="AC116" s="63">
        <f>+SUMIFS('[1]Pipeline Dental'!K:K,'[1]Pipeline Dental'!E:E,Tabla1[[#This Row],[Cliente]],'[1]Pipeline Dental'!B:B,"2026",'[1]Pipeline Dental'!J:J,"&gt;0")</f>
        <v>0</v>
      </c>
      <c r="AD116" s="64">
        <f>+SUMIFS('[1]Pipeline TS'!$AB:$AB,'[1]Pipeline TS'!$F:$F,Tabla1[[#This Row],[Cliente]])</f>
        <v>0</v>
      </c>
      <c r="AE116" s="65">
        <f>+SUM(Tabla1[[#This Row],[Pipeline 2026 $MM ESTERILIZACIÓN]:[Pipeline 2026 $MM TECSERVICE]])</f>
        <v>0</v>
      </c>
      <c r="AF116" s="43">
        <v>-33.017300139085101</v>
      </c>
      <c r="AG116" s="58">
        <v>-71.5507108642704</v>
      </c>
      <c r="AH116" s="57" t="str">
        <f>+IF(Tabla1[[#This Row],['# Contratos Vigentes ]]&gt;0,"SI","NO")</f>
        <v>NO</v>
      </c>
      <c r="AI116" s="66"/>
      <c r="AJ116" s="67">
        <f>+Tabla1[[#This Row],[Ingreso 2025 - 2026]]*Tabla1[[#This Row],[% Costo Serv. Directo]]</f>
        <v>0</v>
      </c>
      <c r="AK116" s="68"/>
      <c r="AL11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1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11982000</v>
      </c>
      <c r="AN116" s="42">
        <f>+Tabla1[[#This Row],[Potencial Equipos]]+Tabla1[[#This Row],[Potencial Pipeline]]</f>
        <v>11982000</v>
      </c>
    </row>
    <row r="117" spans="1:40" ht="15.75" x14ac:dyDescent="0.25">
      <c r="A117" s="47" t="s">
        <v>268</v>
      </c>
      <c r="B117" t="str">
        <f>+VLOOKUP(Tabla1[[#This Row],[Cliente]],'[1]Público Privado'!$A$1:$B$325,2,FALSE)</f>
        <v>Privado</v>
      </c>
      <c r="C117" s="23">
        <f>+SUMIFS('[1]Facturacion a Fecha'!$T:$T,'[1]Facturacion a Fecha'!$AY:$AY,Tabla1[[#This Row],[Cliente]])</f>
        <v>0</v>
      </c>
      <c r="D117" s="24">
        <f>+SUMIFS('[1]Facturacion a Fecha'!$T:$T,'[1]Facturacion a Fecha'!$AY:$AY,Tabla1[[#This Row],[Cliente]],'[1]Facturacion a Fecha'!$AX:$AX,"Correctivo")</f>
        <v>0</v>
      </c>
      <c r="E117" s="25">
        <f>+COUNTIFS('[1]Facturacion a Fecha'!AY:AY,Tabla1[[#This Row],[Cliente]],'[1]Facturacion a Fecha'!AX:AX,"Correctivo")</f>
        <v>0</v>
      </c>
      <c r="F117" s="25">
        <f>+SUMIFS('[1]Facturacion a Fecha'!$T:$T,'[1]Facturacion a Fecha'!$AY:$AY,Tabla1[[#This Row],[Cliente]],'[1]Facturacion a Fecha'!$AX:$AX,"Preventivo")</f>
        <v>0</v>
      </c>
      <c r="G117" s="25">
        <f>+COUNTIFS('[1]Facturacion a Fecha'!AY:AY,Tabla1[[#This Row],[Cliente]],'[1]Facturacion a Fecha'!AX:AX,"Preventivo")</f>
        <v>0</v>
      </c>
      <c r="H117" s="26">
        <f>+Tabla1[[#This Row],['# Preventivo]]+Tabla1[[#This Row],['# Correctivo]]</f>
        <v>0</v>
      </c>
      <c r="I117" s="23">
        <f>+IFERROR(Tabla1[[#This Row],[Ingreso 2025 - 2026 Correctivo]]/Tabla1[[#This Row],[Ingreso 2025 - 2026 Preventivo]],0)</f>
        <v>0</v>
      </c>
      <c r="J117" s="59">
        <f>+IFERROR(Tabla1[[#This Row],['# Correctivo]]/Tabla1[[#This Row],['# Preventivo]],0)</f>
        <v>0</v>
      </c>
      <c r="K117" s="60">
        <f>+IFERROR(Tabla1[[#This Row],[Ingreso 2025 - 2026 Preventivo]]/(Tabla1[[#This Row],[Ingreso 2025 - 2026 Correctivo]]+Tabla1[[#This Row],[Ingreso 2025 - 2026 Preventivo]]),0)</f>
        <v>0</v>
      </c>
      <c r="L117" s="60">
        <f>1-Tabla1[[#This Row],[% Preventivo $]]</f>
        <v>1</v>
      </c>
      <c r="M117" s="45">
        <f>+COUNTIFS('[1]Base Instalada'!AA:AA,Tabla1[[#This Row],[Cliente]])</f>
        <v>6</v>
      </c>
      <c r="N11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7" s="45">
        <f>+COUNTIFS('[1]Base Instalada'!AA:AA,Tabla1[[#This Row],[Cliente]],'[1]Base Instalada'!Z:Z,"ESTERILIZACIÓN")</f>
        <v>2</v>
      </c>
      <c r="P117" s="45">
        <f>+COUNTIFS('[1]Base Instalada'!AA:AA,Tabla1[[#This Row],[Cliente]],'[1]Base Instalada'!Z:Z,"DENTAL")</f>
        <v>4</v>
      </c>
      <c r="Q117" s="45">
        <f>+COUNTIFS('[1]Base Instalada'!AA:AA,Tabla1[[#This Row],[Cliente]],'[1]Base Instalada'!Z:Z,"ENDOSCOPÍA")</f>
        <v>0</v>
      </c>
      <c r="R117" s="45">
        <f>+COUNTIFS('[1]Base Instalada'!AA:AA,Tabla1[[#This Row],[Cliente]],'[1]Base Instalada'!Z:Z,"INCARDIA")</f>
        <v>0</v>
      </c>
      <c r="S117" s="45">
        <f>+COUNTIFS('[1]Base Instalada'!AA:AA,Tabla1[[#This Row],[Cliente]],'[1]Base Instalada'!Z:Z,"MMQ")</f>
        <v>0</v>
      </c>
      <c r="T117" s="45">
        <f>+COUNTIFS('[1]Base Instalada'!AA:AA,Tabla1[[#This Row],[Cliente]],'[1]Base Instalada'!Z:Z,"REAS")</f>
        <v>0</v>
      </c>
      <c r="U117" s="46">
        <f>+COUNTIFS('[1]Base Instalada'!AA:AA,Tabla1[[#This Row],[Cliente]],'[1]Base Instalada'!Z:Z,"MOBILIARIO CLINICO")</f>
        <v>0</v>
      </c>
      <c r="V117" s="29">
        <f>+COUNTIFS('[1]Base Instalada'!AA:AA,Tabla1[[#This Row],[Cliente]],'[1]Base Instalada'!Z:Z,"OTRO")</f>
        <v>0</v>
      </c>
      <c r="W117" s="61" t="str">
        <f t="shared" si="4"/>
        <v>Región Metropolitana</v>
      </c>
      <c r="X117" s="61" t="str">
        <f t="shared" si="5"/>
        <v>Santiago</v>
      </c>
      <c r="Y117" s="62" t="s">
        <v>269</v>
      </c>
      <c r="Z117" s="33">
        <f>+COUNTIFS('[1]Pipeline TS'!$F:$F,Tabla1[[#This Row],[Cliente]])</f>
        <v>0</v>
      </c>
      <c r="AA117" s="63">
        <f>SUMIFS('[1]Pipeline Esterilización'!M:M,'[1]Pipeline Esterilización'!E:E,Tabla1[[#This Row],[Cliente]],'[1]Pipeline Esterilización'!B:B,"2026",'[1]Pipeline Esterilización'!L:L,"&gt;0")</f>
        <v>0</v>
      </c>
      <c r="AB117" s="33">
        <f>+SUMIFS('[1]Pipeline Endoscopía'!K:K,'[1]Pipeline Endoscopía'!E:E,Tabla1[[#This Row],[Cliente]],'[1]Pipeline Endoscopía'!B:B,"2026",'[1]Pipeline Endoscopía'!J:J,"&gt;0")</f>
        <v>0</v>
      </c>
      <c r="AC117" s="63">
        <f>+SUMIFS('[1]Pipeline Dental'!K:K,'[1]Pipeline Dental'!E:E,Tabla1[[#This Row],[Cliente]],'[1]Pipeline Dental'!B:B,"2026",'[1]Pipeline Dental'!J:J,"&gt;0")</f>
        <v>0</v>
      </c>
      <c r="AD117" s="64">
        <f>+SUMIFS('[1]Pipeline TS'!$AB:$AB,'[1]Pipeline TS'!$F:$F,Tabla1[[#This Row],[Cliente]])</f>
        <v>0</v>
      </c>
      <c r="AE117" s="65">
        <f>+SUM(Tabla1[[#This Row],[Pipeline 2026 $MM ESTERILIZACIÓN]:[Pipeline 2026 $MM TECSERVICE]])</f>
        <v>0</v>
      </c>
      <c r="AF117" s="43">
        <v>-33.442882833466001</v>
      </c>
      <c r="AG117" s="58">
        <v>-70.651043049156101</v>
      </c>
      <c r="AH117" s="57" t="str">
        <f>+IF(Tabla1[[#This Row],['# Contratos Vigentes ]]&gt;0,"SI","NO")</f>
        <v>NO</v>
      </c>
      <c r="AI117" s="66"/>
      <c r="AJ117" s="67">
        <f>+Tabla1[[#This Row],[Ingreso 2025 - 2026]]*Tabla1[[#This Row],[% Costo Serv. Directo]]</f>
        <v>0</v>
      </c>
      <c r="AK117" s="68"/>
      <c r="AL11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1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6390400</v>
      </c>
      <c r="AN117" s="42">
        <f>+Tabla1[[#This Row],[Potencial Equipos]]+Tabla1[[#This Row],[Potencial Pipeline]]</f>
        <v>6390400</v>
      </c>
    </row>
    <row r="118" spans="1:40" ht="15.75" x14ac:dyDescent="0.25">
      <c r="A118" s="47" t="s">
        <v>270</v>
      </c>
      <c r="B118" t="str">
        <f>+VLOOKUP(Tabla1[[#This Row],[Cliente]],'[1]Público Privado'!$A$1:$B$325,2,FALSE)</f>
        <v>Privado</v>
      </c>
      <c r="C118" s="23">
        <f>+SUMIFS('[1]Facturacion a Fecha'!$T:$T,'[1]Facturacion a Fecha'!$AY:$AY,Tabla1[[#This Row],[Cliente]])</f>
        <v>0</v>
      </c>
      <c r="D118" s="24">
        <f>+SUMIFS('[1]Facturacion a Fecha'!$T:$T,'[1]Facturacion a Fecha'!$AY:$AY,Tabla1[[#This Row],[Cliente]],'[1]Facturacion a Fecha'!$AX:$AX,"Correctivo")</f>
        <v>0</v>
      </c>
      <c r="E118" s="25">
        <f>+COUNTIFS('[1]Facturacion a Fecha'!AY:AY,Tabla1[[#This Row],[Cliente]],'[1]Facturacion a Fecha'!AX:AX,"Correctivo")</f>
        <v>0</v>
      </c>
      <c r="F118" s="25">
        <f>+SUMIFS('[1]Facturacion a Fecha'!$T:$T,'[1]Facturacion a Fecha'!$AY:$AY,Tabla1[[#This Row],[Cliente]],'[1]Facturacion a Fecha'!$AX:$AX,"Preventivo")</f>
        <v>0</v>
      </c>
      <c r="G118" s="25">
        <f>+COUNTIFS('[1]Facturacion a Fecha'!AY:AY,Tabla1[[#This Row],[Cliente]],'[1]Facturacion a Fecha'!AX:AX,"Preventivo")</f>
        <v>0</v>
      </c>
      <c r="H118" s="26">
        <f>+Tabla1[[#This Row],['# Preventivo]]+Tabla1[[#This Row],['# Correctivo]]</f>
        <v>0</v>
      </c>
      <c r="I118" s="23">
        <f>+IFERROR(Tabla1[[#This Row],[Ingreso 2025 - 2026 Correctivo]]/Tabla1[[#This Row],[Ingreso 2025 - 2026 Preventivo]],0)</f>
        <v>0</v>
      </c>
      <c r="J118" s="59">
        <f>+IFERROR(Tabla1[[#This Row],['# Correctivo]]/Tabla1[[#This Row],['# Preventivo]],0)</f>
        <v>0</v>
      </c>
      <c r="K118" s="60">
        <f>+IFERROR(Tabla1[[#This Row],[Ingreso 2025 - 2026 Preventivo]]/(Tabla1[[#This Row],[Ingreso 2025 - 2026 Correctivo]]+Tabla1[[#This Row],[Ingreso 2025 - 2026 Preventivo]]),0)</f>
        <v>0</v>
      </c>
      <c r="L118" s="60">
        <f>1-Tabla1[[#This Row],[% Preventivo $]]</f>
        <v>1</v>
      </c>
      <c r="M118" s="45">
        <f>+COUNTIFS('[1]Base Instalada'!AA:AA,Tabla1[[#This Row],[Cliente]])</f>
        <v>7</v>
      </c>
      <c r="N11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8" s="45">
        <f>+COUNTIFS('[1]Base Instalada'!AA:AA,Tabla1[[#This Row],[Cliente]],'[1]Base Instalada'!Z:Z,"ESTERILIZACIÓN")</f>
        <v>1</v>
      </c>
      <c r="P118" s="45">
        <f>+COUNTIFS('[1]Base Instalada'!AA:AA,Tabla1[[#This Row],[Cliente]],'[1]Base Instalada'!Z:Z,"DENTAL")</f>
        <v>6</v>
      </c>
      <c r="Q118" s="45">
        <f>+COUNTIFS('[1]Base Instalada'!AA:AA,Tabla1[[#This Row],[Cliente]],'[1]Base Instalada'!Z:Z,"ENDOSCOPÍA")</f>
        <v>0</v>
      </c>
      <c r="R118" s="45">
        <f>+COUNTIFS('[1]Base Instalada'!AA:AA,Tabla1[[#This Row],[Cliente]],'[1]Base Instalada'!Z:Z,"INCARDIA")</f>
        <v>0</v>
      </c>
      <c r="S118" s="45">
        <f>+COUNTIFS('[1]Base Instalada'!AA:AA,Tabla1[[#This Row],[Cliente]],'[1]Base Instalada'!Z:Z,"MMQ")</f>
        <v>0</v>
      </c>
      <c r="T118" s="45">
        <f>+COUNTIFS('[1]Base Instalada'!AA:AA,Tabla1[[#This Row],[Cliente]],'[1]Base Instalada'!Z:Z,"REAS")</f>
        <v>0</v>
      </c>
      <c r="U118" s="46">
        <f>+COUNTIFS('[1]Base Instalada'!AA:AA,Tabla1[[#This Row],[Cliente]],'[1]Base Instalada'!Z:Z,"MOBILIARIO CLINICO")</f>
        <v>0</v>
      </c>
      <c r="V118" s="29">
        <f>+COUNTIFS('[1]Base Instalada'!AA:AA,Tabla1[[#This Row],[Cliente]],'[1]Base Instalada'!Z:Z,"OTRO")</f>
        <v>0</v>
      </c>
      <c r="W118" s="61" t="str">
        <f t="shared" si="4"/>
        <v>Región Metropolitana</v>
      </c>
      <c r="X118" s="61" t="str">
        <f t="shared" si="5"/>
        <v>Providencia</v>
      </c>
      <c r="Y118" s="62" t="s">
        <v>271</v>
      </c>
      <c r="Z118" s="33">
        <f>+COUNTIFS('[1]Pipeline TS'!$F:$F,Tabla1[[#This Row],[Cliente]])</f>
        <v>0</v>
      </c>
      <c r="AA118" s="63">
        <f>SUMIFS('[1]Pipeline Esterilización'!M:M,'[1]Pipeline Esterilización'!E:E,Tabla1[[#This Row],[Cliente]],'[1]Pipeline Esterilización'!B:B,"2026",'[1]Pipeline Esterilización'!L:L,"&gt;0")</f>
        <v>0</v>
      </c>
      <c r="AB118" s="33">
        <f>+SUMIFS('[1]Pipeline Endoscopía'!K:K,'[1]Pipeline Endoscopía'!E:E,Tabla1[[#This Row],[Cliente]],'[1]Pipeline Endoscopía'!B:B,"2026",'[1]Pipeline Endoscopía'!J:J,"&gt;0")</f>
        <v>0</v>
      </c>
      <c r="AC118" s="63">
        <f>+SUMIFS('[1]Pipeline Dental'!K:K,'[1]Pipeline Dental'!E:E,Tabla1[[#This Row],[Cliente]],'[1]Pipeline Dental'!B:B,"2026",'[1]Pipeline Dental'!J:J,"&gt;0")</f>
        <v>0</v>
      </c>
      <c r="AD118" s="64">
        <f>+SUMIFS('[1]Pipeline TS'!$AB:$AB,'[1]Pipeline TS'!$F:$F,Tabla1[[#This Row],[Cliente]])</f>
        <v>0</v>
      </c>
      <c r="AE118" s="65">
        <f>+SUM(Tabla1[[#This Row],[Pipeline 2026 $MM ESTERILIZACIÓN]:[Pipeline 2026 $MM TECSERVICE]])</f>
        <v>0</v>
      </c>
      <c r="AF118" s="43">
        <v>-33.417791879167098</v>
      </c>
      <c r="AG118" s="58">
        <v>-70.604430277484397</v>
      </c>
      <c r="AH118" s="57" t="str">
        <f>+IF(Tabla1[[#This Row],['# Contratos Vigentes ]]&gt;0,"SI","NO")</f>
        <v>NO</v>
      </c>
      <c r="AI118" s="66"/>
      <c r="AJ118" s="67">
        <f>+Tabla1[[#This Row],[Ingreso 2025 - 2026]]*Tabla1[[#This Row],[% Costo Serv. Directo]]</f>
        <v>0</v>
      </c>
      <c r="AK118" s="68"/>
      <c r="AL11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1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5591600</v>
      </c>
      <c r="AN118" s="42">
        <f>+Tabla1[[#This Row],[Potencial Equipos]]+Tabla1[[#This Row],[Potencial Pipeline]]</f>
        <v>5591600</v>
      </c>
    </row>
    <row r="119" spans="1:40" ht="15.75" x14ac:dyDescent="0.25">
      <c r="A119" s="47" t="s">
        <v>272</v>
      </c>
      <c r="B119" t="str">
        <f>+VLOOKUP(Tabla1[[#This Row],[Cliente]],'[1]Público Privado'!$A$1:$B$325,2,FALSE)</f>
        <v>Público</v>
      </c>
      <c r="C119" s="23">
        <f>+SUMIFS('[1]Facturacion a Fecha'!$T:$T,'[1]Facturacion a Fecha'!$AY:$AY,Tabla1[[#This Row],[Cliente]])</f>
        <v>0</v>
      </c>
      <c r="D119" s="24">
        <f>+SUMIFS('[1]Facturacion a Fecha'!$T:$T,'[1]Facturacion a Fecha'!$AY:$AY,Tabla1[[#This Row],[Cliente]],'[1]Facturacion a Fecha'!$AX:$AX,"Correctivo")</f>
        <v>0</v>
      </c>
      <c r="E119" s="25">
        <f>+COUNTIFS('[1]Facturacion a Fecha'!AY:AY,Tabla1[[#This Row],[Cliente]],'[1]Facturacion a Fecha'!AX:AX,"Correctivo")</f>
        <v>0</v>
      </c>
      <c r="F119" s="25">
        <f>+SUMIFS('[1]Facturacion a Fecha'!$T:$T,'[1]Facturacion a Fecha'!$AY:$AY,Tabla1[[#This Row],[Cliente]],'[1]Facturacion a Fecha'!$AX:$AX,"Preventivo")</f>
        <v>0</v>
      </c>
      <c r="G119" s="25">
        <f>+COUNTIFS('[1]Facturacion a Fecha'!AY:AY,Tabla1[[#This Row],[Cliente]],'[1]Facturacion a Fecha'!AX:AX,"Preventivo")</f>
        <v>0</v>
      </c>
      <c r="H119" s="26">
        <f>+Tabla1[[#This Row],['# Preventivo]]+Tabla1[[#This Row],['# Correctivo]]</f>
        <v>0</v>
      </c>
      <c r="I119" s="23">
        <f>+IFERROR(Tabla1[[#This Row],[Ingreso 2025 - 2026 Correctivo]]/Tabla1[[#This Row],[Ingreso 2025 - 2026 Preventivo]],0)</f>
        <v>0</v>
      </c>
      <c r="J119" s="59">
        <f>+IFERROR(Tabla1[[#This Row],['# Correctivo]]/Tabla1[[#This Row],['# Preventivo]],0)</f>
        <v>0</v>
      </c>
      <c r="K119" s="60">
        <f>+IFERROR(Tabla1[[#This Row],[Ingreso 2025 - 2026 Preventivo]]/(Tabla1[[#This Row],[Ingreso 2025 - 2026 Correctivo]]+Tabla1[[#This Row],[Ingreso 2025 - 2026 Preventivo]]),0)</f>
        <v>0</v>
      </c>
      <c r="L119" s="60">
        <f>1-Tabla1[[#This Row],[% Preventivo $]]</f>
        <v>1</v>
      </c>
      <c r="M119" s="45">
        <f>+COUNTIFS('[1]Base Instalada'!AA:AA,Tabla1[[#This Row],[Cliente]])</f>
        <v>6</v>
      </c>
      <c r="N11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19" s="45">
        <f>+COUNTIFS('[1]Base Instalada'!AA:AA,Tabla1[[#This Row],[Cliente]],'[1]Base Instalada'!Z:Z,"ESTERILIZACIÓN")</f>
        <v>6</v>
      </c>
      <c r="P119" s="45">
        <f>+COUNTIFS('[1]Base Instalada'!AA:AA,Tabla1[[#This Row],[Cliente]],'[1]Base Instalada'!Z:Z,"DENTAL")</f>
        <v>0</v>
      </c>
      <c r="Q119" s="45">
        <f>+COUNTIFS('[1]Base Instalada'!AA:AA,Tabla1[[#This Row],[Cliente]],'[1]Base Instalada'!Z:Z,"ENDOSCOPÍA")</f>
        <v>0</v>
      </c>
      <c r="R119" s="45">
        <f>+COUNTIFS('[1]Base Instalada'!AA:AA,Tabla1[[#This Row],[Cliente]],'[1]Base Instalada'!Z:Z,"INCARDIA")</f>
        <v>0</v>
      </c>
      <c r="S119" s="45">
        <f>+COUNTIFS('[1]Base Instalada'!AA:AA,Tabla1[[#This Row],[Cliente]],'[1]Base Instalada'!Z:Z,"MMQ")</f>
        <v>0</v>
      </c>
      <c r="T119" s="45">
        <f>+COUNTIFS('[1]Base Instalada'!AA:AA,Tabla1[[#This Row],[Cliente]],'[1]Base Instalada'!Z:Z,"REAS")</f>
        <v>0</v>
      </c>
      <c r="U119" s="46">
        <f>+COUNTIFS('[1]Base Instalada'!AA:AA,Tabla1[[#This Row],[Cliente]],'[1]Base Instalada'!Z:Z,"MOBILIARIO CLINICO")</f>
        <v>0</v>
      </c>
      <c r="V119" s="29">
        <f>+COUNTIFS('[1]Base Instalada'!AA:AA,Tabla1[[#This Row],[Cliente]],'[1]Base Instalada'!Z:Z,"OTRO")</f>
        <v>0</v>
      </c>
      <c r="W119" s="61" t="str">
        <f t="shared" si="4"/>
        <v>Región Metropolitana</v>
      </c>
      <c r="X119" s="61" t="str">
        <f t="shared" si="5"/>
        <v>Cerro Navia</v>
      </c>
      <c r="Y119" s="62" t="s">
        <v>273</v>
      </c>
      <c r="Z119" s="33">
        <f>+COUNTIFS('[1]Pipeline TS'!$F:$F,Tabla1[[#This Row],[Cliente]])</f>
        <v>0</v>
      </c>
      <c r="AA119" s="63">
        <f>SUMIFS('[1]Pipeline Esterilización'!M:M,'[1]Pipeline Esterilización'!E:E,Tabla1[[#This Row],[Cliente]],'[1]Pipeline Esterilización'!B:B,"2026",'[1]Pipeline Esterilización'!L:L,"&gt;0")</f>
        <v>0</v>
      </c>
      <c r="AB119" s="33">
        <f>+SUMIFS('[1]Pipeline Endoscopía'!K:K,'[1]Pipeline Endoscopía'!E:E,Tabla1[[#This Row],[Cliente]],'[1]Pipeline Endoscopía'!B:B,"2026",'[1]Pipeline Endoscopía'!J:J,"&gt;0")</f>
        <v>0</v>
      </c>
      <c r="AC119" s="63">
        <f>+SUMIFS('[1]Pipeline Dental'!K:K,'[1]Pipeline Dental'!E:E,Tabla1[[#This Row],[Cliente]],'[1]Pipeline Dental'!B:B,"2026",'[1]Pipeline Dental'!J:J,"&gt;0")</f>
        <v>0</v>
      </c>
      <c r="AD119" s="64">
        <f>+SUMIFS('[1]Pipeline TS'!$AB:$AB,'[1]Pipeline TS'!$F:$F,Tabla1[[#This Row],[Cliente]])</f>
        <v>0</v>
      </c>
      <c r="AE119" s="65">
        <f>+SUM(Tabla1[[#This Row],[Pipeline 2026 $MM ESTERILIZACIÓN]:[Pipeline 2026 $MM TECSERVICE]])</f>
        <v>0</v>
      </c>
      <c r="AF119" s="43">
        <v>-33.418437522221097</v>
      </c>
      <c r="AG119" s="58">
        <v>-70.741125148604894</v>
      </c>
      <c r="AH119" s="57" t="str">
        <f>+IF(Tabla1[[#This Row],['# Contratos Vigentes ]]&gt;0,"SI","NO")</f>
        <v>NO</v>
      </c>
      <c r="AI119" s="66"/>
      <c r="AJ119" s="67">
        <f>+Tabla1[[#This Row],[Ingreso 2025 - 2026]]*Tabla1[[#This Row],[% Costo Serv. Directo]]</f>
        <v>0</v>
      </c>
      <c r="AK119" s="68"/>
      <c r="AL11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1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11982000</v>
      </c>
      <c r="AN119" s="42">
        <f>+Tabla1[[#This Row],[Potencial Equipos]]+Tabla1[[#This Row],[Potencial Pipeline]]</f>
        <v>11982000</v>
      </c>
    </row>
    <row r="120" spans="1:40" ht="15.75" x14ac:dyDescent="0.25">
      <c r="A120" s="47" t="s">
        <v>274</v>
      </c>
      <c r="B120" t="str">
        <f>+VLOOKUP(Tabla1[[#This Row],[Cliente]],'[1]Público Privado'!$A$1:$B$325,2,FALSE)</f>
        <v>Privado</v>
      </c>
      <c r="C120" s="23">
        <f>+SUMIFS('[1]Facturacion a Fecha'!$T:$T,'[1]Facturacion a Fecha'!$AY:$AY,Tabla1[[#This Row],[Cliente]])</f>
        <v>0</v>
      </c>
      <c r="D120" s="24">
        <f>+SUMIFS('[1]Facturacion a Fecha'!$T:$T,'[1]Facturacion a Fecha'!$AY:$AY,Tabla1[[#This Row],[Cliente]],'[1]Facturacion a Fecha'!$AX:$AX,"Correctivo")</f>
        <v>0</v>
      </c>
      <c r="E120" s="25">
        <f>+COUNTIFS('[1]Facturacion a Fecha'!AY:AY,Tabla1[[#This Row],[Cliente]],'[1]Facturacion a Fecha'!AX:AX,"Correctivo")</f>
        <v>0</v>
      </c>
      <c r="F120" s="25">
        <f>+SUMIFS('[1]Facturacion a Fecha'!$T:$T,'[1]Facturacion a Fecha'!$AY:$AY,Tabla1[[#This Row],[Cliente]],'[1]Facturacion a Fecha'!$AX:$AX,"Preventivo")</f>
        <v>0</v>
      </c>
      <c r="G120" s="25">
        <f>+COUNTIFS('[1]Facturacion a Fecha'!AY:AY,Tabla1[[#This Row],[Cliente]],'[1]Facturacion a Fecha'!AX:AX,"Preventivo")</f>
        <v>0</v>
      </c>
      <c r="H120" s="26">
        <f>+Tabla1[[#This Row],['# Preventivo]]+Tabla1[[#This Row],['# Correctivo]]</f>
        <v>0</v>
      </c>
      <c r="I120" s="23">
        <f>+IFERROR(Tabla1[[#This Row],[Ingreso 2025 - 2026 Correctivo]]/Tabla1[[#This Row],[Ingreso 2025 - 2026 Preventivo]],0)</f>
        <v>0</v>
      </c>
      <c r="J120" s="59">
        <f>+IFERROR(Tabla1[[#This Row],['# Correctivo]]/Tabla1[[#This Row],['# Preventivo]],0)</f>
        <v>0</v>
      </c>
      <c r="K120" s="60">
        <f>+IFERROR(Tabla1[[#This Row],[Ingreso 2025 - 2026 Preventivo]]/(Tabla1[[#This Row],[Ingreso 2025 - 2026 Correctivo]]+Tabla1[[#This Row],[Ingreso 2025 - 2026 Preventivo]]),0)</f>
        <v>0</v>
      </c>
      <c r="L120" s="60">
        <f>1-Tabla1[[#This Row],[% Preventivo $]]</f>
        <v>1</v>
      </c>
      <c r="M120" s="45">
        <f>+COUNTIFS('[1]Base Instalada'!AA:AA,Tabla1[[#This Row],[Cliente]])</f>
        <v>15</v>
      </c>
      <c r="N12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0" s="45">
        <f>+COUNTIFS('[1]Base Instalada'!AA:AA,Tabla1[[#This Row],[Cliente]],'[1]Base Instalada'!Z:Z,"ESTERILIZACIÓN")</f>
        <v>8</v>
      </c>
      <c r="P120" s="45">
        <f>+COUNTIFS('[1]Base Instalada'!AA:AA,Tabla1[[#This Row],[Cliente]],'[1]Base Instalada'!Z:Z,"DENTAL")</f>
        <v>7</v>
      </c>
      <c r="Q120" s="45">
        <f>+COUNTIFS('[1]Base Instalada'!AA:AA,Tabla1[[#This Row],[Cliente]],'[1]Base Instalada'!Z:Z,"ENDOSCOPÍA")</f>
        <v>0</v>
      </c>
      <c r="R120" s="45">
        <f>+COUNTIFS('[1]Base Instalada'!AA:AA,Tabla1[[#This Row],[Cliente]],'[1]Base Instalada'!Z:Z,"INCARDIA")</f>
        <v>0</v>
      </c>
      <c r="S120" s="45">
        <f>+COUNTIFS('[1]Base Instalada'!AA:AA,Tabla1[[#This Row],[Cliente]],'[1]Base Instalada'!Z:Z,"MMQ")</f>
        <v>0</v>
      </c>
      <c r="T120" s="45">
        <f>+COUNTIFS('[1]Base Instalada'!AA:AA,Tabla1[[#This Row],[Cliente]],'[1]Base Instalada'!Z:Z,"REAS")</f>
        <v>0</v>
      </c>
      <c r="U120" s="46">
        <f>+COUNTIFS('[1]Base Instalada'!AA:AA,Tabla1[[#This Row],[Cliente]],'[1]Base Instalada'!Z:Z,"MOBILIARIO CLINICO")</f>
        <v>0</v>
      </c>
      <c r="V120" s="29">
        <f>+COUNTIFS('[1]Base Instalada'!AA:AA,Tabla1[[#This Row],[Cliente]],'[1]Base Instalada'!Z:Z,"OTRO")</f>
        <v>0</v>
      </c>
      <c r="W120" s="61" t="str">
        <f t="shared" si="4"/>
        <v>Región Metropolitana</v>
      </c>
      <c r="X120" s="61" t="str">
        <f t="shared" si="5"/>
        <v>Vitacura</v>
      </c>
      <c r="Y120" s="62" t="s">
        <v>275</v>
      </c>
      <c r="Z120" s="33">
        <f>+COUNTIFS('[1]Pipeline TS'!$F:$F,Tabla1[[#This Row],[Cliente]])</f>
        <v>0</v>
      </c>
      <c r="AA120" s="63">
        <f>SUMIFS('[1]Pipeline Esterilización'!M:M,'[1]Pipeline Esterilización'!E:E,Tabla1[[#This Row],[Cliente]],'[1]Pipeline Esterilización'!B:B,"2026",'[1]Pipeline Esterilización'!L:L,"&gt;0")</f>
        <v>0</v>
      </c>
      <c r="AB120" s="33">
        <f>+SUMIFS('[1]Pipeline Endoscopía'!K:K,'[1]Pipeline Endoscopía'!E:E,Tabla1[[#This Row],[Cliente]],'[1]Pipeline Endoscopía'!B:B,"2026",'[1]Pipeline Endoscopía'!J:J,"&gt;0")</f>
        <v>0</v>
      </c>
      <c r="AC120" s="63">
        <f>+SUMIFS('[1]Pipeline Dental'!K:K,'[1]Pipeline Dental'!E:E,Tabla1[[#This Row],[Cliente]],'[1]Pipeline Dental'!B:B,"2026",'[1]Pipeline Dental'!J:J,"&gt;0")</f>
        <v>0</v>
      </c>
      <c r="AD120" s="64">
        <f>+SUMIFS('[1]Pipeline TS'!$AB:$AB,'[1]Pipeline TS'!$F:$F,Tabla1[[#This Row],[Cliente]])</f>
        <v>0</v>
      </c>
      <c r="AE120" s="65">
        <f>+SUM(Tabla1[[#This Row],[Pipeline 2026 $MM ESTERILIZACIÓN]:[Pipeline 2026 $MM TECSERVICE]])</f>
        <v>0</v>
      </c>
      <c r="AF120" s="43">
        <v>-33.402798714628901</v>
      </c>
      <c r="AG120" s="58">
        <v>-70.587404821020797</v>
      </c>
      <c r="AH120" s="57" t="str">
        <f>+IF(Tabla1[[#This Row],['# Contratos Vigentes ]]&gt;0,"SI","NO")</f>
        <v>NO</v>
      </c>
      <c r="AI120" s="66"/>
      <c r="AJ120" s="67">
        <f>+Tabla1[[#This Row],[Ingreso 2025 - 2026]]*Tabla1[[#This Row],[% Costo Serv. Directo]]</f>
        <v>0</v>
      </c>
      <c r="AK120" s="68"/>
      <c r="AL12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20169700</v>
      </c>
      <c r="AN120" s="42">
        <f>+Tabla1[[#This Row],[Potencial Equipos]]+Tabla1[[#This Row],[Potencial Pipeline]]</f>
        <v>20169700</v>
      </c>
    </row>
    <row r="121" spans="1:40" ht="15.75" x14ac:dyDescent="0.25">
      <c r="A121" s="47" t="s">
        <v>276</v>
      </c>
      <c r="B121" t="str">
        <f>+VLOOKUP(Tabla1[[#This Row],[Cliente]],'[1]Público Privado'!$A$1:$B$325,2,FALSE)</f>
        <v>Privado</v>
      </c>
      <c r="C121" s="23">
        <f>+SUMIFS('[1]Facturacion a Fecha'!$T:$T,'[1]Facturacion a Fecha'!$AY:$AY,Tabla1[[#This Row],[Cliente]])</f>
        <v>0</v>
      </c>
      <c r="D121" s="24">
        <f>+SUMIFS('[1]Facturacion a Fecha'!$T:$T,'[1]Facturacion a Fecha'!$AY:$AY,Tabla1[[#This Row],[Cliente]],'[1]Facturacion a Fecha'!$AX:$AX,"Correctivo")</f>
        <v>0</v>
      </c>
      <c r="E121" s="25">
        <f>+COUNTIFS('[1]Facturacion a Fecha'!AY:AY,Tabla1[[#This Row],[Cliente]],'[1]Facturacion a Fecha'!AX:AX,"Correctivo")</f>
        <v>0</v>
      </c>
      <c r="F121" s="25">
        <f>+SUMIFS('[1]Facturacion a Fecha'!$T:$T,'[1]Facturacion a Fecha'!$AY:$AY,Tabla1[[#This Row],[Cliente]],'[1]Facturacion a Fecha'!$AX:$AX,"Preventivo")</f>
        <v>0</v>
      </c>
      <c r="G121" s="25">
        <f>+COUNTIFS('[1]Facturacion a Fecha'!AY:AY,Tabla1[[#This Row],[Cliente]],'[1]Facturacion a Fecha'!AX:AX,"Preventivo")</f>
        <v>0</v>
      </c>
      <c r="H121" s="26">
        <f>+Tabla1[[#This Row],['# Preventivo]]+Tabla1[[#This Row],['# Correctivo]]</f>
        <v>0</v>
      </c>
      <c r="I121" s="23">
        <f>+IFERROR(Tabla1[[#This Row],[Ingreso 2025 - 2026 Correctivo]]/Tabla1[[#This Row],[Ingreso 2025 - 2026 Preventivo]],0)</f>
        <v>0</v>
      </c>
      <c r="J121" s="59">
        <f>+IFERROR(Tabla1[[#This Row],['# Correctivo]]/Tabla1[[#This Row],['# Preventivo]],0)</f>
        <v>0</v>
      </c>
      <c r="K121" s="60">
        <f>+IFERROR(Tabla1[[#This Row],[Ingreso 2025 - 2026 Preventivo]]/(Tabla1[[#This Row],[Ingreso 2025 - 2026 Correctivo]]+Tabla1[[#This Row],[Ingreso 2025 - 2026 Preventivo]]),0)</f>
        <v>0</v>
      </c>
      <c r="L121" s="60">
        <f>1-Tabla1[[#This Row],[% Preventivo $]]</f>
        <v>1</v>
      </c>
      <c r="M121" s="45">
        <f>+COUNTIFS('[1]Base Instalada'!AA:AA,Tabla1[[#This Row],[Cliente]])</f>
        <v>7</v>
      </c>
      <c r="N12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1" s="45">
        <f>+COUNTIFS('[1]Base Instalada'!AA:AA,Tabla1[[#This Row],[Cliente]],'[1]Base Instalada'!Z:Z,"ESTERILIZACIÓN")</f>
        <v>3</v>
      </c>
      <c r="P121" s="45">
        <f>+COUNTIFS('[1]Base Instalada'!AA:AA,Tabla1[[#This Row],[Cliente]],'[1]Base Instalada'!Z:Z,"DENTAL")</f>
        <v>4</v>
      </c>
      <c r="Q121" s="45">
        <f>+COUNTIFS('[1]Base Instalada'!AA:AA,Tabla1[[#This Row],[Cliente]],'[1]Base Instalada'!Z:Z,"ENDOSCOPÍA")</f>
        <v>0</v>
      </c>
      <c r="R121" s="45">
        <f>+COUNTIFS('[1]Base Instalada'!AA:AA,Tabla1[[#This Row],[Cliente]],'[1]Base Instalada'!Z:Z,"INCARDIA")</f>
        <v>0</v>
      </c>
      <c r="S121" s="45">
        <f>+COUNTIFS('[1]Base Instalada'!AA:AA,Tabla1[[#This Row],[Cliente]],'[1]Base Instalada'!Z:Z,"MMQ")</f>
        <v>0</v>
      </c>
      <c r="T121" s="45">
        <f>+COUNTIFS('[1]Base Instalada'!AA:AA,Tabla1[[#This Row],[Cliente]],'[1]Base Instalada'!Z:Z,"REAS")</f>
        <v>0</v>
      </c>
      <c r="U121" s="46">
        <f>+COUNTIFS('[1]Base Instalada'!AA:AA,Tabla1[[#This Row],[Cliente]],'[1]Base Instalada'!Z:Z,"MOBILIARIO CLINICO")</f>
        <v>0</v>
      </c>
      <c r="V121" s="29">
        <f>+COUNTIFS('[1]Base Instalada'!AA:AA,Tabla1[[#This Row],[Cliente]],'[1]Base Instalada'!Z:Z,"OTRO")</f>
        <v>0</v>
      </c>
      <c r="W121" s="61" t="str">
        <f t="shared" si="4"/>
        <v>Región Metropolitana</v>
      </c>
      <c r="X121" s="61" t="str">
        <f t="shared" si="5"/>
        <v>Santiago</v>
      </c>
      <c r="Y121" s="62" t="s">
        <v>277</v>
      </c>
      <c r="Z121" s="33">
        <f>+COUNTIFS('[1]Pipeline TS'!$F:$F,Tabla1[[#This Row],[Cliente]])</f>
        <v>0</v>
      </c>
      <c r="AA121" s="63">
        <f>SUMIFS('[1]Pipeline Esterilización'!M:M,'[1]Pipeline Esterilización'!E:E,Tabla1[[#This Row],[Cliente]],'[1]Pipeline Esterilización'!B:B,"2026",'[1]Pipeline Esterilización'!L:L,"&gt;0")</f>
        <v>0</v>
      </c>
      <c r="AB121" s="33">
        <f>+SUMIFS('[1]Pipeline Endoscopía'!K:K,'[1]Pipeline Endoscopía'!E:E,Tabla1[[#This Row],[Cliente]],'[1]Pipeline Endoscopía'!B:B,"2026",'[1]Pipeline Endoscopía'!J:J,"&gt;0")</f>
        <v>0</v>
      </c>
      <c r="AC121" s="63">
        <f>+SUMIFS('[1]Pipeline Dental'!K:K,'[1]Pipeline Dental'!E:E,Tabla1[[#This Row],[Cliente]],'[1]Pipeline Dental'!B:B,"2026",'[1]Pipeline Dental'!J:J,"&gt;0")</f>
        <v>0</v>
      </c>
      <c r="AD121" s="64">
        <f>+SUMIFS('[1]Pipeline TS'!$AB:$AB,'[1]Pipeline TS'!$F:$F,Tabla1[[#This Row],[Cliente]])</f>
        <v>0</v>
      </c>
      <c r="AE121" s="65">
        <f>+SUM(Tabla1[[#This Row],[Pipeline 2026 $MM ESTERILIZACIÓN]:[Pipeline 2026 $MM TECSERVICE]])</f>
        <v>0</v>
      </c>
      <c r="AF121" s="43">
        <v>-33.440621114129101</v>
      </c>
      <c r="AG121" s="58">
        <v>-70.645994512205604</v>
      </c>
      <c r="AH121" s="57" t="str">
        <f>+IF(Tabla1[[#This Row],['# Contratos Vigentes ]]&gt;0,"SI","NO")</f>
        <v>NO</v>
      </c>
      <c r="AI121" s="66"/>
      <c r="AJ121" s="67">
        <f>+Tabla1[[#This Row],[Ingreso 2025 - 2026]]*Tabla1[[#This Row],[% Costo Serv. Directo]]</f>
        <v>0</v>
      </c>
      <c r="AK121" s="68"/>
      <c r="AL12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8387400</v>
      </c>
      <c r="AN121" s="42">
        <f>+Tabla1[[#This Row],[Potencial Equipos]]+Tabla1[[#This Row],[Potencial Pipeline]]</f>
        <v>8387400</v>
      </c>
    </row>
    <row r="122" spans="1:40" ht="15.75" x14ac:dyDescent="0.25">
      <c r="A122" s="47" t="s">
        <v>278</v>
      </c>
      <c r="B122" t="str">
        <f>+VLOOKUP(Tabla1[[#This Row],[Cliente]],'[1]Público Privado'!$A$1:$B$325,2,FALSE)</f>
        <v>Privado</v>
      </c>
      <c r="C122" s="23">
        <f>+SUMIFS('[1]Facturacion a Fecha'!$T:$T,'[1]Facturacion a Fecha'!$AY:$AY,Tabla1[[#This Row],[Cliente]])</f>
        <v>0</v>
      </c>
      <c r="D122" s="24">
        <f>+SUMIFS('[1]Facturacion a Fecha'!$T:$T,'[1]Facturacion a Fecha'!$AY:$AY,Tabla1[[#This Row],[Cliente]],'[1]Facturacion a Fecha'!$AX:$AX,"Correctivo")</f>
        <v>0</v>
      </c>
      <c r="E122" s="25">
        <f>+COUNTIFS('[1]Facturacion a Fecha'!AY:AY,Tabla1[[#This Row],[Cliente]],'[1]Facturacion a Fecha'!AX:AX,"Correctivo")</f>
        <v>0</v>
      </c>
      <c r="F122" s="25">
        <f>+SUMIFS('[1]Facturacion a Fecha'!$T:$T,'[1]Facturacion a Fecha'!$AY:$AY,Tabla1[[#This Row],[Cliente]],'[1]Facturacion a Fecha'!$AX:$AX,"Preventivo")</f>
        <v>0</v>
      </c>
      <c r="G122" s="25">
        <f>+COUNTIFS('[1]Facturacion a Fecha'!AY:AY,Tabla1[[#This Row],[Cliente]],'[1]Facturacion a Fecha'!AX:AX,"Preventivo")</f>
        <v>0</v>
      </c>
      <c r="H122" s="26">
        <f>+Tabla1[[#This Row],['# Preventivo]]+Tabla1[[#This Row],['# Correctivo]]</f>
        <v>0</v>
      </c>
      <c r="I122" s="23">
        <f>+IFERROR(Tabla1[[#This Row],[Ingreso 2025 - 2026 Correctivo]]/Tabla1[[#This Row],[Ingreso 2025 - 2026 Preventivo]],0)</f>
        <v>0</v>
      </c>
      <c r="J122" s="59">
        <f>+IFERROR(Tabla1[[#This Row],['# Correctivo]]/Tabla1[[#This Row],['# Preventivo]],0)</f>
        <v>0</v>
      </c>
      <c r="K122" s="60">
        <f>+IFERROR(Tabla1[[#This Row],[Ingreso 2025 - 2026 Preventivo]]/(Tabla1[[#This Row],[Ingreso 2025 - 2026 Correctivo]]+Tabla1[[#This Row],[Ingreso 2025 - 2026 Preventivo]]),0)</f>
        <v>0</v>
      </c>
      <c r="L122" s="60">
        <f>1-Tabla1[[#This Row],[% Preventivo $]]</f>
        <v>1</v>
      </c>
      <c r="M122" s="45">
        <f>+COUNTIFS('[1]Base Instalada'!AA:AA,Tabla1[[#This Row],[Cliente]])</f>
        <v>8</v>
      </c>
      <c r="N12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2" s="45">
        <f>+COUNTIFS('[1]Base Instalada'!AA:AA,Tabla1[[#This Row],[Cliente]],'[1]Base Instalada'!Z:Z,"ESTERILIZACIÓN")</f>
        <v>2</v>
      </c>
      <c r="P122" s="45">
        <f>+COUNTIFS('[1]Base Instalada'!AA:AA,Tabla1[[#This Row],[Cliente]],'[1]Base Instalada'!Z:Z,"DENTAL")</f>
        <v>6</v>
      </c>
      <c r="Q122" s="45">
        <f>+COUNTIFS('[1]Base Instalada'!AA:AA,Tabla1[[#This Row],[Cliente]],'[1]Base Instalada'!Z:Z,"ENDOSCOPÍA")</f>
        <v>0</v>
      </c>
      <c r="R122" s="45">
        <f>+COUNTIFS('[1]Base Instalada'!AA:AA,Tabla1[[#This Row],[Cliente]],'[1]Base Instalada'!Z:Z,"INCARDIA")</f>
        <v>0</v>
      </c>
      <c r="S122" s="45">
        <f>+COUNTIFS('[1]Base Instalada'!AA:AA,Tabla1[[#This Row],[Cliente]],'[1]Base Instalada'!Z:Z,"MMQ")</f>
        <v>0</v>
      </c>
      <c r="T122" s="45">
        <f>+COUNTIFS('[1]Base Instalada'!AA:AA,Tabla1[[#This Row],[Cliente]],'[1]Base Instalada'!Z:Z,"REAS")</f>
        <v>0</v>
      </c>
      <c r="U122" s="46">
        <f>+COUNTIFS('[1]Base Instalada'!AA:AA,Tabla1[[#This Row],[Cliente]],'[1]Base Instalada'!Z:Z,"MOBILIARIO CLINICO")</f>
        <v>0</v>
      </c>
      <c r="V122" s="29">
        <f>+COUNTIFS('[1]Base Instalada'!AA:AA,Tabla1[[#This Row],[Cliente]],'[1]Base Instalada'!Z:Z,"OTRO")</f>
        <v>0</v>
      </c>
      <c r="W122" s="61" t="str">
        <f t="shared" si="4"/>
        <v>Región Bío Bío</v>
      </c>
      <c r="X122" s="61" t="str">
        <f t="shared" si="5"/>
        <v>Concepción</v>
      </c>
      <c r="Y122" s="62" t="s">
        <v>279</v>
      </c>
      <c r="Z122" s="33">
        <f>+COUNTIFS('[1]Pipeline TS'!$F:$F,Tabla1[[#This Row],[Cliente]])</f>
        <v>0</v>
      </c>
      <c r="AA122" s="63">
        <f>SUMIFS('[1]Pipeline Esterilización'!M:M,'[1]Pipeline Esterilización'!E:E,Tabla1[[#This Row],[Cliente]],'[1]Pipeline Esterilización'!B:B,"2026",'[1]Pipeline Esterilización'!L:L,"&gt;0")</f>
        <v>0</v>
      </c>
      <c r="AB122" s="33">
        <f>+SUMIFS('[1]Pipeline Endoscopía'!K:K,'[1]Pipeline Endoscopía'!E:E,Tabla1[[#This Row],[Cliente]],'[1]Pipeline Endoscopía'!B:B,"2026",'[1]Pipeline Endoscopía'!J:J,"&gt;0")</f>
        <v>0</v>
      </c>
      <c r="AC122" s="63">
        <f>+SUMIFS('[1]Pipeline Dental'!K:K,'[1]Pipeline Dental'!E:E,Tabla1[[#This Row],[Cliente]],'[1]Pipeline Dental'!B:B,"2026",'[1]Pipeline Dental'!J:J,"&gt;0")</f>
        <v>0</v>
      </c>
      <c r="AD122" s="64">
        <f>+SUMIFS('[1]Pipeline TS'!$AB:$AB,'[1]Pipeline TS'!$F:$F,Tabla1[[#This Row],[Cliente]])</f>
        <v>0</v>
      </c>
      <c r="AE122" s="65">
        <f>+SUM(Tabla1[[#This Row],[Pipeline 2026 $MM ESTERILIZACIÓN]:[Pipeline 2026 $MM TECSERVICE]])</f>
        <v>0</v>
      </c>
      <c r="AF122" s="43">
        <v>-33.408434800551198</v>
      </c>
      <c r="AG122" s="58">
        <v>-70.696479084929194</v>
      </c>
      <c r="AH122" s="57" t="str">
        <f>+IF(Tabla1[[#This Row],['# Contratos Vigentes ]]&gt;0,"SI","NO")</f>
        <v>NO</v>
      </c>
      <c r="AI122" s="66"/>
      <c r="AJ122" s="67">
        <f>+Tabla1[[#This Row],[Ingreso 2025 - 2026]]*Tabla1[[#This Row],[% Costo Serv. Directo]]</f>
        <v>0</v>
      </c>
      <c r="AK122" s="68"/>
      <c r="AL12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7588600</v>
      </c>
      <c r="AN122" s="42">
        <f>+Tabla1[[#This Row],[Potencial Equipos]]+Tabla1[[#This Row],[Potencial Pipeline]]</f>
        <v>7588600</v>
      </c>
    </row>
    <row r="123" spans="1:40" ht="15.75" x14ac:dyDescent="0.25">
      <c r="A123" s="47" t="s">
        <v>280</v>
      </c>
      <c r="B123" t="str">
        <f>+VLOOKUP(Tabla1[[#This Row],[Cliente]],'[1]Público Privado'!$A$1:$B$325,2,FALSE)</f>
        <v>Público</v>
      </c>
      <c r="C123" s="23">
        <f>+SUMIFS('[1]Facturacion a Fecha'!$T:$T,'[1]Facturacion a Fecha'!$AY:$AY,Tabla1[[#This Row],[Cliente]])</f>
        <v>0</v>
      </c>
      <c r="D123" s="24">
        <f>+SUMIFS('[1]Facturacion a Fecha'!$T:$T,'[1]Facturacion a Fecha'!$AY:$AY,Tabla1[[#This Row],[Cliente]],'[1]Facturacion a Fecha'!$AX:$AX,"Correctivo")</f>
        <v>0</v>
      </c>
      <c r="E123" s="25">
        <f>+COUNTIFS('[1]Facturacion a Fecha'!AY:AY,Tabla1[[#This Row],[Cliente]],'[1]Facturacion a Fecha'!AX:AX,"Correctivo")</f>
        <v>0</v>
      </c>
      <c r="F123" s="25">
        <f>+SUMIFS('[1]Facturacion a Fecha'!$T:$T,'[1]Facturacion a Fecha'!$AY:$AY,Tabla1[[#This Row],[Cliente]],'[1]Facturacion a Fecha'!$AX:$AX,"Preventivo")</f>
        <v>0</v>
      </c>
      <c r="G123" s="25">
        <f>+COUNTIFS('[1]Facturacion a Fecha'!AY:AY,Tabla1[[#This Row],[Cliente]],'[1]Facturacion a Fecha'!AX:AX,"Preventivo")</f>
        <v>0</v>
      </c>
      <c r="H123" s="26">
        <f>+Tabla1[[#This Row],['# Preventivo]]+Tabla1[[#This Row],['# Correctivo]]</f>
        <v>0</v>
      </c>
      <c r="I123" s="23">
        <f>+IFERROR(Tabla1[[#This Row],[Ingreso 2025 - 2026 Correctivo]]/Tabla1[[#This Row],[Ingreso 2025 - 2026 Preventivo]],0)</f>
        <v>0</v>
      </c>
      <c r="J123" s="59">
        <f>+IFERROR(Tabla1[[#This Row],['# Correctivo]]/Tabla1[[#This Row],['# Preventivo]],0)</f>
        <v>0</v>
      </c>
      <c r="K123" s="60">
        <f>+IFERROR(Tabla1[[#This Row],[Ingreso 2025 - 2026 Preventivo]]/(Tabla1[[#This Row],[Ingreso 2025 - 2026 Correctivo]]+Tabla1[[#This Row],[Ingreso 2025 - 2026 Preventivo]]),0)</f>
        <v>0</v>
      </c>
      <c r="L123" s="60">
        <f>1-Tabla1[[#This Row],[% Preventivo $]]</f>
        <v>1</v>
      </c>
      <c r="M123" s="45">
        <f>+COUNTIFS('[1]Base Instalada'!AA:AA,Tabla1[[#This Row],[Cliente]])</f>
        <v>10</v>
      </c>
      <c r="N12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3" s="45">
        <f>+COUNTIFS('[1]Base Instalada'!AA:AA,Tabla1[[#This Row],[Cliente]],'[1]Base Instalada'!Z:Z,"ESTERILIZACIÓN")</f>
        <v>1</v>
      </c>
      <c r="P123" s="45">
        <f>+COUNTIFS('[1]Base Instalada'!AA:AA,Tabla1[[#This Row],[Cliente]],'[1]Base Instalada'!Z:Z,"DENTAL")</f>
        <v>9</v>
      </c>
      <c r="Q123" s="45">
        <f>+COUNTIFS('[1]Base Instalada'!AA:AA,Tabla1[[#This Row],[Cliente]],'[1]Base Instalada'!Z:Z,"ENDOSCOPÍA")</f>
        <v>0</v>
      </c>
      <c r="R123" s="45">
        <f>+COUNTIFS('[1]Base Instalada'!AA:AA,Tabla1[[#This Row],[Cliente]],'[1]Base Instalada'!Z:Z,"INCARDIA")</f>
        <v>0</v>
      </c>
      <c r="S123" s="45">
        <f>+COUNTIFS('[1]Base Instalada'!AA:AA,Tabla1[[#This Row],[Cliente]],'[1]Base Instalada'!Z:Z,"MMQ")</f>
        <v>0</v>
      </c>
      <c r="T123" s="45">
        <f>+COUNTIFS('[1]Base Instalada'!AA:AA,Tabla1[[#This Row],[Cliente]],'[1]Base Instalada'!Z:Z,"REAS")</f>
        <v>0</v>
      </c>
      <c r="U123" s="46">
        <f>+COUNTIFS('[1]Base Instalada'!AA:AA,Tabla1[[#This Row],[Cliente]],'[1]Base Instalada'!Z:Z,"MOBILIARIO CLINICO")</f>
        <v>0</v>
      </c>
      <c r="V123" s="29">
        <f>+COUNTIFS('[1]Base Instalada'!AA:AA,Tabla1[[#This Row],[Cliente]],'[1]Base Instalada'!Z:Z,"OTRO")</f>
        <v>0</v>
      </c>
      <c r="W123" s="61" t="str">
        <f t="shared" si="4"/>
        <v>Región Metropolitana</v>
      </c>
      <c r="X123" s="61" t="str">
        <f t="shared" si="5"/>
        <v>Colina</v>
      </c>
      <c r="Y123" s="62" t="s">
        <v>281</v>
      </c>
      <c r="Z123" s="33">
        <f>+COUNTIFS('[1]Pipeline TS'!$F:$F,Tabla1[[#This Row],[Cliente]])</f>
        <v>0</v>
      </c>
      <c r="AA123" s="63">
        <f>SUMIFS('[1]Pipeline Esterilización'!M:M,'[1]Pipeline Esterilización'!E:E,Tabla1[[#This Row],[Cliente]],'[1]Pipeline Esterilización'!B:B,"2026",'[1]Pipeline Esterilización'!L:L,"&gt;0")</f>
        <v>0</v>
      </c>
      <c r="AB123" s="33">
        <f>+SUMIFS('[1]Pipeline Endoscopía'!K:K,'[1]Pipeline Endoscopía'!E:E,Tabla1[[#This Row],[Cliente]],'[1]Pipeline Endoscopía'!B:B,"2026",'[1]Pipeline Endoscopía'!J:J,"&gt;0")</f>
        <v>0</v>
      </c>
      <c r="AC123" s="63">
        <f>+SUMIFS('[1]Pipeline Dental'!K:K,'[1]Pipeline Dental'!E:E,Tabla1[[#This Row],[Cliente]],'[1]Pipeline Dental'!B:B,"2026",'[1]Pipeline Dental'!J:J,"&gt;0")</f>
        <v>0</v>
      </c>
      <c r="AD123" s="64">
        <f>+SUMIFS('[1]Pipeline TS'!$AB:$AB,'[1]Pipeline TS'!$F:$F,Tabla1[[#This Row],[Cliente]])</f>
        <v>0</v>
      </c>
      <c r="AE123" s="65">
        <f>+SUM(Tabla1[[#This Row],[Pipeline 2026 $MM ESTERILIZACIÓN]:[Pipeline 2026 $MM TECSERVICE]])</f>
        <v>0</v>
      </c>
      <c r="AF123" s="43">
        <v>-33.205991535811798</v>
      </c>
      <c r="AG123" s="58">
        <v>-70.670513012209199</v>
      </c>
      <c r="AH123" s="57" t="str">
        <f>+IF(Tabla1[[#This Row],['# Contratos Vigentes ]]&gt;0,"SI","NO")</f>
        <v>NO</v>
      </c>
      <c r="AI123" s="66"/>
      <c r="AJ123" s="67">
        <f>+Tabla1[[#This Row],[Ingreso 2025 - 2026]]*Tabla1[[#This Row],[% Costo Serv. Directo]]</f>
        <v>0</v>
      </c>
      <c r="AK123" s="68"/>
      <c r="AL12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7388900</v>
      </c>
      <c r="AN123" s="42">
        <f>+Tabla1[[#This Row],[Potencial Equipos]]+Tabla1[[#This Row],[Potencial Pipeline]]</f>
        <v>7388900</v>
      </c>
    </row>
    <row r="124" spans="1:40" ht="15.75" x14ac:dyDescent="0.25">
      <c r="A124" s="47" t="s">
        <v>282</v>
      </c>
      <c r="B124" t="str">
        <f>+VLOOKUP(Tabla1[[#This Row],[Cliente]],'[1]Público Privado'!$A$1:$B$325,2,FALSE)</f>
        <v>Público</v>
      </c>
      <c r="C124" s="23">
        <f>+SUMIFS('[1]Facturacion a Fecha'!$T:$T,'[1]Facturacion a Fecha'!$AY:$AY,Tabla1[[#This Row],[Cliente]])</f>
        <v>0</v>
      </c>
      <c r="D124" s="24">
        <f>+SUMIFS('[1]Facturacion a Fecha'!$T:$T,'[1]Facturacion a Fecha'!$AY:$AY,Tabla1[[#This Row],[Cliente]],'[1]Facturacion a Fecha'!$AX:$AX,"Correctivo")</f>
        <v>0</v>
      </c>
      <c r="E124" s="25">
        <f>+COUNTIFS('[1]Facturacion a Fecha'!AY:AY,Tabla1[[#This Row],[Cliente]],'[1]Facturacion a Fecha'!AX:AX,"Correctivo")</f>
        <v>0</v>
      </c>
      <c r="F124" s="25">
        <f>+SUMIFS('[1]Facturacion a Fecha'!$T:$T,'[1]Facturacion a Fecha'!$AY:$AY,Tabla1[[#This Row],[Cliente]],'[1]Facturacion a Fecha'!$AX:$AX,"Preventivo")</f>
        <v>0</v>
      </c>
      <c r="G124" s="25">
        <f>+COUNTIFS('[1]Facturacion a Fecha'!AY:AY,Tabla1[[#This Row],[Cliente]],'[1]Facturacion a Fecha'!AX:AX,"Preventivo")</f>
        <v>0</v>
      </c>
      <c r="H124" s="26">
        <f>+Tabla1[[#This Row],['# Preventivo]]+Tabla1[[#This Row],['# Correctivo]]</f>
        <v>0</v>
      </c>
      <c r="I124" s="23">
        <f>+IFERROR(Tabla1[[#This Row],[Ingreso 2025 - 2026 Correctivo]]/Tabla1[[#This Row],[Ingreso 2025 - 2026 Preventivo]],0)</f>
        <v>0</v>
      </c>
      <c r="J124" s="59">
        <f>+IFERROR(Tabla1[[#This Row],['# Correctivo]]/Tabla1[[#This Row],['# Preventivo]],0)</f>
        <v>0</v>
      </c>
      <c r="K124" s="60">
        <f>+IFERROR(Tabla1[[#This Row],[Ingreso 2025 - 2026 Preventivo]]/(Tabla1[[#This Row],[Ingreso 2025 - 2026 Correctivo]]+Tabla1[[#This Row],[Ingreso 2025 - 2026 Preventivo]]),0)</f>
        <v>0</v>
      </c>
      <c r="L124" s="60">
        <f>1-Tabla1[[#This Row],[% Preventivo $]]</f>
        <v>1</v>
      </c>
      <c r="M124" s="45">
        <f>+COUNTIFS('[1]Base Instalada'!AA:AA,Tabla1[[#This Row],[Cliente]])</f>
        <v>5</v>
      </c>
      <c r="N12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4" s="45">
        <f>+COUNTIFS('[1]Base Instalada'!AA:AA,Tabla1[[#This Row],[Cliente]],'[1]Base Instalada'!Z:Z,"ESTERILIZACIÓN")</f>
        <v>1</v>
      </c>
      <c r="P124" s="45">
        <f>+COUNTIFS('[1]Base Instalada'!AA:AA,Tabla1[[#This Row],[Cliente]],'[1]Base Instalada'!Z:Z,"DENTAL")</f>
        <v>4</v>
      </c>
      <c r="Q124" s="45">
        <f>+COUNTIFS('[1]Base Instalada'!AA:AA,Tabla1[[#This Row],[Cliente]],'[1]Base Instalada'!Z:Z,"ENDOSCOPÍA")</f>
        <v>0</v>
      </c>
      <c r="R124" s="45">
        <f>+COUNTIFS('[1]Base Instalada'!AA:AA,Tabla1[[#This Row],[Cliente]],'[1]Base Instalada'!Z:Z,"INCARDIA")</f>
        <v>0</v>
      </c>
      <c r="S124" s="45">
        <f>+COUNTIFS('[1]Base Instalada'!AA:AA,Tabla1[[#This Row],[Cliente]],'[1]Base Instalada'!Z:Z,"MMQ")</f>
        <v>0</v>
      </c>
      <c r="T124" s="45">
        <f>+COUNTIFS('[1]Base Instalada'!AA:AA,Tabla1[[#This Row],[Cliente]],'[1]Base Instalada'!Z:Z,"REAS")</f>
        <v>0</v>
      </c>
      <c r="U124" s="46">
        <f>+COUNTIFS('[1]Base Instalada'!AA:AA,Tabla1[[#This Row],[Cliente]],'[1]Base Instalada'!Z:Z,"MOBILIARIO CLINICO")</f>
        <v>0</v>
      </c>
      <c r="V124" s="29">
        <f>+COUNTIFS('[1]Base Instalada'!AA:AA,Tabla1[[#This Row],[Cliente]],'[1]Base Instalada'!Z:Z,"OTRO")</f>
        <v>0</v>
      </c>
      <c r="W124" s="61" t="str">
        <f t="shared" si="4"/>
        <v>Región Maule</v>
      </c>
      <c r="X124" s="61" t="str">
        <f t="shared" si="5"/>
        <v>Talca</v>
      </c>
      <c r="Y124" s="62" t="s">
        <v>283</v>
      </c>
      <c r="Z124" s="33">
        <f>+COUNTIFS('[1]Pipeline TS'!$F:$F,Tabla1[[#This Row],[Cliente]])</f>
        <v>0</v>
      </c>
      <c r="AA124" s="63">
        <f>SUMIFS('[1]Pipeline Esterilización'!M:M,'[1]Pipeline Esterilización'!E:E,Tabla1[[#This Row],[Cliente]],'[1]Pipeline Esterilización'!B:B,"2026",'[1]Pipeline Esterilización'!L:L,"&gt;0")</f>
        <v>0</v>
      </c>
      <c r="AB124" s="33">
        <f>+SUMIFS('[1]Pipeline Endoscopía'!K:K,'[1]Pipeline Endoscopía'!E:E,Tabla1[[#This Row],[Cliente]],'[1]Pipeline Endoscopía'!B:B,"2026",'[1]Pipeline Endoscopía'!J:J,"&gt;0")</f>
        <v>0</v>
      </c>
      <c r="AC124" s="63">
        <f>+SUMIFS('[1]Pipeline Dental'!K:K,'[1]Pipeline Dental'!E:E,Tabla1[[#This Row],[Cliente]],'[1]Pipeline Dental'!B:B,"2026",'[1]Pipeline Dental'!J:J,"&gt;0")</f>
        <v>0</v>
      </c>
      <c r="AD124" s="64">
        <f>+SUMIFS('[1]Pipeline TS'!$AB:$AB,'[1]Pipeline TS'!$F:$F,Tabla1[[#This Row],[Cliente]])</f>
        <v>0</v>
      </c>
      <c r="AE124" s="65">
        <f>+SUM(Tabla1[[#This Row],[Pipeline 2026 $MM ESTERILIZACIÓN]:[Pipeline 2026 $MM TECSERVICE]])</f>
        <v>0</v>
      </c>
      <c r="AF124" s="43">
        <v>-35.447087022723203</v>
      </c>
      <c r="AG124" s="58">
        <v>-71.654820771881901</v>
      </c>
      <c r="AH124" s="57" t="str">
        <f>+IF(Tabla1[[#This Row],['# Contratos Vigentes ]]&gt;0,"SI","NO")</f>
        <v>NO</v>
      </c>
      <c r="AI124" s="66"/>
      <c r="AJ124" s="67">
        <f>+Tabla1[[#This Row],[Ingreso 2025 - 2026]]*Tabla1[[#This Row],[% Costo Serv. Directo]]</f>
        <v>0</v>
      </c>
      <c r="AK124" s="68"/>
      <c r="AL12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4393400</v>
      </c>
      <c r="AN124" s="42">
        <f>+Tabla1[[#This Row],[Potencial Equipos]]+Tabla1[[#This Row],[Potencial Pipeline]]</f>
        <v>4393400</v>
      </c>
    </row>
    <row r="125" spans="1:40" ht="15.75" x14ac:dyDescent="0.25">
      <c r="A125" s="47" t="s">
        <v>284</v>
      </c>
      <c r="B125" t="str">
        <f>+VLOOKUP(Tabla1[[#This Row],[Cliente]],'[1]Público Privado'!$A$1:$B$325,2,FALSE)</f>
        <v>Público</v>
      </c>
      <c r="C125" s="23">
        <f>+SUMIFS('[1]Facturacion a Fecha'!$T:$T,'[1]Facturacion a Fecha'!$AY:$AY,Tabla1[[#This Row],[Cliente]])</f>
        <v>0</v>
      </c>
      <c r="D125" s="24">
        <f>+SUMIFS('[1]Facturacion a Fecha'!$T:$T,'[1]Facturacion a Fecha'!$AY:$AY,Tabla1[[#This Row],[Cliente]],'[1]Facturacion a Fecha'!$AX:$AX,"Correctivo")</f>
        <v>0</v>
      </c>
      <c r="E125" s="25">
        <f>+COUNTIFS('[1]Facturacion a Fecha'!AY:AY,Tabla1[[#This Row],[Cliente]],'[1]Facturacion a Fecha'!AX:AX,"Correctivo")</f>
        <v>0</v>
      </c>
      <c r="F125" s="25">
        <f>+SUMIFS('[1]Facturacion a Fecha'!$T:$T,'[1]Facturacion a Fecha'!$AY:$AY,Tabla1[[#This Row],[Cliente]],'[1]Facturacion a Fecha'!$AX:$AX,"Preventivo")</f>
        <v>0</v>
      </c>
      <c r="G125" s="25">
        <f>+COUNTIFS('[1]Facturacion a Fecha'!AY:AY,Tabla1[[#This Row],[Cliente]],'[1]Facturacion a Fecha'!AX:AX,"Preventivo")</f>
        <v>0</v>
      </c>
      <c r="H125" s="26">
        <f>+Tabla1[[#This Row],['# Preventivo]]+Tabla1[[#This Row],['# Correctivo]]</f>
        <v>0</v>
      </c>
      <c r="I125" s="23">
        <f>+IFERROR(Tabla1[[#This Row],[Ingreso 2025 - 2026 Correctivo]]/Tabla1[[#This Row],[Ingreso 2025 - 2026 Preventivo]],0)</f>
        <v>0</v>
      </c>
      <c r="J125" s="59">
        <f>+IFERROR(Tabla1[[#This Row],['# Correctivo]]/Tabla1[[#This Row],['# Preventivo]],0)</f>
        <v>0</v>
      </c>
      <c r="K125" s="60">
        <f>+IFERROR(Tabla1[[#This Row],[Ingreso 2025 - 2026 Preventivo]]/(Tabla1[[#This Row],[Ingreso 2025 - 2026 Correctivo]]+Tabla1[[#This Row],[Ingreso 2025 - 2026 Preventivo]]),0)</f>
        <v>0</v>
      </c>
      <c r="L125" s="60">
        <f>1-Tabla1[[#This Row],[% Preventivo $]]</f>
        <v>1</v>
      </c>
      <c r="M125" s="45">
        <f>+COUNTIFS('[1]Base Instalada'!AA:AA,Tabla1[[#This Row],[Cliente]])</f>
        <v>5</v>
      </c>
      <c r="N12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5" s="45">
        <f>+COUNTIFS('[1]Base Instalada'!AA:AA,Tabla1[[#This Row],[Cliente]],'[1]Base Instalada'!Z:Z,"ESTERILIZACIÓN")</f>
        <v>2</v>
      </c>
      <c r="P125" s="45">
        <f>+COUNTIFS('[1]Base Instalada'!AA:AA,Tabla1[[#This Row],[Cliente]],'[1]Base Instalada'!Z:Z,"DENTAL")</f>
        <v>3</v>
      </c>
      <c r="Q125" s="45">
        <f>+COUNTIFS('[1]Base Instalada'!AA:AA,Tabla1[[#This Row],[Cliente]],'[1]Base Instalada'!Z:Z,"ENDOSCOPÍA")</f>
        <v>0</v>
      </c>
      <c r="R125" s="45">
        <f>+COUNTIFS('[1]Base Instalada'!AA:AA,Tabla1[[#This Row],[Cliente]],'[1]Base Instalada'!Z:Z,"INCARDIA")</f>
        <v>0</v>
      </c>
      <c r="S125" s="45">
        <f>+COUNTIFS('[1]Base Instalada'!AA:AA,Tabla1[[#This Row],[Cliente]],'[1]Base Instalada'!Z:Z,"MMQ")</f>
        <v>0</v>
      </c>
      <c r="T125" s="45">
        <f>+COUNTIFS('[1]Base Instalada'!AA:AA,Tabla1[[#This Row],[Cliente]],'[1]Base Instalada'!Z:Z,"REAS")</f>
        <v>0</v>
      </c>
      <c r="U125" s="46">
        <f>+COUNTIFS('[1]Base Instalada'!AA:AA,Tabla1[[#This Row],[Cliente]],'[1]Base Instalada'!Z:Z,"MOBILIARIO CLINICO")</f>
        <v>0</v>
      </c>
      <c r="V125" s="29">
        <f>+COUNTIFS('[1]Base Instalada'!AA:AA,Tabla1[[#This Row],[Cliente]],'[1]Base Instalada'!Z:Z,"OTRO")</f>
        <v>0</v>
      </c>
      <c r="W125" s="61" t="str">
        <f t="shared" si="4"/>
        <v>Región Maule</v>
      </c>
      <c r="X125" s="61" t="str">
        <f t="shared" si="5"/>
        <v>Talca</v>
      </c>
      <c r="Y125" s="62" t="s">
        <v>285</v>
      </c>
      <c r="Z125" s="33">
        <f>+COUNTIFS('[1]Pipeline TS'!$F:$F,Tabla1[[#This Row],[Cliente]])</f>
        <v>0</v>
      </c>
      <c r="AA125" s="63">
        <f>SUMIFS('[1]Pipeline Esterilización'!M:M,'[1]Pipeline Esterilización'!E:E,Tabla1[[#This Row],[Cliente]],'[1]Pipeline Esterilización'!B:B,"2026",'[1]Pipeline Esterilización'!L:L,"&gt;0")</f>
        <v>0</v>
      </c>
      <c r="AB125" s="33">
        <f>+SUMIFS('[1]Pipeline Endoscopía'!K:K,'[1]Pipeline Endoscopía'!E:E,Tabla1[[#This Row],[Cliente]],'[1]Pipeline Endoscopía'!B:B,"2026",'[1]Pipeline Endoscopía'!J:J,"&gt;0")</f>
        <v>0</v>
      </c>
      <c r="AC125" s="63">
        <f>+SUMIFS('[1]Pipeline Dental'!K:K,'[1]Pipeline Dental'!E:E,Tabla1[[#This Row],[Cliente]],'[1]Pipeline Dental'!B:B,"2026",'[1]Pipeline Dental'!J:J,"&gt;0")</f>
        <v>0</v>
      </c>
      <c r="AD125" s="64">
        <f>+SUMIFS('[1]Pipeline TS'!$AB:$AB,'[1]Pipeline TS'!$F:$F,Tabla1[[#This Row],[Cliente]])</f>
        <v>0</v>
      </c>
      <c r="AE125" s="65">
        <f>+SUM(Tabla1[[#This Row],[Pipeline 2026 $MM ESTERILIZACIÓN]:[Pipeline 2026 $MM TECSERVICE]])</f>
        <v>0</v>
      </c>
      <c r="AF125" s="43">
        <v>-35.442147486070503</v>
      </c>
      <c r="AG125" s="58">
        <v>-71.6981663025649</v>
      </c>
      <c r="AH125" s="57" t="str">
        <f>+IF(Tabla1[[#This Row],['# Contratos Vigentes ]]&gt;0,"SI","NO")</f>
        <v>NO</v>
      </c>
      <c r="AI125" s="66"/>
      <c r="AJ125" s="67">
        <f>+Tabla1[[#This Row],[Ingreso 2025 - 2026]]*Tabla1[[#This Row],[% Costo Serv. Directo]]</f>
        <v>0</v>
      </c>
      <c r="AK125" s="68"/>
      <c r="AL12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5791300</v>
      </c>
      <c r="AN125" s="42">
        <f>+Tabla1[[#This Row],[Potencial Equipos]]+Tabla1[[#This Row],[Potencial Pipeline]]</f>
        <v>5791300</v>
      </c>
    </row>
    <row r="126" spans="1:40" ht="15.75" x14ac:dyDescent="0.25">
      <c r="A126" s="47" t="s">
        <v>286</v>
      </c>
      <c r="B126" t="str">
        <f>+VLOOKUP(Tabla1[[#This Row],[Cliente]],'[1]Público Privado'!$A$1:$B$325,2,FALSE)</f>
        <v>Público</v>
      </c>
      <c r="C126" s="23">
        <f>+SUMIFS('[1]Facturacion a Fecha'!$T:$T,'[1]Facturacion a Fecha'!$AY:$AY,Tabla1[[#This Row],[Cliente]])</f>
        <v>0</v>
      </c>
      <c r="D126" s="24">
        <f>+SUMIFS('[1]Facturacion a Fecha'!$T:$T,'[1]Facturacion a Fecha'!$AY:$AY,Tabla1[[#This Row],[Cliente]],'[1]Facturacion a Fecha'!$AX:$AX,"Correctivo")</f>
        <v>0</v>
      </c>
      <c r="E126" s="25">
        <f>+COUNTIFS('[1]Facturacion a Fecha'!AY:AY,Tabla1[[#This Row],[Cliente]],'[1]Facturacion a Fecha'!AX:AX,"Correctivo")</f>
        <v>0</v>
      </c>
      <c r="F126" s="25">
        <f>+SUMIFS('[1]Facturacion a Fecha'!$T:$T,'[1]Facturacion a Fecha'!$AY:$AY,Tabla1[[#This Row],[Cliente]],'[1]Facturacion a Fecha'!$AX:$AX,"Preventivo")</f>
        <v>0</v>
      </c>
      <c r="G126" s="25">
        <f>+COUNTIFS('[1]Facturacion a Fecha'!AY:AY,Tabla1[[#This Row],[Cliente]],'[1]Facturacion a Fecha'!AX:AX,"Preventivo")</f>
        <v>0</v>
      </c>
      <c r="H126" s="26">
        <f>+Tabla1[[#This Row],['# Preventivo]]+Tabla1[[#This Row],['# Correctivo]]</f>
        <v>0</v>
      </c>
      <c r="I126" s="23">
        <f>+IFERROR(Tabla1[[#This Row],[Ingreso 2025 - 2026 Correctivo]]/Tabla1[[#This Row],[Ingreso 2025 - 2026 Preventivo]],0)</f>
        <v>0</v>
      </c>
      <c r="J126" s="59">
        <f>+IFERROR(Tabla1[[#This Row],['# Correctivo]]/Tabla1[[#This Row],['# Preventivo]],0)</f>
        <v>0</v>
      </c>
      <c r="K126" s="60">
        <f>+IFERROR(Tabla1[[#This Row],[Ingreso 2025 - 2026 Preventivo]]/(Tabla1[[#This Row],[Ingreso 2025 - 2026 Correctivo]]+Tabla1[[#This Row],[Ingreso 2025 - 2026 Preventivo]]),0)</f>
        <v>0</v>
      </c>
      <c r="L126" s="60">
        <f>1-Tabla1[[#This Row],[% Preventivo $]]</f>
        <v>1</v>
      </c>
      <c r="M126" s="45">
        <f>+COUNTIFS('[1]Base Instalada'!AA:AA,Tabla1[[#This Row],[Cliente]])</f>
        <v>6</v>
      </c>
      <c r="N12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6" s="45">
        <f>+COUNTIFS('[1]Base Instalada'!AA:AA,Tabla1[[#This Row],[Cliente]],'[1]Base Instalada'!Z:Z,"ESTERILIZACIÓN")</f>
        <v>2</v>
      </c>
      <c r="P126" s="45">
        <f>+COUNTIFS('[1]Base Instalada'!AA:AA,Tabla1[[#This Row],[Cliente]],'[1]Base Instalada'!Z:Z,"DENTAL")</f>
        <v>4</v>
      </c>
      <c r="Q126" s="45">
        <f>+COUNTIFS('[1]Base Instalada'!AA:AA,Tabla1[[#This Row],[Cliente]],'[1]Base Instalada'!Z:Z,"ENDOSCOPÍA")</f>
        <v>0</v>
      </c>
      <c r="R126" s="45">
        <f>+COUNTIFS('[1]Base Instalada'!AA:AA,Tabla1[[#This Row],[Cliente]],'[1]Base Instalada'!Z:Z,"INCARDIA")</f>
        <v>0</v>
      </c>
      <c r="S126" s="45">
        <f>+COUNTIFS('[1]Base Instalada'!AA:AA,Tabla1[[#This Row],[Cliente]],'[1]Base Instalada'!Z:Z,"MMQ")</f>
        <v>0</v>
      </c>
      <c r="T126" s="45">
        <f>+COUNTIFS('[1]Base Instalada'!AA:AA,Tabla1[[#This Row],[Cliente]],'[1]Base Instalada'!Z:Z,"REAS")</f>
        <v>0</v>
      </c>
      <c r="U126" s="46">
        <f>+COUNTIFS('[1]Base Instalada'!AA:AA,Tabla1[[#This Row],[Cliente]],'[1]Base Instalada'!Z:Z,"MOBILIARIO CLINICO")</f>
        <v>0</v>
      </c>
      <c r="V126" s="29">
        <f>+COUNTIFS('[1]Base Instalada'!AA:AA,Tabla1[[#This Row],[Cliente]],'[1]Base Instalada'!Z:Z,"OTRO")</f>
        <v>0</v>
      </c>
      <c r="W126" s="61" t="str">
        <f t="shared" si="4"/>
        <v>Región Metropolitana</v>
      </c>
      <c r="X126" s="61" t="str">
        <f t="shared" si="5"/>
        <v>Peñalolén</v>
      </c>
      <c r="Y126" s="62" t="s">
        <v>287</v>
      </c>
      <c r="Z126" s="33">
        <f>+COUNTIFS('[1]Pipeline TS'!$F:$F,Tabla1[[#This Row],[Cliente]])</f>
        <v>0</v>
      </c>
      <c r="AA126" s="63">
        <f>SUMIFS('[1]Pipeline Esterilización'!M:M,'[1]Pipeline Esterilización'!E:E,Tabla1[[#This Row],[Cliente]],'[1]Pipeline Esterilización'!B:B,"2026",'[1]Pipeline Esterilización'!L:L,"&gt;0")</f>
        <v>0</v>
      </c>
      <c r="AB126" s="33">
        <f>+SUMIFS('[1]Pipeline Endoscopía'!K:K,'[1]Pipeline Endoscopía'!E:E,Tabla1[[#This Row],[Cliente]],'[1]Pipeline Endoscopía'!B:B,"2026",'[1]Pipeline Endoscopía'!J:J,"&gt;0")</f>
        <v>0</v>
      </c>
      <c r="AC126" s="63">
        <f>+SUMIFS('[1]Pipeline Dental'!K:K,'[1]Pipeline Dental'!E:E,Tabla1[[#This Row],[Cliente]],'[1]Pipeline Dental'!B:B,"2026",'[1]Pipeline Dental'!J:J,"&gt;0")</f>
        <v>0</v>
      </c>
      <c r="AD126" s="64">
        <f>+SUMIFS('[1]Pipeline TS'!$AB:$AB,'[1]Pipeline TS'!$F:$F,Tabla1[[#This Row],[Cliente]])</f>
        <v>0</v>
      </c>
      <c r="AE126" s="65">
        <f>+SUM(Tabla1[[#This Row],[Pipeline 2026 $MM ESTERILIZACIÓN]:[Pipeline 2026 $MM TECSERVICE]])</f>
        <v>0</v>
      </c>
      <c r="AF126" s="43">
        <v>-33.3903293265465</v>
      </c>
      <c r="AG126" s="58">
        <v>-70.494079044277797</v>
      </c>
      <c r="AH126" s="57" t="str">
        <f>+IF(Tabla1[[#This Row],['# Contratos Vigentes ]]&gt;0,"SI","NO")</f>
        <v>NO</v>
      </c>
      <c r="AI126" s="66"/>
      <c r="AJ126" s="67">
        <f>+Tabla1[[#This Row],[Ingreso 2025 - 2026]]*Tabla1[[#This Row],[% Costo Serv. Directo]]</f>
        <v>0</v>
      </c>
      <c r="AK126" s="68"/>
      <c r="AL12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6390400</v>
      </c>
      <c r="AN126" s="42">
        <f>+Tabla1[[#This Row],[Potencial Equipos]]+Tabla1[[#This Row],[Potencial Pipeline]]</f>
        <v>6390400</v>
      </c>
    </row>
    <row r="127" spans="1:40" ht="15.75" x14ac:dyDescent="0.25">
      <c r="A127" s="47" t="s">
        <v>288</v>
      </c>
      <c r="B127" t="str">
        <f>+VLOOKUP(Tabla1[[#This Row],[Cliente]],'[1]Público Privado'!$A$1:$B$325,2,FALSE)</f>
        <v>Público</v>
      </c>
      <c r="C127" s="23">
        <f>+SUMIFS('[1]Facturacion a Fecha'!$T:$T,'[1]Facturacion a Fecha'!$AY:$AY,Tabla1[[#This Row],[Cliente]])</f>
        <v>0</v>
      </c>
      <c r="D127" s="24">
        <f>+SUMIFS('[1]Facturacion a Fecha'!$T:$T,'[1]Facturacion a Fecha'!$AY:$AY,Tabla1[[#This Row],[Cliente]],'[1]Facturacion a Fecha'!$AX:$AX,"Correctivo")</f>
        <v>0</v>
      </c>
      <c r="E127" s="25">
        <f>+COUNTIFS('[1]Facturacion a Fecha'!AY:AY,Tabla1[[#This Row],[Cliente]],'[1]Facturacion a Fecha'!AX:AX,"Correctivo")</f>
        <v>0</v>
      </c>
      <c r="F127" s="25">
        <f>+SUMIFS('[1]Facturacion a Fecha'!$T:$T,'[1]Facturacion a Fecha'!$AY:$AY,Tabla1[[#This Row],[Cliente]],'[1]Facturacion a Fecha'!$AX:$AX,"Preventivo")</f>
        <v>0</v>
      </c>
      <c r="G127" s="25">
        <f>+COUNTIFS('[1]Facturacion a Fecha'!AY:AY,Tabla1[[#This Row],[Cliente]],'[1]Facturacion a Fecha'!AX:AX,"Preventivo")</f>
        <v>0</v>
      </c>
      <c r="H127" s="26">
        <f>+Tabla1[[#This Row],['# Preventivo]]+Tabla1[[#This Row],['# Correctivo]]</f>
        <v>0</v>
      </c>
      <c r="I127" s="23">
        <f>+IFERROR(Tabla1[[#This Row],[Ingreso 2025 - 2026 Correctivo]]/Tabla1[[#This Row],[Ingreso 2025 - 2026 Preventivo]],0)</f>
        <v>0</v>
      </c>
      <c r="J127" s="59">
        <f>+IFERROR(Tabla1[[#This Row],['# Correctivo]]/Tabla1[[#This Row],['# Preventivo]],0)</f>
        <v>0</v>
      </c>
      <c r="K127" s="60">
        <f>+IFERROR(Tabla1[[#This Row],[Ingreso 2025 - 2026 Preventivo]]/(Tabla1[[#This Row],[Ingreso 2025 - 2026 Correctivo]]+Tabla1[[#This Row],[Ingreso 2025 - 2026 Preventivo]]),0)</f>
        <v>0</v>
      </c>
      <c r="L127" s="60">
        <f>1-Tabla1[[#This Row],[% Preventivo $]]</f>
        <v>1</v>
      </c>
      <c r="M127" s="45">
        <f>+COUNTIFS('[1]Base Instalada'!AA:AA,Tabla1[[#This Row],[Cliente]])</f>
        <v>14</v>
      </c>
      <c r="N12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7" s="45">
        <f>+COUNTIFS('[1]Base Instalada'!AA:AA,Tabla1[[#This Row],[Cliente]],'[1]Base Instalada'!Z:Z,"ESTERILIZACIÓN")</f>
        <v>6</v>
      </c>
      <c r="P127" s="45">
        <f>+COUNTIFS('[1]Base Instalada'!AA:AA,Tabla1[[#This Row],[Cliente]],'[1]Base Instalada'!Z:Z,"DENTAL")</f>
        <v>8</v>
      </c>
      <c r="Q127" s="45">
        <f>+COUNTIFS('[1]Base Instalada'!AA:AA,Tabla1[[#This Row],[Cliente]],'[1]Base Instalada'!Z:Z,"ENDOSCOPÍA")</f>
        <v>0</v>
      </c>
      <c r="R127" s="45">
        <f>+COUNTIFS('[1]Base Instalada'!AA:AA,Tabla1[[#This Row],[Cliente]],'[1]Base Instalada'!Z:Z,"INCARDIA")</f>
        <v>0</v>
      </c>
      <c r="S127" s="45">
        <f>+COUNTIFS('[1]Base Instalada'!AA:AA,Tabla1[[#This Row],[Cliente]],'[1]Base Instalada'!Z:Z,"MMQ")</f>
        <v>0</v>
      </c>
      <c r="T127" s="45">
        <f>+COUNTIFS('[1]Base Instalada'!AA:AA,Tabla1[[#This Row],[Cliente]],'[1]Base Instalada'!Z:Z,"REAS")</f>
        <v>0</v>
      </c>
      <c r="U127" s="46">
        <f>+COUNTIFS('[1]Base Instalada'!AA:AA,Tabla1[[#This Row],[Cliente]],'[1]Base Instalada'!Z:Z,"MOBILIARIO CLINICO")</f>
        <v>0</v>
      </c>
      <c r="V127" s="29">
        <f>+COUNTIFS('[1]Base Instalada'!AA:AA,Tabla1[[#This Row],[Cliente]],'[1]Base Instalada'!Z:Z,"OTRO")</f>
        <v>0</v>
      </c>
      <c r="W127" s="61" t="str">
        <f t="shared" si="4"/>
        <v>Región Coquimbo</v>
      </c>
      <c r="X127" s="61" t="str">
        <f t="shared" si="5"/>
        <v>Coquimbo</v>
      </c>
      <c r="Y127" s="62" t="s">
        <v>289</v>
      </c>
      <c r="Z127" s="33">
        <f>+COUNTIFS('[1]Pipeline TS'!$F:$F,Tabla1[[#This Row],[Cliente]])</f>
        <v>0</v>
      </c>
      <c r="AA127" s="63">
        <f>SUMIFS('[1]Pipeline Esterilización'!M:M,'[1]Pipeline Esterilización'!E:E,Tabla1[[#This Row],[Cliente]],'[1]Pipeline Esterilización'!B:B,"2026",'[1]Pipeline Esterilización'!L:L,"&gt;0")</f>
        <v>0</v>
      </c>
      <c r="AB127" s="33">
        <f>+SUMIFS('[1]Pipeline Endoscopía'!K:K,'[1]Pipeline Endoscopía'!E:E,Tabla1[[#This Row],[Cliente]],'[1]Pipeline Endoscopía'!B:B,"2026",'[1]Pipeline Endoscopía'!J:J,"&gt;0")</f>
        <v>0</v>
      </c>
      <c r="AC127" s="63">
        <f>+SUMIFS('[1]Pipeline Dental'!K:K,'[1]Pipeline Dental'!E:E,Tabla1[[#This Row],[Cliente]],'[1]Pipeline Dental'!B:B,"2026",'[1]Pipeline Dental'!J:J,"&gt;0")</f>
        <v>0</v>
      </c>
      <c r="AD127" s="64">
        <f>+SUMIFS('[1]Pipeline TS'!$AB:$AB,'[1]Pipeline TS'!$F:$F,Tabla1[[#This Row],[Cliente]])</f>
        <v>0</v>
      </c>
      <c r="AE127" s="65">
        <f>+SUM(Tabla1[[#This Row],[Pipeline 2026 $MM ESTERILIZACIÓN]:[Pipeline 2026 $MM TECSERVICE]])</f>
        <v>0</v>
      </c>
      <c r="AF127" s="43">
        <v>-29.995425262097999</v>
      </c>
      <c r="AG127" s="58">
        <v>-71.336483602860696</v>
      </c>
      <c r="AH127" s="57" t="str">
        <f>+IF(Tabla1[[#This Row],['# Contratos Vigentes ]]&gt;0,"SI","NO")</f>
        <v>NO</v>
      </c>
      <c r="AI127" s="66"/>
      <c r="AJ127" s="67">
        <f>+Tabla1[[#This Row],[Ingreso 2025 - 2026]]*Tabla1[[#This Row],[% Costo Serv. Directo]]</f>
        <v>0</v>
      </c>
      <c r="AK127" s="68"/>
      <c r="AL12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16774800</v>
      </c>
      <c r="AN127" s="42">
        <f>+Tabla1[[#This Row],[Potencial Equipos]]+Tabla1[[#This Row],[Potencial Pipeline]]</f>
        <v>16774800</v>
      </c>
    </row>
    <row r="128" spans="1:40" ht="15.75" x14ac:dyDescent="0.25">
      <c r="A128" s="47" t="s">
        <v>290</v>
      </c>
      <c r="B128" t="str">
        <f>+VLOOKUP(Tabla1[[#This Row],[Cliente]],'[1]Público Privado'!$A$1:$B$325,2,FALSE)</f>
        <v>Público</v>
      </c>
      <c r="C128" s="23">
        <f>+SUMIFS('[1]Facturacion a Fecha'!$T:$T,'[1]Facturacion a Fecha'!$AY:$AY,Tabla1[[#This Row],[Cliente]])</f>
        <v>0</v>
      </c>
      <c r="D128" s="24">
        <f>+SUMIFS('[1]Facturacion a Fecha'!$T:$T,'[1]Facturacion a Fecha'!$AY:$AY,Tabla1[[#This Row],[Cliente]],'[1]Facturacion a Fecha'!$AX:$AX,"Correctivo")</f>
        <v>0</v>
      </c>
      <c r="E128" s="25">
        <f>+COUNTIFS('[1]Facturacion a Fecha'!AY:AY,Tabla1[[#This Row],[Cliente]],'[1]Facturacion a Fecha'!AX:AX,"Correctivo")</f>
        <v>0</v>
      </c>
      <c r="F128" s="25">
        <f>+SUMIFS('[1]Facturacion a Fecha'!$T:$T,'[1]Facturacion a Fecha'!$AY:$AY,Tabla1[[#This Row],[Cliente]],'[1]Facturacion a Fecha'!$AX:$AX,"Preventivo")</f>
        <v>0</v>
      </c>
      <c r="G128" s="25">
        <f>+COUNTIFS('[1]Facturacion a Fecha'!AY:AY,Tabla1[[#This Row],[Cliente]],'[1]Facturacion a Fecha'!AX:AX,"Preventivo")</f>
        <v>0</v>
      </c>
      <c r="H128" s="26">
        <f>+Tabla1[[#This Row],['# Preventivo]]+Tabla1[[#This Row],['# Correctivo]]</f>
        <v>0</v>
      </c>
      <c r="I128" s="23">
        <f>+IFERROR(Tabla1[[#This Row],[Ingreso 2025 - 2026 Correctivo]]/Tabla1[[#This Row],[Ingreso 2025 - 2026 Preventivo]],0)</f>
        <v>0</v>
      </c>
      <c r="J128" s="59">
        <f>+IFERROR(Tabla1[[#This Row],['# Correctivo]]/Tabla1[[#This Row],['# Preventivo]],0)</f>
        <v>0</v>
      </c>
      <c r="K128" s="60">
        <f>+IFERROR(Tabla1[[#This Row],[Ingreso 2025 - 2026 Preventivo]]/(Tabla1[[#This Row],[Ingreso 2025 - 2026 Correctivo]]+Tabla1[[#This Row],[Ingreso 2025 - 2026 Preventivo]]),0)</f>
        <v>0</v>
      </c>
      <c r="L128" s="60">
        <f>1-Tabla1[[#This Row],[% Preventivo $]]</f>
        <v>1</v>
      </c>
      <c r="M128" s="45">
        <f>+COUNTIFS('[1]Base Instalada'!AA:AA,Tabla1[[#This Row],[Cliente]])</f>
        <v>16</v>
      </c>
      <c r="N12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8" s="45">
        <f>+COUNTIFS('[1]Base Instalada'!AA:AA,Tabla1[[#This Row],[Cliente]],'[1]Base Instalada'!Z:Z,"ESTERILIZACIÓN")</f>
        <v>11</v>
      </c>
      <c r="P128" s="45">
        <f>+COUNTIFS('[1]Base Instalada'!AA:AA,Tabla1[[#This Row],[Cliente]],'[1]Base Instalada'!Z:Z,"DENTAL")</f>
        <v>4</v>
      </c>
      <c r="Q128" s="45">
        <f>+COUNTIFS('[1]Base Instalada'!AA:AA,Tabla1[[#This Row],[Cliente]],'[1]Base Instalada'!Z:Z,"ENDOSCOPÍA")</f>
        <v>1</v>
      </c>
      <c r="R128" s="45">
        <f>+COUNTIFS('[1]Base Instalada'!AA:AA,Tabla1[[#This Row],[Cliente]],'[1]Base Instalada'!Z:Z,"INCARDIA")</f>
        <v>0</v>
      </c>
      <c r="S128" s="45">
        <f>+COUNTIFS('[1]Base Instalada'!AA:AA,Tabla1[[#This Row],[Cliente]],'[1]Base Instalada'!Z:Z,"MMQ")</f>
        <v>0</v>
      </c>
      <c r="T128" s="45">
        <f>+COUNTIFS('[1]Base Instalada'!AA:AA,Tabla1[[#This Row],[Cliente]],'[1]Base Instalada'!Z:Z,"REAS")</f>
        <v>0</v>
      </c>
      <c r="U128" s="46">
        <f>+COUNTIFS('[1]Base Instalada'!AA:AA,Tabla1[[#This Row],[Cliente]],'[1]Base Instalada'!Z:Z,"MOBILIARIO CLINICO")</f>
        <v>0</v>
      </c>
      <c r="V128" s="29">
        <f>+COUNTIFS('[1]Base Instalada'!AA:AA,Tabla1[[#This Row],[Cliente]],'[1]Base Instalada'!Z:Z,"OTRO")</f>
        <v>0</v>
      </c>
      <c r="W128" s="61" t="str">
        <f t="shared" si="4"/>
        <v>Región Araucanía</v>
      </c>
      <c r="X128" s="61" t="str">
        <f t="shared" si="5"/>
        <v>Lautaro</v>
      </c>
      <c r="Y128" s="62" t="s">
        <v>291</v>
      </c>
      <c r="Z128" s="33">
        <f>+COUNTIFS('[1]Pipeline TS'!$F:$F,Tabla1[[#This Row],[Cliente]])</f>
        <v>0</v>
      </c>
      <c r="AA128" s="63">
        <f>SUMIFS('[1]Pipeline Esterilización'!M:M,'[1]Pipeline Esterilización'!E:E,Tabla1[[#This Row],[Cliente]],'[1]Pipeline Esterilización'!B:B,"2026",'[1]Pipeline Esterilización'!L:L,"&gt;0")</f>
        <v>0</v>
      </c>
      <c r="AB128" s="33">
        <f>+SUMIFS('[1]Pipeline Endoscopía'!K:K,'[1]Pipeline Endoscopía'!E:E,Tabla1[[#This Row],[Cliente]],'[1]Pipeline Endoscopía'!B:B,"2026",'[1]Pipeline Endoscopía'!J:J,"&gt;0")</f>
        <v>0</v>
      </c>
      <c r="AC128" s="63">
        <f>+SUMIFS('[1]Pipeline Dental'!K:K,'[1]Pipeline Dental'!E:E,Tabla1[[#This Row],[Cliente]],'[1]Pipeline Dental'!B:B,"2026",'[1]Pipeline Dental'!J:J,"&gt;0")</f>
        <v>0</v>
      </c>
      <c r="AD128" s="64">
        <f>+SUMIFS('[1]Pipeline TS'!$AB:$AB,'[1]Pipeline TS'!$F:$F,Tabla1[[#This Row],[Cliente]])</f>
        <v>0</v>
      </c>
      <c r="AE128" s="65">
        <f>+SUM(Tabla1[[#This Row],[Pipeline 2026 $MM ESTERILIZACIÓN]:[Pipeline 2026 $MM TECSERVICE]])</f>
        <v>0</v>
      </c>
      <c r="AF128" s="43">
        <v>-38.535659879148902</v>
      </c>
      <c r="AG128" s="58">
        <v>-72.418949899550299</v>
      </c>
      <c r="AH128" s="57" t="str">
        <f>+IF(Tabla1[[#This Row],['# Contratos Vigentes ]]&gt;0,"SI","NO")</f>
        <v>NO</v>
      </c>
      <c r="AI128" s="66"/>
      <c r="AJ128" s="67">
        <f>+Tabla1[[#This Row],[Ingreso 2025 - 2026]]*Tabla1[[#This Row],[% Costo Serv. Directo]]</f>
        <v>0</v>
      </c>
      <c r="AK128" s="68"/>
      <c r="AL12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25223646.153846156</v>
      </c>
      <c r="AN128" s="42">
        <f>+Tabla1[[#This Row],[Potencial Equipos]]+Tabla1[[#This Row],[Potencial Pipeline]]</f>
        <v>25223646.153846156</v>
      </c>
    </row>
    <row r="129" spans="1:40" ht="15.75" x14ac:dyDescent="0.25">
      <c r="A129" s="47" t="s">
        <v>292</v>
      </c>
      <c r="B129" t="str">
        <f>+VLOOKUP(Tabla1[[#This Row],[Cliente]],'[1]Público Privado'!$A$1:$B$325,2,FALSE)</f>
        <v>Público</v>
      </c>
      <c r="C129" s="23">
        <f>+SUMIFS('[1]Facturacion a Fecha'!$T:$T,'[1]Facturacion a Fecha'!$AY:$AY,Tabla1[[#This Row],[Cliente]])</f>
        <v>472060</v>
      </c>
      <c r="D129" s="24">
        <f>+SUMIFS('[1]Facturacion a Fecha'!$T:$T,'[1]Facturacion a Fecha'!$AY:$AY,Tabla1[[#This Row],[Cliente]],'[1]Facturacion a Fecha'!$AX:$AX,"Correctivo")</f>
        <v>0</v>
      </c>
      <c r="E129" s="25">
        <f>+COUNTIFS('[1]Facturacion a Fecha'!AY:AY,Tabla1[[#This Row],[Cliente]],'[1]Facturacion a Fecha'!AX:AX,"Correctivo")</f>
        <v>0</v>
      </c>
      <c r="F129" s="25">
        <f>+SUMIFS('[1]Facturacion a Fecha'!$T:$T,'[1]Facturacion a Fecha'!$AY:$AY,Tabla1[[#This Row],[Cliente]],'[1]Facturacion a Fecha'!$AX:$AX,"Preventivo")</f>
        <v>472060</v>
      </c>
      <c r="G129" s="25">
        <f>+COUNTIFS('[1]Facturacion a Fecha'!AY:AY,Tabla1[[#This Row],[Cliente]],'[1]Facturacion a Fecha'!AX:AX,"Preventivo")</f>
        <v>1</v>
      </c>
      <c r="H129" s="26">
        <f>+Tabla1[[#This Row],['# Preventivo]]+Tabla1[[#This Row],['# Correctivo]]</f>
        <v>1</v>
      </c>
      <c r="I129" s="23">
        <f>+IFERROR(Tabla1[[#This Row],[Ingreso 2025 - 2026 Correctivo]]/Tabla1[[#This Row],[Ingreso 2025 - 2026 Preventivo]],0)</f>
        <v>0</v>
      </c>
      <c r="J129" s="59">
        <f>+IFERROR(Tabla1[[#This Row],['# Correctivo]]/Tabla1[[#This Row],['# Preventivo]],0)</f>
        <v>0</v>
      </c>
      <c r="K129" s="60">
        <f>+IFERROR(Tabla1[[#This Row],[Ingreso 2025 - 2026 Preventivo]]/(Tabla1[[#This Row],[Ingreso 2025 - 2026 Correctivo]]+Tabla1[[#This Row],[Ingreso 2025 - 2026 Preventivo]]),0)</f>
        <v>1</v>
      </c>
      <c r="L129" s="60">
        <f>1-Tabla1[[#This Row],[% Preventivo $]]</f>
        <v>0</v>
      </c>
      <c r="M129" s="45">
        <f>+COUNTIFS('[1]Base Instalada'!AA:AA,Tabla1[[#This Row],[Cliente]])</f>
        <v>6</v>
      </c>
      <c r="N12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29" s="45">
        <f>+COUNTIFS('[1]Base Instalada'!AA:AA,Tabla1[[#This Row],[Cliente]],'[1]Base Instalada'!Z:Z,"ESTERILIZACIÓN")</f>
        <v>4</v>
      </c>
      <c r="P129" s="45">
        <f>+COUNTIFS('[1]Base Instalada'!AA:AA,Tabla1[[#This Row],[Cliente]],'[1]Base Instalada'!Z:Z,"DENTAL")</f>
        <v>2</v>
      </c>
      <c r="Q129" s="45">
        <f>+COUNTIFS('[1]Base Instalada'!AA:AA,Tabla1[[#This Row],[Cliente]],'[1]Base Instalada'!Z:Z,"ENDOSCOPÍA")</f>
        <v>0</v>
      </c>
      <c r="R129" s="45">
        <f>+COUNTIFS('[1]Base Instalada'!AA:AA,Tabla1[[#This Row],[Cliente]],'[1]Base Instalada'!Z:Z,"INCARDIA")</f>
        <v>0</v>
      </c>
      <c r="S129" s="45">
        <f>+COUNTIFS('[1]Base Instalada'!AA:AA,Tabla1[[#This Row],[Cliente]],'[1]Base Instalada'!Z:Z,"MMQ")</f>
        <v>0</v>
      </c>
      <c r="T129" s="45">
        <f>+COUNTIFS('[1]Base Instalada'!AA:AA,Tabla1[[#This Row],[Cliente]],'[1]Base Instalada'!Z:Z,"REAS")</f>
        <v>0</v>
      </c>
      <c r="U129" s="46">
        <f>+COUNTIFS('[1]Base Instalada'!AA:AA,Tabla1[[#This Row],[Cliente]],'[1]Base Instalada'!Z:Z,"MOBILIARIO CLINICO")</f>
        <v>0</v>
      </c>
      <c r="V129" s="29">
        <f>+COUNTIFS('[1]Base Instalada'!AA:AA,Tabla1[[#This Row],[Cliente]],'[1]Base Instalada'!Z:Z,"OTRO")</f>
        <v>0</v>
      </c>
      <c r="W129" s="61" t="str">
        <f t="shared" si="4"/>
        <v>Región Metropolitana</v>
      </c>
      <c r="X129" s="61" t="str">
        <f t="shared" si="5"/>
        <v>Pudahuel</v>
      </c>
      <c r="Y129" s="62" t="s">
        <v>293</v>
      </c>
      <c r="Z129" s="33">
        <f>+COUNTIFS('[1]Pipeline TS'!$F:$F,Tabla1[[#This Row],[Cliente]])</f>
        <v>0</v>
      </c>
      <c r="AA129" s="63">
        <f>SUMIFS('[1]Pipeline Esterilización'!M:M,'[1]Pipeline Esterilización'!E:E,Tabla1[[#This Row],[Cliente]],'[1]Pipeline Esterilización'!B:B,"2026",'[1]Pipeline Esterilización'!L:L,"&gt;0")</f>
        <v>0</v>
      </c>
      <c r="AB129" s="33">
        <f>+SUMIFS('[1]Pipeline Endoscopía'!K:K,'[1]Pipeline Endoscopía'!E:E,Tabla1[[#This Row],[Cliente]],'[1]Pipeline Endoscopía'!B:B,"2026",'[1]Pipeline Endoscopía'!J:J,"&gt;0")</f>
        <v>0</v>
      </c>
      <c r="AC129" s="63">
        <f>+SUMIFS('[1]Pipeline Dental'!K:K,'[1]Pipeline Dental'!E:E,Tabla1[[#This Row],[Cliente]],'[1]Pipeline Dental'!B:B,"2026",'[1]Pipeline Dental'!J:J,"&gt;0")</f>
        <v>0</v>
      </c>
      <c r="AD129" s="64">
        <f>+SUMIFS('[1]Pipeline TS'!$AB:$AB,'[1]Pipeline TS'!$F:$F,Tabla1[[#This Row],[Cliente]])</f>
        <v>0</v>
      </c>
      <c r="AE129" s="65">
        <f>+SUM(Tabla1[[#This Row],[Pipeline 2026 $MM ESTERILIZACIÓN]:[Pipeline 2026 $MM TECSERVICE]])</f>
        <v>0</v>
      </c>
      <c r="AF129" s="43">
        <v>-33.457038069139202</v>
      </c>
      <c r="AG129" s="58">
        <v>-70.742991931793696</v>
      </c>
      <c r="AH129" s="57" t="str">
        <f>+IF(Tabla1[[#This Row],['# Contratos Vigentes ]]&gt;0,"SI","NO")</f>
        <v>NO</v>
      </c>
      <c r="AI129" s="66"/>
      <c r="AJ129" s="67">
        <f>+Tabla1[[#This Row],[Ingreso 2025 - 2026]]*Tabla1[[#This Row],[% Costo Serv. Directo]]</f>
        <v>0</v>
      </c>
      <c r="AK129" s="68"/>
      <c r="AL12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2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9186200</v>
      </c>
      <c r="AN129" s="42">
        <f>+Tabla1[[#This Row],[Potencial Equipos]]+Tabla1[[#This Row],[Potencial Pipeline]]</f>
        <v>9186200</v>
      </c>
    </row>
    <row r="130" spans="1:40" ht="15.75" x14ac:dyDescent="0.25">
      <c r="A130" s="47" t="s">
        <v>294</v>
      </c>
      <c r="B130" t="str">
        <f>+VLOOKUP(Tabla1[[#This Row],[Cliente]],'[1]Público Privado'!$A$1:$B$325,2,FALSE)</f>
        <v>Público</v>
      </c>
      <c r="C130" s="23">
        <f>+SUMIFS('[1]Facturacion a Fecha'!$T:$T,'[1]Facturacion a Fecha'!$AY:$AY,Tabla1[[#This Row],[Cliente]])</f>
        <v>0</v>
      </c>
      <c r="D130" s="24">
        <f>+SUMIFS('[1]Facturacion a Fecha'!$T:$T,'[1]Facturacion a Fecha'!$AY:$AY,Tabla1[[#This Row],[Cliente]],'[1]Facturacion a Fecha'!$AX:$AX,"Correctivo")</f>
        <v>0</v>
      </c>
      <c r="E130" s="25">
        <f>+COUNTIFS('[1]Facturacion a Fecha'!AY:AY,Tabla1[[#This Row],[Cliente]],'[1]Facturacion a Fecha'!AX:AX,"Correctivo")</f>
        <v>0</v>
      </c>
      <c r="F130" s="25">
        <f>+SUMIFS('[1]Facturacion a Fecha'!$T:$T,'[1]Facturacion a Fecha'!$AY:$AY,Tabla1[[#This Row],[Cliente]],'[1]Facturacion a Fecha'!$AX:$AX,"Preventivo")</f>
        <v>0</v>
      </c>
      <c r="G130" s="25">
        <f>+COUNTIFS('[1]Facturacion a Fecha'!AY:AY,Tabla1[[#This Row],[Cliente]],'[1]Facturacion a Fecha'!AX:AX,"Preventivo")</f>
        <v>0</v>
      </c>
      <c r="H130" s="26">
        <f>+Tabla1[[#This Row],['# Preventivo]]+Tabla1[[#This Row],['# Correctivo]]</f>
        <v>0</v>
      </c>
      <c r="I130" s="23">
        <f>+IFERROR(Tabla1[[#This Row],[Ingreso 2025 - 2026 Correctivo]]/Tabla1[[#This Row],[Ingreso 2025 - 2026 Preventivo]],0)</f>
        <v>0</v>
      </c>
      <c r="J130" s="59">
        <f>+IFERROR(Tabla1[[#This Row],['# Correctivo]]/Tabla1[[#This Row],['# Preventivo]],0)</f>
        <v>0</v>
      </c>
      <c r="K130" s="60">
        <f>+IFERROR(Tabla1[[#This Row],[Ingreso 2025 - 2026 Preventivo]]/(Tabla1[[#This Row],[Ingreso 2025 - 2026 Correctivo]]+Tabla1[[#This Row],[Ingreso 2025 - 2026 Preventivo]]),0)</f>
        <v>0</v>
      </c>
      <c r="L130" s="60">
        <f>1-Tabla1[[#This Row],[% Preventivo $]]</f>
        <v>1</v>
      </c>
      <c r="M130" s="45">
        <f>+COUNTIFS('[1]Base Instalada'!AA:AA,Tabla1[[#This Row],[Cliente]])</f>
        <v>17</v>
      </c>
      <c r="N13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0" s="45">
        <f>+COUNTIFS('[1]Base Instalada'!AA:AA,Tabla1[[#This Row],[Cliente]],'[1]Base Instalada'!Z:Z,"ESTERILIZACIÓN")</f>
        <v>5</v>
      </c>
      <c r="P130" s="45">
        <f>+COUNTIFS('[1]Base Instalada'!AA:AA,Tabla1[[#This Row],[Cliente]],'[1]Base Instalada'!Z:Z,"DENTAL")</f>
        <v>1</v>
      </c>
      <c r="Q130" s="45">
        <f>+COUNTIFS('[1]Base Instalada'!AA:AA,Tabla1[[#This Row],[Cliente]],'[1]Base Instalada'!Z:Z,"ENDOSCOPÍA")</f>
        <v>0</v>
      </c>
      <c r="R130" s="45">
        <f>+COUNTIFS('[1]Base Instalada'!AA:AA,Tabla1[[#This Row],[Cliente]],'[1]Base Instalada'!Z:Z,"INCARDIA")</f>
        <v>11</v>
      </c>
      <c r="S130" s="45">
        <f>+COUNTIFS('[1]Base Instalada'!AA:AA,Tabla1[[#This Row],[Cliente]],'[1]Base Instalada'!Z:Z,"MMQ")</f>
        <v>0</v>
      </c>
      <c r="T130" s="45">
        <f>+COUNTIFS('[1]Base Instalada'!AA:AA,Tabla1[[#This Row],[Cliente]],'[1]Base Instalada'!Z:Z,"REAS")</f>
        <v>0</v>
      </c>
      <c r="U130" s="46">
        <f>+COUNTIFS('[1]Base Instalada'!AA:AA,Tabla1[[#This Row],[Cliente]],'[1]Base Instalada'!Z:Z,"MOBILIARIO CLINICO")</f>
        <v>0</v>
      </c>
      <c r="V130" s="29">
        <f>+COUNTIFS('[1]Base Instalada'!AA:AA,Tabla1[[#This Row],[Cliente]],'[1]Base Instalada'!Z:Z,"OTRO")</f>
        <v>0</v>
      </c>
      <c r="W130" s="61" t="str">
        <f t="shared" si="4"/>
        <v>Región Los Lagos</v>
      </c>
      <c r="X130" s="61" t="str">
        <f t="shared" si="5"/>
        <v>Futaleufú</v>
      </c>
      <c r="Y130" s="62" t="s">
        <v>295</v>
      </c>
      <c r="Z130" s="33">
        <f>+COUNTIFS('[1]Pipeline TS'!$F:$F,Tabla1[[#This Row],[Cliente]])</f>
        <v>0</v>
      </c>
      <c r="AA130" s="63">
        <f>SUMIFS('[1]Pipeline Esterilización'!M:M,'[1]Pipeline Esterilización'!E:E,Tabla1[[#This Row],[Cliente]],'[1]Pipeline Esterilización'!B:B,"2026",'[1]Pipeline Esterilización'!L:L,"&gt;0")</f>
        <v>0</v>
      </c>
      <c r="AB130" s="33">
        <f>+SUMIFS('[1]Pipeline Endoscopía'!K:K,'[1]Pipeline Endoscopía'!E:E,Tabla1[[#This Row],[Cliente]],'[1]Pipeline Endoscopía'!B:B,"2026",'[1]Pipeline Endoscopía'!J:J,"&gt;0")</f>
        <v>0</v>
      </c>
      <c r="AC130" s="63">
        <f>+SUMIFS('[1]Pipeline Dental'!K:K,'[1]Pipeline Dental'!E:E,Tabla1[[#This Row],[Cliente]],'[1]Pipeline Dental'!B:B,"2026",'[1]Pipeline Dental'!J:J,"&gt;0")</f>
        <v>0</v>
      </c>
      <c r="AD130" s="64">
        <f>+SUMIFS('[1]Pipeline TS'!$AB:$AB,'[1]Pipeline TS'!$F:$F,Tabla1[[#This Row],[Cliente]])</f>
        <v>0</v>
      </c>
      <c r="AE130" s="65">
        <f>+SUM(Tabla1[[#This Row],[Pipeline 2026 $MM ESTERILIZACIÓN]:[Pipeline 2026 $MM TECSERVICE]])</f>
        <v>0</v>
      </c>
      <c r="AF130" s="43">
        <v>-43.183282631561802</v>
      </c>
      <c r="AG130" s="58">
        <v>-71.869439292280305</v>
      </c>
      <c r="AH130" s="57" t="str">
        <f>+IF(Tabla1[[#This Row],['# Contratos Vigentes ]]&gt;0,"SI","NO")</f>
        <v>NO</v>
      </c>
      <c r="AI130" s="66"/>
      <c r="AJ130" s="67">
        <f>+Tabla1[[#This Row],[Ingreso 2025 - 2026]]*Tabla1[[#This Row],[% Costo Serv. Directo]]</f>
        <v>0</v>
      </c>
      <c r="AK130" s="68"/>
      <c r="AL13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10584100</v>
      </c>
      <c r="AN130" s="42">
        <f>+Tabla1[[#This Row],[Potencial Equipos]]+Tabla1[[#This Row],[Potencial Pipeline]]</f>
        <v>10584100</v>
      </c>
    </row>
    <row r="131" spans="1:40" ht="15.75" x14ac:dyDescent="0.25">
      <c r="A131" s="47" t="s">
        <v>296</v>
      </c>
      <c r="B131" t="str">
        <f>+VLOOKUP(Tabla1[[#This Row],[Cliente]],'[1]Público Privado'!$A$1:$B$325,2,FALSE)</f>
        <v>Público</v>
      </c>
      <c r="C131" s="23">
        <f>+SUMIFS('[1]Facturacion a Fecha'!$T:$T,'[1]Facturacion a Fecha'!$AY:$AY,Tabla1[[#This Row],[Cliente]])</f>
        <v>0</v>
      </c>
      <c r="D131" s="24">
        <f>+SUMIFS('[1]Facturacion a Fecha'!$T:$T,'[1]Facturacion a Fecha'!$AY:$AY,Tabla1[[#This Row],[Cliente]],'[1]Facturacion a Fecha'!$AX:$AX,"Correctivo")</f>
        <v>0</v>
      </c>
      <c r="E131" s="25">
        <f>+COUNTIFS('[1]Facturacion a Fecha'!AY:AY,Tabla1[[#This Row],[Cliente]],'[1]Facturacion a Fecha'!AX:AX,"Correctivo")</f>
        <v>0</v>
      </c>
      <c r="F131" s="25">
        <f>+SUMIFS('[1]Facturacion a Fecha'!$T:$T,'[1]Facturacion a Fecha'!$AY:$AY,Tabla1[[#This Row],[Cliente]],'[1]Facturacion a Fecha'!$AX:$AX,"Preventivo")</f>
        <v>0</v>
      </c>
      <c r="G131" s="25">
        <f>+COUNTIFS('[1]Facturacion a Fecha'!AY:AY,Tabla1[[#This Row],[Cliente]],'[1]Facturacion a Fecha'!AX:AX,"Preventivo")</f>
        <v>0</v>
      </c>
      <c r="H131" s="26">
        <f>+Tabla1[[#This Row],['# Preventivo]]+Tabla1[[#This Row],['# Correctivo]]</f>
        <v>0</v>
      </c>
      <c r="I131" s="23">
        <f>+IFERROR(Tabla1[[#This Row],[Ingreso 2025 - 2026 Correctivo]]/Tabla1[[#This Row],[Ingreso 2025 - 2026 Preventivo]],0)</f>
        <v>0</v>
      </c>
      <c r="J131" s="59">
        <f>+IFERROR(Tabla1[[#This Row],['# Correctivo]]/Tabla1[[#This Row],['# Preventivo]],0)</f>
        <v>0</v>
      </c>
      <c r="K131" s="60">
        <f>+IFERROR(Tabla1[[#This Row],[Ingreso 2025 - 2026 Preventivo]]/(Tabla1[[#This Row],[Ingreso 2025 - 2026 Correctivo]]+Tabla1[[#This Row],[Ingreso 2025 - 2026 Preventivo]]),0)</f>
        <v>0</v>
      </c>
      <c r="L131" s="60">
        <f>1-Tabla1[[#This Row],[% Preventivo $]]</f>
        <v>1</v>
      </c>
      <c r="M131" s="45">
        <f>+COUNTIFS('[1]Base Instalada'!AA:AA,Tabla1[[#This Row],[Cliente]])</f>
        <v>11</v>
      </c>
      <c r="N13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1" s="45">
        <f>+COUNTIFS('[1]Base Instalada'!AA:AA,Tabla1[[#This Row],[Cliente]],'[1]Base Instalada'!Z:Z,"ESTERILIZACIÓN")</f>
        <v>8</v>
      </c>
      <c r="P131" s="45">
        <f>+COUNTIFS('[1]Base Instalada'!AA:AA,Tabla1[[#This Row],[Cliente]],'[1]Base Instalada'!Z:Z,"DENTAL")</f>
        <v>2</v>
      </c>
      <c r="Q131" s="45">
        <f>+COUNTIFS('[1]Base Instalada'!AA:AA,Tabla1[[#This Row],[Cliente]],'[1]Base Instalada'!Z:Z,"ENDOSCOPÍA")</f>
        <v>0</v>
      </c>
      <c r="R131" s="45">
        <f>+COUNTIFS('[1]Base Instalada'!AA:AA,Tabla1[[#This Row],[Cliente]],'[1]Base Instalada'!Z:Z,"INCARDIA")</f>
        <v>1</v>
      </c>
      <c r="S131" s="45">
        <f>+COUNTIFS('[1]Base Instalada'!AA:AA,Tabla1[[#This Row],[Cliente]],'[1]Base Instalada'!Z:Z,"MMQ")</f>
        <v>0</v>
      </c>
      <c r="T131" s="45">
        <f>+COUNTIFS('[1]Base Instalada'!AA:AA,Tabla1[[#This Row],[Cliente]],'[1]Base Instalada'!Z:Z,"REAS")</f>
        <v>0</v>
      </c>
      <c r="U131" s="46">
        <f>+COUNTIFS('[1]Base Instalada'!AA:AA,Tabla1[[#This Row],[Cliente]],'[1]Base Instalada'!Z:Z,"MOBILIARIO CLINICO")</f>
        <v>0</v>
      </c>
      <c r="V131" s="29">
        <f>+COUNTIFS('[1]Base Instalada'!AA:AA,Tabla1[[#This Row],[Cliente]],'[1]Base Instalada'!Z:Z,"OTRO")</f>
        <v>0</v>
      </c>
      <c r="W131" s="61" t="str">
        <f t="shared" si="4"/>
        <v>Región Los Lagos</v>
      </c>
      <c r="X131" s="61" t="str">
        <f t="shared" si="5"/>
        <v>Frutillar</v>
      </c>
      <c r="Y131" s="62" t="s">
        <v>297</v>
      </c>
      <c r="Z131" s="33">
        <f>+COUNTIFS('[1]Pipeline TS'!$F:$F,Tabla1[[#This Row],[Cliente]])</f>
        <v>0</v>
      </c>
      <c r="AA131" s="63">
        <f>SUMIFS('[1]Pipeline Esterilización'!M:M,'[1]Pipeline Esterilización'!E:E,Tabla1[[#This Row],[Cliente]],'[1]Pipeline Esterilización'!B:B,"2026",'[1]Pipeline Esterilización'!L:L,"&gt;0")</f>
        <v>0</v>
      </c>
      <c r="AB131" s="33">
        <f>+SUMIFS('[1]Pipeline Endoscopía'!K:K,'[1]Pipeline Endoscopía'!E:E,Tabla1[[#This Row],[Cliente]],'[1]Pipeline Endoscopía'!B:B,"2026",'[1]Pipeline Endoscopía'!J:J,"&gt;0")</f>
        <v>0</v>
      </c>
      <c r="AC131" s="63">
        <f>+SUMIFS('[1]Pipeline Dental'!K:K,'[1]Pipeline Dental'!E:E,Tabla1[[#This Row],[Cliente]],'[1]Pipeline Dental'!B:B,"2026",'[1]Pipeline Dental'!J:J,"&gt;0")</f>
        <v>0</v>
      </c>
      <c r="AD131" s="64">
        <f>+SUMIFS('[1]Pipeline TS'!$AB:$AB,'[1]Pipeline TS'!$F:$F,Tabla1[[#This Row],[Cliente]])</f>
        <v>0</v>
      </c>
      <c r="AE131" s="65">
        <f>+SUM(Tabla1[[#This Row],[Pipeline 2026 $MM ESTERILIZACIÓN]:[Pipeline 2026 $MM TECSERVICE]])</f>
        <v>0</v>
      </c>
      <c r="AF131" s="43">
        <v>-41.1379338868094</v>
      </c>
      <c r="AG131" s="58">
        <v>-73.031876919403601</v>
      </c>
      <c r="AH131" s="57" t="str">
        <f>+IF(Tabla1[[#This Row],['# Contratos Vigentes ]]&gt;0,"SI","NO")</f>
        <v>NO</v>
      </c>
      <c r="AI131" s="66"/>
      <c r="AJ131" s="67">
        <f>+Tabla1[[#This Row],[Ingreso 2025 - 2026]]*Tabla1[[#This Row],[% Costo Serv. Directo]]</f>
        <v>0</v>
      </c>
      <c r="AK131" s="68"/>
      <c r="AL13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17174200</v>
      </c>
      <c r="AN131" s="42">
        <f>+Tabla1[[#This Row],[Potencial Equipos]]+Tabla1[[#This Row],[Potencial Pipeline]]</f>
        <v>17174200</v>
      </c>
    </row>
    <row r="132" spans="1:40" ht="15.75" x14ac:dyDescent="0.25">
      <c r="A132" s="47" t="s">
        <v>298</v>
      </c>
      <c r="B132" t="str">
        <f>+VLOOKUP(Tabla1[[#This Row],[Cliente]],'[1]Público Privado'!$A$1:$B$325,2,FALSE)</f>
        <v>Público</v>
      </c>
      <c r="C132" s="23">
        <f>+SUMIFS('[1]Facturacion a Fecha'!$T:$T,'[1]Facturacion a Fecha'!$AY:$AY,Tabla1[[#This Row],[Cliente]])</f>
        <v>0</v>
      </c>
      <c r="D132" s="24">
        <f>+SUMIFS('[1]Facturacion a Fecha'!$T:$T,'[1]Facturacion a Fecha'!$AY:$AY,Tabla1[[#This Row],[Cliente]],'[1]Facturacion a Fecha'!$AX:$AX,"Correctivo")</f>
        <v>0</v>
      </c>
      <c r="E132" s="25">
        <f>+COUNTIFS('[1]Facturacion a Fecha'!AY:AY,Tabla1[[#This Row],[Cliente]],'[1]Facturacion a Fecha'!AX:AX,"Correctivo")</f>
        <v>0</v>
      </c>
      <c r="F132" s="25">
        <f>+SUMIFS('[1]Facturacion a Fecha'!$T:$T,'[1]Facturacion a Fecha'!$AY:$AY,Tabla1[[#This Row],[Cliente]],'[1]Facturacion a Fecha'!$AX:$AX,"Preventivo")</f>
        <v>0</v>
      </c>
      <c r="G132" s="25">
        <f>+COUNTIFS('[1]Facturacion a Fecha'!AY:AY,Tabla1[[#This Row],[Cliente]],'[1]Facturacion a Fecha'!AX:AX,"Preventivo")</f>
        <v>0</v>
      </c>
      <c r="H132" s="26">
        <f>+Tabla1[[#This Row],['# Preventivo]]+Tabla1[[#This Row],['# Correctivo]]</f>
        <v>0</v>
      </c>
      <c r="I132" s="23">
        <f>+IFERROR(Tabla1[[#This Row],[Ingreso 2025 - 2026 Correctivo]]/Tabla1[[#This Row],[Ingreso 2025 - 2026 Preventivo]],0)</f>
        <v>0</v>
      </c>
      <c r="J132" s="59">
        <f>+IFERROR(Tabla1[[#This Row],['# Correctivo]]/Tabla1[[#This Row],['# Preventivo]],0)</f>
        <v>0</v>
      </c>
      <c r="K132" s="60">
        <f>+IFERROR(Tabla1[[#This Row],[Ingreso 2025 - 2026 Preventivo]]/(Tabla1[[#This Row],[Ingreso 2025 - 2026 Correctivo]]+Tabla1[[#This Row],[Ingreso 2025 - 2026 Preventivo]]),0)</f>
        <v>0</v>
      </c>
      <c r="L132" s="60">
        <f>1-Tabla1[[#This Row],[% Preventivo $]]</f>
        <v>1</v>
      </c>
      <c r="M132" s="45">
        <f>+COUNTIFS('[1]Base Instalada'!AA:AA,Tabla1[[#This Row],[Cliente]])</f>
        <v>18</v>
      </c>
      <c r="N13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2" s="45">
        <f>+COUNTIFS('[1]Base Instalada'!AA:AA,Tabla1[[#This Row],[Cliente]],'[1]Base Instalada'!Z:Z,"ESTERILIZACIÓN")</f>
        <v>3</v>
      </c>
      <c r="P132" s="45">
        <f>+COUNTIFS('[1]Base Instalada'!AA:AA,Tabla1[[#This Row],[Cliente]],'[1]Base Instalada'!Z:Z,"DENTAL")</f>
        <v>15</v>
      </c>
      <c r="Q132" s="45">
        <f>+COUNTIFS('[1]Base Instalada'!AA:AA,Tabla1[[#This Row],[Cliente]],'[1]Base Instalada'!Z:Z,"ENDOSCOPÍA")</f>
        <v>0</v>
      </c>
      <c r="R132" s="45">
        <f>+COUNTIFS('[1]Base Instalada'!AA:AA,Tabla1[[#This Row],[Cliente]],'[1]Base Instalada'!Z:Z,"INCARDIA")</f>
        <v>0</v>
      </c>
      <c r="S132" s="45">
        <f>+COUNTIFS('[1]Base Instalada'!AA:AA,Tabla1[[#This Row],[Cliente]],'[1]Base Instalada'!Z:Z,"MMQ")</f>
        <v>0</v>
      </c>
      <c r="T132" s="45">
        <f>+COUNTIFS('[1]Base Instalada'!AA:AA,Tabla1[[#This Row],[Cliente]],'[1]Base Instalada'!Z:Z,"REAS")</f>
        <v>0</v>
      </c>
      <c r="U132" s="46">
        <f>+COUNTIFS('[1]Base Instalada'!AA:AA,Tabla1[[#This Row],[Cliente]],'[1]Base Instalada'!Z:Z,"MOBILIARIO CLINICO")</f>
        <v>0</v>
      </c>
      <c r="V132" s="29">
        <f>+COUNTIFS('[1]Base Instalada'!AA:AA,Tabla1[[#This Row],[Cliente]],'[1]Base Instalada'!Z:Z,"OTRO")</f>
        <v>0</v>
      </c>
      <c r="W132" s="61" t="str">
        <f t="shared" si="4"/>
        <v>Región Bío Bío</v>
      </c>
      <c r="X132" s="61" t="str">
        <f t="shared" si="5"/>
        <v>Talcahuano</v>
      </c>
      <c r="Y132" s="62" t="s">
        <v>299</v>
      </c>
      <c r="Z132" s="33">
        <f>+COUNTIFS('[1]Pipeline TS'!$F:$F,Tabla1[[#This Row],[Cliente]])</f>
        <v>0</v>
      </c>
      <c r="AA132" s="63">
        <f>SUMIFS('[1]Pipeline Esterilización'!M:M,'[1]Pipeline Esterilización'!E:E,Tabla1[[#This Row],[Cliente]],'[1]Pipeline Esterilización'!B:B,"2026",'[1]Pipeline Esterilización'!L:L,"&gt;0")</f>
        <v>0</v>
      </c>
      <c r="AB132" s="33">
        <f>+SUMIFS('[1]Pipeline Endoscopía'!K:K,'[1]Pipeline Endoscopía'!E:E,Tabla1[[#This Row],[Cliente]],'[1]Pipeline Endoscopía'!B:B,"2026",'[1]Pipeline Endoscopía'!J:J,"&gt;0")</f>
        <v>0</v>
      </c>
      <c r="AC132" s="63">
        <f>+SUMIFS('[1]Pipeline Dental'!K:K,'[1]Pipeline Dental'!E:E,Tabla1[[#This Row],[Cliente]],'[1]Pipeline Dental'!B:B,"2026",'[1]Pipeline Dental'!J:J,"&gt;0")</f>
        <v>0</v>
      </c>
      <c r="AD132" s="64">
        <f>+SUMIFS('[1]Pipeline TS'!$AB:$AB,'[1]Pipeline TS'!$F:$F,Tabla1[[#This Row],[Cliente]])</f>
        <v>0</v>
      </c>
      <c r="AE132" s="65">
        <f>+SUM(Tabla1[[#This Row],[Pipeline 2026 $MM ESTERILIZACIÓN]:[Pipeline 2026 $MM TECSERVICE]])</f>
        <v>0</v>
      </c>
      <c r="AF132" s="43">
        <v>-36.723419978358997</v>
      </c>
      <c r="AG132" s="58">
        <v>-73.123177435019898</v>
      </c>
      <c r="AH132" s="57" t="str">
        <f>+IF(Tabla1[[#This Row],['# Contratos Vigentes ]]&gt;0,"SI","NO")</f>
        <v>NO</v>
      </c>
      <c r="AI132" s="66"/>
      <c r="AJ132" s="67">
        <f>+Tabla1[[#This Row],[Ingreso 2025 - 2026]]*Tabla1[[#This Row],[% Costo Serv. Directo]]</f>
        <v>0</v>
      </c>
      <c r="AK132" s="68"/>
      <c r="AL13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14977500</v>
      </c>
      <c r="AN132" s="42">
        <f>+Tabla1[[#This Row],[Potencial Equipos]]+Tabla1[[#This Row],[Potencial Pipeline]]</f>
        <v>14977500</v>
      </c>
    </row>
    <row r="133" spans="1:40" ht="15.75" x14ac:dyDescent="0.25">
      <c r="A133" s="47" t="s">
        <v>300</v>
      </c>
      <c r="B133" t="str">
        <f>+VLOOKUP(Tabla1[[#This Row],[Cliente]],'[1]Público Privado'!$A$1:$B$325,2,FALSE)</f>
        <v>Público</v>
      </c>
      <c r="C133" s="23">
        <f>+SUMIFS('[1]Facturacion a Fecha'!$T:$T,'[1]Facturacion a Fecha'!$AY:$AY,Tabla1[[#This Row],[Cliente]])</f>
        <v>0</v>
      </c>
      <c r="D133" s="24">
        <f>+SUMIFS('[1]Facturacion a Fecha'!$T:$T,'[1]Facturacion a Fecha'!$AY:$AY,Tabla1[[#This Row],[Cliente]],'[1]Facturacion a Fecha'!$AX:$AX,"Correctivo")</f>
        <v>0</v>
      </c>
      <c r="E133" s="25">
        <f>+COUNTIFS('[1]Facturacion a Fecha'!AY:AY,Tabla1[[#This Row],[Cliente]],'[1]Facturacion a Fecha'!AX:AX,"Correctivo")</f>
        <v>0</v>
      </c>
      <c r="F133" s="25">
        <f>+SUMIFS('[1]Facturacion a Fecha'!$T:$T,'[1]Facturacion a Fecha'!$AY:$AY,Tabla1[[#This Row],[Cliente]],'[1]Facturacion a Fecha'!$AX:$AX,"Preventivo")</f>
        <v>0</v>
      </c>
      <c r="G133" s="25">
        <f>+COUNTIFS('[1]Facturacion a Fecha'!AY:AY,Tabla1[[#This Row],[Cliente]],'[1]Facturacion a Fecha'!AX:AX,"Preventivo")</f>
        <v>0</v>
      </c>
      <c r="H133" s="26">
        <f>+Tabla1[[#This Row],['# Preventivo]]+Tabla1[[#This Row],['# Correctivo]]</f>
        <v>0</v>
      </c>
      <c r="I133" s="23">
        <f>+IFERROR(Tabla1[[#This Row],[Ingreso 2025 - 2026 Correctivo]]/Tabla1[[#This Row],[Ingreso 2025 - 2026 Preventivo]],0)</f>
        <v>0</v>
      </c>
      <c r="J133" s="59">
        <f>+IFERROR(Tabla1[[#This Row],['# Correctivo]]/Tabla1[[#This Row],['# Preventivo]],0)</f>
        <v>0</v>
      </c>
      <c r="K133" s="60">
        <f>+IFERROR(Tabla1[[#This Row],[Ingreso 2025 - 2026 Preventivo]]/(Tabla1[[#This Row],[Ingreso 2025 - 2026 Correctivo]]+Tabla1[[#This Row],[Ingreso 2025 - 2026 Preventivo]]),0)</f>
        <v>0</v>
      </c>
      <c r="L133" s="60">
        <f>1-Tabla1[[#This Row],[% Preventivo $]]</f>
        <v>1</v>
      </c>
      <c r="M133" s="45">
        <f>+COUNTIFS('[1]Base Instalada'!AA:AA,Tabla1[[#This Row],[Cliente]])</f>
        <v>6</v>
      </c>
      <c r="N13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3" s="45">
        <f>+COUNTIFS('[1]Base Instalada'!AA:AA,Tabla1[[#This Row],[Cliente]],'[1]Base Instalada'!Z:Z,"ESTERILIZACIÓN")</f>
        <v>2</v>
      </c>
      <c r="P133" s="45">
        <f>+COUNTIFS('[1]Base Instalada'!AA:AA,Tabla1[[#This Row],[Cliente]],'[1]Base Instalada'!Z:Z,"DENTAL")</f>
        <v>4</v>
      </c>
      <c r="Q133" s="45">
        <f>+COUNTIFS('[1]Base Instalada'!AA:AA,Tabla1[[#This Row],[Cliente]],'[1]Base Instalada'!Z:Z,"ENDOSCOPÍA")</f>
        <v>0</v>
      </c>
      <c r="R133" s="45">
        <f>+COUNTIFS('[1]Base Instalada'!AA:AA,Tabla1[[#This Row],[Cliente]],'[1]Base Instalada'!Z:Z,"INCARDIA")</f>
        <v>0</v>
      </c>
      <c r="S133" s="45">
        <f>+COUNTIFS('[1]Base Instalada'!AA:AA,Tabla1[[#This Row],[Cliente]],'[1]Base Instalada'!Z:Z,"MMQ")</f>
        <v>0</v>
      </c>
      <c r="T133" s="45">
        <f>+COUNTIFS('[1]Base Instalada'!AA:AA,Tabla1[[#This Row],[Cliente]],'[1]Base Instalada'!Z:Z,"REAS")</f>
        <v>0</v>
      </c>
      <c r="U133" s="46">
        <f>+COUNTIFS('[1]Base Instalada'!AA:AA,Tabla1[[#This Row],[Cliente]],'[1]Base Instalada'!Z:Z,"MOBILIARIO CLINICO")</f>
        <v>0</v>
      </c>
      <c r="V133" s="29">
        <f>+COUNTIFS('[1]Base Instalada'!AA:AA,Tabla1[[#This Row],[Cliente]],'[1]Base Instalada'!Z:Z,"OTRO")</f>
        <v>0</v>
      </c>
      <c r="W133" s="61" t="str">
        <f t="shared" si="4"/>
        <v>Región Coquimbo</v>
      </c>
      <c r="X133" s="61" t="str">
        <f t="shared" si="5"/>
        <v>Salamanca</v>
      </c>
      <c r="Y133" s="62" t="s">
        <v>301</v>
      </c>
      <c r="Z133" s="33">
        <f>+COUNTIFS('[1]Pipeline TS'!$F:$F,Tabla1[[#This Row],[Cliente]])</f>
        <v>0</v>
      </c>
      <c r="AA133" s="63">
        <f>SUMIFS('[1]Pipeline Esterilización'!M:M,'[1]Pipeline Esterilización'!E:E,Tabla1[[#This Row],[Cliente]],'[1]Pipeline Esterilización'!B:B,"2026",'[1]Pipeline Esterilización'!L:L,"&gt;0")</f>
        <v>0</v>
      </c>
      <c r="AB133" s="33">
        <f>+SUMIFS('[1]Pipeline Endoscopía'!K:K,'[1]Pipeline Endoscopía'!E:E,Tabla1[[#This Row],[Cliente]],'[1]Pipeline Endoscopía'!B:B,"2026",'[1]Pipeline Endoscopía'!J:J,"&gt;0")</f>
        <v>0</v>
      </c>
      <c r="AC133" s="63">
        <f>+SUMIFS('[1]Pipeline Dental'!K:K,'[1]Pipeline Dental'!E:E,Tabla1[[#This Row],[Cliente]],'[1]Pipeline Dental'!B:B,"2026",'[1]Pipeline Dental'!J:J,"&gt;0")</f>
        <v>0</v>
      </c>
      <c r="AD133" s="64">
        <f>+SUMIFS('[1]Pipeline TS'!$AB:$AB,'[1]Pipeline TS'!$F:$F,Tabla1[[#This Row],[Cliente]])</f>
        <v>0</v>
      </c>
      <c r="AE133" s="65">
        <f>+SUM(Tabla1[[#This Row],[Pipeline 2026 $MM ESTERILIZACIÓN]:[Pipeline 2026 $MM TECSERVICE]])</f>
        <v>0</v>
      </c>
      <c r="AF133" s="43">
        <v>-31.774044316847199</v>
      </c>
      <c r="AG133" s="58">
        <v>-70.971160429134798</v>
      </c>
      <c r="AH133" s="57" t="str">
        <f>+IF(Tabla1[[#This Row],['# Contratos Vigentes ]]&gt;0,"SI","NO")</f>
        <v>NO</v>
      </c>
      <c r="AI133" s="66"/>
      <c r="AJ133" s="67">
        <f>+Tabla1[[#This Row],[Ingreso 2025 - 2026]]*Tabla1[[#This Row],[% Costo Serv. Directo]]</f>
        <v>0</v>
      </c>
      <c r="AK133" s="68"/>
      <c r="AL13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6390400</v>
      </c>
      <c r="AN133" s="42">
        <f>+Tabla1[[#This Row],[Potencial Equipos]]+Tabla1[[#This Row],[Potencial Pipeline]]</f>
        <v>6390400</v>
      </c>
    </row>
    <row r="134" spans="1:40" ht="15.75" x14ac:dyDescent="0.25">
      <c r="A134" s="47" t="s">
        <v>302</v>
      </c>
      <c r="B134" t="str">
        <f>+VLOOKUP(Tabla1[[#This Row],[Cliente]],'[1]Público Privado'!$A$1:$B$325,2,FALSE)</f>
        <v>Público</v>
      </c>
      <c r="C134" s="23">
        <f>+SUMIFS('[1]Facturacion a Fecha'!$T:$T,'[1]Facturacion a Fecha'!$AY:$AY,Tabla1[[#This Row],[Cliente]])</f>
        <v>0</v>
      </c>
      <c r="D134" s="24">
        <f>+SUMIFS('[1]Facturacion a Fecha'!$T:$T,'[1]Facturacion a Fecha'!$AY:$AY,Tabla1[[#This Row],[Cliente]],'[1]Facturacion a Fecha'!$AX:$AX,"Correctivo")</f>
        <v>0</v>
      </c>
      <c r="E134" s="25">
        <f>+COUNTIFS('[1]Facturacion a Fecha'!AY:AY,Tabla1[[#This Row],[Cliente]],'[1]Facturacion a Fecha'!AX:AX,"Correctivo")</f>
        <v>0</v>
      </c>
      <c r="F134" s="25">
        <f>+SUMIFS('[1]Facturacion a Fecha'!$T:$T,'[1]Facturacion a Fecha'!$AY:$AY,Tabla1[[#This Row],[Cliente]],'[1]Facturacion a Fecha'!$AX:$AX,"Preventivo")</f>
        <v>0</v>
      </c>
      <c r="G134" s="25">
        <f>+COUNTIFS('[1]Facturacion a Fecha'!AY:AY,Tabla1[[#This Row],[Cliente]],'[1]Facturacion a Fecha'!AX:AX,"Preventivo")</f>
        <v>0</v>
      </c>
      <c r="H134" s="26">
        <f>+Tabla1[[#This Row],['# Preventivo]]+Tabla1[[#This Row],['# Correctivo]]</f>
        <v>0</v>
      </c>
      <c r="I134" s="23">
        <f>+IFERROR(Tabla1[[#This Row],[Ingreso 2025 - 2026 Correctivo]]/Tabla1[[#This Row],[Ingreso 2025 - 2026 Preventivo]],0)</f>
        <v>0</v>
      </c>
      <c r="J134" s="59">
        <f>+IFERROR(Tabla1[[#This Row],['# Correctivo]]/Tabla1[[#This Row],['# Preventivo]],0)</f>
        <v>0</v>
      </c>
      <c r="K134" s="60">
        <f>+IFERROR(Tabla1[[#This Row],[Ingreso 2025 - 2026 Preventivo]]/(Tabla1[[#This Row],[Ingreso 2025 - 2026 Correctivo]]+Tabla1[[#This Row],[Ingreso 2025 - 2026 Preventivo]]),0)</f>
        <v>0</v>
      </c>
      <c r="L134" s="60">
        <f>1-Tabla1[[#This Row],[% Preventivo $]]</f>
        <v>1</v>
      </c>
      <c r="M134" s="45">
        <f>+COUNTIFS('[1]Base Instalada'!AA:AA,Tabla1[[#This Row],[Cliente]])</f>
        <v>18</v>
      </c>
      <c r="N13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4" s="45">
        <f>+COUNTIFS('[1]Base Instalada'!AA:AA,Tabla1[[#This Row],[Cliente]],'[1]Base Instalada'!Z:Z,"ESTERILIZACIÓN")</f>
        <v>13</v>
      </c>
      <c r="P134" s="45">
        <f>+COUNTIFS('[1]Base Instalada'!AA:AA,Tabla1[[#This Row],[Cliente]],'[1]Base Instalada'!Z:Z,"DENTAL")</f>
        <v>5</v>
      </c>
      <c r="Q134" s="45">
        <f>+COUNTIFS('[1]Base Instalada'!AA:AA,Tabla1[[#This Row],[Cliente]],'[1]Base Instalada'!Z:Z,"ENDOSCOPÍA")</f>
        <v>0</v>
      </c>
      <c r="R134" s="45">
        <f>+COUNTIFS('[1]Base Instalada'!AA:AA,Tabla1[[#This Row],[Cliente]],'[1]Base Instalada'!Z:Z,"INCARDIA")</f>
        <v>0</v>
      </c>
      <c r="S134" s="45">
        <f>+COUNTIFS('[1]Base Instalada'!AA:AA,Tabla1[[#This Row],[Cliente]],'[1]Base Instalada'!Z:Z,"MMQ")</f>
        <v>0</v>
      </c>
      <c r="T134" s="45">
        <f>+COUNTIFS('[1]Base Instalada'!AA:AA,Tabla1[[#This Row],[Cliente]],'[1]Base Instalada'!Z:Z,"REAS")</f>
        <v>0</v>
      </c>
      <c r="U134" s="46">
        <f>+COUNTIFS('[1]Base Instalada'!AA:AA,Tabla1[[#This Row],[Cliente]],'[1]Base Instalada'!Z:Z,"MOBILIARIO CLINICO")</f>
        <v>0</v>
      </c>
      <c r="V134" s="29">
        <f>+COUNTIFS('[1]Base Instalada'!AA:AA,Tabla1[[#This Row],[Cliente]],'[1]Base Instalada'!Z:Z,"OTRO")</f>
        <v>0</v>
      </c>
      <c r="W134" s="61" t="str">
        <f t="shared" si="4"/>
        <v>Región Tarapacá</v>
      </c>
      <c r="X134" s="61" t="str">
        <f t="shared" si="5"/>
        <v>Iquique</v>
      </c>
      <c r="Y134" s="62" t="s">
        <v>303</v>
      </c>
      <c r="Z134" s="33">
        <f>+COUNTIFS('[1]Pipeline TS'!$F:$F,Tabla1[[#This Row],[Cliente]])</f>
        <v>0</v>
      </c>
      <c r="AA134" s="63">
        <f>SUMIFS('[1]Pipeline Esterilización'!M:M,'[1]Pipeline Esterilización'!E:E,Tabla1[[#This Row],[Cliente]],'[1]Pipeline Esterilización'!B:B,"2026",'[1]Pipeline Esterilización'!L:L,"&gt;0")</f>
        <v>0</v>
      </c>
      <c r="AB134" s="33">
        <f>+SUMIFS('[1]Pipeline Endoscopía'!K:K,'[1]Pipeline Endoscopía'!E:E,Tabla1[[#This Row],[Cliente]],'[1]Pipeline Endoscopía'!B:B,"2026",'[1]Pipeline Endoscopía'!J:J,"&gt;0")</f>
        <v>880000000</v>
      </c>
      <c r="AC134" s="63">
        <f>+SUMIFS('[1]Pipeline Dental'!K:K,'[1]Pipeline Dental'!E:E,Tabla1[[#This Row],[Cliente]],'[1]Pipeline Dental'!B:B,"2026",'[1]Pipeline Dental'!J:J,"&gt;0")</f>
        <v>0</v>
      </c>
      <c r="AD134" s="64">
        <f>+SUMIFS('[1]Pipeline TS'!$AB:$AB,'[1]Pipeline TS'!$F:$F,Tabla1[[#This Row],[Cliente]])</f>
        <v>0</v>
      </c>
      <c r="AE134" s="65">
        <f>+SUM(Tabla1[[#This Row],[Pipeline 2026 $MM ESTERILIZACIÓN]:[Pipeline 2026 $MM TECSERVICE]])</f>
        <v>880000000</v>
      </c>
      <c r="AF134" s="43">
        <v>-20.2139474846065</v>
      </c>
      <c r="AG134" s="58">
        <v>-70.138308174451893</v>
      </c>
      <c r="AH134" s="57" t="str">
        <f>+IF(Tabla1[[#This Row],['# Contratos Vigentes ]]&gt;0,"SI","NO")</f>
        <v>NO</v>
      </c>
      <c r="AI134" s="66"/>
      <c r="AJ134" s="67">
        <f>+Tabla1[[#This Row],[Ingreso 2025 - 2026]]*Tabla1[[#This Row],[% Costo Serv. Directo]]</f>
        <v>0</v>
      </c>
      <c r="AK134" s="68"/>
      <c r="AL13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52800000</v>
      </c>
      <c r="AM13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28956500</v>
      </c>
      <c r="AN134" s="42">
        <f>+Tabla1[[#This Row],[Potencial Equipos]]+Tabla1[[#This Row],[Potencial Pipeline]]</f>
        <v>81756500</v>
      </c>
    </row>
    <row r="135" spans="1:40" ht="15.75" x14ac:dyDescent="0.25">
      <c r="A135" s="47" t="s">
        <v>304</v>
      </c>
      <c r="B135" t="str">
        <f>+VLOOKUP(Tabla1[[#This Row],[Cliente]],'[1]Público Privado'!$A$1:$B$325,2,FALSE)</f>
        <v>Privado</v>
      </c>
      <c r="C135" s="23">
        <f>+SUMIFS('[1]Facturacion a Fecha'!$T:$T,'[1]Facturacion a Fecha'!$AY:$AY,Tabla1[[#This Row],[Cliente]])</f>
        <v>-3585242</v>
      </c>
      <c r="D135" s="24">
        <f>+SUMIFS('[1]Facturacion a Fecha'!$T:$T,'[1]Facturacion a Fecha'!$AY:$AY,Tabla1[[#This Row],[Cliente]],'[1]Facturacion a Fecha'!$AX:$AX,"Correctivo")</f>
        <v>-3585242</v>
      </c>
      <c r="E135" s="25">
        <f>+COUNTIFS('[1]Facturacion a Fecha'!AY:AY,Tabla1[[#This Row],[Cliente]],'[1]Facturacion a Fecha'!AX:AX,"Correctivo")</f>
        <v>9</v>
      </c>
      <c r="F135" s="25">
        <f>+SUMIFS('[1]Facturacion a Fecha'!$T:$T,'[1]Facturacion a Fecha'!$AY:$AY,Tabla1[[#This Row],[Cliente]],'[1]Facturacion a Fecha'!$AX:$AX,"Preventivo")</f>
        <v>0</v>
      </c>
      <c r="G135" s="25">
        <f>+COUNTIFS('[1]Facturacion a Fecha'!AY:AY,Tabla1[[#This Row],[Cliente]],'[1]Facturacion a Fecha'!AX:AX,"Preventivo")</f>
        <v>0</v>
      </c>
      <c r="H135" s="26">
        <f>+Tabla1[[#This Row],['# Preventivo]]+Tabla1[[#This Row],['# Correctivo]]</f>
        <v>9</v>
      </c>
      <c r="I135" s="23">
        <f>+IFERROR(Tabla1[[#This Row],[Ingreso 2025 - 2026 Correctivo]]/Tabla1[[#This Row],[Ingreso 2025 - 2026 Preventivo]],0)</f>
        <v>0</v>
      </c>
      <c r="J135" s="59">
        <f>+IFERROR(Tabla1[[#This Row],['# Correctivo]]/Tabla1[[#This Row],['# Preventivo]],0)</f>
        <v>0</v>
      </c>
      <c r="K135" s="60">
        <f>+IFERROR(Tabla1[[#This Row],[Ingreso 2025 - 2026 Preventivo]]/(Tabla1[[#This Row],[Ingreso 2025 - 2026 Correctivo]]+Tabla1[[#This Row],[Ingreso 2025 - 2026 Preventivo]]),0)</f>
        <v>0</v>
      </c>
      <c r="L135" s="60">
        <f>1-Tabla1[[#This Row],[% Preventivo $]]</f>
        <v>1</v>
      </c>
      <c r="M135" s="45">
        <f>+COUNTIFS('[1]Base Instalada'!AA:AA,Tabla1[[#This Row],[Cliente]])</f>
        <v>18</v>
      </c>
      <c r="N13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5" s="45">
        <f>+COUNTIFS('[1]Base Instalada'!AA:AA,Tabla1[[#This Row],[Cliente]],'[1]Base Instalada'!Z:Z,"ESTERILIZACIÓN")</f>
        <v>15</v>
      </c>
      <c r="P135" s="45">
        <f>+COUNTIFS('[1]Base Instalada'!AA:AA,Tabla1[[#This Row],[Cliente]],'[1]Base Instalada'!Z:Z,"DENTAL")</f>
        <v>2</v>
      </c>
      <c r="Q135" s="45">
        <f>+COUNTIFS('[1]Base Instalada'!AA:AA,Tabla1[[#This Row],[Cliente]],'[1]Base Instalada'!Z:Z,"ENDOSCOPÍA")</f>
        <v>1</v>
      </c>
      <c r="R135" s="45">
        <f>+COUNTIFS('[1]Base Instalada'!AA:AA,Tabla1[[#This Row],[Cliente]],'[1]Base Instalada'!Z:Z,"INCARDIA")</f>
        <v>0</v>
      </c>
      <c r="S135" s="45">
        <f>+COUNTIFS('[1]Base Instalada'!AA:AA,Tabla1[[#This Row],[Cliente]],'[1]Base Instalada'!Z:Z,"MMQ")</f>
        <v>0</v>
      </c>
      <c r="T135" s="45">
        <f>+COUNTIFS('[1]Base Instalada'!AA:AA,Tabla1[[#This Row],[Cliente]],'[1]Base Instalada'!Z:Z,"REAS")</f>
        <v>0</v>
      </c>
      <c r="U135" s="46">
        <f>+COUNTIFS('[1]Base Instalada'!AA:AA,Tabla1[[#This Row],[Cliente]],'[1]Base Instalada'!Z:Z,"MOBILIARIO CLINICO")</f>
        <v>0</v>
      </c>
      <c r="V135" s="29">
        <f>+COUNTIFS('[1]Base Instalada'!AA:AA,Tabla1[[#This Row],[Cliente]],'[1]Base Instalada'!Z:Z,"OTRO")</f>
        <v>0</v>
      </c>
      <c r="W135" s="61" t="str">
        <f t="shared" si="4"/>
        <v>Región Bío Bío</v>
      </c>
      <c r="X135" s="61" t="str">
        <f t="shared" si="5"/>
        <v>Concepción</v>
      </c>
      <c r="Y135" s="62" t="s">
        <v>305</v>
      </c>
      <c r="Z135" s="33">
        <f>+COUNTIFS('[1]Pipeline TS'!$F:$F,Tabla1[[#This Row],[Cliente]])</f>
        <v>0</v>
      </c>
      <c r="AA135" s="63">
        <f>SUMIFS('[1]Pipeline Esterilización'!M:M,'[1]Pipeline Esterilización'!E:E,Tabla1[[#This Row],[Cliente]],'[1]Pipeline Esterilización'!B:B,"2026",'[1]Pipeline Esterilización'!L:L,"&gt;0")</f>
        <v>0</v>
      </c>
      <c r="AB135" s="33">
        <f>+SUMIFS('[1]Pipeline Endoscopía'!K:K,'[1]Pipeline Endoscopía'!E:E,Tabla1[[#This Row],[Cliente]],'[1]Pipeline Endoscopía'!B:B,"2026",'[1]Pipeline Endoscopía'!J:J,"&gt;0")</f>
        <v>0</v>
      </c>
      <c r="AC135" s="63">
        <f>+SUMIFS('[1]Pipeline Dental'!K:K,'[1]Pipeline Dental'!E:E,Tabla1[[#This Row],[Cliente]],'[1]Pipeline Dental'!B:B,"2026",'[1]Pipeline Dental'!J:J,"&gt;0")</f>
        <v>0</v>
      </c>
      <c r="AD135" s="64">
        <f>+SUMIFS('[1]Pipeline TS'!$AB:$AB,'[1]Pipeline TS'!$F:$F,Tabla1[[#This Row],[Cliente]])</f>
        <v>0</v>
      </c>
      <c r="AE135" s="65">
        <f>+SUM(Tabla1[[#This Row],[Pipeline 2026 $MM ESTERILIZACIÓN]:[Pipeline 2026 $MM TECSERVICE]])</f>
        <v>0</v>
      </c>
      <c r="AF135" s="43">
        <v>-36.843554237878799</v>
      </c>
      <c r="AG135" s="58">
        <v>-73.052427544811906</v>
      </c>
      <c r="AH135" s="57" t="str">
        <f>+IF(Tabla1[[#This Row],['# Contratos Vigentes ]]&gt;0,"SI","NO")</f>
        <v>NO</v>
      </c>
      <c r="AI135" s="66"/>
      <c r="AJ135" s="67">
        <f>+Tabla1[[#This Row],[Ingreso 2025 - 2026]]*Tabla1[[#This Row],[% Costo Serv. Directo]]</f>
        <v>0</v>
      </c>
      <c r="AK135" s="68"/>
      <c r="AL13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32013446.153846156</v>
      </c>
      <c r="AN135" s="44">
        <v>60000000</v>
      </c>
    </row>
    <row r="136" spans="1:40" ht="15.75" x14ac:dyDescent="0.25">
      <c r="A136" s="47" t="s">
        <v>306</v>
      </c>
      <c r="B136" t="str">
        <f>+VLOOKUP(Tabla1[[#This Row],[Cliente]],'[1]Público Privado'!$A$1:$B$325,2,FALSE)</f>
        <v>Público</v>
      </c>
      <c r="C136" s="23">
        <f>+SUMIFS('[1]Facturacion a Fecha'!$T:$T,'[1]Facturacion a Fecha'!$AY:$AY,Tabla1[[#This Row],[Cliente]])</f>
        <v>0</v>
      </c>
      <c r="D136" s="24">
        <f>+SUMIFS('[1]Facturacion a Fecha'!$T:$T,'[1]Facturacion a Fecha'!$AY:$AY,Tabla1[[#This Row],[Cliente]],'[1]Facturacion a Fecha'!$AX:$AX,"Correctivo")</f>
        <v>0</v>
      </c>
      <c r="E136" s="25">
        <f>+COUNTIFS('[1]Facturacion a Fecha'!AY:AY,Tabla1[[#This Row],[Cliente]],'[1]Facturacion a Fecha'!AX:AX,"Correctivo")</f>
        <v>0</v>
      </c>
      <c r="F136" s="25">
        <f>+SUMIFS('[1]Facturacion a Fecha'!$T:$T,'[1]Facturacion a Fecha'!$AY:$AY,Tabla1[[#This Row],[Cliente]],'[1]Facturacion a Fecha'!$AX:$AX,"Preventivo")</f>
        <v>0</v>
      </c>
      <c r="G136" s="25">
        <f>+COUNTIFS('[1]Facturacion a Fecha'!AY:AY,Tabla1[[#This Row],[Cliente]],'[1]Facturacion a Fecha'!AX:AX,"Preventivo")</f>
        <v>0</v>
      </c>
      <c r="H136" s="26">
        <f>+Tabla1[[#This Row],['# Preventivo]]+Tabla1[[#This Row],['# Correctivo]]</f>
        <v>0</v>
      </c>
      <c r="I136" s="23">
        <f>+IFERROR(Tabla1[[#This Row],[Ingreso 2025 - 2026 Correctivo]]/Tabla1[[#This Row],[Ingreso 2025 - 2026 Preventivo]],0)</f>
        <v>0</v>
      </c>
      <c r="J136" s="59">
        <f>+IFERROR(Tabla1[[#This Row],['# Correctivo]]/Tabla1[[#This Row],['# Preventivo]],0)</f>
        <v>0</v>
      </c>
      <c r="K136" s="60">
        <f>+IFERROR(Tabla1[[#This Row],[Ingreso 2025 - 2026 Preventivo]]/(Tabla1[[#This Row],[Ingreso 2025 - 2026 Correctivo]]+Tabla1[[#This Row],[Ingreso 2025 - 2026 Preventivo]]),0)</f>
        <v>0</v>
      </c>
      <c r="L136" s="60">
        <f>1-Tabla1[[#This Row],[% Preventivo $]]</f>
        <v>1</v>
      </c>
      <c r="M136" s="45">
        <f>+COUNTIFS('[1]Base Instalada'!AA:AA,Tabla1[[#This Row],[Cliente]])</f>
        <v>12</v>
      </c>
      <c r="N13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6" s="45">
        <f>+COUNTIFS('[1]Base Instalada'!AA:AA,Tabla1[[#This Row],[Cliente]],'[1]Base Instalada'!Z:Z,"ESTERILIZACIÓN")</f>
        <v>3</v>
      </c>
      <c r="P136" s="45">
        <f>+COUNTIFS('[1]Base Instalada'!AA:AA,Tabla1[[#This Row],[Cliente]],'[1]Base Instalada'!Z:Z,"DENTAL")</f>
        <v>9</v>
      </c>
      <c r="Q136" s="45">
        <f>+COUNTIFS('[1]Base Instalada'!AA:AA,Tabla1[[#This Row],[Cliente]],'[1]Base Instalada'!Z:Z,"ENDOSCOPÍA")</f>
        <v>0</v>
      </c>
      <c r="R136" s="45">
        <f>+COUNTIFS('[1]Base Instalada'!AA:AA,Tabla1[[#This Row],[Cliente]],'[1]Base Instalada'!Z:Z,"INCARDIA")</f>
        <v>0</v>
      </c>
      <c r="S136" s="45">
        <f>+COUNTIFS('[1]Base Instalada'!AA:AA,Tabla1[[#This Row],[Cliente]],'[1]Base Instalada'!Z:Z,"MMQ")</f>
        <v>0</v>
      </c>
      <c r="T136" s="45">
        <f>+COUNTIFS('[1]Base Instalada'!AA:AA,Tabla1[[#This Row],[Cliente]],'[1]Base Instalada'!Z:Z,"REAS")</f>
        <v>0</v>
      </c>
      <c r="U136" s="46">
        <f>+COUNTIFS('[1]Base Instalada'!AA:AA,Tabla1[[#This Row],[Cliente]],'[1]Base Instalada'!Z:Z,"MOBILIARIO CLINICO")</f>
        <v>0</v>
      </c>
      <c r="V136" s="29">
        <f>+COUNTIFS('[1]Base Instalada'!AA:AA,Tabla1[[#This Row],[Cliente]],'[1]Base Instalada'!Z:Z,"OTRO")</f>
        <v>0</v>
      </c>
      <c r="W136" s="61" t="str">
        <f t="shared" si="4"/>
        <v>Región Bío Bío</v>
      </c>
      <c r="X136" s="61" t="str">
        <f t="shared" si="5"/>
        <v>Santa Bárbara</v>
      </c>
      <c r="Y136" s="62" t="s">
        <v>307</v>
      </c>
      <c r="Z136" s="33">
        <f>+COUNTIFS('[1]Pipeline TS'!$F:$F,Tabla1[[#This Row],[Cliente]])</f>
        <v>0</v>
      </c>
      <c r="AA136" s="63">
        <f>SUMIFS('[1]Pipeline Esterilización'!M:M,'[1]Pipeline Esterilización'!E:E,Tabla1[[#This Row],[Cliente]],'[1]Pipeline Esterilización'!B:B,"2026",'[1]Pipeline Esterilización'!L:L,"&gt;0")</f>
        <v>0</v>
      </c>
      <c r="AB136" s="33">
        <f>+SUMIFS('[1]Pipeline Endoscopía'!K:K,'[1]Pipeline Endoscopía'!E:E,Tabla1[[#This Row],[Cliente]],'[1]Pipeline Endoscopía'!B:B,"2026",'[1]Pipeline Endoscopía'!J:J,"&gt;0")</f>
        <v>0</v>
      </c>
      <c r="AC136" s="63">
        <f>+SUMIFS('[1]Pipeline Dental'!K:K,'[1]Pipeline Dental'!E:E,Tabla1[[#This Row],[Cliente]],'[1]Pipeline Dental'!B:B,"2026",'[1]Pipeline Dental'!J:J,"&gt;0")</f>
        <v>0</v>
      </c>
      <c r="AD136" s="64">
        <f>+SUMIFS('[1]Pipeline TS'!$AB:$AB,'[1]Pipeline TS'!$F:$F,Tabla1[[#This Row],[Cliente]])</f>
        <v>0</v>
      </c>
      <c r="AE136" s="65">
        <f>+SUM(Tabla1[[#This Row],[Pipeline 2026 $MM ESTERILIZACIÓN]:[Pipeline 2026 $MM TECSERVICE]])</f>
        <v>0</v>
      </c>
      <c r="AF136" s="43">
        <v>-37.489561686892699</v>
      </c>
      <c r="AG136" s="58">
        <v>-72.027098634096305</v>
      </c>
      <c r="AH136" s="57" t="str">
        <f>+IF(Tabla1[[#This Row],['# Contratos Vigentes ]]&gt;0,"SI","NO")</f>
        <v>NO</v>
      </c>
      <c r="AI136" s="66"/>
      <c r="AJ136" s="67">
        <f>+Tabla1[[#This Row],[Ingreso 2025 - 2026]]*Tabla1[[#This Row],[% Costo Serv. Directo]]</f>
        <v>0</v>
      </c>
      <c r="AK136" s="68"/>
      <c r="AL13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11382900</v>
      </c>
      <c r="AN136" s="42">
        <f>+Tabla1[[#This Row],[Potencial Equipos]]+Tabla1[[#This Row],[Potencial Pipeline]]</f>
        <v>11382900</v>
      </c>
    </row>
    <row r="137" spans="1:40" ht="15.75" x14ac:dyDescent="0.25">
      <c r="A137" s="47" t="s">
        <v>308</v>
      </c>
      <c r="B137" t="str">
        <f>+VLOOKUP(Tabla1[[#This Row],[Cliente]],'[1]Público Privado'!$A$1:$B$325,2,FALSE)</f>
        <v>Público</v>
      </c>
      <c r="C137" s="23">
        <f>+SUMIFS('[1]Facturacion a Fecha'!$T:$T,'[1]Facturacion a Fecha'!$AY:$AY,Tabla1[[#This Row],[Cliente]])</f>
        <v>0</v>
      </c>
      <c r="D137" s="24">
        <f>+SUMIFS('[1]Facturacion a Fecha'!$T:$T,'[1]Facturacion a Fecha'!$AY:$AY,Tabla1[[#This Row],[Cliente]],'[1]Facturacion a Fecha'!$AX:$AX,"Correctivo")</f>
        <v>0</v>
      </c>
      <c r="E137" s="25">
        <f>+COUNTIFS('[1]Facturacion a Fecha'!AY:AY,Tabla1[[#This Row],[Cliente]],'[1]Facturacion a Fecha'!AX:AX,"Correctivo")</f>
        <v>0</v>
      </c>
      <c r="F137" s="25">
        <f>+SUMIFS('[1]Facturacion a Fecha'!$T:$T,'[1]Facturacion a Fecha'!$AY:$AY,Tabla1[[#This Row],[Cliente]],'[1]Facturacion a Fecha'!$AX:$AX,"Preventivo")</f>
        <v>0</v>
      </c>
      <c r="G137" s="25">
        <f>+COUNTIFS('[1]Facturacion a Fecha'!AY:AY,Tabla1[[#This Row],[Cliente]],'[1]Facturacion a Fecha'!AX:AX,"Preventivo")</f>
        <v>0</v>
      </c>
      <c r="H137" s="26">
        <f>+Tabla1[[#This Row],['# Preventivo]]+Tabla1[[#This Row],['# Correctivo]]</f>
        <v>0</v>
      </c>
      <c r="I137" s="23">
        <f>+IFERROR(Tabla1[[#This Row],[Ingreso 2025 - 2026 Correctivo]]/Tabla1[[#This Row],[Ingreso 2025 - 2026 Preventivo]],0)</f>
        <v>0</v>
      </c>
      <c r="J137" s="59">
        <f>+IFERROR(Tabla1[[#This Row],['# Correctivo]]/Tabla1[[#This Row],['# Preventivo]],0)</f>
        <v>0</v>
      </c>
      <c r="K137" s="60">
        <f>+IFERROR(Tabla1[[#This Row],[Ingreso 2025 - 2026 Preventivo]]/(Tabla1[[#This Row],[Ingreso 2025 - 2026 Correctivo]]+Tabla1[[#This Row],[Ingreso 2025 - 2026 Preventivo]]),0)</f>
        <v>0</v>
      </c>
      <c r="L137" s="60">
        <f>1-Tabla1[[#This Row],[% Preventivo $]]</f>
        <v>1</v>
      </c>
      <c r="M137" s="45">
        <f>+COUNTIFS('[1]Base Instalada'!AA:AA,Tabla1[[#This Row],[Cliente]])</f>
        <v>34</v>
      </c>
      <c r="N13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7" s="45">
        <f>+COUNTIFS('[1]Base Instalada'!AA:AA,Tabla1[[#This Row],[Cliente]],'[1]Base Instalada'!Z:Z,"ESTERILIZACIÓN")</f>
        <v>14</v>
      </c>
      <c r="P137" s="45">
        <f>+COUNTIFS('[1]Base Instalada'!AA:AA,Tabla1[[#This Row],[Cliente]],'[1]Base Instalada'!Z:Z,"DENTAL")</f>
        <v>7</v>
      </c>
      <c r="Q137" s="45">
        <f>+COUNTIFS('[1]Base Instalada'!AA:AA,Tabla1[[#This Row],[Cliente]],'[1]Base Instalada'!Z:Z,"ENDOSCOPÍA")</f>
        <v>0</v>
      </c>
      <c r="R137" s="45">
        <f>+COUNTIFS('[1]Base Instalada'!AA:AA,Tabla1[[#This Row],[Cliente]],'[1]Base Instalada'!Z:Z,"INCARDIA")</f>
        <v>6</v>
      </c>
      <c r="S137" s="45">
        <f>+COUNTIFS('[1]Base Instalada'!AA:AA,Tabla1[[#This Row],[Cliente]],'[1]Base Instalada'!Z:Z,"MMQ")</f>
        <v>0</v>
      </c>
      <c r="T137" s="45">
        <f>+COUNTIFS('[1]Base Instalada'!AA:AA,Tabla1[[#This Row],[Cliente]],'[1]Base Instalada'!Z:Z,"REAS")</f>
        <v>0</v>
      </c>
      <c r="U137" s="46">
        <f>+COUNTIFS('[1]Base Instalada'!AA:AA,Tabla1[[#This Row],[Cliente]],'[1]Base Instalada'!Z:Z,"MOBILIARIO CLINICO")</f>
        <v>7</v>
      </c>
      <c r="V137" s="29">
        <f>+COUNTIFS('[1]Base Instalada'!AA:AA,Tabla1[[#This Row],[Cliente]],'[1]Base Instalada'!Z:Z,"OTRO")</f>
        <v>0</v>
      </c>
      <c r="W137" s="61" t="str">
        <f t="shared" si="4"/>
        <v>Región Valparaíso</v>
      </c>
      <c r="X137" s="61" t="str">
        <f t="shared" si="5"/>
        <v>La Ligua</v>
      </c>
      <c r="Y137" s="62" t="s">
        <v>309</v>
      </c>
      <c r="Z137" s="33">
        <f>+COUNTIFS('[1]Pipeline TS'!$F:$F,Tabla1[[#This Row],[Cliente]])</f>
        <v>0</v>
      </c>
      <c r="AA137" s="63">
        <f>SUMIFS('[1]Pipeline Esterilización'!M:M,'[1]Pipeline Esterilización'!E:E,Tabla1[[#This Row],[Cliente]],'[1]Pipeline Esterilización'!B:B,"2026",'[1]Pipeline Esterilización'!L:L,"&gt;0")</f>
        <v>0</v>
      </c>
      <c r="AB137" s="33">
        <f>+SUMIFS('[1]Pipeline Endoscopía'!K:K,'[1]Pipeline Endoscopía'!E:E,Tabla1[[#This Row],[Cliente]],'[1]Pipeline Endoscopía'!B:B,"2026",'[1]Pipeline Endoscopía'!J:J,"&gt;0")</f>
        <v>0</v>
      </c>
      <c r="AC137" s="63">
        <f>+SUMIFS('[1]Pipeline Dental'!K:K,'[1]Pipeline Dental'!E:E,Tabla1[[#This Row],[Cliente]],'[1]Pipeline Dental'!B:B,"2026",'[1]Pipeline Dental'!J:J,"&gt;0")</f>
        <v>0</v>
      </c>
      <c r="AD137" s="64">
        <f>+SUMIFS('[1]Pipeline TS'!$AB:$AB,'[1]Pipeline TS'!$F:$F,Tabla1[[#This Row],[Cliente]])</f>
        <v>0</v>
      </c>
      <c r="AE137" s="65">
        <f>+SUM(Tabla1[[#This Row],[Pipeline 2026 $MM ESTERILIZACIÓN]:[Pipeline 2026 $MM TECSERVICE]])</f>
        <v>0</v>
      </c>
      <c r="AF137" s="43">
        <v>-32.439985124746897</v>
      </c>
      <c r="AG137" s="58">
        <v>-71.232183935645395</v>
      </c>
      <c r="AH137" s="57" t="str">
        <f>+IF(Tabla1[[#This Row],['# Contratos Vigentes ]]&gt;0,"SI","NO")</f>
        <v>NO</v>
      </c>
      <c r="AI137" s="66"/>
      <c r="AJ137" s="67">
        <f>+Tabla1[[#This Row],[Ingreso 2025 - 2026]]*Tabla1[[#This Row],[% Costo Serv. Directo]]</f>
        <v>0</v>
      </c>
      <c r="AK137" s="68"/>
      <c r="AL13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32151700</v>
      </c>
      <c r="AN137" s="42">
        <f>+Tabla1[[#This Row],[Potencial Equipos]]+Tabla1[[#This Row],[Potencial Pipeline]]</f>
        <v>32151700</v>
      </c>
    </row>
    <row r="138" spans="1:40" ht="15.75" x14ac:dyDescent="0.25">
      <c r="A138" s="47" t="s">
        <v>310</v>
      </c>
      <c r="B138" t="str">
        <f>+VLOOKUP(Tabla1[[#This Row],[Cliente]],'[1]Público Privado'!$A$1:$B$325,2,FALSE)</f>
        <v>Público</v>
      </c>
      <c r="C138" s="23">
        <f>+SUMIFS('[1]Facturacion a Fecha'!$T:$T,'[1]Facturacion a Fecha'!$AY:$AY,Tabla1[[#This Row],[Cliente]])</f>
        <v>0</v>
      </c>
      <c r="D138" s="24">
        <f>+SUMIFS('[1]Facturacion a Fecha'!$T:$T,'[1]Facturacion a Fecha'!$AY:$AY,Tabla1[[#This Row],[Cliente]],'[1]Facturacion a Fecha'!$AX:$AX,"Correctivo")</f>
        <v>0</v>
      </c>
      <c r="E138" s="25">
        <f>+COUNTIFS('[1]Facturacion a Fecha'!AY:AY,Tabla1[[#This Row],[Cliente]],'[1]Facturacion a Fecha'!AX:AX,"Correctivo")</f>
        <v>0</v>
      </c>
      <c r="F138" s="25">
        <f>+SUMIFS('[1]Facturacion a Fecha'!$T:$T,'[1]Facturacion a Fecha'!$AY:$AY,Tabla1[[#This Row],[Cliente]],'[1]Facturacion a Fecha'!$AX:$AX,"Preventivo")</f>
        <v>0</v>
      </c>
      <c r="G138" s="25">
        <f>+COUNTIFS('[1]Facturacion a Fecha'!AY:AY,Tabla1[[#This Row],[Cliente]],'[1]Facturacion a Fecha'!AX:AX,"Preventivo")</f>
        <v>0</v>
      </c>
      <c r="H138" s="26">
        <f>+Tabla1[[#This Row],['# Preventivo]]+Tabla1[[#This Row],['# Correctivo]]</f>
        <v>0</v>
      </c>
      <c r="I138" s="23">
        <f>+IFERROR(Tabla1[[#This Row],[Ingreso 2025 - 2026 Correctivo]]/Tabla1[[#This Row],[Ingreso 2025 - 2026 Preventivo]],0)</f>
        <v>0</v>
      </c>
      <c r="J138" s="59">
        <f>+IFERROR(Tabla1[[#This Row],['# Correctivo]]/Tabla1[[#This Row],['# Preventivo]],0)</f>
        <v>0</v>
      </c>
      <c r="K138" s="60">
        <f>+IFERROR(Tabla1[[#This Row],[Ingreso 2025 - 2026 Preventivo]]/(Tabla1[[#This Row],[Ingreso 2025 - 2026 Correctivo]]+Tabla1[[#This Row],[Ingreso 2025 - 2026 Preventivo]]),0)</f>
        <v>0</v>
      </c>
      <c r="L138" s="60">
        <f>1-Tabla1[[#This Row],[% Preventivo $]]</f>
        <v>1</v>
      </c>
      <c r="M138" s="45">
        <f>+COUNTIFS('[1]Base Instalada'!AA:AA,Tabla1[[#This Row],[Cliente]])</f>
        <v>10</v>
      </c>
      <c r="N13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8" s="45">
        <f>+COUNTIFS('[1]Base Instalada'!AA:AA,Tabla1[[#This Row],[Cliente]],'[1]Base Instalada'!Z:Z,"ESTERILIZACIÓN")</f>
        <v>4</v>
      </c>
      <c r="P138" s="45">
        <f>+COUNTIFS('[1]Base Instalada'!AA:AA,Tabla1[[#This Row],[Cliente]],'[1]Base Instalada'!Z:Z,"DENTAL")</f>
        <v>6</v>
      </c>
      <c r="Q138" s="45">
        <f>+COUNTIFS('[1]Base Instalada'!AA:AA,Tabla1[[#This Row],[Cliente]],'[1]Base Instalada'!Z:Z,"ENDOSCOPÍA")</f>
        <v>0</v>
      </c>
      <c r="R138" s="45">
        <f>+COUNTIFS('[1]Base Instalada'!AA:AA,Tabla1[[#This Row],[Cliente]],'[1]Base Instalada'!Z:Z,"INCARDIA")</f>
        <v>0</v>
      </c>
      <c r="S138" s="45">
        <f>+COUNTIFS('[1]Base Instalada'!AA:AA,Tabla1[[#This Row],[Cliente]],'[1]Base Instalada'!Z:Z,"MMQ")</f>
        <v>0</v>
      </c>
      <c r="T138" s="45">
        <f>+COUNTIFS('[1]Base Instalada'!AA:AA,Tabla1[[#This Row],[Cliente]],'[1]Base Instalada'!Z:Z,"REAS")</f>
        <v>0</v>
      </c>
      <c r="U138" s="46">
        <f>+COUNTIFS('[1]Base Instalada'!AA:AA,Tabla1[[#This Row],[Cliente]],'[1]Base Instalada'!Z:Z,"MOBILIARIO CLINICO")</f>
        <v>0</v>
      </c>
      <c r="V138" s="29">
        <f>+COUNTIFS('[1]Base Instalada'!AA:AA,Tabla1[[#This Row],[Cliente]],'[1]Base Instalada'!Z:Z,"OTRO")</f>
        <v>0</v>
      </c>
      <c r="W138" s="61" t="str">
        <f t="shared" si="4"/>
        <v>Región Maule</v>
      </c>
      <c r="X138" s="61" t="str">
        <f t="shared" si="5"/>
        <v>Parral</v>
      </c>
      <c r="Y138" s="62" t="s">
        <v>311</v>
      </c>
      <c r="Z138" s="33">
        <f>+COUNTIFS('[1]Pipeline TS'!$F:$F,Tabla1[[#This Row],[Cliente]])</f>
        <v>0</v>
      </c>
      <c r="AA138" s="63">
        <f>SUMIFS('[1]Pipeline Esterilización'!M:M,'[1]Pipeline Esterilización'!E:E,Tabla1[[#This Row],[Cliente]],'[1]Pipeline Esterilización'!B:B,"2026",'[1]Pipeline Esterilización'!L:L,"&gt;0")</f>
        <v>0</v>
      </c>
      <c r="AB138" s="33">
        <f>+SUMIFS('[1]Pipeline Endoscopía'!K:K,'[1]Pipeline Endoscopía'!E:E,Tabla1[[#This Row],[Cliente]],'[1]Pipeline Endoscopía'!B:B,"2026",'[1]Pipeline Endoscopía'!J:J,"&gt;0")</f>
        <v>0</v>
      </c>
      <c r="AC138" s="63">
        <f>+SUMIFS('[1]Pipeline Dental'!K:K,'[1]Pipeline Dental'!E:E,Tabla1[[#This Row],[Cliente]],'[1]Pipeline Dental'!B:B,"2026",'[1]Pipeline Dental'!J:J,"&gt;0")</f>
        <v>0</v>
      </c>
      <c r="AD138" s="64">
        <f>+SUMIFS('[1]Pipeline TS'!$AB:$AB,'[1]Pipeline TS'!$F:$F,Tabla1[[#This Row],[Cliente]])</f>
        <v>0</v>
      </c>
      <c r="AE138" s="65">
        <f>+SUM(Tabla1[[#This Row],[Pipeline 2026 $MM ESTERILIZACIÓN]:[Pipeline 2026 $MM TECSERVICE]])</f>
        <v>0</v>
      </c>
      <c r="AF138" s="43">
        <v>-36.142002071539402</v>
      </c>
      <c r="AG138" s="58">
        <v>-71.813875975536206</v>
      </c>
      <c r="AH138" s="57" t="str">
        <f>+IF(Tabla1[[#This Row],['# Contratos Vigentes ]]&gt;0,"SI","NO")</f>
        <v>NO</v>
      </c>
      <c r="AI138" s="66"/>
      <c r="AJ138" s="67">
        <f>+Tabla1[[#This Row],[Ingreso 2025 - 2026]]*Tabla1[[#This Row],[% Costo Serv. Directo]]</f>
        <v>0</v>
      </c>
      <c r="AK138" s="68"/>
      <c r="AL13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11582600</v>
      </c>
      <c r="AN138" s="42">
        <f>+Tabla1[[#This Row],[Potencial Equipos]]+Tabla1[[#This Row],[Potencial Pipeline]]</f>
        <v>11582600</v>
      </c>
    </row>
    <row r="139" spans="1:40" ht="15.75" x14ac:dyDescent="0.25">
      <c r="A139" s="47" t="s">
        <v>312</v>
      </c>
      <c r="B139" t="str">
        <f>+VLOOKUP(Tabla1[[#This Row],[Cliente]],'[1]Público Privado'!$A$1:$B$325,2,FALSE)</f>
        <v>Público</v>
      </c>
      <c r="C139" s="23">
        <f>+SUMIFS('[1]Facturacion a Fecha'!$T:$T,'[1]Facturacion a Fecha'!$AY:$AY,Tabla1[[#This Row],[Cliente]])</f>
        <v>0</v>
      </c>
      <c r="D139" s="24">
        <f>+SUMIFS('[1]Facturacion a Fecha'!$T:$T,'[1]Facturacion a Fecha'!$AY:$AY,Tabla1[[#This Row],[Cliente]],'[1]Facturacion a Fecha'!$AX:$AX,"Correctivo")</f>
        <v>0</v>
      </c>
      <c r="E139" s="25">
        <f>+COUNTIFS('[1]Facturacion a Fecha'!AY:AY,Tabla1[[#This Row],[Cliente]],'[1]Facturacion a Fecha'!AX:AX,"Correctivo")</f>
        <v>0</v>
      </c>
      <c r="F139" s="25">
        <f>+SUMIFS('[1]Facturacion a Fecha'!$T:$T,'[1]Facturacion a Fecha'!$AY:$AY,Tabla1[[#This Row],[Cliente]],'[1]Facturacion a Fecha'!$AX:$AX,"Preventivo")</f>
        <v>0</v>
      </c>
      <c r="G139" s="25">
        <f>+COUNTIFS('[1]Facturacion a Fecha'!AY:AY,Tabla1[[#This Row],[Cliente]],'[1]Facturacion a Fecha'!AX:AX,"Preventivo")</f>
        <v>0</v>
      </c>
      <c r="H139" s="26">
        <f>+Tabla1[[#This Row],['# Preventivo]]+Tabla1[[#This Row],['# Correctivo]]</f>
        <v>0</v>
      </c>
      <c r="I139" s="23">
        <f>+IFERROR(Tabla1[[#This Row],[Ingreso 2025 - 2026 Correctivo]]/Tabla1[[#This Row],[Ingreso 2025 - 2026 Preventivo]],0)</f>
        <v>0</v>
      </c>
      <c r="J139" s="59">
        <f>+IFERROR(Tabla1[[#This Row],['# Correctivo]]/Tabla1[[#This Row],['# Preventivo]],0)</f>
        <v>0</v>
      </c>
      <c r="K139" s="60">
        <f>+IFERROR(Tabla1[[#This Row],[Ingreso 2025 - 2026 Preventivo]]/(Tabla1[[#This Row],[Ingreso 2025 - 2026 Correctivo]]+Tabla1[[#This Row],[Ingreso 2025 - 2026 Preventivo]]),0)</f>
        <v>0</v>
      </c>
      <c r="L139" s="60">
        <f>1-Tabla1[[#This Row],[% Preventivo $]]</f>
        <v>1</v>
      </c>
      <c r="M139" s="45">
        <f>+COUNTIFS('[1]Base Instalada'!AA:AA,Tabla1[[#This Row],[Cliente]])</f>
        <v>9</v>
      </c>
      <c r="N13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39" s="45">
        <f>+COUNTIFS('[1]Base Instalada'!AA:AA,Tabla1[[#This Row],[Cliente]],'[1]Base Instalada'!Z:Z,"ESTERILIZACIÓN")</f>
        <v>1</v>
      </c>
      <c r="P139" s="45">
        <f>+COUNTIFS('[1]Base Instalada'!AA:AA,Tabla1[[#This Row],[Cliente]],'[1]Base Instalada'!Z:Z,"DENTAL")</f>
        <v>8</v>
      </c>
      <c r="Q139" s="45">
        <f>+COUNTIFS('[1]Base Instalada'!AA:AA,Tabla1[[#This Row],[Cliente]],'[1]Base Instalada'!Z:Z,"ENDOSCOPÍA")</f>
        <v>0</v>
      </c>
      <c r="R139" s="45">
        <f>+COUNTIFS('[1]Base Instalada'!AA:AA,Tabla1[[#This Row],[Cliente]],'[1]Base Instalada'!Z:Z,"INCARDIA")</f>
        <v>0</v>
      </c>
      <c r="S139" s="45">
        <f>+COUNTIFS('[1]Base Instalada'!AA:AA,Tabla1[[#This Row],[Cliente]],'[1]Base Instalada'!Z:Z,"MMQ")</f>
        <v>0</v>
      </c>
      <c r="T139" s="45">
        <f>+COUNTIFS('[1]Base Instalada'!AA:AA,Tabla1[[#This Row],[Cliente]],'[1]Base Instalada'!Z:Z,"REAS")</f>
        <v>0</v>
      </c>
      <c r="U139" s="46">
        <f>+COUNTIFS('[1]Base Instalada'!AA:AA,Tabla1[[#This Row],[Cliente]],'[1]Base Instalada'!Z:Z,"MOBILIARIO CLINICO")</f>
        <v>0</v>
      </c>
      <c r="V139" s="29">
        <f>+COUNTIFS('[1]Base Instalada'!AA:AA,Tabla1[[#This Row],[Cliente]],'[1]Base Instalada'!Z:Z,"OTRO")</f>
        <v>0</v>
      </c>
      <c r="W139" s="61" t="str">
        <f t="shared" si="4"/>
        <v>Región Valparaíso</v>
      </c>
      <c r="X139" s="61" t="str">
        <f t="shared" si="5"/>
        <v>Limache</v>
      </c>
      <c r="Y139" s="62" t="s">
        <v>313</v>
      </c>
      <c r="Z139" s="33">
        <f>+COUNTIFS('[1]Pipeline TS'!$F:$F,Tabla1[[#This Row],[Cliente]])</f>
        <v>0</v>
      </c>
      <c r="AA139" s="63">
        <f>SUMIFS('[1]Pipeline Esterilización'!M:M,'[1]Pipeline Esterilización'!E:E,Tabla1[[#This Row],[Cliente]],'[1]Pipeline Esterilización'!B:B,"2026",'[1]Pipeline Esterilización'!L:L,"&gt;0")</f>
        <v>0</v>
      </c>
      <c r="AB139" s="33">
        <f>+SUMIFS('[1]Pipeline Endoscopía'!K:K,'[1]Pipeline Endoscopía'!E:E,Tabla1[[#This Row],[Cliente]],'[1]Pipeline Endoscopía'!B:B,"2026",'[1]Pipeline Endoscopía'!J:J,"&gt;0")</f>
        <v>0</v>
      </c>
      <c r="AC139" s="63">
        <f>+SUMIFS('[1]Pipeline Dental'!K:K,'[1]Pipeline Dental'!E:E,Tabla1[[#This Row],[Cliente]],'[1]Pipeline Dental'!B:B,"2026",'[1]Pipeline Dental'!J:J,"&gt;0")</f>
        <v>0</v>
      </c>
      <c r="AD139" s="64">
        <f>+SUMIFS('[1]Pipeline TS'!$AB:$AB,'[1]Pipeline TS'!$F:$F,Tabla1[[#This Row],[Cliente]])</f>
        <v>0</v>
      </c>
      <c r="AE139" s="65">
        <f>+SUM(Tabla1[[#This Row],[Pipeline 2026 $MM ESTERILIZACIÓN]:[Pipeline 2026 $MM TECSERVICE]])</f>
        <v>0</v>
      </c>
      <c r="AF139" s="43">
        <v>-32.998933212394299</v>
      </c>
      <c r="AG139" s="58">
        <v>-71.267859675714504</v>
      </c>
      <c r="AH139" s="57" t="str">
        <f>+IF(Tabla1[[#This Row],['# Contratos Vigentes ]]&gt;0,"SI","NO")</f>
        <v>NO</v>
      </c>
      <c r="AI139" s="66"/>
      <c r="AJ139" s="67">
        <f>+Tabla1[[#This Row],[Ingreso 2025 - 2026]]*Tabla1[[#This Row],[% Costo Serv. Directo]]</f>
        <v>0</v>
      </c>
      <c r="AK139" s="68"/>
      <c r="AL13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3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6789800</v>
      </c>
      <c r="AN139" s="42">
        <f>+Tabla1[[#This Row],[Potencial Equipos]]+Tabla1[[#This Row],[Potencial Pipeline]]</f>
        <v>6789800</v>
      </c>
    </row>
    <row r="140" spans="1:40" ht="15.75" x14ac:dyDescent="0.25">
      <c r="A140" s="47" t="s">
        <v>314</v>
      </c>
      <c r="B140" t="str">
        <f>+VLOOKUP(Tabla1[[#This Row],[Cliente]],'[1]Público Privado'!$A$1:$B$325,2,FALSE)</f>
        <v>Privado</v>
      </c>
      <c r="C140" s="23">
        <f>+SUMIFS('[1]Facturacion a Fecha'!$T:$T,'[1]Facturacion a Fecha'!$AY:$AY,Tabla1[[#This Row],[Cliente]])</f>
        <v>0</v>
      </c>
      <c r="D140" s="24">
        <f>+SUMIFS('[1]Facturacion a Fecha'!$T:$T,'[1]Facturacion a Fecha'!$AY:$AY,Tabla1[[#This Row],[Cliente]],'[1]Facturacion a Fecha'!$AX:$AX,"Correctivo")</f>
        <v>0</v>
      </c>
      <c r="E140" s="25">
        <f>+COUNTIFS('[1]Facturacion a Fecha'!AY:AY,Tabla1[[#This Row],[Cliente]],'[1]Facturacion a Fecha'!AX:AX,"Correctivo")</f>
        <v>0</v>
      </c>
      <c r="F140" s="25">
        <f>+SUMIFS('[1]Facturacion a Fecha'!$T:$T,'[1]Facturacion a Fecha'!$AY:$AY,Tabla1[[#This Row],[Cliente]],'[1]Facturacion a Fecha'!$AX:$AX,"Preventivo")</f>
        <v>0</v>
      </c>
      <c r="G140" s="25">
        <f>+COUNTIFS('[1]Facturacion a Fecha'!AY:AY,Tabla1[[#This Row],[Cliente]],'[1]Facturacion a Fecha'!AX:AX,"Preventivo")</f>
        <v>0</v>
      </c>
      <c r="H140" s="26">
        <f>+Tabla1[[#This Row],['# Preventivo]]+Tabla1[[#This Row],['# Correctivo]]</f>
        <v>0</v>
      </c>
      <c r="I140" s="23">
        <f>+IFERROR(Tabla1[[#This Row],[Ingreso 2025 - 2026 Correctivo]]/Tabla1[[#This Row],[Ingreso 2025 - 2026 Preventivo]],0)</f>
        <v>0</v>
      </c>
      <c r="J140" s="59">
        <f>+IFERROR(Tabla1[[#This Row],['# Correctivo]]/Tabla1[[#This Row],['# Preventivo]],0)</f>
        <v>0</v>
      </c>
      <c r="K140" s="60">
        <f>+IFERROR(Tabla1[[#This Row],[Ingreso 2025 - 2026 Preventivo]]/(Tabla1[[#This Row],[Ingreso 2025 - 2026 Correctivo]]+Tabla1[[#This Row],[Ingreso 2025 - 2026 Preventivo]]),0)</f>
        <v>0</v>
      </c>
      <c r="L140" s="60">
        <f>1-Tabla1[[#This Row],[% Preventivo $]]</f>
        <v>1</v>
      </c>
      <c r="M140" s="45">
        <f>+COUNTIFS('[1]Base Instalada'!AA:AA,Tabla1[[#This Row],[Cliente]])</f>
        <v>42</v>
      </c>
      <c r="N14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0" s="45">
        <f>+COUNTIFS('[1]Base Instalada'!AA:AA,Tabla1[[#This Row],[Cliente]],'[1]Base Instalada'!Z:Z,"ESTERILIZACIÓN")</f>
        <v>7</v>
      </c>
      <c r="P140" s="45">
        <f>+COUNTIFS('[1]Base Instalada'!AA:AA,Tabla1[[#This Row],[Cliente]],'[1]Base Instalada'!Z:Z,"DENTAL")</f>
        <v>35</v>
      </c>
      <c r="Q140" s="45">
        <f>+COUNTIFS('[1]Base Instalada'!AA:AA,Tabla1[[#This Row],[Cliente]],'[1]Base Instalada'!Z:Z,"ENDOSCOPÍA")</f>
        <v>0</v>
      </c>
      <c r="R140" s="45">
        <f>+COUNTIFS('[1]Base Instalada'!AA:AA,Tabla1[[#This Row],[Cliente]],'[1]Base Instalada'!Z:Z,"INCARDIA")</f>
        <v>0</v>
      </c>
      <c r="S140" s="45">
        <f>+COUNTIFS('[1]Base Instalada'!AA:AA,Tabla1[[#This Row],[Cliente]],'[1]Base Instalada'!Z:Z,"MMQ")</f>
        <v>0</v>
      </c>
      <c r="T140" s="45">
        <f>+COUNTIFS('[1]Base Instalada'!AA:AA,Tabla1[[#This Row],[Cliente]],'[1]Base Instalada'!Z:Z,"REAS")</f>
        <v>0</v>
      </c>
      <c r="U140" s="46">
        <f>+COUNTIFS('[1]Base Instalada'!AA:AA,Tabla1[[#This Row],[Cliente]],'[1]Base Instalada'!Z:Z,"MOBILIARIO CLINICO")</f>
        <v>0</v>
      </c>
      <c r="V140" s="29">
        <f>+COUNTIFS('[1]Base Instalada'!AA:AA,Tabla1[[#This Row],[Cliente]],'[1]Base Instalada'!Z:Z,"OTRO")</f>
        <v>0</v>
      </c>
      <c r="W140" s="61" t="str">
        <f t="shared" si="4"/>
        <v>Región Bío Bío</v>
      </c>
      <c r="X140" s="61" t="str">
        <f t="shared" si="5"/>
        <v>Concepción</v>
      </c>
      <c r="Y140" s="62" t="s">
        <v>315</v>
      </c>
      <c r="Z140" s="33">
        <f>+COUNTIFS('[1]Pipeline TS'!$F:$F,Tabla1[[#This Row],[Cliente]])</f>
        <v>0</v>
      </c>
      <c r="AA140" s="63">
        <f>SUMIFS('[1]Pipeline Esterilización'!M:M,'[1]Pipeline Esterilización'!E:E,Tabla1[[#This Row],[Cliente]],'[1]Pipeline Esterilización'!B:B,"2026",'[1]Pipeline Esterilización'!L:L,"&gt;0")</f>
        <v>0</v>
      </c>
      <c r="AB140" s="33">
        <f>+SUMIFS('[1]Pipeline Endoscopía'!K:K,'[1]Pipeline Endoscopía'!E:E,Tabla1[[#This Row],[Cliente]],'[1]Pipeline Endoscopía'!B:B,"2026",'[1]Pipeline Endoscopía'!J:J,"&gt;0")</f>
        <v>0</v>
      </c>
      <c r="AC140" s="63">
        <f>+SUMIFS('[1]Pipeline Dental'!K:K,'[1]Pipeline Dental'!E:E,Tabla1[[#This Row],[Cliente]],'[1]Pipeline Dental'!B:B,"2026",'[1]Pipeline Dental'!J:J,"&gt;0")</f>
        <v>0</v>
      </c>
      <c r="AD140" s="64">
        <f>+SUMIFS('[1]Pipeline TS'!$AB:$AB,'[1]Pipeline TS'!$F:$F,Tabla1[[#This Row],[Cliente]])</f>
        <v>0</v>
      </c>
      <c r="AE140" s="65">
        <f>+SUM(Tabla1[[#This Row],[Pipeline 2026 $MM ESTERILIZACIÓN]:[Pipeline 2026 $MM TECSERVICE]])</f>
        <v>0</v>
      </c>
      <c r="AF140" s="43">
        <v>-36.579169505542701</v>
      </c>
      <c r="AG140" s="58">
        <v>-73.058583361491102</v>
      </c>
      <c r="AH140" s="57" t="str">
        <f>+IF(Tabla1[[#This Row],['# Contratos Vigentes ]]&gt;0,"SI","NO")</f>
        <v>NO</v>
      </c>
      <c r="AI140" s="66"/>
      <c r="AJ140" s="67">
        <f>+Tabla1[[#This Row],[Ingreso 2025 - 2026]]*Tabla1[[#This Row],[% Costo Serv. Directo]]</f>
        <v>0</v>
      </c>
      <c r="AK140" s="68"/>
      <c r="AL14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4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34947500</v>
      </c>
      <c r="AN140" s="42">
        <f>+Tabla1[[#This Row],[Potencial Equipos]]+Tabla1[[#This Row],[Potencial Pipeline]]</f>
        <v>34947500</v>
      </c>
    </row>
    <row r="141" spans="1:40" ht="15.75" x14ac:dyDescent="0.25">
      <c r="A141" s="47" t="s">
        <v>316</v>
      </c>
      <c r="B141" t="str">
        <f>+VLOOKUP(Tabla1[[#This Row],[Cliente]],'[1]Público Privado'!$A$1:$B$325,2,FALSE)</f>
        <v>Público</v>
      </c>
      <c r="C141" s="23">
        <f>+SUMIFS('[1]Facturacion a Fecha'!$T:$T,'[1]Facturacion a Fecha'!$AY:$AY,Tabla1[[#This Row],[Cliente]])</f>
        <v>0</v>
      </c>
      <c r="D141" s="24">
        <f>+SUMIFS('[1]Facturacion a Fecha'!$T:$T,'[1]Facturacion a Fecha'!$AY:$AY,Tabla1[[#This Row],[Cliente]],'[1]Facturacion a Fecha'!$AX:$AX,"Correctivo")</f>
        <v>0</v>
      </c>
      <c r="E141" s="25">
        <f>+COUNTIFS('[1]Facturacion a Fecha'!AY:AY,Tabla1[[#This Row],[Cliente]],'[1]Facturacion a Fecha'!AX:AX,"Correctivo")</f>
        <v>0</v>
      </c>
      <c r="F141" s="25">
        <f>+SUMIFS('[1]Facturacion a Fecha'!$T:$T,'[1]Facturacion a Fecha'!$AY:$AY,Tabla1[[#This Row],[Cliente]],'[1]Facturacion a Fecha'!$AX:$AX,"Preventivo")</f>
        <v>0</v>
      </c>
      <c r="G141" s="25">
        <f>+COUNTIFS('[1]Facturacion a Fecha'!AY:AY,Tabla1[[#This Row],[Cliente]],'[1]Facturacion a Fecha'!AX:AX,"Preventivo")</f>
        <v>0</v>
      </c>
      <c r="H141" s="26">
        <f>+Tabla1[[#This Row],['# Preventivo]]+Tabla1[[#This Row],['# Correctivo]]</f>
        <v>0</v>
      </c>
      <c r="I141" s="23">
        <f>+IFERROR(Tabla1[[#This Row],[Ingreso 2025 - 2026 Correctivo]]/Tabla1[[#This Row],[Ingreso 2025 - 2026 Preventivo]],0)</f>
        <v>0</v>
      </c>
      <c r="J141" s="59">
        <f>+IFERROR(Tabla1[[#This Row],['# Correctivo]]/Tabla1[[#This Row],['# Preventivo]],0)</f>
        <v>0</v>
      </c>
      <c r="K141" s="60">
        <f>+IFERROR(Tabla1[[#This Row],[Ingreso 2025 - 2026 Preventivo]]/(Tabla1[[#This Row],[Ingreso 2025 - 2026 Correctivo]]+Tabla1[[#This Row],[Ingreso 2025 - 2026 Preventivo]]),0)</f>
        <v>0</v>
      </c>
      <c r="L141" s="60">
        <f>1-Tabla1[[#This Row],[% Preventivo $]]</f>
        <v>1</v>
      </c>
      <c r="M141" s="45">
        <f>+COUNTIFS('[1]Base Instalada'!AA:AA,Tabla1[[#This Row],[Cliente]])</f>
        <v>47</v>
      </c>
      <c r="N14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1" s="45">
        <f>+COUNTIFS('[1]Base Instalada'!AA:AA,Tabla1[[#This Row],[Cliente]],'[1]Base Instalada'!Z:Z,"ESTERILIZACIÓN")</f>
        <v>11</v>
      </c>
      <c r="P141" s="45">
        <f>+COUNTIFS('[1]Base Instalada'!AA:AA,Tabla1[[#This Row],[Cliente]],'[1]Base Instalada'!Z:Z,"DENTAL")</f>
        <v>15</v>
      </c>
      <c r="Q141" s="45">
        <f>+COUNTIFS('[1]Base Instalada'!AA:AA,Tabla1[[#This Row],[Cliente]],'[1]Base Instalada'!Z:Z,"ENDOSCOPÍA")</f>
        <v>0</v>
      </c>
      <c r="R141" s="45">
        <f>+COUNTIFS('[1]Base Instalada'!AA:AA,Tabla1[[#This Row],[Cliente]],'[1]Base Instalada'!Z:Z,"INCARDIA")</f>
        <v>21</v>
      </c>
      <c r="S141" s="45">
        <f>+COUNTIFS('[1]Base Instalada'!AA:AA,Tabla1[[#This Row],[Cliente]],'[1]Base Instalada'!Z:Z,"MMQ")</f>
        <v>0</v>
      </c>
      <c r="T141" s="45">
        <f>+COUNTIFS('[1]Base Instalada'!AA:AA,Tabla1[[#This Row],[Cliente]],'[1]Base Instalada'!Z:Z,"REAS")</f>
        <v>0</v>
      </c>
      <c r="U141" s="46">
        <f>+COUNTIFS('[1]Base Instalada'!AA:AA,Tabla1[[#This Row],[Cliente]],'[1]Base Instalada'!Z:Z,"MOBILIARIO CLINICO")</f>
        <v>0</v>
      </c>
      <c r="V141" s="29">
        <f>+COUNTIFS('[1]Base Instalada'!AA:AA,Tabla1[[#This Row],[Cliente]],'[1]Base Instalada'!Z:Z,"OTRO")</f>
        <v>0</v>
      </c>
      <c r="W141" s="61" t="str">
        <f t="shared" si="4"/>
        <v>Región Araucanía</v>
      </c>
      <c r="X141" s="61" t="str">
        <f t="shared" si="5"/>
        <v>Angol</v>
      </c>
      <c r="Y141" s="62" t="s">
        <v>317</v>
      </c>
      <c r="Z141" s="33">
        <f>+COUNTIFS('[1]Pipeline TS'!$F:$F,Tabla1[[#This Row],[Cliente]])</f>
        <v>0</v>
      </c>
      <c r="AA141" s="63">
        <f>SUMIFS('[1]Pipeline Esterilización'!M:M,'[1]Pipeline Esterilización'!E:E,Tabla1[[#This Row],[Cliente]],'[1]Pipeline Esterilización'!B:B,"2026",'[1]Pipeline Esterilización'!L:L,"&gt;0")</f>
        <v>0</v>
      </c>
      <c r="AB141" s="33">
        <f>+SUMIFS('[1]Pipeline Endoscopía'!K:K,'[1]Pipeline Endoscopía'!E:E,Tabla1[[#This Row],[Cliente]],'[1]Pipeline Endoscopía'!B:B,"2026",'[1]Pipeline Endoscopía'!J:J,"&gt;0")</f>
        <v>0</v>
      </c>
      <c r="AC141" s="63">
        <f>+SUMIFS('[1]Pipeline Dental'!K:K,'[1]Pipeline Dental'!E:E,Tabla1[[#This Row],[Cliente]],'[1]Pipeline Dental'!B:B,"2026",'[1]Pipeline Dental'!J:J,"&gt;0")</f>
        <v>0</v>
      </c>
      <c r="AD141" s="64">
        <f>+SUMIFS('[1]Pipeline TS'!$AB:$AB,'[1]Pipeline TS'!$F:$F,Tabla1[[#This Row],[Cliente]])</f>
        <v>0</v>
      </c>
      <c r="AE141" s="65">
        <f>+SUM(Tabla1[[#This Row],[Pipeline 2026 $MM ESTERILIZACIÓN]:[Pipeline 2026 $MM TECSERVICE]])</f>
        <v>0</v>
      </c>
      <c r="AF141" s="43">
        <v>-37.799743252764799</v>
      </c>
      <c r="AG141" s="58">
        <v>-72.690049696882497</v>
      </c>
      <c r="AH141" s="57" t="str">
        <f>+IF(Tabla1[[#This Row],['# Contratos Vigentes ]]&gt;0,"SI","NO")</f>
        <v>NO</v>
      </c>
      <c r="AI141" s="66"/>
      <c r="AJ141" s="67">
        <f>+Tabla1[[#This Row],[Ingreso 2025 - 2026]]*Tabla1[[#This Row],[% Costo Serv. Directo]]</f>
        <v>0</v>
      </c>
      <c r="AK141" s="68"/>
      <c r="AL14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4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30953500</v>
      </c>
      <c r="AN141" s="42">
        <f>+Tabla1[[#This Row],[Potencial Equipos]]+Tabla1[[#This Row],[Potencial Pipeline]]</f>
        <v>30953500</v>
      </c>
    </row>
    <row r="142" spans="1:40" ht="15.75" x14ac:dyDescent="0.25">
      <c r="A142" s="47" t="s">
        <v>318</v>
      </c>
      <c r="B142" t="str">
        <f>+VLOOKUP(Tabla1[[#This Row],[Cliente]],'[1]Público Privado'!$A$1:$B$325,2,FALSE)</f>
        <v>Público</v>
      </c>
      <c r="C142" s="23">
        <f>+SUMIFS('[1]Facturacion a Fecha'!$T:$T,'[1]Facturacion a Fecha'!$AY:$AY,Tabla1[[#This Row],[Cliente]])</f>
        <v>0</v>
      </c>
      <c r="D142" s="24">
        <f>+SUMIFS('[1]Facturacion a Fecha'!$T:$T,'[1]Facturacion a Fecha'!$AY:$AY,Tabla1[[#This Row],[Cliente]],'[1]Facturacion a Fecha'!$AX:$AX,"Correctivo")</f>
        <v>0</v>
      </c>
      <c r="E142" s="25">
        <f>+COUNTIFS('[1]Facturacion a Fecha'!AY:AY,Tabla1[[#This Row],[Cliente]],'[1]Facturacion a Fecha'!AX:AX,"Correctivo")</f>
        <v>0</v>
      </c>
      <c r="F142" s="25">
        <f>+SUMIFS('[1]Facturacion a Fecha'!$T:$T,'[1]Facturacion a Fecha'!$AY:$AY,Tabla1[[#This Row],[Cliente]],'[1]Facturacion a Fecha'!$AX:$AX,"Preventivo")</f>
        <v>0</v>
      </c>
      <c r="G142" s="25">
        <f>+COUNTIFS('[1]Facturacion a Fecha'!AY:AY,Tabla1[[#This Row],[Cliente]],'[1]Facturacion a Fecha'!AX:AX,"Preventivo")</f>
        <v>0</v>
      </c>
      <c r="H142" s="26">
        <f>+Tabla1[[#This Row],['# Preventivo]]+Tabla1[[#This Row],['# Correctivo]]</f>
        <v>0</v>
      </c>
      <c r="I142" s="23">
        <f>+IFERROR(Tabla1[[#This Row],[Ingreso 2025 - 2026 Correctivo]]/Tabla1[[#This Row],[Ingreso 2025 - 2026 Preventivo]],0)</f>
        <v>0</v>
      </c>
      <c r="J142" s="59">
        <f>+IFERROR(Tabla1[[#This Row],['# Correctivo]]/Tabla1[[#This Row],['# Preventivo]],0)</f>
        <v>0</v>
      </c>
      <c r="K142" s="60">
        <f>+IFERROR(Tabla1[[#This Row],[Ingreso 2025 - 2026 Preventivo]]/(Tabla1[[#This Row],[Ingreso 2025 - 2026 Correctivo]]+Tabla1[[#This Row],[Ingreso 2025 - 2026 Preventivo]]),0)</f>
        <v>0</v>
      </c>
      <c r="L142" s="60">
        <f>1-Tabla1[[#This Row],[% Preventivo $]]</f>
        <v>1</v>
      </c>
      <c r="M142" s="45">
        <f>+COUNTIFS('[1]Base Instalada'!AA:AA,Tabla1[[#This Row],[Cliente]])</f>
        <v>43</v>
      </c>
      <c r="N14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2" s="45">
        <f>+COUNTIFS('[1]Base Instalada'!AA:AA,Tabla1[[#This Row],[Cliente]],'[1]Base Instalada'!Z:Z,"ESTERILIZACIÓN")</f>
        <v>3</v>
      </c>
      <c r="P142" s="45">
        <f>+COUNTIFS('[1]Base Instalada'!AA:AA,Tabla1[[#This Row],[Cliente]],'[1]Base Instalada'!Z:Z,"DENTAL")</f>
        <v>4</v>
      </c>
      <c r="Q142" s="45">
        <f>+COUNTIFS('[1]Base Instalada'!AA:AA,Tabla1[[#This Row],[Cliente]],'[1]Base Instalada'!Z:Z,"ENDOSCOPÍA")</f>
        <v>0</v>
      </c>
      <c r="R142" s="45">
        <f>+COUNTIFS('[1]Base Instalada'!AA:AA,Tabla1[[#This Row],[Cliente]],'[1]Base Instalada'!Z:Z,"INCARDIA")</f>
        <v>0</v>
      </c>
      <c r="S142" s="45">
        <f>+COUNTIFS('[1]Base Instalada'!AA:AA,Tabla1[[#This Row],[Cliente]],'[1]Base Instalada'!Z:Z,"MMQ")</f>
        <v>0</v>
      </c>
      <c r="T142" s="45">
        <f>+COUNTIFS('[1]Base Instalada'!AA:AA,Tabla1[[#This Row],[Cliente]],'[1]Base Instalada'!Z:Z,"REAS")</f>
        <v>0</v>
      </c>
      <c r="U142" s="46">
        <f>+COUNTIFS('[1]Base Instalada'!AA:AA,Tabla1[[#This Row],[Cliente]],'[1]Base Instalada'!Z:Z,"MOBILIARIO CLINICO")</f>
        <v>36</v>
      </c>
      <c r="V142" s="29">
        <f>+COUNTIFS('[1]Base Instalada'!AA:AA,Tabla1[[#This Row],[Cliente]],'[1]Base Instalada'!Z:Z,"OTRO")</f>
        <v>0</v>
      </c>
      <c r="W142" s="61" t="str">
        <f t="shared" si="4"/>
        <v>Región Valparaíso</v>
      </c>
      <c r="X142" s="61" t="str">
        <f t="shared" si="5"/>
        <v>Quillota</v>
      </c>
      <c r="Y142" s="62" t="s">
        <v>319</v>
      </c>
      <c r="Z142" s="33">
        <f>+COUNTIFS('[1]Pipeline TS'!$F:$F,Tabla1[[#This Row],[Cliente]])</f>
        <v>0</v>
      </c>
      <c r="AA142" s="63">
        <f>SUMIFS('[1]Pipeline Esterilización'!M:M,'[1]Pipeline Esterilización'!E:E,Tabla1[[#This Row],[Cliente]],'[1]Pipeline Esterilización'!B:B,"2026",'[1]Pipeline Esterilización'!L:L,"&gt;0")</f>
        <v>0</v>
      </c>
      <c r="AB142" s="33">
        <f>+SUMIFS('[1]Pipeline Endoscopía'!K:K,'[1]Pipeline Endoscopía'!E:E,Tabla1[[#This Row],[Cliente]],'[1]Pipeline Endoscopía'!B:B,"2026",'[1]Pipeline Endoscopía'!J:J,"&gt;0")</f>
        <v>0</v>
      </c>
      <c r="AC142" s="63">
        <f>+SUMIFS('[1]Pipeline Dental'!K:K,'[1]Pipeline Dental'!E:E,Tabla1[[#This Row],[Cliente]],'[1]Pipeline Dental'!B:B,"2026",'[1]Pipeline Dental'!J:J,"&gt;0")</f>
        <v>0</v>
      </c>
      <c r="AD142" s="64">
        <f>+SUMIFS('[1]Pipeline TS'!$AB:$AB,'[1]Pipeline TS'!$F:$F,Tabla1[[#This Row],[Cliente]])</f>
        <v>0</v>
      </c>
      <c r="AE142" s="65">
        <f>+SUM(Tabla1[[#This Row],[Pipeline 2026 $MM ESTERILIZACIÓN]:[Pipeline 2026 $MM TECSERVICE]])</f>
        <v>0</v>
      </c>
      <c r="AF142" s="43">
        <v>-32.888095258599201</v>
      </c>
      <c r="AG142" s="58">
        <v>-71.253567105257503</v>
      </c>
      <c r="AH142" s="57" t="str">
        <f>+IF(Tabla1[[#This Row],['# Contratos Vigentes ]]&gt;0,"SI","NO")</f>
        <v>NO</v>
      </c>
      <c r="AI142" s="66"/>
      <c r="AJ142" s="67">
        <f>+Tabla1[[#This Row],[Ingreso 2025 - 2026]]*Tabla1[[#This Row],[% Costo Serv. Directo]]</f>
        <v>0</v>
      </c>
      <c r="AK142" s="68"/>
      <c r="AL14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4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8387400</v>
      </c>
      <c r="AN142" s="42">
        <f>+Tabla1[[#This Row],[Potencial Equipos]]+Tabla1[[#This Row],[Potencial Pipeline]]</f>
        <v>8387400</v>
      </c>
    </row>
    <row r="143" spans="1:40" ht="15.75" x14ac:dyDescent="0.25">
      <c r="A143" s="47" t="s">
        <v>320</v>
      </c>
      <c r="B143" t="str">
        <f>+VLOOKUP(Tabla1[[#This Row],[Cliente]],'[1]Público Privado'!$A$1:$B$325,2,FALSE)</f>
        <v>Privado</v>
      </c>
      <c r="C143" s="23">
        <f>+SUMIFS('[1]Facturacion a Fecha'!$T:$T,'[1]Facturacion a Fecha'!$AY:$AY,Tabla1[[#This Row],[Cliente]])</f>
        <v>0</v>
      </c>
      <c r="D143" s="24">
        <f>+SUMIFS('[1]Facturacion a Fecha'!$T:$T,'[1]Facturacion a Fecha'!$AY:$AY,Tabla1[[#This Row],[Cliente]],'[1]Facturacion a Fecha'!$AX:$AX,"Correctivo")</f>
        <v>0</v>
      </c>
      <c r="E143" s="25">
        <f>+COUNTIFS('[1]Facturacion a Fecha'!AY:AY,Tabla1[[#This Row],[Cliente]],'[1]Facturacion a Fecha'!AX:AX,"Correctivo")</f>
        <v>0</v>
      </c>
      <c r="F143" s="25">
        <f>+SUMIFS('[1]Facturacion a Fecha'!$T:$T,'[1]Facturacion a Fecha'!$AY:$AY,Tabla1[[#This Row],[Cliente]],'[1]Facturacion a Fecha'!$AX:$AX,"Preventivo")</f>
        <v>0</v>
      </c>
      <c r="G143" s="25">
        <f>+COUNTIFS('[1]Facturacion a Fecha'!AY:AY,Tabla1[[#This Row],[Cliente]],'[1]Facturacion a Fecha'!AX:AX,"Preventivo")</f>
        <v>0</v>
      </c>
      <c r="H143" s="26">
        <f>+Tabla1[[#This Row],['# Preventivo]]+Tabla1[[#This Row],['# Correctivo]]</f>
        <v>0</v>
      </c>
      <c r="I143" s="23">
        <f>+IFERROR(Tabla1[[#This Row],[Ingreso 2025 - 2026 Correctivo]]/Tabla1[[#This Row],[Ingreso 2025 - 2026 Preventivo]],0)</f>
        <v>0</v>
      </c>
      <c r="J143" s="59">
        <f>+IFERROR(Tabla1[[#This Row],['# Correctivo]]/Tabla1[[#This Row],['# Preventivo]],0)</f>
        <v>0</v>
      </c>
      <c r="K143" s="60">
        <f>+IFERROR(Tabla1[[#This Row],[Ingreso 2025 - 2026 Preventivo]]/(Tabla1[[#This Row],[Ingreso 2025 - 2026 Correctivo]]+Tabla1[[#This Row],[Ingreso 2025 - 2026 Preventivo]]),0)</f>
        <v>0</v>
      </c>
      <c r="L143" s="60">
        <f>1-Tabla1[[#This Row],[% Preventivo $]]</f>
        <v>1</v>
      </c>
      <c r="M143" s="45">
        <f>+COUNTIFS('[1]Base Instalada'!AA:AA,Tabla1[[#This Row],[Cliente]])</f>
        <v>5</v>
      </c>
      <c r="N14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3" s="45">
        <f>+COUNTIFS('[1]Base Instalada'!AA:AA,Tabla1[[#This Row],[Cliente]],'[1]Base Instalada'!Z:Z,"ESTERILIZACIÓN")</f>
        <v>5</v>
      </c>
      <c r="P143" s="45">
        <f>+COUNTIFS('[1]Base Instalada'!AA:AA,Tabla1[[#This Row],[Cliente]],'[1]Base Instalada'!Z:Z,"DENTAL")</f>
        <v>0</v>
      </c>
      <c r="Q143" s="45">
        <f>+COUNTIFS('[1]Base Instalada'!AA:AA,Tabla1[[#This Row],[Cliente]],'[1]Base Instalada'!Z:Z,"ENDOSCOPÍA")</f>
        <v>0</v>
      </c>
      <c r="R143" s="45">
        <f>+COUNTIFS('[1]Base Instalada'!AA:AA,Tabla1[[#This Row],[Cliente]],'[1]Base Instalada'!Z:Z,"INCARDIA")</f>
        <v>0</v>
      </c>
      <c r="S143" s="45">
        <f>+COUNTIFS('[1]Base Instalada'!AA:AA,Tabla1[[#This Row],[Cliente]],'[1]Base Instalada'!Z:Z,"MMQ")</f>
        <v>0</v>
      </c>
      <c r="T143" s="45">
        <f>+COUNTIFS('[1]Base Instalada'!AA:AA,Tabla1[[#This Row],[Cliente]],'[1]Base Instalada'!Z:Z,"REAS")</f>
        <v>0</v>
      </c>
      <c r="U143" s="46">
        <f>+COUNTIFS('[1]Base Instalada'!AA:AA,Tabla1[[#This Row],[Cliente]],'[1]Base Instalada'!Z:Z,"MOBILIARIO CLINICO")</f>
        <v>0</v>
      </c>
      <c r="V143" s="29">
        <f>+COUNTIFS('[1]Base Instalada'!AA:AA,Tabla1[[#This Row],[Cliente]],'[1]Base Instalada'!Z:Z,"OTRO")</f>
        <v>0</v>
      </c>
      <c r="W143" s="61" t="str">
        <f t="shared" si="4"/>
        <v>Región Bío Bío</v>
      </c>
      <c r="X143" s="61" t="str">
        <f t="shared" si="5"/>
        <v>Hualpén</v>
      </c>
      <c r="Y143" s="62" t="s">
        <v>321</v>
      </c>
      <c r="Z143" s="33">
        <f>+COUNTIFS('[1]Pipeline TS'!$F:$F,Tabla1[[#This Row],[Cliente]])</f>
        <v>0</v>
      </c>
      <c r="AA143" s="63">
        <f>SUMIFS('[1]Pipeline Esterilización'!M:M,'[1]Pipeline Esterilización'!E:E,Tabla1[[#This Row],[Cliente]],'[1]Pipeline Esterilización'!B:B,"2026",'[1]Pipeline Esterilización'!L:L,"&gt;0")</f>
        <v>0</v>
      </c>
      <c r="AB143" s="33">
        <f>+SUMIFS('[1]Pipeline Endoscopía'!K:K,'[1]Pipeline Endoscopía'!E:E,Tabla1[[#This Row],[Cliente]],'[1]Pipeline Endoscopía'!B:B,"2026",'[1]Pipeline Endoscopía'!J:J,"&gt;0")</f>
        <v>0</v>
      </c>
      <c r="AC143" s="63">
        <f>+SUMIFS('[1]Pipeline Dental'!K:K,'[1]Pipeline Dental'!E:E,Tabla1[[#This Row],[Cliente]],'[1]Pipeline Dental'!B:B,"2026",'[1]Pipeline Dental'!J:J,"&gt;0")</f>
        <v>0</v>
      </c>
      <c r="AD143" s="64">
        <f>+SUMIFS('[1]Pipeline TS'!$AB:$AB,'[1]Pipeline TS'!$F:$F,Tabla1[[#This Row],[Cliente]])</f>
        <v>0</v>
      </c>
      <c r="AE143" s="65">
        <f>+SUM(Tabla1[[#This Row],[Pipeline 2026 $MM ESTERILIZACIÓN]:[Pipeline 2026 $MM TECSERVICE]])</f>
        <v>0</v>
      </c>
      <c r="AF143" s="43">
        <v>-36.800258354703402</v>
      </c>
      <c r="AG143" s="58">
        <v>-73.071890617826497</v>
      </c>
      <c r="AH143" s="57" t="str">
        <f>+IF(Tabla1[[#This Row],['# Contratos Vigentes ]]&gt;0,"SI","NO")</f>
        <v>NO</v>
      </c>
      <c r="AI143" s="66"/>
      <c r="AJ143" s="67">
        <f>+Tabla1[[#This Row],[Ingreso 2025 - 2026]]*Tabla1[[#This Row],[% Costo Serv. Directo]]</f>
        <v>0</v>
      </c>
      <c r="AK143" s="68"/>
      <c r="AL14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4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9985000</v>
      </c>
      <c r="AN143" s="42">
        <f>+Tabla1[[#This Row],[Potencial Equipos]]+Tabla1[[#This Row],[Potencial Pipeline]]</f>
        <v>9985000</v>
      </c>
    </row>
    <row r="144" spans="1:40" ht="15.75" x14ac:dyDescent="0.25">
      <c r="A144" s="47" t="s">
        <v>322</v>
      </c>
      <c r="B144" t="str">
        <f>+VLOOKUP(Tabla1[[#This Row],[Cliente]],'[1]Público Privado'!$A$1:$B$325,2,FALSE)</f>
        <v>Privado</v>
      </c>
      <c r="C144" s="23">
        <f>+SUMIFS('[1]Facturacion a Fecha'!$T:$T,'[1]Facturacion a Fecha'!$AY:$AY,Tabla1[[#This Row],[Cliente]])</f>
        <v>0</v>
      </c>
      <c r="D144" s="24">
        <f>+SUMIFS('[1]Facturacion a Fecha'!$T:$T,'[1]Facturacion a Fecha'!$AY:$AY,Tabla1[[#This Row],[Cliente]],'[1]Facturacion a Fecha'!$AX:$AX,"Correctivo")</f>
        <v>0</v>
      </c>
      <c r="E144" s="25">
        <f>+COUNTIFS('[1]Facturacion a Fecha'!AY:AY,Tabla1[[#This Row],[Cliente]],'[1]Facturacion a Fecha'!AX:AX,"Correctivo")</f>
        <v>0</v>
      </c>
      <c r="F144" s="25">
        <f>+SUMIFS('[1]Facturacion a Fecha'!$T:$T,'[1]Facturacion a Fecha'!$AY:$AY,Tabla1[[#This Row],[Cliente]],'[1]Facturacion a Fecha'!$AX:$AX,"Preventivo")</f>
        <v>0</v>
      </c>
      <c r="G144" s="25">
        <f>+COUNTIFS('[1]Facturacion a Fecha'!AY:AY,Tabla1[[#This Row],[Cliente]],'[1]Facturacion a Fecha'!AX:AX,"Preventivo")</f>
        <v>0</v>
      </c>
      <c r="H144" s="26">
        <f>+Tabla1[[#This Row],['# Preventivo]]+Tabla1[[#This Row],['# Correctivo]]</f>
        <v>0</v>
      </c>
      <c r="I144" s="23">
        <f>+IFERROR(Tabla1[[#This Row],[Ingreso 2025 - 2026 Correctivo]]/Tabla1[[#This Row],[Ingreso 2025 - 2026 Preventivo]],0)</f>
        <v>0</v>
      </c>
      <c r="J144" s="59">
        <f>+IFERROR(Tabla1[[#This Row],['# Correctivo]]/Tabla1[[#This Row],['# Preventivo]],0)</f>
        <v>0</v>
      </c>
      <c r="K144" s="60">
        <f>+IFERROR(Tabla1[[#This Row],[Ingreso 2025 - 2026 Preventivo]]/(Tabla1[[#This Row],[Ingreso 2025 - 2026 Correctivo]]+Tabla1[[#This Row],[Ingreso 2025 - 2026 Preventivo]]),0)</f>
        <v>0</v>
      </c>
      <c r="L144" s="60">
        <f>1-Tabla1[[#This Row],[% Preventivo $]]</f>
        <v>1</v>
      </c>
      <c r="M144" s="45">
        <f>+COUNTIFS('[1]Base Instalada'!AA:AA,Tabla1[[#This Row],[Cliente]])</f>
        <v>10</v>
      </c>
      <c r="N14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4" s="45">
        <f>+COUNTIFS('[1]Base Instalada'!AA:AA,Tabla1[[#This Row],[Cliente]],'[1]Base Instalada'!Z:Z,"ESTERILIZACIÓN")</f>
        <v>5</v>
      </c>
      <c r="P144" s="45">
        <f>+COUNTIFS('[1]Base Instalada'!AA:AA,Tabla1[[#This Row],[Cliente]],'[1]Base Instalada'!Z:Z,"DENTAL")</f>
        <v>1</v>
      </c>
      <c r="Q144" s="45">
        <f>+COUNTIFS('[1]Base Instalada'!AA:AA,Tabla1[[#This Row],[Cliente]],'[1]Base Instalada'!Z:Z,"ENDOSCOPÍA")</f>
        <v>0</v>
      </c>
      <c r="R144" s="45">
        <f>+COUNTIFS('[1]Base Instalada'!AA:AA,Tabla1[[#This Row],[Cliente]],'[1]Base Instalada'!Z:Z,"INCARDIA")</f>
        <v>0</v>
      </c>
      <c r="S144" s="45">
        <f>+COUNTIFS('[1]Base Instalada'!AA:AA,Tabla1[[#This Row],[Cliente]],'[1]Base Instalada'!Z:Z,"MMQ")</f>
        <v>0</v>
      </c>
      <c r="T144" s="45">
        <f>+COUNTIFS('[1]Base Instalada'!AA:AA,Tabla1[[#This Row],[Cliente]],'[1]Base Instalada'!Z:Z,"REAS")</f>
        <v>0</v>
      </c>
      <c r="U144" s="46">
        <f>+COUNTIFS('[1]Base Instalada'!AA:AA,Tabla1[[#This Row],[Cliente]],'[1]Base Instalada'!Z:Z,"MOBILIARIO CLINICO")</f>
        <v>4</v>
      </c>
      <c r="V144" s="29">
        <f>+COUNTIFS('[1]Base Instalada'!AA:AA,Tabla1[[#This Row],[Cliente]],'[1]Base Instalada'!Z:Z,"OTRO")</f>
        <v>0</v>
      </c>
      <c r="W144" s="61" t="str">
        <f t="shared" si="4"/>
        <v>Región Metropolitana</v>
      </c>
      <c r="X144" s="61" t="str">
        <f t="shared" si="5"/>
        <v>Macul</v>
      </c>
      <c r="Y144" s="62" t="s">
        <v>323</v>
      </c>
      <c r="Z144" s="33">
        <f>+COUNTIFS('[1]Pipeline TS'!$F:$F,Tabla1[[#This Row],[Cliente]])</f>
        <v>0</v>
      </c>
      <c r="AA144" s="63">
        <f>SUMIFS('[1]Pipeline Esterilización'!M:M,'[1]Pipeline Esterilización'!E:E,Tabla1[[#This Row],[Cliente]],'[1]Pipeline Esterilización'!B:B,"2026",'[1]Pipeline Esterilización'!L:L,"&gt;0")</f>
        <v>0</v>
      </c>
      <c r="AB144" s="33">
        <f>+SUMIFS('[1]Pipeline Endoscopía'!K:K,'[1]Pipeline Endoscopía'!E:E,Tabla1[[#This Row],[Cliente]],'[1]Pipeline Endoscopía'!B:B,"2026",'[1]Pipeline Endoscopía'!J:J,"&gt;0")</f>
        <v>0</v>
      </c>
      <c r="AC144" s="63">
        <f>+SUMIFS('[1]Pipeline Dental'!K:K,'[1]Pipeline Dental'!E:E,Tabla1[[#This Row],[Cliente]],'[1]Pipeline Dental'!B:B,"2026",'[1]Pipeline Dental'!J:J,"&gt;0")</f>
        <v>0</v>
      </c>
      <c r="AD144" s="64">
        <f>+SUMIFS('[1]Pipeline TS'!$AB:$AB,'[1]Pipeline TS'!$F:$F,Tabla1[[#This Row],[Cliente]])</f>
        <v>0</v>
      </c>
      <c r="AE144" s="65">
        <f>+SUM(Tabla1[[#This Row],[Pipeline 2026 $MM ESTERILIZACIÓN]:[Pipeline 2026 $MM TECSERVICE]])</f>
        <v>0</v>
      </c>
      <c r="AF144" s="43">
        <v>-33.489066413944997</v>
      </c>
      <c r="AG144" s="58">
        <v>-70.597664675687696</v>
      </c>
      <c r="AH144" s="57" t="str">
        <f>+IF(Tabla1[[#This Row],['# Contratos Vigentes ]]&gt;0,"SI","NO")</f>
        <v>NO</v>
      </c>
      <c r="AI144" s="66"/>
      <c r="AJ144" s="67">
        <f>+Tabla1[[#This Row],[Ingreso 2025 - 2026]]*Tabla1[[#This Row],[% Costo Serv. Directo]]</f>
        <v>0</v>
      </c>
      <c r="AK144" s="68"/>
      <c r="AL14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4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10584100</v>
      </c>
      <c r="AN144" s="42">
        <f>+Tabla1[[#This Row],[Potencial Equipos]]+Tabla1[[#This Row],[Potencial Pipeline]]</f>
        <v>10584100</v>
      </c>
    </row>
    <row r="145" spans="1:40" ht="15.75" x14ac:dyDescent="0.25">
      <c r="A145" s="47" t="s">
        <v>324</v>
      </c>
      <c r="B145" t="str">
        <f>+VLOOKUP(Tabla1[[#This Row],[Cliente]],'[1]Público Privado'!$A$1:$B$325,2,FALSE)</f>
        <v>Privado</v>
      </c>
      <c r="C145" s="23">
        <f>+SUMIFS('[1]Facturacion a Fecha'!$T:$T,'[1]Facturacion a Fecha'!$AY:$AY,Tabla1[[#This Row],[Cliente]])</f>
        <v>0</v>
      </c>
      <c r="D145" s="24">
        <f>+SUMIFS('[1]Facturacion a Fecha'!$T:$T,'[1]Facturacion a Fecha'!$AY:$AY,Tabla1[[#This Row],[Cliente]],'[1]Facturacion a Fecha'!$AX:$AX,"Correctivo")</f>
        <v>0</v>
      </c>
      <c r="E145" s="25">
        <f>+COUNTIFS('[1]Facturacion a Fecha'!AY:AY,Tabla1[[#This Row],[Cliente]],'[1]Facturacion a Fecha'!AX:AX,"Correctivo")</f>
        <v>0</v>
      </c>
      <c r="F145" s="25">
        <f>+SUMIFS('[1]Facturacion a Fecha'!$T:$T,'[1]Facturacion a Fecha'!$AY:$AY,Tabla1[[#This Row],[Cliente]],'[1]Facturacion a Fecha'!$AX:$AX,"Preventivo")</f>
        <v>0</v>
      </c>
      <c r="G145" s="25">
        <f>+COUNTIFS('[1]Facturacion a Fecha'!AY:AY,Tabla1[[#This Row],[Cliente]],'[1]Facturacion a Fecha'!AX:AX,"Preventivo")</f>
        <v>0</v>
      </c>
      <c r="H145" s="26">
        <f>+Tabla1[[#This Row],['# Preventivo]]+Tabla1[[#This Row],['# Correctivo]]</f>
        <v>0</v>
      </c>
      <c r="I145" s="23">
        <f>+IFERROR(Tabla1[[#This Row],[Ingreso 2025 - 2026 Correctivo]]/Tabla1[[#This Row],[Ingreso 2025 - 2026 Preventivo]],0)</f>
        <v>0</v>
      </c>
      <c r="J145" s="59">
        <f>+IFERROR(Tabla1[[#This Row],['# Correctivo]]/Tabla1[[#This Row],['# Preventivo]],0)</f>
        <v>0</v>
      </c>
      <c r="K145" s="60">
        <f>+IFERROR(Tabla1[[#This Row],[Ingreso 2025 - 2026 Preventivo]]/(Tabla1[[#This Row],[Ingreso 2025 - 2026 Correctivo]]+Tabla1[[#This Row],[Ingreso 2025 - 2026 Preventivo]]),0)</f>
        <v>0</v>
      </c>
      <c r="L145" s="60">
        <f>1-Tabla1[[#This Row],[% Preventivo $]]</f>
        <v>1</v>
      </c>
      <c r="M145" s="45">
        <f>+COUNTIFS('[1]Base Instalada'!AA:AA,Tabla1[[#This Row],[Cliente]])</f>
        <v>22</v>
      </c>
      <c r="N14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5" s="45">
        <f>+COUNTIFS('[1]Base Instalada'!AA:AA,Tabla1[[#This Row],[Cliente]],'[1]Base Instalada'!Z:Z,"ESTERILIZACIÓN")</f>
        <v>11</v>
      </c>
      <c r="P145" s="45">
        <f>+COUNTIFS('[1]Base Instalada'!AA:AA,Tabla1[[#This Row],[Cliente]],'[1]Base Instalada'!Z:Z,"DENTAL")</f>
        <v>11</v>
      </c>
      <c r="Q145" s="45">
        <f>+COUNTIFS('[1]Base Instalada'!AA:AA,Tabla1[[#This Row],[Cliente]],'[1]Base Instalada'!Z:Z,"ENDOSCOPÍA")</f>
        <v>0</v>
      </c>
      <c r="R145" s="45">
        <f>+COUNTIFS('[1]Base Instalada'!AA:AA,Tabla1[[#This Row],[Cliente]],'[1]Base Instalada'!Z:Z,"INCARDIA")</f>
        <v>0</v>
      </c>
      <c r="S145" s="45">
        <f>+COUNTIFS('[1]Base Instalada'!AA:AA,Tabla1[[#This Row],[Cliente]],'[1]Base Instalada'!Z:Z,"MMQ")</f>
        <v>0</v>
      </c>
      <c r="T145" s="45">
        <f>+COUNTIFS('[1]Base Instalada'!AA:AA,Tabla1[[#This Row],[Cliente]],'[1]Base Instalada'!Z:Z,"REAS")</f>
        <v>0</v>
      </c>
      <c r="U145" s="46">
        <f>+COUNTIFS('[1]Base Instalada'!AA:AA,Tabla1[[#This Row],[Cliente]],'[1]Base Instalada'!Z:Z,"MOBILIARIO CLINICO")</f>
        <v>0</v>
      </c>
      <c r="V145" s="29">
        <f>+COUNTIFS('[1]Base Instalada'!AA:AA,Tabla1[[#This Row],[Cliente]],'[1]Base Instalada'!Z:Z,"OTRO")</f>
        <v>0</v>
      </c>
      <c r="W145" s="61" t="str">
        <f t="shared" si="4"/>
        <v>Región Araucanía</v>
      </c>
      <c r="X145" s="61" t="str">
        <f t="shared" si="5"/>
        <v>Temuco</v>
      </c>
      <c r="Y145" s="62" t="s">
        <v>325</v>
      </c>
      <c r="Z145" s="33">
        <f>+COUNTIFS('[1]Pipeline TS'!$F:$F,Tabla1[[#This Row],[Cliente]])</f>
        <v>0</v>
      </c>
      <c r="AA145" s="63">
        <f>SUMIFS('[1]Pipeline Esterilización'!M:M,'[1]Pipeline Esterilización'!E:E,Tabla1[[#This Row],[Cliente]],'[1]Pipeline Esterilización'!B:B,"2026",'[1]Pipeline Esterilización'!L:L,"&gt;0")</f>
        <v>0</v>
      </c>
      <c r="AB145" s="33">
        <f>+SUMIFS('[1]Pipeline Endoscopía'!K:K,'[1]Pipeline Endoscopía'!E:E,Tabla1[[#This Row],[Cliente]],'[1]Pipeline Endoscopía'!B:B,"2026",'[1]Pipeline Endoscopía'!J:J,"&gt;0")</f>
        <v>0</v>
      </c>
      <c r="AC145" s="63">
        <f>+SUMIFS('[1]Pipeline Dental'!K:K,'[1]Pipeline Dental'!E:E,Tabla1[[#This Row],[Cliente]],'[1]Pipeline Dental'!B:B,"2026",'[1]Pipeline Dental'!J:J,"&gt;0")</f>
        <v>0</v>
      </c>
      <c r="AD145" s="64">
        <f>+SUMIFS('[1]Pipeline TS'!$AB:$AB,'[1]Pipeline TS'!$F:$F,Tabla1[[#This Row],[Cliente]])</f>
        <v>0</v>
      </c>
      <c r="AE145" s="65">
        <f>+SUM(Tabla1[[#This Row],[Pipeline 2026 $MM ESTERILIZACIÓN]:[Pipeline 2026 $MM TECSERVICE]])</f>
        <v>0</v>
      </c>
      <c r="AF145" s="43">
        <v>-38.287647907298599</v>
      </c>
      <c r="AG145" s="58">
        <v>-72.768708653441706</v>
      </c>
      <c r="AH145" s="57" t="str">
        <f>+IF(Tabla1[[#This Row],['# Contratos Vigentes ]]&gt;0,"SI","NO")</f>
        <v>NO</v>
      </c>
      <c r="AI145" s="66"/>
      <c r="AJ145" s="67">
        <f>+Tabla1[[#This Row],[Ingreso 2025 - 2026]]*Tabla1[[#This Row],[% Costo Serv. Directo]]</f>
        <v>0</v>
      </c>
      <c r="AK145" s="68"/>
      <c r="AL14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4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28557100</v>
      </c>
      <c r="AN145" s="42">
        <f>+Tabla1[[#This Row],[Potencial Equipos]]+Tabla1[[#This Row],[Potencial Pipeline]]</f>
        <v>28557100</v>
      </c>
    </row>
    <row r="146" spans="1:40" ht="15.75" x14ac:dyDescent="0.25">
      <c r="A146" s="47" t="s">
        <v>326</v>
      </c>
      <c r="B146" t="str">
        <f>+VLOOKUP(Tabla1[[#This Row],[Cliente]],'[1]Público Privado'!$A$1:$B$325,2,FALSE)</f>
        <v>Público</v>
      </c>
      <c r="C146" s="23">
        <f>+SUMIFS('[1]Facturacion a Fecha'!$T:$T,'[1]Facturacion a Fecha'!$AY:$AY,Tabla1[[#This Row],[Cliente]])</f>
        <v>0</v>
      </c>
      <c r="D146" s="24">
        <f>+SUMIFS('[1]Facturacion a Fecha'!$T:$T,'[1]Facturacion a Fecha'!$AY:$AY,Tabla1[[#This Row],[Cliente]],'[1]Facturacion a Fecha'!$AX:$AX,"Correctivo")</f>
        <v>0</v>
      </c>
      <c r="E146" s="25">
        <f>+COUNTIFS('[1]Facturacion a Fecha'!AY:AY,Tabla1[[#This Row],[Cliente]],'[1]Facturacion a Fecha'!AX:AX,"Correctivo")</f>
        <v>0</v>
      </c>
      <c r="F146" s="25">
        <f>+SUMIFS('[1]Facturacion a Fecha'!$T:$T,'[1]Facturacion a Fecha'!$AY:$AY,Tabla1[[#This Row],[Cliente]],'[1]Facturacion a Fecha'!$AX:$AX,"Preventivo")</f>
        <v>0</v>
      </c>
      <c r="G146" s="25">
        <f>+COUNTIFS('[1]Facturacion a Fecha'!AY:AY,Tabla1[[#This Row],[Cliente]],'[1]Facturacion a Fecha'!AX:AX,"Preventivo")</f>
        <v>0</v>
      </c>
      <c r="H146" s="26">
        <f>+Tabla1[[#This Row],['# Preventivo]]+Tabla1[[#This Row],['# Correctivo]]</f>
        <v>0</v>
      </c>
      <c r="I146" s="23">
        <f>+IFERROR(Tabla1[[#This Row],[Ingreso 2025 - 2026 Correctivo]]/Tabla1[[#This Row],[Ingreso 2025 - 2026 Preventivo]],0)</f>
        <v>0</v>
      </c>
      <c r="J146" s="59">
        <f>+IFERROR(Tabla1[[#This Row],['# Correctivo]]/Tabla1[[#This Row],['# Preventivo]],0)</f>
        <v>0</v>
      </c>
      <c r="K146" s="60">
        <f>+IFERROR(Tabla1[[#This Row],[Ingreso 2025 - 2026 Preventivo]]/(Tabla1[[#This Row],[Ingreso 2025 - 2026 Correctivo]]+Tabla1[[#This Row],[Ingreso 2025 - 2026 Preventivo]]),0)</f>
        <v>0</v>
      </c>
      <c r="L146" s="60">
        <f>1-Tabla1[[#This Row],[% Preventivo $]]</f>
        <v>1</v>
      </c>
      <c r="M146" s="45">
        <f>+COUNTIFS('[1]Base Instalada'!AA:AA,Tabla1[[#This Row],[Cliente]])</f>
        <v>11</v>
      </c>
      <c r="N14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6" s="45">
        <f>+COUNTIFS('[1]Base Instalada'!AA:AA,Tabla1[[#This Row],[Cliente]],'[1]Base Instalada'!Z:Z,"ESTERILIZACIÓN")</f>
        <v>9</v>
      </c>
      <c r="P146" s="45">
        <f>+COUNTIFS('[1]Base Instalada'!AA:AA,Tabla1[[#This Row],[Cliente]],'[1]Base Instalada'!Z:Z,"DENTAL")</f>
        <v>1</v>
      </c>
      <c r="Q146" s="45">
        <f>+COUNTIFS('[1]Base Instalada'!AA:AA,Tabla1[[#This Row],[Cliente]],'[1]Base Instalada'!Z:Z,"ENDOSCOPÍA")</f>
        <v>0</v>
      </c>
      <c r="R146" s="45">
        <f>+COUNTIFS('[1]Base Instalada'!AA:AA,Tabla1[[#This Row],[Cliente]],'[1]Base Instalada'!Z:Z,"INCARDIA")</f>
        <v>1</v>
      </c>
      <c r="S146" s="45">
        <f>+COUNTIFS('[1]Base Instalada'!AA:AA,Tabla1[[#This Row],[Cliente]],'[1]Base Instalada'!Z:Z,"MMQ")</f>
        <v>0</v>
      </c>
      <c r="T146" s="45">
        <f>+COUNTIFS('[1]Base Instalada'!AA:AA,Tabla1[[#This Row],[Cliente]],'[1]Base Instalada'!Z:Z,"REAS")</f>
        <v>0</v>
      </c>
      <c r="U146" s="46">
        <f>+COUNTIFS('[1]Base Instalada'!AA:AA,Tabla1[[#This Row],[Cliente]],'[1]Base Instalada'!Z:Z,"MOBILIARIO CLINICO")</f>
        <v>0</v>
      </c>
      <c r="V146" s="29">
        <f>+COUNTIFS('[1]Base Instalada'!AA:AA,Tabla1[[#This Row],[Cliente]],'[1]Base Instalada'!Z:Z,"OTRO")</f>
        <v>0</v>
      </c>
      <c r="W146" s="61" t="str">
        <f t="shared" si="4"/>
        <v>Región Coquimbo</v>
      </c>
      <c r="X146" s="61" t="str">
        <f t="shared" si="5"/>
        <v>La Serena</v>
      </c>
      <c r="Y146" s="62" t="s">
        <v>327</v>
      </c>
      <c r="Z146" s="33">
        <f>+COUNTIFS('[1]Pipeline TS'!$F:$F,Tabla1[[#This Row],[Cliente]])</f>
        <v>0</v>
      </c>
      <c r="AA146" s="63">
        <f>SUMIFS('[1]Pipeline Esterilización'!M:M,'[1]Pipeline Esterilización'!E:E,Tabla1[[#This Row],[Cliente]],'[1]Pipeline Esterilización'!B:B,"2026",'[1]Pipeline Esterilización'!L:L,"&gt;0")</f>
        <v>0</v>
      </c>
      <c r="AB146" s="33">
        <f>+SUMIFS('[1]Pipeline Endoscopía'!K:K,'[1]Pipeline Endoscopía'!E:E,Tabla1[[#This Row],[Cliente]],'[1]Pipeline Endoscopía'!B:B,"2026",'[1]Pipeline Endoscopía'!J:J,"&gt;0")</f>
        <v>1300000000</v>
      </c>
      <c r="AC146" s="63">
        <f>+SUMIFS('[1]Pipeline Dental'!K:K,'[1]Pipeline Dental'!E:E,Tabla1[[#This Row],[Cliente]],'[1]Pipeline Dental'!B:B,"2026",'[1]Pipeline Dental'!J:J,"&gt;0")</f>
        <v>0</v>
      </c>
      <c r="AD146" s="64">
        <f>+SUMIFS('[1]Pipeline TS'!$AB:$AB,'[1]Pipeline TS'!$F:$F,Tabla1[[#This Row],[Cliente]])</f>
        <v>0</v>
      </c>
      <c r="AE146" s="65">
        <f>+SUM(Tabla1[[#This Row],[Pipeline 2026 $MM ESTERILIZACIÓN]:[Pipeline 2026 $MM TECSERVICE]])</f>
        <v>1300000000</v>
      </c>
      <c r="AF146" s="43">
        <v>-29.908200274735201</v>
      </c>
      <c r="AG146" s="58">
        <v>-71.248409091218505</v>
      </c>
      <c r="AH146" s="57" t="str">
        <f>+IF(Tabla1[[#This Row],['# Contratos Vigentes ]]&gt;0,"SI","NO")</f>
        <v>NO</v>
      </c>
      <c r="AI146" s="66"/>
      <c r="AJ146" s="67">
        <f>+Tabla1[[#This Row],[Ingreso 2025 - 2026]]*Tabla1[[#This Row],[% Costo Serv. Directo]]</f>
        <v>0</v>
      </c>
      <c r="AK146" s="68"/>
      <c r="AL14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78000000</v>
      </c>
      <c r="AM14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18572100</v>
      </c>
      <c r="AN146" s="42">
        <f>+Tabla1[[#This Row],[Potencial Equipos]]+Tabla1[[#This Row],[Potencial Pipeline]]</f>
        <v>96572100</v>
      </c>
    </row>
    <row r="147" spans="1:40" ht="15.75" x14ac:dyDescent="0.25">
      <c r="A147" s="47" t="s">
        <v>328</v>
      </c>
      <c r="B147" t="str">
        <f>+VLOOKUP(Tabla1[[#This Row],[Cliente]],'[1]Público Privado'!$A$1:$B$325,2,FALSE)</f>
        <v>Privado</v>
      </c>
      <c r="C147" s="23">
        <f>+SUMIFS('[1]Facturacion a Fecha'!$T:$T,'[1]Facturacion a Fecha'!$AY:$AY,Tabla1[[#This Row],[Cliente]])</f>
        <v>578547</v>
      </c>
      <c r="D147" s="24">
        <f>+SUMIFS('[1]Facturacion a Fecha'!$T:$T,'[1]Facturacion a Fecha'!$AY:$AY,Tabla1[[#This Row],[Cliente]],'[1]Facturacion a Fecha'!$AX:$AX,"Correctivo")</f>
        <v>578547</v>
      </c>
      <c r="E147" s="25">
        <f>+COUNTIFS('[1]Facturacion a Fecha'!AY:AY,Tabla1[[#This Row],[Cliente]],'[1]Facturacion a Fecha'!AX:AX,"Correctivo")</f>
        <v>3</v>
      </c>
      <c r="F147" s="25">
        <f>+SUMIFS('[1]Facturacion a Fecha'!$T:$T,'[1]Facturacion a Fecha'!$AY:$AY,Tabla1[[#This Row],[Cliente]],'[1]Facturacion a Fecha'!$AX:$AX,"Preventivo")</f>
        <v>0</v>
      </c>
      <c r="G147" s="25">
        <f>+COUNTIFS('[1]Facturacion a Fecha'!AY:AY,Tabla1[[#This Row],[Cliente]],'[1]Facturacion a Fecha'!AX:AX,"Preventivo")</f>
        <v>0</v>
      </c>
      <c r="H147" s="26">
        <f>+Tabla1[[#This Row],['# Preventivo]]+Tabla1[[#This Row],['# Correctivo]]</f>
        <v>3</v>
      </c>
      <c r="I147" s="23">
        <f>+IFERROR(Tabla1[[#This Row],[Ingreso 2025 - 2026 Correctivo]]/Tabla1[[#This Row],[Ingreso 2025 - 2026 Preventivo]],0)</f>
        <v>0</v>
      </c>
      <c r="J147" s="59">
        <f>+IFERROR(Tabla1[[#This Row],['# Correctivo]]/Tabla1[[#This Row],['# Preventivo]],0)</f>
        <v>0</v>
      </c>
      <c r="K147" s="60">
        <f>+IFERROR(Tabla1[[#This Row],[Ingreso 2025 - 2026 Preventivo]]/(Tabla1[[#This Row],[Ingreso 2025 - 2026 Correctivo]]+Tabla1[[#This Row],[Ingreso 2025 - 2026 Preventivo]]),0)</f>
        <v>0</v>
      </c>
      <c r="L147" s="60">
        <f>1-Tabla1[[#This Row],[% Preventivo $]]</f>
        <v>1</v>
      </c>
      <c r="M147" s="45">
        <f>+COUNTIFS('[1]Base Instalada'!AA:AA,Tabla1[[#This Row],[Cliente]])</f>
        <v>10</v>
      </c>
      <c r="N14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7" s="45">
        <f>+COUNTIFS('[1]Base Instalada'!AA:AA,Tabla1[[#This Row],[Cliente]],'[1]Base Instalada'!Z:Z,"ESTERILIZACIÓN")</f>
        <v>5</v>
      </c>
      <c r="P147" s="45">
        <f>+COUNTIFS('[1]Base Instalada'!AA:AA,Tabla1[[#This Row],[Cliente]],'[1]Base Instalada'!Z:Z,"DENTAL")</f>
        <v>0</v>
      </c>
      <c r="Q147" s="45">
        <f>+COUNTIFS('[1]Base Instalada'!AA:AA,Tabla1[[#This Row],[Cliente]],'[1]Base Instalada'!Z:Z,"ENDOSCOPÍA")</f>
        <v>5</v>
      </c>
      <c r="R147" s="45">
        <f>+COUNTIFS('[1]Base Instalada'!AA:AA,Tabla1[[#This Row],[Cliente]],'[1]Base Instalada'!Z:Z,"INCARDIA")</f>
        <v>0</v>
      </c>
      <c r="S147" s="45">
        <f>+COUNTIFS('[1]Base Instalada'!AA:AA,Tabla1[[#This Row],[Cliente]],'[1]Base Instalada'!Z:Z,"MMQ")</f>
        <v>0</v>
      </c>
      <c r="T147" s="45">
        <f>+COUNTIFS('[1]Base Instalada'!AA:AA,Tabla1[[#This Row],[Cliente]],'[1]Base Instalada'!Z:Z,"REAS")</f>
        <v>0</v>
      </c>
      <c r="U147" s="46">
        <f>+COUNTIFS('[1]Base Instalada'!AA:AA,Tabla1[[#This Row],[Cliente]],'[1]Base Instalada'!Z:Z,"MOBILIARIO CLINICO")</f>
        <v>0</v>
      </c>
      <c r="V147" s="29">
        <f>+COUNTIFS('[1]Base Instalada'!AA:AA,Tabla1[[#This Row],[Cliente]],'[1]Base Instalada'!Z:Z,"OTRO")</f>
        <v>0</v>
      </c>
      <c r="W147" s="61" t="str">
        <f t="shared" si="4"/>
        <v>Región Bío Bío</v>
      </c>
      <c r="X147" s="61" t="str">
        <f t="shared" si="5"/>
        <v>Concepción</v>
      </c>
      <c r="Y147" s="62" t="s">
        <v>329</v>
      </c>
      <c r="Z147" s="33">
        <f>+COUNTIFS('[1]Pipeline TS'!$F:$F,Tabla1[[#This Row],[Cliente]])</f>
        <v>0</v>
      </c>
      <c r="AA147" s="63">
        <f>SUMIFS('[1]Pipeline Esterilización'!M:M,'[1]Pipeline Esterilización'!E:E,Tabla1[[#This Row],[Cliente]],'[1]Pipeline Esterilización'!B:B,"2026",'[1]Pipeline Esterilización'!L:L,"&gt;0")</f>
        <v>18000000</v>
      </c>
      <c r="AB147" s="33">
        <f>+SUMIFS('[1]Pipeline Endoscopía'!K:K,'[1]Pipeline Endoscopía'!E:E,Tabla1[[#This Row],[Cliente]],'[1]Pipeline Endoscopía'!B:B,"2026",'[1]Pipeline Endoscopía'!J:J,"&gt;0")</f>
        <v>0</v>
      </c>
      <c r="AC147" s="63">
        <f>+SUMIFS('[1]Pipeline Dental'!K:K,'[1]Pipeline Dental'!E:E,Tabla1[[#This Row],[Cliente]],'[1]Pipeline Dental'!B:B,"2026",'[1]Pipeline Dental'!J:J,"&gt;0")</f>
        <v>0</v>
      </c>
      <c r="AD147" s="64">
        <f>+SUMIFS('[1]Pipeline TS'!$AB:$AB,'[1]Pipeline TS'!$F:$F,Tabla1[[#This Row],[Cliente]])</f>
        <v>0</v>
      </c>
      <c r="AE147" s="65">
        <f>+SUM(Tabla1[[#This Row],[Pipeline 2026 $MM ESTERILIZACIÓN]:[Pipeline 2026 $MM TECSERVICE]])</f>
        <v>18000000</v>
      </c>
      <c r="AF147" s="43">
        <v>-36.8196152553273</v>
      </c>
      <c r="AG147" s="58">
        <v>-73.040558126251099</v>
      </c>
      <c r="AH147" s="57" t="str">
        <f>+IF(Tabla1[[#This Row],['# Contratos Vigentes ]]&gt;0,"SI","NO")</f>
        <v>NO</v>
      </c>
      <c r="AI147" s="66"/>
      <c r="AJ147" s="67">
        <f>+Tabla1[[#This Row],[Ingreso 2025 - 2026]]*Tabla1[[#This Row],[% Costo Serv. Directo]]</f>
        <v>0</v>
      </c>
      <c r="AK147" s="68"/>
      <c r="AL14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1800000</v>
      </c>
      <c r="AM14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14286230.769230772</v>
      </c>
      <c r="AN147" s="42">
        <f>+Tabla1[[#This Row],[Potencial Equipos]]+Tabla1[[#This Row],[Potencial Pipeline]]</f>
        <v>16086230.769230772</v>
      </c>
    </row>
    <row r="148" spans="1:40" ht="15.75" x14ac:dyDescent="0.25">
      <c r="A148" s="47" t="s">
        <v>330</v>
      </c>
      <c r="B148" t="str">
        <f>+VLOOKUP(Tabla1[[#This Row],[Cliente]],'[1]Público Privado'!$A$1:$B$325,2,FALSE)</f>
        <v>Privado</v>
      </c>
      <c r="C148" s="23">
        <f>+SUMIFS('[1]Facturacion a Fecha'!$T:$T,'[1]Facturacion a Fecha'!$AY:$AY,Tabla1[[#This Row],[Cliente]])</f>
        <v>0</v>
      </c>
      <c r="D148" s="24">
        <f>+SUMIFS('[1]Facturacion a Fecha'!$T:$T,'[1]Facturacion a Fecha'!$AY:$AY,Tabla1[[#This Row],[Cliente]],'[1]Facturacion a Fecha'!$AX:$AX,"Correctivo")</f>
        <v>0</v>
      </c>
      <c r="E148" s="25">
        <f>+COUNTIFS('[1]Facturacion a Fecha'!AY:AY,Tabla1[[#This Row],[Cliente]],'[1]Facturacion a Fecha'!AX:AX,"Correctivo")</f>
        <v>0</v>
      </c>
      <c r="F148" s="25">
        <f>+SUMIFS('[1]Facturacion a Fecha'!$T:$T,'[1]Facturacion a Fecha'!$AY:$AY,Tabla1[[#This Row],[Cliente]],'[1]Facturacion a Fecha'!$AX:$AX,"Preventivo")</f>
        <v>0</v>
      </c>
      <c r="G148" s="25">
        <f>+COUNTIFS('[1]Facturacion a Fecha'!AY:AY,Tabla1[[#This Row],[Cliente]],'[1]Facturacion a Fecha'!AX:AX,"Preventivo")</f>
        <v>0</v>
      </c>
      <c r="H148" s="26">
        <f>+Tabla1[[#This Row],['# Preventivo]]+Tabla1[[#This Row],['# Correctivo]]</f>
        <v>0</v>
      </c>
      <c r="I148" s="23">
        <f>+IFERROR(Tabla1[[#This Row],[Ingreso 2025 - 2026 Correctivo]]/Tabla1[[#This Row],[Ingreso 2025 - 2026 Preventivo]],0)</f>
        <v>0</v>
      </c>
      <c r="J148" s="59">
        <f>+IFERROR(Tabla1[[#This Row],['# Correctivo]]/Tabla1[[#This Row],['# Preventivo]],0)</f>
        <v>0</v>
      </c>
      <c r="K148" s="60">
        <f>+IFERROR(Tabla1[[#This Row],[Ingreso 2025 - 2026 Preventivo]]/(Tabla1[[#This Row],[Ingreso 2025 - 2026 Correctivo]]+Tabla1[[#This Row],[Ingreso 2025 - 2026 Preventivo]]),0)</f>
        <v>0</v>
      </c>
      <c r="L148" s="60">
        <f>1-Tabla1[[#This Row],[% Preventivo $]]</f>
        <v>1</v>
      </c>
      <c r="M148" s="45">
        <f>+COUNTIFS('[1]Base Instalada'!AA:AA,Tabla1[[#This Row],[Cliente]])</f>
        <v>11</v>
      </c>
      <c r="N14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8" s="45">
        <f>+COUNTIFS('[1]Base Instalada'!AA:AA,Tabla1[[#This Row],[Cliente]],'[1]Base Instalada'!Z:Z,"ESTERILIZACIÓN")</f>
        <v>3</v>
      </c>
      <c r="P148" s="45">
        <f>+COUNTIFS('[1]Base Instalada'!AA:AA,Tabla1[[#This Row],[Cliente]],'[1]Base Instalada'!Z:Z,"DENTAL")</f>
        <v>5</v>
      </c>
      <c r="Q148" s="45">
        <f>+COUNTIFS('[1]Base Instalada'!AA:AA,Tabla1[[#This Row],[Cliente]],'[1]Base Instalada'!Z:Z,"ENDOSCOPÍA")</f>
        <v>3</v>
      </c>
      <c r="R148" s="45">
        <f>+COUNTIFS('[1]Base Instalada'!AA:AA,Tabla1[[#This Row],[Cliente]],'[1]Base Instalada'!Z:Z,"INCARDIA")</f>
        <v>0</v>
      </c>
      <c r="S148" s="45">
        <f>+COUNTIFS('[1]Base Instalada'!AA:AA,Tabla1[[#This Row],[Cliente]],'[1]Base Instalada'!Z:Z,"MMQ")</f>
        <v>0</v>
      </c>
      <c r="T148" s="45">
        <f>+COUNTIFS('[1]Base Instalada'!AA:AA,Tabla1[[#This Row],[Cliente]],'[1]Base Instalada'!Z:Z,"REAS")</f>
        <v>0</v>
      </c>
      <c r="U148" s="46">
        <f>+COUNTIFS('[1]Base Instalada'!AA:AA,Tabla1[[#This Row],[Cliente]],'[1]Base Instalada'!Z:Z,"MOBILIARIO CLINICO")</f>
        <v>0</v>
      </c>
      <c r="V148" s="29">
        <f>+COUNTIFS('[1]Base Instalada'!AA:AA,Tabla1[[#This Row],[Cliente]],'[1]Base Instalada'!Z:Z,"OTRO")</f>
        <v>0</v>
      </c>
      <c r="W148" s="61" t="str">
        <f t="shared" si="4"/>
        <v>Región Metropolitana</v>
      </c>
      <c r="X148" s="61" t="str">
        <f t="shared" si="5"/>
        <v>Independencia</v>
      </c>
      <c r="Y148" s="62" t="s">
        <v>331</v>
      </c>
      <c r="Z148" s="33">
        <f>+COUNTIFS('[1]Pipeline TS'!$F:$F,Tabla1[[#This Row],[Cliente]])</f>
        <v>0</v>
      </c>
      <c r="AA148" s="63">
        <f>SUMIFS('[1]Pipeline Esterilización'!M:M,'[1]Pipeline Esterilización'!E:E,Tabla1[[#This Row],[Cliente]],'[1]Pipeline Esterilización'!B:B,"2026",'[1]Pipeline Esterilización'!L:L,"&gt;0")</f>
        <v>0</v>
      </c>
      <c r="AB148" s="33">
        <f>+SUMIFS('[1]Pipeline Endoscopía'!K:K,'[1]Pipeline Endoscopía'!E:E,Tabla1[[#This Row],[Cliente]],'[1]Pipeline Endoscopía'!B:B,"2026",'[1]Pipeline Endoscopía'!J:J,"&gt;0")</f>
        <v>0</v>
      </c>
      <c r="AC148" s="63">
        <f>+SUMIFS('[1]Pipeline Dental'!K:K,'[1]Pipeline Dental'!E:E,Tabla1[[#This Row],[Cliente]],'[1]Pipeline Dental'!B:B,"2026",'[1]Pipeline Dental'!J:J,"&gt;0")</f>
        <v>0</v>
      </c>
      <c r="AD148" s="64">
        <f>+SUMIFS('[1]Pipeline TS'!$AB:$AB,'[1]Pipeline TS'!$F:$F,Tabla1[[#This Row],[Cliente]])</f>
        <v>0</v>
      </c>
      <c r="AE148" s="65">
        <f>+SUM(Tabla1[[#This Row],[Pipeline 2026 $MM ESTERILIZACIÓN]:[Pipeline 2026 $MM TECSERVICE]])</f>
        <v>0</v>
      </c>
      <c r="AF148" s="43">
        <v>-33.422992774730297</v>
      </c>
      <c r="AG148" s="58">
        <v>-70.656587816164802</v>
      </c>
      <c r="AH148" s="57" t="str">
        <f>+IF(Tabla1[[#This Row],['# Contratos Vigentes ]]&gt;0,"SI","NO")</f>
        <v>NO</v>
      </c>
      <c r="AI148" s="66"/>
      <c r="AJ148" s="67">
        <f>+Tabla1[[#This Row],[Ingreso 2025 - 2026]]*Tabla1[[#This Row],[% Costo Serv. Directo]]</f>
        <v>0</v>
      </c>
      <c r="AK148" s="68"/>
      <c r="AL14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4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11567238.461538462</v>
      </c>
      <c r="AN148" s="42">
        <f>+Tabla1[[#This Row],[Potencial Equipos]]+Tabla1[[#This Row],[Potencial Pipeline]]</f>
        <v>11567238.461538462</v>
      </c>
    </row>
    <row r="149" spans="1:40" ht="15.75" x14ac:dyDescent="0.25">
      <c r="A149" s="47" t="s">
        <v>332</v>
      </c>
      <c r="B149" t="str">
        <f>+VLOOKUP(Tabla1[[#This Row],[Cliente]],'[1]Público Privado'!$A$1:$B$325,2,FALSE)</f>
        <v>Privado</v>
      </c>
      <c r="C149" s="23">
        <f>+SUMIFS('[1]Facturacion a Fecha'!$T:$T,'[1]Facturacion a Fecha'!$AY:$AY,Tabla1[[#This Row],[Cliente]])</f>
        <v>0</v>
      </c>
      <c r="D149" s="24">
        <f>+SUMIFS('[1]Facturacion a Fecha'!$T:$T,'[1]Facturacion a Fecha'!$AY:$AY,Tabla1[[#This Row],[Cliente]],'[1]Facturacion a Fecha'!$AX:$AX,"Correctivo")</f>
        <v>0</v>
      </c>
      <c r="E149" s="25">
        <f>+COUNTIFS('[1]Facturacion a Fecha'!AY:AY,Tabla1[[#This Row],[Cliente]],'[1]Facturacion a Fecha'!AX:AX,"Correctivo")</f>
        <v>0</v>
      </c>
      <c r="F149" s="25">
        <f>+SUMIFS('[1]Facturacion a Fecha'!$T:$T,'[1]Facturacion a Fecha'!$AY:$AY,Tabla1[[#This Row],[Cliente]],'[1]Facturacion a Fecha'!$AX:$AX,"Preventivo")</f>
        <v>0</v>
      </c>
      <c r="G149" s="25">
        <f>+COUNTIFS('[1]Facturacion a Fecha'!AY:AY,Tabla1[[#This Row],[Cliente]],'[1]Facturacion a Fecha'!AX:AX,"Preventivo")</f>
        <v>0</v>
      </c>
      <c r="H149" s="26">
        <f>+Tabla1[[#This Row],['# Preventivo]]+Tabla1[[#This Row],['# Correctivo]]</f>
        <v>0</v>
      </c>
      <c r="I149" s="23">
        <f>+IFERROR(Tabla1[[#This Row],[Ingreso 2025 - 2026 Correctivo]]/Tabla1[[#This Row],[Ingreso 2025 - 2026 Preventivo]],0)</f>
        <v>0</v>
      </c>
      <c r="J149" s="59">
        <f>+IFERROR(Tabla1[[#This Row],['# Correctivo]]/Tabla1[[#This Row],['# Preventivo]],0)</f>
        <v>0</v>
      </c>
      <c r="K149" s="60">
        <f>+IFERROR(Tabla1[[#This Row],[Ingreso 2025 - 2026 Preventivo]]/(Tabla1[[#This Row],[Ingreso 2025 - 2026 Correctivo]]+Tabla1[[#This Row],[Ingreso 2025 - 2026 Preventivo]]),0)</f>
        <v>0</v>
      </c>
      <c r="L149" s="60">
        <f>1-Tabla1[[#This Row],[% Preventivo $]]</f>
        <v>1</v>
      </c>
      <c r="M149" s="45">
        <f>+COUNTIFS('[1]Base Instalada'!AA:AA,Tabla1[[#This Row],[Cliente]])</f>
        <v>8</v>
      </c>
      <c r="N14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49" s="45">
        <f>+COUNTIFS('[1]Base Instalada'!AA:AA,Tabla1[[#This Row],[Cliente]],'[1]Base Instalada'!Z:Z,"ESTERILIZACIÓN")</f>
        <v>1</v>
      </c>
      <c r="P149" s="45">
        <f>+COUNTIFS('[1]Base Instalada'!AA:AA,Tabla1[[#This Row],[Cliente]],'[1]Base Instalada'!Z:Z,"DENTAL")</f>
        <v>7</v>
      </c>
      <c r="Q149" s="45">
        <f>+COUNTIFS('[1]Base Instalada'!AA:AA,Tabla1[[#This Row],[Cliente]],'[1]Base Instalada'!Z:Z,"ENDOSCOPÍA")</f>
        <v>0</v>
      </c>
      <c r="R149" s="45">
        <f>+COUNTIFS('[1]Base Instalada'!AA:AA,Tabla1[[#This Row],[Cliente]],'[1]Base Instalada'!Z:Z,"INCARDIA")</f>
        <v>0</v>
      </c>
      <c r="S149" s="45">
        <f>+COUNTIFS('[1]Base Instalada'!AA:AA,Tabla1[[#This Row],[Cliente]],'[1]Base Instalada'!Z:Z,"MMQ")</f>
        <v>0</v>
      </c>
      <c r="T149" s="45">
        <f>+COUNTIFS('[1]Base Instalada'!AA:AA,Tabla1[[#This Row],[Cliente]],'[1]Base Instalada'!Z:Z,"REAS")</f>
        <v>0</v>
      </c>
      <c r="U149" s="46">
        <f>+COUNTIFS('[1]Base Instalada'!AA:AA,Tabla1[[#This Row],[Cliente]],'[1]Base Instalada'!Z:Z,"MOBILIARIO CLINICO")</f>
        <v>0</v>
      </c>
      <c r="V149" s="29">
        <f>+COUNTIFS('[1]Base Instalada'!AA:AA,Tabla1[[#This Row],[Cliente]],'[1]Base Instalada'!Z:Z,"OTRO")</f>
        <v>0</v>
      </c>
      <c r="W149" s="61" t="str">
        <f t="shared" si="4"/>
        <v>Región Metropolitana</v>
      </c>
      <c r="X149" s="61" t="str">
        <f t="shared" si="5"/>
        <v>Las Condes</v>
      </c>
      <c r="Y149" s="62" t="s">
        <v>333</v>
      </c>
      <c r="Z149" s="33">
        <f>+COUNTIFS('[1]Pipeline TS'!$F:$F,Tabla1[[#This Row],[Cliente]])</f>
        <v>0</v>
      </c>
      <c r="AA149" s="63">
        <f>SUMIFS('[1]Pipeline Esterilización'!M:M,'[1]Pipeline Esterilización'!E:E,Tabla1[[#This Row],[Cliente]],'[1]Pipeline Esterilización'!B:B,"2026",'[1]Pipeline Esterilización'!L:L,"&gt;0")</f>
        <v>0</v>
      </c>
      <c r="AB149" s="33">
        <f>+SUMIFS('[1]Pipeline Endoscopía'!K:K,'[1]Pipeline Endoscopía'!E:E,Tabla1[[#This Row],[Cliente]],'[1]Pipeline Endoscopía'!B:B,"2026",'[1]Pipeline Endoscopía'!J:J,"&gt;0")</f>
        <v>0</v>
      </c>
      <c r="AC149" s="63">
        <f>+SUMIFS('[1]Pipeline Dental'!K:K,'[1]Pipeline Dental'!E:E,Tabla1[[#This Row],[Cliente]],'[1]Pipeline Dental'!B:B,"2026",'[1]Pipeline Dental'!J:J,"&gt;0")</f>
        <v>0</v>
      </c>
      <c r="AD149" s="64">
        <f>+SUMIFS('[1]Pipeline TS'!$AB:$AB,'[1]Pipeline TS'!$F:$F,Tabla1[[#This Row],[Cliente]])</f>
        <v>0</v>
      </c>
      <c r="AE149" s="65">
        <f>+SUM(Tabla1[[#This Row],[Pipeline 2026 $MM ESTERILIZACIÓN]:[Pipeline 2026 $MM TECSERVICE]])</f>
        <v>0</v>
      </c>
      <c r="AF149" s="43">
        <v>-33.422992774730297</v>
      </c>
      <c r="AG149" s="58">
        <v>-70.656587816164802</v>
      </c>
      <c r="AH149" s="57" t="str">
        <f>+IF(Tabla1[[#This Row],['# Contratos Vigentes ]]&gt;0,"SI","NO")</f>
        <v>NO</v>
      </c>
      <c r="AI149" s="66"/>
      <c r="AJ149" s="67">
        <f>+Tabla1[[#This Row],[Ingreso 2025 - 2026]]*Tabla1[[#This Row],[% Costo Serv. Directo]]</f>
        <v>0</v>
      </c>
      <c r="AK149" s="68"/>
      <c r="AL14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4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6190700</v>
      </c>
      <c r="AN149" s="42">
        <f>+Tabla1[[#This Row],[Potencial Equipos]]+Tabla1[[#This Row],[Potencial Pipeline]]</f>
        <v>6190700</v>
      </c>
    </row>
    <row r="150" spans="1:40" ht="15.75" x14ac:dyDescent="0.25">
      <c r="A150" s="47" t="s">
        <v>334</v>
      </c>
      <c r="B150" t="str">
        <f>+VLOOKUP(Tabla1[[#This Row],[Cliente]],'[1]Público Privado'!$A$1:$B$325,2,FALSE)</f>
        <v>Privado</v>
      </c>
      <c r="C150" s="23">
        <f>+SUMIFS('[1]Facturacion a Fecha'!$T:$T,'[1]Facturacion a Fecha'!$AY:$AY,Tabla1[[#This Row],[Cliente]])</f>
        <v>0</v>
      </c>
      <c r="D150" s="24">
        <f>+SUMIFS('[1]Facturacion a Fecha'!$T:$T,'[1]Facturacion a Fecha'!$AY:$AY,Tabla1[[#This Row],[Cliente]],'[1]Facturacion a Fecha'!$AX:$AX,"Correctivo")</f>
        <v>0</v>
      </c>
      <c r="E150" s="25">
        <f>+COUNTIFS('[1]Facturacion a Fecha'!AY:AY,Tabla1[[#This Row],[Cliente]],'[1]Facturacion a Fecha'!AX:AX,"Correctivo")</f>
        <v>0</v>
      </c>
      <c r="F150" s="25">
        <f>+SUMIFS('[1]Facturacion a Fecha'!$T:$T,'[1]Facturacion a Fecha'!$AY:$AY,Tabla1[[#This Row],[Cliente]],'[1]Facturacion a Fecha'!$AX:$AX,"Preventivo")</f>
        <v>0</v>
      </c>
      <c r="G150" s="25">
        <f>+COUNTIFS('[1]Facturacion a Fecha'!AY:AY,Tabla1[[#This Row],[Cliente]],'[1]Facturacion a Fecha'!AX:AX,"Preventivo")</f>
        <v>0</v>
      </c>
      <c r="H150" s="26">
        <f>+Tabla1[[#This Row],['# Preventivo]]+Tabla1[[#This Row],['# Correctivo]]</f>
        <v>0</v>
      </c>
      <c r="I150" s="23">
        <f>+IFERROR(Tabla1[[#This Row],[Ingreso 2025 - 2026 Correctivo]]/Tabla1[[#This Row],[Ingreso 2025 - 2026 Preventivo]],0)</f>
        <v>0</v>
      </c>
      <c r="J150" s="59">
        <f>+IFERROR(Tabla1[[#This Row],['# Correctivo]]/Tabla1[[#This Row],['# Preventivo]],0)</f>
        <v>0</v>
      </c>
      <c r="K150" s="60">
        <f>+IFERROR(Tabla1[[#This Row],[Ingreso 2025 - 2026 Preventivo]]/(Tabla1[[#This Row],[Ingreso 2025 - 2026 Correctivo]]+Tabla1[[#This Row],[Ingreso 2025 - 2026 Preventivo]]),0)</f>
        <v>0</v>
      </c>
      <c r="L150" s="60">
        <f>1-Tabla1[[#This Row],[% Preventivo $]]</f>
        <v>1</v>
      </c>
      <c r="M150" s="45">
        <f>+COUNTIFS('[1]Base Instalada'!AA:AA,Tabla1[[#This Row],[Cliente]])</f>
        <v>47</v>
      </c>
      <c r="N15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0" s="45">
        <f>+COUNTIFS('[1]Base Instalada'!AA:AA,Tabla1[[#This Row],[Cliente]],'[1]Base Instalada'!Z:Z,"ESTERILIZACIÓN")</f>
        <v>2</v>
      </c>
      <c r="P150" s="45">
        <f>+COUNTIFS('[1]Base Instalada'!AA:AA,Tabla1[[#This Row],[Cliente]],'[1]Base Instalada'!Z:Z,"DENTAL")</f>
        <v>45</v>
      </c>
      <c r="Q150" s="45">
        <f>+COUNTIFS('[1]Base Instalada'!AA:AA,Tabla1[[#This Row],[Cliente]],'[1]Base Instalada'!Z:Z,"ENDOSCOPÍA")</f>
        <v>0</v>
      </c>
      <c r="R150" s="45">
        <f>+COUNTIFS('[1]Base Instalada'!AA:AA,Tabla1[[#This Row],[Cliente]],'[1]Base Instalada'!Z:Z,"INCARDIA")</f>
        <v>0</v>
      </c>
      <c r="S150" s="45">
        <f>+COUNTIFS('[1]Base Instalada'!AA:AA,Tabla1[[#This Row],[Cliente]],'[1]Base Instalada'!Z:Z,"MMQ")</f>
        <v>0</v>
      </c>
      <c r="T150" s="45">
        <f>+COUNTIFS('[1]Base Instalada'!AA:AA,Tabla1[[#This Row],[Cliente]],'[1]Base Instalada'!Z:Z,"REAS")</f>
        <v>0</v>
      </c>
      <c r="U150" s="46">
        <f>+COUNTIFS('[1]Base Instalada'!AA:AA,Tabla1[[#This Row],[Cliente]],'[1]Base Instalada'!Z:Z,"MOBILIARIO CLINICO")</f>
        <v>0</v>
      </c>
      <c r="V150" s="29">
        <f>+COUNTIFS('[1]Base Instalada'!AA:AA,Tabla1[[#This Row],[Cliente]],'[1]Base Instalada'!Z:Z,"OTRO")</f>
        <v>0</v>
      </c>
      <c r="W150" s="61" t="str">
        <f t="shared" si="4"/>
        <v>Región Valparaíso</v>
      </c>
      <c r="X150" s="61" t="str">
        <f t="shared" si="5"/>
        <v>Viña del Mar</v>
      </c>
      <c r="Y150" s="62" t="s">
        <v>335</v>
      </c>
      <c r="Z150" s="33">
        <f>+COUNTIFS('[1]Pipeline TS'!$F:$F,Tabla1[[#This Row],[Cliente]])</f>
        <v>0</v>
      </c>
      <c r="AA150" s="63">
        <f>SUMIFS('[1]Pipeline Esterilización'!M:M,'[1]Pipeline Esterilización'!E:E,Tabla1[[#This Row],[Cliente]],'[1]Pipeline Esterilización'!B:B,"2026",'[1]Pipeline Esterilización'!L:L,"&gt;0")</f>
        <v>0</v>
      </c>
      <c r="AB150" s="33">
        <f>+SUMIFS('[1]Pipeline Endoscopía'!K:K,'[1]Pipeline Endoscopía'!E:E,Tabla1[[#This Row],[Cliente]],'[1]Pipeline Endoscopía'!B:B,"2026",'[1]Pipeline Endoscopía'!J:J,"&gt;0")</f>
        <v>0</v>
      </c>
      <c r="AC150" s="63">
        <f>+SUMIFS('[1]Pipeline Dental'!K:K,'[1]Pipeline Dental'!E:E,Tabla1[[#This Row],[Cliente]],'[1]Pipeline Dental'!B:B,"2026",'[1]Pipeline Dental'!J:J,"&gt;0")</f>
        <v>0</v>
      </c>
      <c r="AD150" s="64">
        <f>+SUMIFS('[1]Pipeline TS'!$AB:$AB,'[1]Pipeline TS'!$F:$F,Tabla1[[#This Row],[Cliente]])</f>
        <v>0</v>
      </c>
      <c r="AE150" s="65">
        <f>+SUM(Tabla1[[#This Row],[Pipeline 2026 $MM ESTERILIZACIÓN]:[Pipeline 2026 $MM TECSERVICE]])</f>
        <v>0</v>
      </c>
      <c r="AF150" s="43">
        <v>-33.004273621393402</v>
      </c>
      <c r="AG150" s="58">
        <v>-71.546616818659999</v>
      </c>
      <c r="AH150" s="57" t="str">
        <f>+IF(Tabla1[[#This Row],['# Contratos Vigentes ]]&gt;0,"SI","NO")</f>
        <v>NO</v>
      </c>
      <c r="AI150" s="66"/>
      <c r="AJ150" s="67">
        <f>+Tabla1[[#This Row],[Ingreso 2025 - 2026]]*Tabla1[[#This Row],[% Costo Serv. Directo]]</f>
        <v>0</v>
      </c>
      <c r="AK150" s="68"/>
      <c r="AL15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5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30953500</v>
      </c>
      <c r="AN150" s="42">
        <f>+Tabla1[[#This Row],[Potencial Equipos]]+Tabla1[[#This Row],[Potencial Pipeline]]</f>
        <v>30953500</v>
      </c>
    </row>
    <row r="151" spans="1:40" ht="15.75" x14ac:dyDescent="0.25">
      <c r="A151" s="47" t="s">
        <v>336</v>
      </c>
      <c r="B151" t="str">
        <f>+VLOOKUP(Tabla1[[#This Row],[Cliente]],'[1]Público Privado'!$A$1:$B$325,2,FALSE)</f>
        <v>Público</v>
      </c>
      <c r="C151" s="23">
        <f>+SUMIFS('[1]Facturacion a Fecha'!$T:$T,'[1]Facturacion a Fecha'!$AY:$AY,Tabla1[[#This Row],[Cliente]])</f>
        <v>1974509</v>
      </c>
      <c r="D151" s="24">
        <f>+SUMIFS('[1]Facturacion a Fecha'!$T:$T,'[1]Facturacion a Fecha'!$AY:$AY,Tabla1[[#This Row],[Cliente]],'[1]Facturacion a Fecha'!$AX:$AX,"Correctivo")</f>
        <v>1974509</v>
      </c>
      <c r="E151" s="25">
        <f>+COUNTIFS('[1]Facturacion a Fecha'!AY:AY,Tabla1[[#This Row],[Cliente]],'[1]Facturacion a Fecha'!AX:AX,"Correctivo")</f>
        <v>6</v>
      </c>
      <c r="F151" s="25">
        <f>+SUMIFS('[1]Facturacion a Fecha'!$T:$T,'[1]Facturacion a Fecha'!$AY:$AY,Tabla1[[#This Row],[Cliente]],'[1]Facturacion a Fecha'!$AX:$AX,"Preventivo")</f>
        <v>0</v>
      </c>
      <c r="G151" s="25">
        <f>+COUNTIFS('[1]Facturacion a Fecha'!AY:AY,Tabla1[[#This Row],[Cliente]],'[1]Facturacion a Fecha'!AX:AX,"Preventivo")</f>
        <v>0</v>
      </c>
      <c r="H151" s="26">
        <f>+Tabla1[[#This Row],['# Preventivo]]+Tabla1[[#This Row],['# Correctivo]]</f>
        <v>6</v>
      </c>
      <c r="I151" s="23">
        <f>+IFERROR(Tabla1[[#This Row],[Ingreso 2025 - 2026 Correctivo]]/Tabla1[[#This Row],[Ingreso 2025 - 2026 Preventivo]],0)</f>
        <v>0</v>
      </c>
      <c r="J151" s="59">
        <f>+IFERROR(Tabla1[[#This Row],['# Correctivo]]/Tabla1[[#This Row],['# Preventivo]],0)</f>
        <v>0</v>
      </c>
      <c r="K151" s="60">
        <f>+IFERROR(Tabla1[[#This Row],[Ingreso 2025 - 2026 Preventivo]]/(Tabla1[[#This Row],[Ingreso 2025 - 2026 Correctivo]]+Tabla1[[#This Row],[Ingreso 2025 - 2026 Preventivo]]),0)</f>
        <v>0</v>
      </c>
      <c r="L151" s="60">
        <f>1-Tabla1[[#This Row],[% Preventivo $]]</f>
        <v>1</v>
      </c>
      <c r="M151" s="45">
        <f>+COUNTIFS('[1]Base Instalada'!AA:AA,Tabla1[[#This Row],[Cliente]])</f>
        <v>5</v>
      </c>
      <c r="N15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1" s="45">
        <f>+COUNTIFS('[1]Base Instalada'!AA:AA,Tabla1[[#This Row],[Cliente]],'[1]Base Instalada'!Z:Z,"ESTERILIZACIÓN")</f>
        <v>1</v>
      </c>
      <c r="P151" s="45">
        <f>+COUNTIFS('[1]Base Instalada'!AA:AA,Tabla1[[#This Row],[Cliente]],'[1]Base Instalada'!Z:Z,"DENTAL")</f>
        <v>1</v>
      </c>
      <c r="Q151" s="45">
        <f>+COUNTIFS('[1]Base Instalada'!AA:AA,Tabla1[[#This Row],[Cliente]],'[1]Base Instalada'!Z:Z,"ENDOSCOPÍA")</f>
        <v>0</v>
      </c>
      <c r="R151" s="45">
        <f>+COUNTIFS('[1]Base Instalada'!AA:AA,Tabla1[[#This Row],[Cliente]],'[1]Base Instalada'!Z:Z,"INCARDIA")</f>
        <v>0</v>
      </c>
      <c r="S151" s="45">
        <f>+COUNTIFS('[1]Base Instalada'!AA:AA,Tabla1[[#This Row],[Cliente]],'[1]Base Instalada'!Z:Z,"MMQ")</f>
        <v>0</v>
      </c>
      <c r="T151" s="45">
        <f>+COUNTIFS('[1]Base Instalada'!AA:AA,Tabla1[[#This Row],[Cliente]],'[1]Base Instalada'!Z:Z,"REAS")</f>
        <v>0</v>
      </c>
      <c r="U151" s="46">
        <f>+COUNTIFS('[1]Base Instalada'!AA:AA,Tabla1[[#This Row],[Cliente]],'[1]Base Instalada'!Z:Z,"MOBILIARIO CLINICO")</f>
        <v>3</v>
      </c>
      <c r="V151" s="29">
        <f>+COUNTIFS('[1]Base Instalada'!AA:AA,Tabla1[[#This Row],[Cliente]],'[1]Base Instalada'!Z:Z,"OTRO")</f>
        <v>0</v>
      </c>
      <c r="W151" s="61" t="str">
        <f t="shared" si="4"/>
        <v>Región Ñuble</v>
      </c>
      <c r="X151" s="61" t="str">
        <f t="shared" si="5"/>
        <v>Chillán</v>
      </c>
      <c r="Y151" s="62" t="s">
        <v>337</v>
      </c>
      <c r="Z151" s="33">
        <f>+COUNTIFS('[1]Pipeline TS'!$F:$F,Tabla1[[#This Row],[Cliente]])</f>
        <v>0</v>
      </c>
      <c r="AA151" s="63">
        <f>SUMIFS('[1]Pipeline Esterilización'!M:M,'[1]Pipeline Esterilización'!E:E,Tabla1[[#This Row],[Cliente]],'[1]Pipeline Esterilización'!B:B,"2026",'[1]Pipeline Esterilización'!L:L,"&gt;0")</f>
        <v>0</v>
      </c>
      <c r="AB151" s="33">
        <f>+SUMIFS('[1]Pipeline Endoscopía'!K:K,'[1]Pipeline Endoscopía'!E:E,Tabla1[[#This Row],[Cliente]],'[1]Pipeline Endoscopía'!B:B,"2026",'[1]Pipeline Endoscopía'!J:J,"&gt;0")</f>
        <v>0</v>
      </c>
      <c r="AC151" s="63">
        <f>+SUMIFS('[1]Pipeline Dental'!K:K,'[1]Pipeline Dental'!E:E,Tabla1[[#This Row],[Cliente]],'[1]Pipeline Dental'!B:B,"2026",'[1]Pipeline Dental'!J:J,"&gt;0")</f>
        <v>0</v>
      </c>
      <c r="AD151" s="64">
        <f>+SUMIFS('[1]Pipeline TS'!$AB:$AB,'[1]Pipeline TS'!$F:$F,Tabla1[[#This Row],[Cliente]])</f>
        <v>0</v>
      </c>
      <c r="AE151" s="65">
        <f>+SUM(Tabla1[[#This Row],[Pipeline 2026 $MM ESTERILIZACIÓN]:[Pipeline 2026 $MM TECSERVICE]])</f>
        <v>0</v>
      </c>
      <c r="AF151" s="43">
        <v>-36.603369095348697</v>
      </c>
      <c r="AG151" s="58">
        <v>-72.103295894099602</v>
      </c>
      <c r="AH151" s="57" t="str">
        <f>+IF(Tabla1[[#This Row],['# Contratos Vigentes ]]&gt;0,"SI","NO")</f>
        <v>NO</v>
      </c>
      <c r="AI151" s="66"/>
      <c r="AJ151" s="67">
        <f>+Tabla1[[#This Row],[Ingreso 2025 - 2026]]*Tabla1[[#This Row],[% Costo Serv. Directo]]</f>
        <v>0</v>
      </c>
      <c r="AK151" s="68"/>
      <c r="AL15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5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2596100</v>
      </c>
      <c r="AN151" s="42">
        <f>+Tabla1[[#This Row],[Potencial Equipos]]+Tabla1[[#This Row],[Potencial Pipeline]]</f>
        <v>2596100</v>
      </c>
    </row>
    <row r="152" spans="1:40" ht="15.75" x14ac:dyDescent="0.25">
      <c r="A152" s="47" t="s">
        <v>338</v>
      </c>
      <c r="B152" t="str">
        <f>+VLOOKUP(Tabla1[[#This Row],[Cliente]],'[1]Público Privado'!$A$1:$B$325,2,FALSE)</f>
        <v>Privado</v>
      </c>
      <c r="C152" s="23">
        <f>+SUMIFS('[1]Facturacion a Fecha'!$T:$T,'[1]Facturacion a Fecha'!$AY:$AY,Tabla1[[#This Row],[Cliente]])</f>
        <v>0</v>
      </c>
      <c r="D152" s="24">
        <f>+SUMIFS('[1]Facturacion a Fecha'!$T:$T,'[1]Facturacion a Fecha'!$AY:$AY,Tabla1[[#This Row],[Cliente]],'[1]Facturacion a Fecha'!$AX:$AX,"Correctivo")</f>
        <v>0</v>
      </c>
      <c r="E152" s="25">
        <f>+COUNTIFS('[1]Facturacion a Fecha'!AY:AY,Tabla1[[#This Row],[Cliente]],'[1]Facturacion a Fecha'!AX:AX,"Correctivo")</f>
        <v>0</v>
      </c>
      <c r="F152" s="25">
        <f>+SUMIFS('[1]Facturacion a Fecha'!$T:$T,'[1]Facturacion a Fecha'!$AY:$AY,Tabla1[[#This Row],[Cliente]],'[1]Facturacion a Fecha'!$AX:$AX,"Preventivo")</f>
        <v>0</v>
      </c>
      <c r="G152" s="25">
        <f>+COUNTIFS('[1]Facturacion a Fecha'!AY:AY,Tabla1[[#This Row],[Cliente]],'[1]Facturacion a Fecha'!AX:AX,"Preventivo")</f>
        <v>0</v>
      </c>
      <c r="H152" s="26">
        <f>+Tabla1[[#This Row],['# Preventivo]]+Tabla1[[#This Row],['# Correctivo]]</f>
        <v>0</v>
      </c>
      <c r="I152" s="23">
        <f>+IFERROR(Tabla1[[#This Row],[Ingreso 2025 - 2026 Correctivo]]/Tabla1[[#This Row],[Ingreso 2025 - 2026 Preventivo]],0)</f>
        <v>0</v>
      </c>
      <c r="J152" s="59">
        <f>+IFERROR(Tabla1[[#This Row],['# Correctivo]]/Tabla1[[#This Row],['# Preventivo]],0)</f>
        <v>0</v>
      </c>
      <c r="K152" s="60">
        <f>+IFERROR(Tabla1[[#This Row],[Ingreso 2025 - 2026 Preventivo]]/(Tabla1[[#This Row],[Ingreso 2025 - 2026 Correctivo]]+Tabla1[[#This Row],[Ingreso 2025 - 2026 Preventivo]]),0)</f>
        <v>0</v>
      </c>
      <c r="L152" s="60">
        <f>1-Tabla1[[#This Row],[% Preventivo $]]</f>
        <v>1</v>
      </c>
      <c r="M152" s="45">
        <f>+COUNTIFS('[1]Base Instalada'!AA:AA,Tabla1[[#This Row],[Cliente]])</f>
        <v>5</v>
      </c>
      <c r="N15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2" s="45">
        <f>+COUNTIFS('[1]Base Instalada'!AA:AA,Tabla1[[#This Row],[Cliente]],'[1]Base Instalada'!Z:Z,"ESTERILIZACIÓN")</f>
        <v>2</v>
      </c>
      <c r="P152" s="45">
        <f>+COUNTIFS('[1]Base Instalada'!AA:AA,Tabla1[[#This Row],[Cliente]],'[1]Base Instalada'!Z:Z,"DENTAL")</f>
        <v>3</v>
      </c>
      <c r="Q152" s="45">
        <f>+COUNTIFS('[1]Base Instalada'!AA:AA,Tabla1[[#This Row],[Cliente]],'[1]Base Instalada'!Z:Z,"ENDOSCOPÍA")</f>
        <v>0</v>
      </c>
      <c r="R152" s="45">
        <f>+COUNTIFS('[1]Base Instalada'!AA:AA,Tabla1[[#This Row],[Cliente]],'[1]Base Instalada'!Z:Z,"INCARDIA")</f>
        <v>0</v>
      </c>
      <c r="S152" s="45">
        <f>+COUNTIFS('[1]Base Instalada'!AA:AA,Tabla1[[#This Row],[Cliente]],'[1]Base Instalada'!Z:Z,"MMQ")</f>
        <v>0</v>
      </c>
      <c r="T152" s="45">
        <f>+COUNTIFS('[1]Base Instalada'!AA:AA,Tabla1[[#This Row],[Cliente]],'[1]Base Instalada'!Z:Z,"REAS")</f>
        <v>0</v>
      </c>
      <c r="U152" s="46">
        <f>+COUNTIFS('[1]Base Instalada'!AA:AA,Tabla1[[#This Row],[Cliente]],'[1]Base Instalada'!Z:Z,"MOBILIARIO CLINICO")</f>
        <v>0</v>
      </c>
      <c r="V152" s="29">
        <f>+COUNTIFS('[1]Base Instalada'!AA:AA,Tabla1[[#This Row],[Cliente]],'[1]Base Instalada'!Z:Z,"OTRO")</f>
        <v>0</v>
      </c>
      <c r="W152" s="61" t="str">
        <f t="shared" ref="W152:W215" si="6">TRIM(RIGHT(Y152,LEN(Y152)-FIND("@",SUBSTITUTE(Y152,",","@",LEN(Y152)-LEN(SUBSTITUTE(Y152,",",""))))))</f>
        <v>Región Metropolitana</v>
      </c>
      <c r="X152" s="61" t="str">
        <f t="shared" ref="X152:X215" si="7">TRIM(MID(Y152,FIND("@",SUBSTITUTE(Y152,",","@",LEN(Y152)-LEN(SUBSTITUTE(Y152,",",""))-1))+1,FIND("@",SUBSTITUTE(Y152,",","@",LEN(Y152)-LEN(SUBSTITUTE(Y152,",",""))))-FIND("@",SUBSTITUTE(Y152,",","@",LEN(Y152)-LEN(SUBSTITUTE(Y152,",",""))-1))-1))</f>
        <v>Providencia</v>
      </c>
      <c r="Y152" s="62" t="s">
        <v>339</v>
      </c>
      <c r="Z152" s="33">
        <f>+COUNTIFS('[1]Pipeline TS'!$F:$F,Tabla1[[#This Row],[Cliente]])</f>
        <v>0</v>
      </c>
      <c r="AA152" s="63">
        <f>SUMIFS('[1]Pipeline Esterilización'!M:M,'[1]Pipeline Esterilización'!E:E,Tabla1[[#This Row],[Cliente]],'[1]Pipeline Esterilización'!B:B,"2026",'[1]Pipeline Esterilización'!L:L,"&gt;0")</f>
        <v>0</v>
      </c>
      <c r="AB152" s="33">
        <f>+SUMIFS('[1]Pipeline Endoscopía'!K:K,'[1]Pipeline Endoscopía'!E:E,Tabla1[[#This Row],[Cliente]],'[1]Pipeline Endoscopía'!B:B,"2026",'[1]Pipeline Endoscopía'!J:J,"&gt;0")</f>
        <v>0</v>
      </c>
      <c r="AC152" s="63">
        <f>+SUMIFS('[1]Pipeline Dental'!K:K,'[1]Pipeline Dental'!E:E,Tabla1[[#This Row],[Cliente]],'[1]Pipeline Dental'!B:B,"2026",'[1]Pipeline Dental'!J:J,"&gt;0")</f>
        <v>0</v>
      </c>
      <c r="AD152" s="64">
        <f>+SUMIFS('[1]Pipeline TS'!$AB:$AB,'[1]Pipeline TS'!$F:$F,Tabla1[[#This Row],[Cliente]])</f>
        <v>0</v>
      </c>
      <c r="AE152" s="65">
        <f>+SUM(Tabla1[[#This Row],[Pipeline 2026 $MM ESTERILIZACIÓN]:[Pipeline 2026 $MM TECSERVICE]])</f>
        <v>0</v>
      </c>
      <c r="AF152" s="43">
        <v>-33.419275079991202</v>
      </c>
      <c r="AG152" s="58">
        <v>-70.600739718020904</v>
      </c>
      <c r="AH152" s="57" t="str">
        <f>+IF(Tabla1[[#This Row],['# Contratos Vigentes ]]&gt;0,"SI","NO")</f>
        <v>NO</v>
      </c>
      <c r="AI152" s="66"/>
      <c r="AJ152" s="67">
        <f>+Tabla1[[#This Row],[Ingreso 2025 - 2026]]*Tabla1[[#This Row],[% Costo Serv. Directo]]</f>
        <v>0</v>
      </c>
      <c r="AK152" s="68"/>
      <c r="AL15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5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5791300</v>
      </c>
      <c r="AN152" s="42">
        <f>+Tabla1[[#This Row],[Potencial Equipos]]+Tabla1[[#This Row],[Potencial Pipeline]]</f>
        <v>5791300</v>
      </c>
    </row>
    <row r="153" spans="1:40" ht="15.75" x14ac:dyDescent="0.25">
      <c r="A153" s="47" t="s">
        <v>340</v>
      </c>
      <c r="B153" t="str">
        <f>+VLOOKUP(Tabla1[[#This Row],[Cliente]],'[1]Público Privado'!$A$1:$B$325,2,FALSE)</f>
        <v>Público</v>
      </c>
      <c r="C153" s="23">
        <f>+SUMIFS('[1]Facturacion a Fecha'!$T:$T,'[1]Facturacion a Fecha'!$AY:$AY,Tabla1[[#This Row],[Cliente]])</f>
        <v>0</v>
      </c>
      <c r="D153" s="24">
        <f>+SUMIFS('[1]Facturacion a Fecha'!$T:$T,'[1]Facturacion a Fecha'!$AY:$AY,Tabla1[[#This Row],[Cliente]],'[1]Facturacion a Fecha'!$AX:$AX,"Correctivo")</f>
        <v>0</v>
      </c>
      <c r="E153" s="25">
        <f>+COUNTIFS('[1]Facturacion a Fecha'!AY:AY,Tabla1[[#This Row],[Cliente]],'[1]Facturacion a Fecha'!AX:AX,"Correctivo")</f>
        <v>0</v>
      </c>
      <c r="F153" s="25">
        <f>+SUMIFS('[1]Facturacion a Fecha'!$T:$T,'[1]Facturacion a Fecha'!$AY:$AY,Tabla1[[#This Row],[Cliente]],'[1]Facturacion a Fecha'!$AX:$AX,"Preventivo")</f>
        <v>0</v>
      </c>
      <c r="G153" s="25">
        <f>+COUNTIFS('[1]Facturacion a Fecha'!AY:AY,Tabla1[[#This Row],[Cliente]],'[1]Facturacion a Fecha'!AX:AX,"Preventivo")</f>
        <v>0</v>
      </c>
      <c r="H153" s="26">
        <f>+Tabla1[[#This Row],['# Preventivo]]+Tabla1[[#This Row],['# Correctivo]]</f>
        <v>0</v>
      </c>
      <c r="I153" s="23">
        <f>+IFERROR(Tabla1[[#This Row],[Ingreso 2025 - 2026 Correctivo]]/Tabla1[[#This Row],[Ingreso 2025 - 2026 Preventivo]],0)</f>
        <v>0</v>
      </c>
      <c r="J153" s="59">
        <f>+IFERROR(Tabla1[[#This Row],['# Correctivo]]/Tabla1[[#This Row],['# Preventivo]],0)</f>
        <v>0</v>
      </c>
      <c r="K153" s="60">
        <f>+IFERROR(Tabla1[[#This Row],[Ingreso 2025 - 2026 Preventivo]]/(Tabla1[[#This Row],[Ingreso 2025 - 2026 Correctivo]]+Tabla1[[#This Row],[Ingreso 2025 - 2026 Preventivo]]),0)</f>
        <v>0</v>
      </c>
      <c r="L153" s="60">
        <f>1-Tabla1[[#This Row],[% Preventivo $]]</f>
        <v>1</v>
      </c>
      <c r="M153" s="45">
        <f>+COUNTIFS('[1]Base Instalada'!AA:AA,Tabla1[[#This Row],[Cliente]])</f>
        <v>6</v>
      </c>
      <c r="N15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3" s="45">
        <f>+COUNTIFS('[1]Base Instalada'!AA:AA,Tabla1[[#This Row],[Cliente]],'[1]Base Instalada'!Z:Z,"ESTERILIZACIÓN")</f>
        <v>1</v>
      </c>
      <c r="P153" s="45">
        <f>+COUNTIFS('[1]Base Instalada'!AA:AA,Tabla1[[#This Row],[Cliente]],'[1]Base Instalada'!Z:Z,"DENTAL")</f>
        <v>5</v>
      </c>
      <c r="Q153" s="45">
        <f>+COUNTIFS('[1]Base Instalada'!AA:AA,Tabla1[[#This Row],[Cliente]],'[1]Base Instalada'!Z:Z,"ENDOSCOPÍA")</f>
        <v>0</v>
      </c>
      <c r="R153" s="45">
        <f>+COUNTIFS('[1]Base Instalada'!AA:AA,Tabla1[[#This Row],[Cliente]],'[1]Base Instalada'!Z:Z,"INCARDIA")</f>
        <v>0</v>
      </c>
      <c r="S153" s="45">
        <f>+COUNTIFS('[1]Base Instalada'!AA:AA,Tabla1[[#This Row],[Cliente]],'[1]Base Instalada'!Z:Z,"MMQ")</f>
        <v>0</v>
      </c>
      <c r="T153" s="45">
        <f>+COUNTIFS('[1]Base Instalada'!AA:AA,Tabla1[[#This Row],[Cliente]],'[1]Base Instalada'!Z:Z,"REAS")</f>
        <v>0</v>
      </c>
      <c r="U153" s="46">
        <f>+COUNTIFS('[1]Base Instalada'!AA:AA,Tabla1[[#This Row],[Cliente]],'[1]Base Instalada'!Z:Z,"MOBILIARIO CLINICO")</f>
        <v>0</v>
      </c>
      <c r="V153" s="29">
        <f>+COUNTIFS('[1]Base Instalada'!AA:AA,Tabla1[[#This Row],[Cliente]],'[1]Base Instalada'!Z:Z,"OTRO")</f>
        <v>0</v>
      </c>
      <c r="W153" s="61" t="str">
        <f t="shared" si="6"/>
        <v>Región Metropolitana</v>
      </c>
      <c r="X153" s="61" t="str">
        <f t="shared" si="7"/>
        <v>Ñuñoa</v>
      </c>
      <c r="Y153" s="62" t="s">
        <v>341</v>
      </c>
      <c r="Z153" s="33">
        <f>+COUNTIFS('[1]Pipeline TS'!$F:$F,Tabla1[[#This Row],[Cliente]])</f>
        <v>0</v>
      </c>
      <c r="AA153" s="63">
        <f>SUMIFS('[1]Pipeline Esterilización'!M:M,'[1]Pipeline Esterilización'!E:E,Tabla1[[#This Row],[Cliente]],'[1]Pipeline Esterilización'!B:B,"2026",'[1]Pipeline Esterilización'!L:L,"&gt;0")</f>
        <v>0</v>
      </c>
      <c r="AB153" s="33">
        <f>+SUMIFS('[1]Pipeline Endoscopía'!K:K,'[1]Pipeline Endoscopía'!E:E,Tabla1[[#This Row],[Cliente]],'[1]Pipeline Endoscopía'!B:B,"2026",'[1]Pipeline Endoscopía'!J:J,"&gt;0")</f>
        <v>0</v>
      </c>
      <c r="AC153" s="63">
        <f>+SUMIFS('[1]Pipeline Dental'!K:K,'[1]Pipeline Dental'!E:E,Tabla1[[#This Row],[Cliente]],'[1]Pipeline Dental'!B:B,"2026",'[1]Pipeline Dental'!J:J,"&gt;0")</f>
        <v>0</v>
      </c>
      <c r="AD153" s="64">
        <f>+SUMIFS('[1]Pipeline TS'!$AB:$AB,'[1]Pipeline TS'!$F:$F,Tabla1[[#This Row],[Cliente]])</f>
        <v>0</v>
      </c>
      <c r="AE153" s="65">
        <f>+SUM(Tabla1[[#This Row],[Pipeline 2026 $MM ESTERILIZACIÓN]:[Pipeline 2026 $MM TECSERVICE]])</f>
        <v>0</v>
      </c>
      <c r="AF153" s="43">
        <v>-33.463276410871003</v>
      </c>
      <c r="AG153" s="58">
        <v>-70.616091875688895</v>
      </c>
      <c r="AH153" s="57" t="str">
        <f>+IF(Tabla1[[#This Row],['# Contratos Vigentes ]]&gt;0,"SI","NO")</f>
        <v>NO</v>
      </c>
      <c r="AI153" s="66"/>
      <c r="AJ153" s="67">
        <f>+Tabla1[[#This Row],[Ingreso 2025 - 2026]]*Tabla1[[#This Row],[% Costo Serv. Directo]]</f>
        <v>0</v>
      </c>
      <c r="AK153" s="68"/>
      <c r="AL15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5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4992500</v>
      </c>
      <c r="AN153" s="42">
        <f>+Tabla1[[#This Row],[Potencial Equipos]]+Tabla1[[#This Row],[Potencial Pipeline]]</f>
        <v>4992500</v>
      </c>
    </row>
    <row r="154" spans="1:40" ht="15.75" x14ac:dyDescent="0.25">
      <c r="A154" s="47" t="s">
        <v>342</v>
      </c>
      <c r="B154" t="str">
        <f>+VLOOKUP(Tabla1[[#This Row],[Cliente]],'[1]Público Privado'!$A$1:$B$325,2,FALSE)</f>
        <v>Público</v>
      </c>
      <c r="C154" s="23">
        <f>+SUMIFS('[1]Facturacion a Fecha'!$T:$T,'[1]Facturacion a Fecha'!$AY:$AY,Tabla1[[#This Row],[Cliente]])</f>
        <v>0</v>
      </c>
      <c r="D154" s="24">
        <f>+SUMIFS('[1]Facturacion a Fecha'!$T:$T,'[1]Facturacion a Fecha'!$AY:$AY,Tabla1[[#This Row],[Cliente]],'[1]Facturacion a Fecha'!$AX:$AX,"Correctivo")</f>
        <v>0</v>
      </c>
      <c r="E154" s="25">
        <f>+COUNTIFS('[1]Facturacion a Fecha'!AY:AY,Tabla1[[#This Row],[Cliente]],'[1]Facturacion a Fecha'!AX:AX,"Correctivo")</f>
        <v>0</v>
      </c>
      <c r="F154" s="25">
        <f>+SUMIFS('[1]Facturacion a Fecha'!$T:$T,'[1]Facturacion a Fecha'!$AY:$AY,Tabla1[[#This Row],[Cliente]],'[1]Facturacion a Fecha'!$AX:$AX,"Preventivo")</f>
        <v>0</v>
      </c>
      <c r="G154" s="25">
        <f>+COUNTIFS('[1]Facturacion a Fecha'!AY:AY,Tabla1[[#This Row],[Cliente]],'[1]Facturacion a Fecha'!AX:AX,"Preventivo")</f>
        <v>0</v>
      </c>
      <c r="H154" s="26">
        <f>+Tabla1[[#This Row],['# Preventivo]]+Tabla1[[#This Row],['# Correctivo]]</f>
        <v>0</v>
      </c>
      <c r="I154" s="23">
        <f>+IFERROR(Tabla1[[#This Row],[Ingreso 2025 - 2026 Correctivo]]/Tabla1[[#This Row],[Ingreso 2025 - 2026 Preventivo]],0)</f>
        <v>0</v>
      </c>
      <c r="J154" s="59">
        <f>+IFERROR(Tabla1[[#This Row],['# Correctivo]]/Tabla1[[#This Row],['# Preventivo]],0)</f>
        <v>0</v>
      </c>
      <c r="K154" s="60">
        <f>+IFERROR(Tabla1[[#This Row],[Ingreso 2025 - 2026 Preventivo]]/(Tabla1[[#This Row],[Ingreso 2025 - 2026 Correctivo]]+Tabla1[[#This Row],[Ingreso 2025 - 2026 Preventivo]]),0)</f>
        <v>0</v>
      </c>
      <c r="L154" s="60">
        <f>1-Tabla1[[#This Row],[% Preventivo $]]</f>
        <v>1</v>
      </c>
      <c r="M154" s="45">
        <f>+COUNTIFS('[1]Base Instalada'!AA:AA,Tabla1[[#This Row],[Cliente]])</f>
        <v>5</v>
      </c>
      <c r="N15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4" s="45">
        <f>+COUNTIFS('[1]Base Instalada'!AA:AA,Tabla1[[#This Row],[Cliente]],'[1]Base Instalada'!Z:Z,"ESTERILIZACIÓN")</f>
        <v>3</v>
      </c>
      <c r="P154" s="45">
        <f>+COUNTIFS('[1]Base Instalada'!AA:AA,Tabla1[[#This Row],[Cliente]],'[1]Base Instalada'!Z:Z,"DENTAL")</f>
        <v>2</v>
      </c>
      <c r="Q154" s="45">
        <f>+COUNTIFS('[1]Base Instalada'!AA:AA,Tabla1[[#This Row],[Cliente]],'[1]Base Instalada'!Z:Z,"ENDOSCOPÍA")</f>
        <v>0</v>
      </c>
      <c r="R154" s="45">
        <f>+COUNTIFS('[1]Base Instalada'!AA:AA,Tabla1[[#This Row],[Cliente]],'[1]Base Instalada'!Z:Z,"INCARDIA")</f>
        <v>0</v>
      </c>
      <c r="S154" s="45">
        <f>+COUNTIFS('[1]Base Instalada'!AA:AA,Tabla1[[#This Row],[Cliente]],'[1]Base Instalada'!Z:Z,"MMQ")</f>
        <v>0</v>
      </c>
      <c r="T154" s="45">
        <f>+COUNTIFS('[1]Base Instalada'!AA:AA,Tabla1[[#This Row],[Cliente]],'[1]Base Instalada'!Z:Z,"REAS")</f>
        <v>0</v>
      </c>
      <c r="U154" s="46">
        <f>+COUNTIFS('[1]Base Instalada'!AA:AA,Tabla1[[#This Row],[Cliente]],'[1]Base Instalada'!Z:Z,"MOBILIARIO CLINICO")</f>
        <v>0</v>
      </c>
      <c r="V154" s="29">
        <f>+COUNTIFS('[1]Base Instalada'!AA:AA,Tabla1[[#This Row],[Cliente]],'[1]Base Instalada'!Z:Z,"OTRO")</f>
        <v>0</v>
      </c>
      <c r="W154" s="61" t="str">
        <f t="shared" si="6"/>
        <v>Región Bío Bío</v>
      </c>
      <c r="X154" s="61" t="str">
        <f t="shared" si="7"/>
        <v>Tomé</v>
      </c>
      <c r="Y154" s="62" t="s">
        <v>343</v>
      </c>
      <c r="Z154" s="33">
        <f>+COUNTIFS('[1]Pipeline TS'!$F:$F,Tabla1[[#This Row],[Cliente]])</f>
        <v>0</v>
      </c>
      <c r="AA154" s="63">
        <f>SUMIFS('[1]Pipeline Esterilización'!M:M,'[1]Pipeline Esterilización'!E:E,Tabla1[[#This Row],[Cliente]],'[1]Pipeline Esterilización'!B:B,"2026",'[1]Pipeline Esterilización'!L:L,"&gt;0")</f>
        <v>59000000</v>
      </c>
      <c r="AB154" s="33">
        <f>+SUMIFS('[1]Pipeline Endoscopía'!K:K,'[1]Pipeline Endoscopía'!E:E,Tabla1[[#This Row],[Cliente]],'[1]Pipeline Endoscopía'!B:B,"2026",'[1]Pipeline Endoscopía'!J:J,"&gt;0")</f>
        <v>0</v>
      </c>
      <c r="AC154" s="63">
        <f>+SUMIFS('[1]Pipeline Dental'!K:K,'[1]Pipeline Dental'!E:E,Tabla1[[#This Row],[Cliente]],'[1]Pipeline Dental'!B:B,"2026",'[1]Pipeline Dental'!J:J,"&gt;0")</f>
        <v>0</v>
      </c>
      <c r="AD154" s="64">
        <f>+SUMIFS('[1]Pipeline TS'!$AB:$AB,'[1]Pipeline TS'!$F:$F,Tabla1[[#This Row],[Cliente]])</f>
        <v>0</v>
      </c>
      <c r="AE154" s="65">
        <f>+SUM(Tabla1[[#This Row],[Pipeline 2026 $MM ESTERILIZACIÓN]:[Pipeline 2026 $MM TECSERVICE]])</f>
        <v>59000000</v>
      </c>
      <c r="AF154" s="43">
        <v>-36.613169183194401</v>
      </c>
      <c r="AG154" s="58">
        <v>-72.954622260167</v>
      </c>
      <c r="AH154" s="57" t="str">
        <f>+IF(Tabla1[[#This Row],['# Contratos Vigentes ]]&gt;0,"SI","NO")</f>
        <v>NO</v>
      </c>
      <c r="AI154" s="66"/>
      <c r="AJ154" s="67">
        <f>+Tabla1[[#This Row],[Ingreso 2025 - 2026]]*Tabla1[[#This Row],[% Costo Serv. Directo]]</f>
        <v>0</v>
      </c>
      <c r="AK154" s="68"/>
      <c r="AL15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5900000</v>
      </c>
      <c r="AM15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7189200</v>
      </c>
      <c r="AN154" s="42">
        <f>+Tabla1[[#This Row],[Potencial Equipos]]+Tabla1[[#This Row],[Potencial Pipeline]]</f>
        <v>13089200</v>
      </c>
    </row>
    <row r="155" spans="1:40" ht="15.75" x14ac:dyDescent="0.25">
      <c r="A155" s="47" t="s">
        <v>344</v>
      </c>
      <c r="B155" t="str">
        <f>+VLOOKUP(Tabla1[[#This Row],[Cliente]],'[1]Público Privado'!$A$1:$B$325,2,FALSE)</f>
        <v>Público</v>
      </c>
      <c r="C155" s="23">
        <f>+SUMIFS('[1]Facturacion a Fecha'!$T:$T,'[1]Facturacion a Fecha'!$AY:$AY,Tabla1[[#This Row],[Cliente]])</f>
        <v>0</v>
      </c>
      <c r="D155" s="24">
        <f>+SUMIFS('[1]Facturacion a Fecha'!$T:$T,'[1]Facturacion a Fecha'!$AY:$AY,Tabla1[[#This Row],[Cliente]],'[1]Facturacion a Fecha'!$AX:$AX,"Correctivo")</f>
        <v>0</v>
      </c>
      <c r="E155" s="25">
        <f>+COUNTIFS('[1]Facturacion a Fecha'!AY:AY,Tabla1[[#This Row],[Cliente]],'[1]Facturacion a Fecha'!AX:AX,"Correctivo")</f>
        <v>0</v>
      </c>
      <c r="F155" s="25">
        <f>+SUMIFS('[1]Facturacion a Fecha'!$T:$T,'[1]Facturacion a Fecha'!$AY:$AY,Tabla1[[#This Row],[Cliente]],'[1]Facturacion a Fecha'!$AX:$AX,"Preventivo")</f>
        <v>0</v>
      </c>
      <c r="G155" s="25">
        <f>+COUNTIFS('[1]Facturacion a Fecha'!AY:AY,Tabla1[[#This Row],[Cliente]],'[1]Facturacion a Fecha'!AX:AX,"Preventivo")</f>
        <v>0</v>
      </c>
      <c r="H155" s="26">
        <f>+Tabla1[[#This Row],['# Preventivo]]+Tabla1[[#This Row],['# Correctivo]]</f>
        <v>0</v>
      </c>
      <c r="I155" s="23">
        <f>+IFERROR(Tabla1[[#This Row],[Ingreso 2025 - 2026 Correctivo]]/Tabla1[[#This Row],[Ingreso 2025 - 2026 Preventivo]],0)</f>
        <v>0</v>
      </c>
      <c r="J155" s="59">
        <f>+IFERROR(Tabla1[[#This Row],['# Correctivo]]/Tabla1[[#This Row],['# Preventivo]],0)</f>
        <v>0</v>
      </c>
      <c r="K155" s="60">
        <f>+IFERROR(Tabla1[[#This Row],[Ingreso 2025 - 2026 Preventivo]]/(Tabla1[[#This Row],[Ingreso 2025 - 2026 Correctivo]]+Tabla1[[#This Row],[Ingreso 2025 - 2026 Preventivo]]),0)</f>
        <v>0</v>
      </c>
      <c r="L155" s="60">
        <f>1-Tabla1[[#This Row],[% Preventivo $]]</f>
        <v>1</v>
      </c>
      <c r="M155" s="45">
        <f>+COUNTIFS('[1]Base Instalada'!AA:AA,Tabla1[[#This Row],[Cliente]])</f>
        <v>5</v>
      </c>
      <c r="N15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5" s="45">
        <f>+COUNTIFS('[1]Base Instalada'!AA:AA,Tabla1[[#This Row],[Cliente]],'[1]Base Instalada'!Z:Z,"ESTERILIZACIÓN")</f>
        <v>5</v>
      </c>
      <c r="P155" s="45">
        <f>+COUNTIFS('[1]Base Instalada'!AA:AA,Tabla1[[#This Row],[Cliente]],'[1]Base Instalada'!Z:Z,"DENTAL")</f>
        <v>0</v>
      </c>
      <c r="Q155" s="45">
        <f>+COUNTIFS('[1]Base Instalada'!AA:AA,Tabla1[[#This Row],[Cliente]],'[1]Base Instalada'!Z:Z,"ENDOSCOPÍA")</f>
        <v>0</v>
      </c>
      <c r="R155" s="45">
        <f>+COUNTIFS('[1]Base Instalada'!AA:AA,Tabla1[[#This Row],[Cliente]],'[1]Base Instalada'!Z:Z,"INCARDIA")</f>
        <v>0</v>
      </c>
      <c r="S155" s="45">
        <f>+COUNTIFS('[1]Base Instalada'!AA:AA,Tabla1[[#This Row],[Cliente]],'[1]Base Instalada'!Z:Z,"MMQ")</f>
        <v>0</v>
      </c>
      <c r="T155" s="45">
        <f>+COUNTIFS('[1]Base Instalada'!AA:AA,Tabla1[[#This Row],[Cliente]],'[1]Base Instalada'!Z:Z,"REAS")</f>
        <v>0</v>
      </c>
      <c r="U155" s="46">
        <f>+COUNTIFS('[1]Base Instalada'!AA:AA,Tabla1[[#This Row],[Cliente]],'[1]Base Instalada'!Z:Z,"MOBILIARIO CLINICO")</f>
        <v>0</v>
      </c>
      <c r="V155" s="29">
        <f>+COUNTIFS('[1]Base Instalada'!AA:AA,Tabla1[[#This Row],[Cliente]],'[1]Base Instalada'!Z:Z,"OTRO")</f>
        <v>0</v>
      </c>
      <c r="W155" s="61" t="str">
        <f t="shared" si="6"/>
        <v>Región Araucanía</v>
      </c>
      <c r="X155" s="61" t="str">
        <f t="shared" si="7"/>
        <v>Temuco</v>
      </c>
      <c r="Y155" s="62" t="s">
        <v>345</v>
      </c>
      <c r="Z155" s="33">
        <f>+COUNTIFS('[1]Pipeline TS'!$F:$F,Tabla1[[#This Row],[Cliente]])</f>
        <v>0</v>
      </c>
      <c r="AA155" s="63">
        <f>SUMIFS('[1]Pipeline Esterilización'!M:M,'[1]Pipeline Esterilización'!E:E,Tabla1[[#This Row],[Cliente]],'[1]Pipeline Esterilización'!B:B,"2026",'[1]Pipeline Esterilización'!L:L,"&gt;0")</f>
        <v>0</v>
      </c>
      <c r="AB155" s="33">
        <f>+SUMIFS('[1]Pipeline Endoscopía'!K:K,'[1]Pipeline Endoscopía'!E:E,Tabla1[[#This Row],[Cliente]],'[1]Pipeline Endoscopía'!B:B,"2026",'[1]Pipeline Endoscopía'!J:J,"&gt;0")</f>
        <v>0</v>
      </c>
      <c r="AC155" s="63">
        <f>+SUMIFS('[1]Pipeline Dental'!K:K,'[1]Pipeline Dental'!E:E,Tabla1[[#This Row],[Cliente]],'[1]Pipeline Dental'!B:B,"2026",'[1]Pipeline Dental'!J:J,"&gt;0")</f>
        <v>0</v>
      </c>
      <c r="AD155" s="64">
        <f>+SUMIFS('[1]Pipeline TS'!$AB:$AB,'[1]Pipeline TS'!$F:$F,Tabla1[[#This Row],[Cliente]])</f>
        <v>0</v>
      </c>
      <c r="AE155" s="65">
        <f>+SUM(Tabla1[[#This Row],[Pipeline 2026 $MM ESTERILIZACIÓN]:[Pipeline 2026 $MM TECSERVICE]])</f>
        <v>0</v>
      </c>
      <c r="AF155" s="43">
        <v>-38.736485575910301</v>
      </c>
      <c r="AG155" s="58">
        <v>-72.590032015861297</v>
      </c>
      <c r="AH155" s="57" t="str">
        <f>+IF(Tabla1[[#This Row],['# Contratos Vigentes ]]&gt;0,"SI","NO")</f>
        <v>NO</v>
      </c>
      <c r="AI155" s="66"/>
      <c r="AJ155" s="67">
        <f>+Tabla1[[#This Row],[Ingreso 2025 - 2026]]*Tabla1[[#This Row],[% Costo Serv. Directo]]</f>
        <v>0</v>
      </c>
      <c r="AK155" s="68"/>
      <c r="AL15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5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9985000</v>
      </c>
      <c r="AN155" s="42">
        <f>+Tabla1[[#This Row],[Potencial Equipos]]+Tabla1[[#This Row],[Potencial Pipeline]]</f>
        <v>9985000</v>
      </c>
    </row>
    <row r="156" spans="1:40" ht="15.75" x14ac:dyDescent="0.25">
      <c r="A156" s="47" t="s">
        <v>346</v>
      </c>
      <c r="B156" t="str">
        <f>+VLOOKUP(Tabla1[[#This Row],[Cliente]],'[1]Público Privado'!$A$1:$B$325,2,FALSE)</f>
        <v>Privado</v>
      </c>
      <c r="C156" s="23">
        <f>+SUMIFS('[1]Facturacion a Fecha'!$T:$T,'[1]Facturacion a Fecha'!$AY:$AY,Tabla1[[#This Row],[Cliente]])</f>
        <v>0</v>
      </c>
      <c r="D156" s="24">
        <f>+SUMIFS('[1]Facturacion a Fecha'!$T:$T,'[1]Facturacion a Fecha'!$AY:$AY,Tabla1[[#This Row],[Cliente]],'[1]Facturacion a Fecha'!$AX:$AX,"Correctivo")</f>
        <v>0</v>
      </c>
      <c r="E156" s="25">
        <f>+COUNTIFS('[1]Facturacion a Fecha'!AY:AY,Tabla1[[#This Row],[Cliente]],'[1]Facturacion a Fecha'!AX:AX,"Correctivo")</f>
        <v>0</v>
      </c>
      <c r="F156" s="25">
        <f>+SUMIFS('[1]Facturacion a Fecha'!$T:$T,'[1]Facturacion a Fecha'!$AY:$AY,Tabla1[[#This Row],[Cliente]],'[1]Facturacion a Fecha'!$AX:$AX,"Preventivo")</f>
        <v>0</v>
      </c>
      <c r="G156" s="25">
        <f>+COUNTIFS('[1]Facturacion a Fecha'!AY:AY,Tabla1[[#This Row],[Cliente]],'[1]Facturacion a Fecha'!AX:AX,"Preventivo")</f>
        <v>0</v>
      </c>
      <c r="H156" s="26">
        <f>+Tabla1[[#This Row],['# Preventivo]]+Tabla1[[#This Row],['# Correctivo]]</f>
        <v>0</v>
      </c>
      <c r="I156" s="23">
        <f>+IFERROR(Tabla1[[#This Row],[Ingreso 2025 - 2026 Correctivo]]/Tabla1[[#This Row],[Ingreso 2025 - 2026 Preventivo]],0)</f>
        <v>0</v>
      </c>
      <c r="J156" s="59">
        <f>+IFERROR(Tabla1[[#This Row],['# Correctivo]]/Tabla1[[#This Row],['# Preventivo]],0)</f>
        <v>0</v>
      </c>
      <c r="K156" s="60">
        <f>+IFERROR(Tabla1[[#This Row],[Ingreso 2025 - 2026 Preventivo]]/(Tabla1[[#This Row],[Ingreso 2025 - 2026 Correctivo]]+Tabla1[[#This Row],[Ingreso 2025 - 2026 Preventivo]]),0)</f>
        <v>0</v>
      </c>
      <c r="L156" s="60">
        <f>1-Tabla1[[#This Row],[% Preventivo $]]</f>
        <v>1</v>
      </c>
      <c r="M156" s="45">
        <f>+COUNTIFS('[1]Base Instalada'!AA:AA,Tabla1[[#This Row],[Cliente]])</f>
        <v>13</v>
      </c>
      <c r="N15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6" s="45">
        <f>+COUNTIFS('[1]Base Instalada'!AA:AA,Tabla1[[#This Row],[Cliente]],'[1]Base Instalada'!Z:Z,"ESTERILIZACIÓN")</f>
        <v>2</v>
      </c>
      <c r="P156" s="45">
        <f>+COUNTIFS('[1]Base Instalada'!AA:AA,Tabla1[[#This Row],[Cliente]],'[1]Base Instalada'!Z:Z,"DENTAL")</f>
        <v>11</v>
      </c>
      <c r="Q156" s="45">
        <f>+COUNTIFS('[1]Base Instalada'!AA:AA,Tabla1[[#This Row],[Cliente]],'[1]Base Instalada'!Z:Z,"ENDOSCOPÍA")</f>
        <v>0</v>
      </c>
      <c r="R156" s="45">
        <f>+COUNTIFS('[1]Base Instalada'!AA:AA,Tabla1[[#This Row],[Cliente]],'[1]Base Instalada'!Z:Z,"INCARDIA")</f>
        <v>0</v>
      </c>
      <c r="S156" s="45">
        <f>+COUNTIFS('[1]Base Instalada'!AA:AA,Tabla1[[#This Row],[Cliente]],'[1]Base Instalada'!Z:Z,"MMQ")</f>
        <v>0</v>
      </c>
      <c r="T156" s="45">
        <f>+COUNTIFS('[1]Base Instalada'!AA:AA,Tabla1[[#This Row],[Cliente]],'[1]Base Instalada'!Z:Z,"REAS")</f>
        <v>0</v>
      </c>
      <c r="U156" s="46">
        <f>+COUNTIFS('[1]Base Instalada'!AA:AA,Tabla1[[#This Row],[Cliente]],'[1]Base Instalada'!Z:Z,"MOBILIARIO CLINICO")</f>
        <v>0</v>
      </c>
      <c r="V156" s="29">
        <f>+COUNTIFS('[1]Base Instalada'!AA:AA,Tabla1[[#This Row],[Cliente]],'[1]Base Instalada'!Z:Z,"OTRO")</f>
        <v>0</v>
      </c>
      <c r="W156" s="61" t="str">
        <f t="shared" si="6"/>
        <v>Región Bío Bío</v>
      </c>
      <c r="X156" s="61" t="str">
        <f t="shared" si="7"/>
        <v>Talcahuano</v>
      </c>
      <c r="Y156" s="62" t="s">
        <v>347</v>
      </c>
      <c r="Z156" s="33">
        <f>+COUNTIFS('[1]Pipeline TS'!$F:$F,Tabla1[[#This Row],[Cliente]])</f>
        <v>0</v>
      </c>
      <c r="AA156" s="63">
        <f>SUMIFS('[1]Pipeline Esterilización'!M:M,'[1]Pipeline Esterilización'!E:E,Tabla1[[#This Row],[Cliente]],'[1]Pipeline Esterilización'!B:B,"2026",'[1]Pipeline Esterilización'!L:L,"&gt;0")</f>
        <v>0</v>
      </c>
      <c r="AB156" s="33">
        <f>+SUMIFS('[1]Pipeline Endoscopía'!K:K,'[1]Pipeline Endoscopía'!E:E,Tabla1[[#This Row],[Cliente]],'[1]Pipeline Endoscopía'!B:B,"2026",'[1]Pipeline Endoscopía'!J:J,"&gt;0")</f>
        <v>0</v>
      </c>
      <c r="AC156" s="63">
        <f>+SUMIFS('[1]Pipeline Dental'!K:K,'[1]Pipeline Dental'!E:E,Tabla1[[#This Row],[Cliente]],'[1]Pipeline Dental'!B:B,"2026",'[1]Pipeline Dental'!J:J,"&gt;0")</f>
        <v>0</v>
      </c>
      <c r="AD156" s="64">
        <f>+SUMIFS('[1]Pipeline TS'!$AB:$AB,'[1]Pipeline TS'!$F:$F,Tabla1[[#This Row],[Cliente]])</f>
        <v>0</v>
      </c>
      <c r="AE156" s="65">
        <f>+SUM(Tabla1[[#This Row],[Pipeline 2026 $MM ESTERILIZACIÓN]:[Pipeline 2026 $MM TECSERVICE]])</f>
        <v>0</v>
      </c>
      <c r="AF156" s="43">
        <v>-36.791695002814997</v>
      </c>
      <c r="AG156" s="58">
        <v>-73.066710790839096</v>
      </c>
      <c r="AH156" s="57" t="str">
        <f>+IF(Tabla1[[#This Row],['# Contratos Vigentes ]]&gt;0,"SI","NO")</f>
        <v>NO</v>
      </c>
      <c r="AI156" s="66"/>
      <c r="AJ156" s="67">
        <f>+Tabla1[[#This Row],[Ingreso 2025 - 2026]]*Tabla1[[#This Row],[% Costo Serv. Directo]]</f>
        <v>0</v>
      </c>
      <c r="AK156" s="68"/>
      <c r="AL15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5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10584100</v>
      </c>
      <c r="AN156" s="42">
        <f>+Tabla1[[#This Row],[Potencial Equipos]]+Tabla1[[#This Row],[Potencial Pipeline]]</f>
        <v>10584100</v>
      </c>
    </row>
    <row r="157" spans="1:40" ht="15.75" x14ac:dyDescent="0.25">
      <c r="A157" s="47" t="s">
        <v>348</v>
      </c>
      <c r="B157" t="str">
        <f>+VLOOKUP(Tabla1[[#This Row],[Cliente]],'[1]Público Privado'!$A$1:$B$325,2,FALSE)</f>
        <v>Privado</v>
      </c>
      <c r="C157" s="23">
        <f>+SUMIFS('[1]Facturacion a Fecha'!$T:$T,'[1]Facturacion a Fecha'!$AY:$AY,Tabla1[[#This Row],[Cliente]])</f>
        <v>0</v>
      </c>
      <c r="D157" s="24">
        <f>+SUMIFS('[1]Facturacion a Fecha'!$T:$T,'[1]Facturacion a Fecha'!$AY:$AY,Tabla1[[#This Row],[Cliente]],'[1]Facturacion a Fecha'!$AX:$AX,"Correctivo")</f>
        <v>0</v>
      </c>
      <c r="E157" s="25">
        <f>+COUNTIFS('[1]Facturacion a Fecha'!AY:AY,Tabla1[[#This Row],[Cliente]],'[1]Facturacion a Fecha'!AX:AX,"Correctivo")</f>
        <v>0</v>
      </c>
      <c r="F157" s="25">
        <f>+SUMIFS('[1]Facturacion a Fecha'!$T:$T,'[1]Facturacion a Fecha'!$AY:$AY,Tabla1[[#This Row],[Cliente]],'[1]Facturacion a Fecha'!$AX:$AX,"Preventivo")</f>
        <v>0</v>
      </c>
      <c r="G157" s="25">
        <f>+COUNTIFS('[1]Facturacion a Fecha'!AY:AY,Tabla1[[#This Row],[Cliente]],'[1]Facturacion a Fecha'!AX:AX,"Preventivo")</f>
        <v>0</v>
      </c>
      <c r="H157" s="26">
        <f>+Tabla1[[#This Row],['# Preventivo]]+Tabla1[[#This Row],['# Correctivo]]</f>
        <v>0</v>
      </c>
      <c r="I157" s="23">
        <f>+IFERROR(Tabla1[[#This Row],[Ingreso 2025 - 2026 Correctivo]]/Tabla1[[#This Row],[Ingreso 2025 - 2026 Preventivo]],0)</f>
        <v>0</v>
      </c>
      <c r="J157" s="59">
        <f>+IFERROR(Tabla1[[#This Row],['# Correctivo]]/Tabla1[[#This Row],['# Preventivo]],0)</f>
        <v>0</v>
      </c>
      <c r="K157" s="60">
        <f>+IFERROR(Tabla1[[#This Row],[Ingreso 2025 - 2026 Preventivo]]/(Tabla1[[#This Row],[Ingreso 2025 - 2026 Correctivo]]+Tabla1[[#This Row],[Ingreso 2025 - 2026 Preventivo]]),0)</f>
        <v>0</v>
      </c>
      <c r="L157" s="60">
        <f>1-Tabla1[[#This Row],[% Preventivo $]]</f>
        <v>1</v>
      </c>
      <c r="M157" s="45">
        <f>+COUNTIFS('[1]Base Instalada'!AA:AA,Tabla1[[#This Row],[Cliente]])</f>
        <v>6</v>
      </c>
      <c r="N15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7" s="45">
        <f>+COUNTIFS('[1]Base Instalada'!AA:AA,Tabla1[[#This Row],[Cliente]],'[1]Base Instalada'!Z:Z,"ESTERILIZACIÓN")</f>
        <v>1</v>
      </c>
      <c r="P157" s="45">
        <f>+COUNTIFS('[1]Base Instalada'!AA:AA,Tabla1[[#This Row],[Cliente]],'[1]Base Instalada'!Z:Z,"DENTAL")</f>
        <v>5</v>
      </c>
      <c r="Q157" s="45">
        <f>+COUNTIFS('[1]Base Instalada'!AA:AA,Tabla1[[#This Row],[Cliente]],'[1]Base Instalada'!Z:Z,"ENDOSCOPÍA")</f>
        <v>0</v>
      </c>
      <c r="R157" s="45">
        <f>+COUNTIFS('[1]Base Instalada'!AA:AA,Tabla1[[#This Row],[Cliente]],'[1]Base Instalada'!Z:Z,"INCARDIA")</f>
        <v>0</v>
      </c>
      <c r="S157" s="45">
        <f>+COUNTIFS('[1]Base Instalada'!AA:AA,Tabla1[[#This Row],[Cliente]],'[1]Base Instalada'!Z:Z,"MMQ")</f>
        <v>0</v>
      </c>
      <c r="T157" s="45">
        <f>+COUNTIFS('[1]Base Instalada'!AA:AA,Tabla1[[#This Row],[Cliente]],'[1]Base Instalada'!Z:Z,"REAS")</f>
        <v>0</v>
      </c>
      <c r="U157" s="46">
        <f>+COUNTIFS('[1]Base Instalada'!AA:AA,Tabla1[[#This Row],[Cliente]],'[1]Base Instalada'!Z:Z,"MOBILIARIO CLINICO")</f>
        <v>0</v>
      </c>
      <c r="V157" s="29">
        <f>+COUNTIFS('[1]Base Instalada'!AA:AA,Tabla1[[#This Row],[Cliente]],'[1]Base Instalada'!Z:Z,"OTRO")</f>
        <v>0</v>
      </c>
      <c r="W157" s="61" t="str">
        <f t="shared" si="6"/>
        <v>Región Metropolitana</v>
      </c>
      <c r="X157" s="61" t="str">
        <f t="shared" si="7"/>
        <v>Peñalolén</v>
      </c>
      <c r="Y157" s="62" t="s">
        <v>349</v>
      </c>
      <c r="Z157" s="33">
        <f>+COUNTIFS('[1]Pipeline TS'!$F:$F,Tabla1[[#This Row],[Cliente]])</f>
        <v>0</v>
      </c>
      <c r="AA157" s="63">
        <f>SUMIFS('[1]Pipeline Esterilización'!M:M,'[1]Pipeline Esterilización'!E:E,Tabla1[[#This Row],[Cliente]],'[1]Pipeline Esterilización'!B:B,"2026",'[1]Pipeline Esterilización'!L:L,"&gt;0")</f>
        <v>0</v>
      </c>
      <c r="AB157" s="33">
        <f>+SUMIFS('[1]Pipeline Endoscopía'!K:K,'[1]Pipeline Endoscopía'!E:E,Tabla1[[#This Row],[Cliente]],'[1]Pipeline Endoscopía'!B:B,"2026",'[1]Pipeline Endoscopía'!J:J,"&gt;0")</f>
        <v>0</v>
      </c>
      <c r="AC157" s="63">
        <f>+SUMIFS('[1]Pipeline Dental'!K:K,'[1]Pipeline Dental'!E:E,Tabla1[[#This Row],[Cliente]],'[1]Pipeline Dental'!B:B,"2026",'[1]Pipeline Dental'!J:J,"&gt;0")</f>
        <v>0</v>
      </c>
      <c r="AD157" s="64">
        <f>+SUMIFS('[1]Pipeline TS'!$AB:$AB,'[1]Pipeline TS'!$F:$F,Tabla1[[#This Row],[Cliente]])</f>
        <v>0</v>
      </c>
      <c r="AE157" s="65">
        <f>+SUM(Tabla1[[#This Row],[Pipeline 2026 $MM ESTERILIZACIÓN]:[Pipeline 2026 $MM TECSERVICE]])</f>
        <v>0</v>
      </c>
      <c r="AF157" s="43">
        <v>-33.486288197468802</v>
      </c>
      <c r="AG157" s="58">
        <v>-70.559128649426</v>
      </c>
      <c r="AH157" s="57" t="str">
        <f>+IF(Tabla1[[#This Row],['# Contratos Vigentes ]]&gt;0,"SI","NO")</f>
        <v>NO</v>
      </c>
      <c r="AI157" s="66"/>
      <c r="AJ157" s="67">
        <f>+Tabla1[[#This Row],[Ingreso 2025 - 2026]]*Tabla1[[#This Row],[% Costo Serv. Directo]]</f>
        <v>0</v>
      </c>
      <c r="AK157" s="68"/>
      <c r="AL15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5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4992500</v>
      </c>
      <c r="AN157" s="42">
        <f>+Tabla1[[#This Row],[Potencial Equipos]]+Tabla1[[#This Row],[Potencial Pipeline]]</f>
        <v>4992500</v>
      </c>
    </row>
    <row r="158" spans="1:40" ht="15.75" x14ac:dyDescent="0.25">
      <c r="A158" s="47" t="s">
        <v>350</v>
      </c>
      <c r="B158" t="str">
        <f>+VLOOKUP(Tabla1[[#This Row],[Cliente]],'[1]Público Privado'!$A$1:$B$325,2,FALSE)</f>
        <v>Privado</v>
      </c>
      <c r="C158" s="23">
        <f>+SUMIFS('[1]Facturacion a Fecha'!$T:$T,'[1]Facturacion a Fecha'!$AY:$AY,Tabla1[[#This Row],[Cliente]])</f>
        <v>0</v>
      </c>
      <c r="D158" s="24">
        <f>+SUMIFS('[1]Facturacion a Fecha'!$T:$T,'[1]Facturacion a Fecha'!$AY:$AY,Tabla1[[#This Row],[Cliente]],'[1]Facturacion a Fecha'!$AX:$AX,"Correctivo")</f>
        <v>0</v>
      </c>
      <c r="E158" s="25">
        <f>+COUNTIFS('[1]Facturacion a Fecha'!AY:AY,Tabla1[[#This Row],[Cliente]],'[1]Facturacion a Fecha'!AX:AX,"Correctivo")</f>
        <v>0</v>
      </c>
      <c r="F158" s="25">
        <f>+SUMIFS('[1]Facturacion a Fecha'!$T:$T,'[1]Facturacion a Fecha'!$AY:$AY,Tabla1[[#This Row],[Cliente]],'[1]Facturacion a Fecha'!$AX:$AX,"Preventivo")</f>
        <v>0</v>
      </c>
      <c r="G158" s="25">
        <f>+COUNTIFS('[1]Facturacion a Fecha'!AY:AY,Tabla1[[#This Row],[Cliente]],'[1]Facturacion a Fecha'!AX:AX,"Preventivo")</f>
        <v>0</v>
      </c>
      <c r="H158" s="26">
        <f>+Tabla1[[#This Row],['# Preventivo]]+Tabla1[[#This Row],['# Correctivo]]</f>
        <v>0</v>
      </c>
      <c r="I158" s="23">
        <f>+IFERROR(Tabla1[[#This Row],[Ingreso 2025 - 2026 Correctivo]]/Tabla1[[#This Row],[Ingreso 2025 - 2026 Preventivo]],0)</f>
        <v>0</v>
      </c>
      <c r="J158" s="59">
        <f>+IFERROR(Tabla1[[#This Row],['# Correctivo]]/Tabla1[[#This Row],['# Preventivo]],0)</f>
        <v>0</v>
      </c>
      <c r="K158" s="60">
        <f>+IFERROR(Tabla1[[#This Row],[Ingreso 2025 - 2026 Preventivo]]/(Tabla1[[#This Row],[Ingreso 2025 - 2026 Correctivo]]+Tabla1[[#This Row],[Ingreso 2025 - 2026 Preventivo]]),0)</f>
        <v>0</v>
      </c>
      <c r="L158" s="60">
        <f>1-Tabla1[[#This Row],[% Preventivo $]]</f>
        <v>1</v>
      </c>
      <c r="M158" s="45">
        <f>+COUNTIFS('[1]Base Instalada'!AA:AA,Tabla1[[#This Row],[Cliente]])</f>
        <v>8</v>
      </c>
      <c r="N15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8" s="45">
        <f>+COUNTIFS('[1]Base Instalada'!AA:AA,Tabla1[[#This Row],[Cliente]],'[1]Base Instalada'!Z:Z,"ESTERILIZACIÓN")</f>
        <v>1</v>
      </c>
      <c r="P158" s="45">
        <f>+COUNTIFS('[1]Base Instalada'!AA:AA,Tabla1[[#This Row],[Cliente]],'[1]Base Instalada'!Z:Z,"DENTAL")</f>
        <v>7</v>
      </c>
      <c r="Q158" s="45">
        <f>+COUNTIFS('[1]Base Instalada'!AA:AA,Tabla1[[#This Row],[Cliente]],'[1]Base Instalada'!Z:Z,"ENDOSCOPÍA")</f>
        <v>0</v>
      </c>
      <c r="R158" s="45">
        <f>+COUNTIFS('[1]Base Instalada'!AA:AA,Tabla1[[#This Row],[Cliente]],'[1]Base Instalada'!Z:Z,"INCARDIA")</f>
        <v>0</v>
      </c>
      <c r="S158" s="45">
        <f>+COUNTIFS('[1]Base Instalada'!AA:AA,Tabla1[[#This Row],[Cliente]],'[1]Base Instalada'!Z:Z,"MMQ")</f>
        <v>0</v>
      </c>
      <c r="T158" s="45">
        <f>+COUNTIFS('[1]Base Instalada'!AA:AA,Tabla1[[#This Row],[Cliente]],'[1]Base Instalada'!Z:Z,"REAS")</f>
        <v>0</v>
      </c>
      <c r="U158" s="46">
        <f>+COUNTIFS('[1]Base Instalada'!AA:AA,Tabla1[[#This Row],[Cliente]],'[1]Base Instalada'!Z:Z,"MOBILIARIO CLINICO")</f>
        <v>0</v>
      </c>
      <c r="V158" s="29">
        <f>+COUNTIFS('[1]Base Instalada'!AA:AA,Tabla1[[#This Row],[Cliente]],'[1]Base Instalada'!Z:Z,"OTRO")</f>
        <v>0</v>
      </c>
      <c r="W158" s="61" t="str">
        <f t="shared" si="6"/>
        <v>Region Atacama</v>
      </c>
      <c r="X158" s="61" t="str">
        <f t="shared" si="7"/>
        <v>Copiapó</v>
      </c>
      <c r="Y158" s="62" t="s">
        <v>351</v>
      </c>
      <c r="Z158" s="33">
        <f>+COUNTIFS('[1]Pipeline TS'!$F:$F,Tabla1[[#This Row],[Cliente]])</f>
        <v>0</v>
      </c>
      <c r="AA158" s="63">
        <f>SUMIFS('[1]Pipeline Esterilización'!M:M,'[1]Pipeline Esterilización'!E:E,Tabla1[[#This Row],[Cliente]],'[1]Pipeline Esterilización'!B:B,"2026",'[1]Pipeline Esterilización'!L:L,"&gt;0")</f>
        <v>0</v>
      </c>
      <c r="AB158" s="33">
        <f>+SUMIFS('[1]Pipeline Endoscopía'!K:K,'[1]Pipeline Endoscopía'!E:E,Tabla1[[#This Row],[Cliente]],'[1]Pipeline Endoscopía'!B:B,"2026",'[1]Pipeline Endoscopía'!J:J,"&gt;0")</f>
        <v>0</v>
      </c>
      <c r="AC158" s="63">
        <f>+SUMIFS('[1]Pipeline Dental'!K:K,'[1]Pipeline Dental'!E:E,Tabla1[[#This Row],[Cliente]],'[1]Pipeline Dental'!B:B,"2026",'[1]Pipeline Dental'!J:J,"&gt;0")</f>
        <v>0</v>
      </c>
      <c r="AD158" s="64">
        <f>+SUMIFS('[1]Pipeline TS'!$AB:$AB,'[1]Pipeline TS'!$F:$F,Tabla1[[#This Row],[Cliente]])</f>
        <v>0</v>
      </c>
      <c r="AE158" s="65">
        <f>+SUM(Tabla1[[#This Row],[Pipeline 2026 $MM ESTERILIZACIÓN]:[Pipeline 2026 $MM TECSERVICE]])</f>
        <v>0</v>
      </c>
      <c r="AF158" s="43">
        <v>-27.3823655950895</v>
      </c>
      <c r="AG158" s="58">
        <v>-70.307787860658806</v>
      </c>
      <c r="AH158" s="57" t="str">
        <f>+IF(Tabla1[[#This Row],['# Contratos Vigentes ]]&gt;0,"SI","NO")</f>
        <v>NO</v>
      </c>
      <c r="AI158" s="66"/>
      <c r="AJ158" s="67">
        <f>+Tabla1[[#This Row],[Ingreso 2025 - 2026]]*Tabla1[[#This Row],[% Costo Serv. Directo]]</f>
        <v>0</v>
      </c>
      <c r="AK158" s="68"/>
      <c r="AL15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5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6190700</v>
      </c>
      <c r="AN158" s="42">
        <f>+Tabla1[[#This Row],[Potencial Equipos]]+Tabla1[[#This Row],[Potencial Pipeline]]</f>
        <v>6190700</v>
      </c>
    </row>
    <row r="159" spans="1:40" ht="15.75" x14ac:dyDescent="0.25">
      <c r="A159" s="47" t="s">
        <v>352</v>
      </c>
      <c r="B159" t="str">
        <f>+VLOOKUP(Tabla1[[#This Row],[Cliente]],'[1]Público Privado'!$A$1:$B$325,2,FALSE)</f>
        <v>Público</v>
      </c>
      <c r="C159" s="23">
        <f>+SUMIFS('[1]Facturacion a Fecha'!$T:$T,'[1]Facturacion a Fecha'!$AY:$AY,Tabla1[[#This Row],[Cliente]])</f>
        <v>0</v>
      </c>
      <c r="D159" s="24">
        <f>+SUMIFS('[1]Facturacion a Fecha'!$T:$T,'[1]Facturacion a Fecha'!$AY:$AY,Tabla1[[#This Row],[Cliente]],'[1]Facturacion a Fecha'!$AX:$AX,"Correctivo")</f>
        <v>0</v>
      </c>
      <c r="E159" s="25">
        <f>+COUNTIFS('[1]Facturacion a Fecha'!AY:AY,Tabla1[[#This Row],[Cliente]],'[1]Facturacion a Fecha'!AX:AX,"Correctivo")</f>
        <v>0</v>
      </c>
      <c r="F159" s="25">
        <f>+SUMIFS('[1]Facturacion a Fecha'!$T:$T,'[1]Facturacion a Fecha'!$AY:$AY,Tabla1[[#This Row],[Cliente]],'[1]Facturacion a Fecha'!$AX:$AX,"Preventivo")</f>
        <v>0</v>
      </c>
      <c r="G159" s="25">
        <f>+COUNTIFS('[1]Facturacion a Fecha'!AY:AY,Tabla1[[#This Row],[Cliente]],'[1]Facturacion a Fecha'!AX:AX,"Preventivo")</f>
        <v>0</v>
      </c>
      <c r="H159" s="26">
        <f>+Tabla1[[#This Row],['# Preventivo]]+Tabla1[[#This Row],['# Correctivo]]</f>
        <v>0</v>
      </c>
      <c r="I159" s="23">
        <f>+IFERROR(Tabla1[[#This Row],[Ingreso 2025 - 2026 Correctivo]]/Tabla1[[#This Row],[Ingreso 2025 - 2026 Preventivo]],0)</f>
        <v>0</v>
      </c>
      <c r="J159" s="59">
        <f>+IFERROR(Tabla1[[#This Row],['# Correctivo]]/Tabla1[[#This Row],['# Preventivo]],0)</f>
        <v>0</v>
      </c>
      <c r="K159" s="60">
        <f>+IFERROR(Tabla1[[#This Row],[Ingreso 2025 - 2026 Preventivo]]/(Tabla1[[#This Row],[Ingreso 2025 - 2026 Correctivo]]+Tabla1[[#This Row],[Ingreso 2025 - 2026 Preventivo]]),0)</f>
        <v>0</v>
      </c>
      <c r="L159" s="60">
        <f>1-Tabla1[[#This Row],[% Preventivo $]]</f>
        <v>1</v>
      </c>
      <c r="M159" s="45">
        <f>+COUNTIFS('[1]Base Instalada'!AA:AA,Tabla1[[#This Row],[Cliente]])</f>
        <v>328</v>
      </c>
      <c r="N15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59" s="45">
        <f>+COUNTIFS('[1]Base Instalada'!AA:AA,Tabla1[[#This Row],[Cliente]],'[1]Base Instalada'!Z:Z,"ESTERILIZACIÓN")</f>
        <v>2</v>
      </c>
      <c r="P159" s="45">
        <f>+COUNTIFS('[1]Base Instalada'!AA:AA,Tabla1[[#This Row],[Cliente]],'[1]Base Instalada'!Z:Z,"DENTAL")</f>
        <v>57</v>
      </c>
      <c r="Q159" s="45">
        <f>+COUNTIFS('[1]Base Instalada'!AA:AA,Tabla1[[#This Row],[Cliente]],'[1]Base Instalada'!Z:Z,"ENDOSCOPÍA")</f>
        <v>0</v>
      </c>
      <c r="R159" s="45">
        <f>+COUNTIFS('[1]Base Instalada'!AA:AA,Tabla1[[#This Row],[Cliente]],'[1]Base Instalada'!Z:Z,"INCARDIA")</f>
        <v>0</v>
      </c>
      <c r="S159" s="45">
        <f>+COUNTIFS('[1]Base Instalada'!AA:AA,Tabla1[[#This Row],[Cliente]],'[1]Base Instalada'!Z:Z,"MMQ")</f>
        <v>0</v>
      </c>
      <c r="T159" s="45">
        <f>+COUNTIFS('[1]Base Instalada'!AA:AA,Tabla1[[#This Row],[Cliente]],'[1]Base Instalada'!Z:Z,"REAS")</f>
        <v>0</v>
      </c>
      <c r="U159" s="46">
        <f>+COUNTIFS('[1]Base Instalada'!AA:AA,Tabla1[[#This Row],[Cliente]],'[1]Base Instalada'!Z:Z,"MOBILIARIO CLINICO")</f>
        <v>269</v>
      </c>
      <c r="V159" s="29">
        <f>+COUNTIFS('[1]Base Instalada'!AA:AA,Tabla1[[#This Row],[Cliente]],'[1]Base Instalada'!Z:Z,"OTRO")</f>
        <v>0</v>
      </c>
      <c r="W159" s="61" t="str">
        <f t="shared" si="6"/>
        <v>Región Maule</v>
      </c>
      <c r="X159" s="61" t="str">
        <f t="shared" si="7"/>
        <v>Talca</v>
      </c>
      <c r="Y159" s="62" t="s">
        <v>353</v>
      </c>
      <c r="Z159" s="33">
        <f>+COUNTIFS('[1]Pipeline TS'!$F:$F,Tabla1[[#This Row],[Cliente]])</f>
        <v>0</v>
      </c>
      <c r="AA159" s="63">
        <f>SUMIFS('[1]Pipeline Esterilización'!M:M,'[1]Pipeline Esterilización'!E:E,Tabla1[[#This Row],[Cliente]],'[1]Pipeline Esterilización'!B:B,"2026",'[1]Pipeline Esterilización'!L:L,"&gt;0")</f>
        <v>0</v>
      </c>
      <c r="AB159" s="33">
        <f>+SUMIFS('[1]Pipeline Endoscopía'!K:K,'[1]Pipeline Endoscopía'!E:E,Tabla1[[#This Row],[Cliente]],'[1]Pipeline Endoscopía'!B:B,"2026",'[1]Pipeline Endoscopía'!J:J,"&gt;0")</f>
        <v>0</v>
      </c>
      <c r="AC159" s="63">
        <f>+SUMIFS('[1]Pipeline Dental'!K:K,'[1]Pipeline Dental'!E:E,Tabla1[[#This Row],[Cliente]],'[1]Pipeline Dental'!B:B,"2026",'[1]Pipeline Dental'!J:J,"&gt;0")</f>
        <v>0</v>
      </c>
      <c r="AD159" s="64">
        <f>+SUMIFS('[1]Pipeline TS'!$AB:$AB,'[1]Pipeline TS'!$F:$F,Tabla1[[#This Row],[Cliente]])</f>
        <v>0</v>
      </c>
      <c r="AE159" s="65">
        <f>+SUM(Tabla1[[#This Row],[Pipeline 2026 $MM ESTERILIZACIÓN]:[Pipeline 2026 $MM TECSERVICE]])</f>
        <v>0</v>
      </c>
      <c r="AF159" s="43">
        <v>-35.420563419853003</v>
      </c>
      <c r="AG159" s="58">
        <v>-71.660165549758901</v>
      </c>
      <c r="AH159" s="57" t="str">
        <f>+IF(Tabla1[[#This Row],['# Contratos Vigentes ]]&gt;0,"SI","NO")</f>
        <v>NO</v>
      </c>
      <c r="AI159" s="66"/>
      <c r="AJ159" s="67">
        <f>+Tabla1[[#This Row],[Ingreso 2025 - 2026]]*Tabla1[[#This Row],[% Costo Serv. Directo]]</f>
        <v>0</v>
      </c>
      <c r="AK159" s="68"/>
      <c r="AL15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5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38142700</v>
      </c>
      <c r="AN159" s="42">
        <f>+Tabla1[[#This Row],[Potencial Equipos]]+Tabla1[[#This Row],[Potencial Pipeline]]</f>
        <v>38142700</v>
      </c>
    </row>
    <row r="160" spans="1:40" ht="15.75" x14ac:dyDescent="0.25">
      <c r="A160" s="47" t="s">
        <v>354</v>
      </c>
      <c r="B160" t="str">
        <f>+VLOOKUP(Tabla1[[#This Row],[Cliente]],'[1]Público Privado'!$A$1:$B$325,2,FALSE)</f>
        <v>Privado</v>
      </c>
      <c r="C160" s="23">
        <f>+SUMIFS('[1]Facturacion a Fecha'!$T:$T,'[1]Facturacion a Fecha'!$AY:$AY,Tabla1[[#This Row],[Cliente]])</f>
        <v>0</v>
      </c>
      <c r="D160" s="24">
        <f>+SUMIFS('[1]Facturacion a Fecha'!$T:$T,'[1]Facturacion a Fecha'!$AY:$AY,Tabla1[[#This Row],[Cliente]],'[1]Facturacion a Fecha'!$AX:$AX,"Correctivo")</f>
        <v>0</v>
      </c>
      <c r="E160" s="25">
        <f>+COUNTIFS('[1]Facturacion a Fecha'!AY:AY,Tabla1[[#This Row],[Cliente]],'[1]Facturacion a Fecha'!AX:AX,"Correctivo")</f>
        <v>0</v>
      </c>
      <c r="F160" s="25">
        <f>+SUMIFS('[1]Facturacion a Fecha'!$T:$T,'[1]Facturacion a Fecha'!$AY:$AY,Tabla1[[#This Row],[Cliente]],'[1]Facturacion a Fecha'!$AX:$AX,"Preventivo")</f>
        <v>0</v>
      </c>
      <c r="G160" s="25">
        <f>+COUNTIFS('[1]Facturacion a Fecha'!AY:AY,Tabla1[[#This Row],[Cliente]],'[1]Facturacion a Fecha'!AX:AX,"Preventivo")</f>
        <v>0</v>
      </c>
      <c r="H160" s="26">
        <f>+Tabla1[[#This Row],['# Preventivo]]+Tabla1[[#This Row],['# Correctivo]]</f>
        <v>0</v>
      </c>
      <c r="I160" s="23">
        <f>+IFERROR(Tabla1[[#This Row],[Ingreso 2025 - 2026 Correctivo]]/Tabla1[[#This Row],[Ingreso 2025 - 2026 Preventivo]],0)</f>
        <v>0</v>
      </c>
      <c r="J160" s="59">
        <f>+IFERROR(Tabla1[[#This Row],['# Correctivo]]/Tabla1[[#This Row],['# Preventivo]],0)</f>
        <v>0</v>
      </c>
      <c r="K160" s="60">
        <f>+IFERROR(Tabla1[[#This Row],[Ingreso 2025 - 2026 Preventivo]]/(Tabla1[[#This Row],[Ingreso 2025 - 2026 Correctivo]]+Tabla1[[#This Row],[Ingreso 2025 - 2026 Preventivo]]),0)</f>
        <v>0</v>
      </c>
      <c r="L160" s="60">
        <f>1-Tabla1[[#This Row],[% Preventivo $]]</f>
        <v>1</v>
      </c>
      <c r="M160" s="45">
        <f>+COUNTIFS('[1]Base Instalada'!AA:AA,Tabla1[[#This Row],[Cliente]])</f>
        <v>5</v>
      </c>
      <c r="N16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0" s="45">
        <f>+COUNTIFS('[1]Base Instalada'!AA:AA,Tabla1[[#This Row],[Cliente]],'[1]Base Instalada'!Z:Z,"ESTERILIZACIÓN")</f>
        <v>1</v>
      </c>
      <c r="P160" s="45">
        <f>+COUNTIFS('[1]Base Instalada'!AA:AA,Tabla1[[#This Row],[Cliente]],'[1]Base Instalada'!Z:Z,"DENTAL")</f>
        <v>4</v>
      </c>
      <c r="Q160" s="45">
        <f>+COUNTIFS('[1]Base Instalada'!AA:AA,Tabla1[[#This Row],[Cliente]],'[1]Base Instalada'!Z:Z,"ENDOSCOPÍA")</f>
        <v>0</v>
      </c>
      <c r="R160" s="45">
        <f>+COUNTIFS('[1]Base Instalada'!AA:AA,Tabla1[[#This Row],[Cliente]],'[1]Base Instalada'!Z:Z,"INCARDIA")</f>
        <v>0</v>
      </c>
      <c r="S160" s="45">
        <f>+COUNTIFS('[1]Base Instalada'!AA:AA,Tabla1[[#This Row],[Cliente]],'[1]Base Instalada'!Z:Z,"MMQ")</f>
        <v>0</v>
      </c>
      <c r="T160" s="45">
        <f>+COUNTIFS('[1]Base Instalada'!AA:AA,Tabla1[[#This Row],[Cliente]],'[1]Base Instalada'!Z:Z,"REAS")</f>
        <v>0</v>
      </c>
      <c r="U160" s="46">
        <f>+COUNTIFS('[1]Base Instalada'!AA:AA,Tabla1[[#This Row],[Cliente]],'[1]Base Instalada'!Z:Z,"MOBILIARIO CLINICO")</f>
        <v>0</v>
      </c>
      <c r="V160" s="29">
        <f>+COUNTIFS('[1]Base Instalada'!AA:AA,Tabla1[[#This Row],[Cliente]],'[1]Base Instalada'!Z:Z,"OTRO")</f>
        <v>0</v>
      </c>
      <c r="W160" s="61" t="str">
        <f t="shared" si="6"/>
        <v>Región Antofagasta</v>
      </c>
      <c r="X160" s="61" t="str">
        <f t="shared" si="7"/>
        <v>Antofagasta</v>
      </c>
      <c r="Y160" s="62" t="s">
        <v>355</v>
      </c>
      <c r="Z160" s="33">
        <f>+COUNTIFS('[1]Pipeline TS'!$F:$F,Tabla1[[#This Row],[Cliente]])</f>
        <v>0</v>
      </c>
      <c r="AA160" s="63">
        <f>SUMIFS('[1]Pipeline Esterilización'!M:M,'[1]Pipeline Esterilización'!E:E,Tabla1[[#This Row],[Cliente]],'[1]Pipeline Esterilización'!B:B,"2026",'[1]Pipeline Esterilización'!L:L,"&gt;0")</f>
        <v>0</v>
      </c>
      <c r="AB160" s="33">
        <f>+SUMIFS('[1]Pipeline Endoscopía'!K:K,'[1]Pipeline Endoscopía'!E:E,Tabla1[[#This Row],[Cliente]],'[1]Pipeline Endoscopía'!B:B,"2026",'[1]Pipeline Endoscopía'!J:J,"&gt;0")</f>
        <v>0</v>
      </c>
      <c r="AC160" s="63">
        <f>+SUMIFS('[1]Pipeline Dental'!K:K,'[1]Pipeline Dental'!E:E,Tabla1[[#This Row],[Cliente]],'[1]Pipeline Dental'!B:B,"2026",'[1]Pipeline Dental'!J:J,"&gt;0")</f>
        <v>0</v>
      </c>
      <c r="AD160" s="64">
        <f>+SUMIFS('[1]Pipeline TS'!$AB:$AB,'[1]Pipeline TS'!$F:$F,Tabla1[[#This Row],[Cliente]])</f>
        <v>0</v>
      </c>
      <c r="AE160" s="65">
        <f>+SUM(Tabla1[[#This Row],[Pipeline 2026 $MM ESTERILIZACIÓN]:[Pipeline 2026 $MM TECSERVICE]])</f>
        <v>0</v>
      </c>
      <c r="AF160" s="43">
        <v>-23.653116406412899</v>
      </c>
      <c r="AG160" s="58">
        <v>-70.391012598938801</v>
      </c>
      <c r="AH160" s="57" t="str">
        <f>+IF(Tabla1[[#This Row],['# Contratos Vigentes ]]&gt;0,"SI","NO")</f>
        <v>NO</v>
      </c>
      <c r="AI160" s="66"/>
      <c r="AJ160" s="67">
        <f>+Tabla1[[#This Row],[Ingreso 2025 - 2026]]*Tabla1[[#This Row],[% Costo Serv. Directo]]</f>
        <v>0</v>
      </c>
      <c r="AK160" s="68"/>
      <c r="AL16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4393400</v>
      </c>
      <c r="AN160" s="42">
        <f>+Tabla1[[#This Row],[Potencial Equipos]]+Tabla1[[#This Row],[Potencial Pipeline]]</f>
        <v>4393400</v>
      </c>
    </row>
    <row r="161" spans="1:40" ht="15.75" x14ac:dyDescent="0.25">
      <c r="A161" s="47" t="s">
        <v>356</v>
      </c>
      <c r="B161" t="str">
        <f>+VLOOKUP(Tabla1[[#This Row],[Cliente]],'[1]Público Privado'!$A$1:$B$325,2,FALSE)</f>
        <v>Público</v>
      </c>
      <c r="C161" s="23">
        <f>+SUMIFS('[1]Facturacion a Fecha'!$T:$T,'[1]Facturacion a Fecha'!$AY:$AY,Tabla1[[#This Row],[Cliente]])</f>
        <v>0</v>
      </c>
      <c r="D161" s="24">
        <f>+SUMIFS('[1]Facturacion a Fecha'!$T:$T,'[1]Facturacion a Fecha'!$AY:$AY,Tabla1[[#This Row],[Cliente]],'[1]Facturacion a Fecha'!$AX:$AX,"Correctivo")</f>
        <v>0</v>
      </c>
      <c r="E161" s="25">
        <f>+COUNTIFS('[1]Facturacion a Fecha'!AY:AY,Tabla1[[#This Row],[Cliente]],'[1]Facturacion a Fecha'!AX:AX,"Correctivo")</f>
        <v>0</v>
      </c>
      <c r="F161" s="25">
        <f>+SUMIFS('[1]Facturacion a Fecha'!$T:$T,'[1]Facturacion a Fecha'!$AY:$AY,Tabla1[[#This Row],[Cliente]],'[1]Facturacion a Fecha'!$AX:$AX,"Preventivo")</f>
        <v>0</v>
      </c>
      <c r="G161" s="25">
        <f>+COUNTIFS('[1]Facturacion a Fecha'!AY:AY,Tabla1[[#This Row],[Cliente]],'[1]Facturacion a Fecha'!AX:AX,"Preventivo")</f>
        <v>0</v>
      </c>
      <c r="H161" s="26">
        <f>+Tabla1[[#This Row],['# Preventivo]]+Tabla1[[#This Row],['# Correctivo]]</f>
        <v>0</v>
      </c>
      <c r="I161" s="23">
        <f>+IFERROR(Tabla1[[#This Row],[Ingreso 2025 - 2026 Correctivo]]/Tabla1[[#This Row],[Ingreso 2025 - 2026 Preventivo]],0)</f>
        <v>0</v>
      </c>
      <c r="J161" s="59">
        <f>+IFERROR(Tabla1[[#This Row],['# Correctivo]]/Tabla1[[#This Row],['# Preventivo]],0)</f>
        <v>0</v>
      </c>
      <c r="K161" s="60">
        <f>+IFERROR(Tabla1[[#This Row],[Ingreso 2025 - 2026 Preventivo]]/(Tabla1[[#This Row],[Ingreso 2025 - 2026 Correctivo]]+Tabla1[[#This Row],[Ingreso 2025 - 2026 Preventivo]]),0)</f>
        <v>0</v>
      </c>
      <c r="L161" s="60">
        <f>1-Tabla1[[#This Row],[% Preventivo $]]</f>
        <v>1</v>
      </c>
      <c r="M161" s="45">
        <f>+COUNTIFS('[1]Base Instalada'!AA:AA,Tabla1[[#This Row],[Cliente]])</f>
        <v>12</v>
      </c>
      <c r="N16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1" s="45">
        <f>+COUNTIFS('[1]Base Instalada'!AA:AA,Tabla1[[#This Row],[Cliente]],'[1]Base Instalada'!Z:Z,"ESTERILIZACIÓN")</f>
        <v>12</v>
      </c>
      <c r="P161" s="45">
        <f>+COUNTIFS('[1]Base Instalada'!AA:AA,Tabla1[[#This Row],[Cliente]],'[1]Base Instalada'!Z:Z,"DENTAL")</f>
        <v>0</v>
      </c>
      <c r="Q161" s="45">
        <f>+COUNTIFS('[1]Base Instalada'!AA:AA,Tabla1[[#This Row],[Cliente]],'[1]Base Instalada'!Z:Z,"ENDOSCOPÍA")</f>
        <v>0</v>
      </c>
      <c r="R161" s="45">
        <f>+COUNTIFS('[1]Base Instalada'!AA:AA,Tabla1[[#This Row],[Cliente]],'[1]Base Instalada'!Z:Z,"INCARDIA")</f>
        <v>0</v>
      </c>
      <c r="S161" s="45">
        <f>+COUNTIFS('[1]Base Instalada'!AA:AA,Tabla1[[#This Row],[Cliente]],'[1]Base Instalada'!Z:Z,"MMQ")</f>
        <v>0</v>
      </c>
      <c r="T161" s="45">
        <f>+COUNTIFS('[1]Base Instalada'!AA:AA,Tabla1[[#This Row],[Cliente]],'[1]Base Instalada'!Z:Z,"REAS")</f>
        <v>0</v>
      </c>
      <c r="U161" s="46">
        <f>+COUNTIFS('[1]Base Instalada'!AA:AA,Tabla1[[#This Row],[Cliente]],'[1]Base Instalada'!Z:Z,"MOBILIARIO CLINICO")</f>
        <v>0</v>
      </c>
      <c r="V161" s="29">
        <f>+COUNTIFS('[1]Base Instalada'!AA:AA,Tabla1[[#This Row],[Cliente]],'[1]Base Instalada'!Z:Z,"OTRO")</f>
        <v>0</v>
      </c>
      <c r="W161" s="61" t="str">
        <f t="shared" si="6"/>
        <v>Región Tarapacá</v>
      </c>
      <c r="X161" s="61" t="str">
        <f t="shared" si="7"/>
        <v>Alto Hospicio</v>
      </c>
      <c r="Y161" s="62" t="s">
        <v>357</v>
      </c>
      <c r="Z161" s="33">
        <f>+COUNTIFS('[1]Pipeline TS'!$F:$F,Tabla1[[#This Row],[Cliente]])</f>
        <v>0</v>
      </c>
      <c r="AA161" s="63">
        <f>SUMIFS('[1]Pipeline Esterilización'!M:M,'[1]Pipeline Esterilización'!E:E,Tabla1[[#This Row],[Cliente]],'[1]Pipeline Esterilización'!B:B,"2026",'[1]Pipeline Esterilización'!L:L,"&gt;0")</f>
        <v>0</v>
      </c>
      <c r="AB161" s="33">
        <f>+SUMIFS('[1]Pipeline Endoscopía'!K:K,'[1]Pipeline Endoscopía'!E:E,Tabla1[[#This Row],[Cliente]],'[1]Pipeline Endoscopía'!B:B,"2026",'[1]Pipeline Endoscopía'!J:J,"&gt;0")</f>
        <v>0</v>
      </c>
      <c r="AC161" s="63">
        <f>+SUMIFS('[1]Pipeline Dental'!K:K,'[1]Pipeline Dental'!E:E,Tabla1[[#This Row],[Cliente]],'[1]Pipeline Dental'!B:B,"2026",'[1]Pipeline Dental'!J:J,"&gt;0")</f>
        <v>0</v>
      </c>
      <c r="AD161" s="64">
        <f>+SUMIFS('[1]Pipeline TS'!$AB:$AB,'[1]Pipeline TS'!$F:$F,Tabla1[[#This Row],[Cliente]])</f>
        <v>0</v>
      </c>
      <c r="AE161" s="65">
        <f>+SUM(Tabla1[[#This Row],[Pipeline 2026 $MM ESTERILIZACIÓN]:[Pipeline 2026 $MM TECSERVICE]])</f>
        <v>0</v>
      </c>
      <c r="AF161" s="43">
        <v>-20.264742327497299</v>
      </c>
      <c r="AG161" s="58">
        <v>-70.100613591638904</v>
      </c>
      <c r="AH161" s="57" t="str">
        <f>+IF(Tabla1[[#This Row],['# Contratos Vigentes ]]&gt;0,"SI","NO")</f>
        <v>NO</v>
      </c>
      <c r="AI161" s="66"/>
      <c r="AJ161" s="67">
        <f>+Tabla1[[#This Row],[Ingreso 2025 - 2026]]*Tabla1[[#This Row],[% Costo Serv. Directo]]</f>
        <v>0</v>
      </c>
      <c r="AK161" s="68"/>
      <c r="AL16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23964000</v>
      </c>
      <c r="AN161" s="42">
        <f>+Tabla1[[#This Row],[Potencial Equipos]]+Tabla1[[#This Row],[Potencial Pipeline]]</f>
        <v>23964000</v>
      </c>
    </row>
    <row r="162" spans="1:40" ht="15.75" x14ac:dyDescent="0.25">
      <c r="A162" s="47" t="s">
        <v>358</v>
      </c>
      <c r="B162" t="str">
        <f>+VLOOKUP(Tabla1[[#This Row],[Cliente]],'[1]Público Privado'!$A$1:$B$325,2,FALSE)</f>
        <v>Público</v>
      </c>
      <c r="C162" s="23">
        <f>+SUMIFS('[1]Facturacion a Fecha'!$T:$T,'[1]Facturacion a Fecha'!$AY:$AY,Tabla1[[#This Row],[Cliente]])</f>
        <v>0</v>
      </c>
      <c r="D162" s="24">
        <f>+SUMIFS('[1]Facturacion a Fecha'!$T:$T,'[1]Facturacion a Fecha'!$AY:$AY,Tabla1[[#This Row],[Cliente]],'[1]Facturacion a Fecha'!$AX:$AX,"Correctivo")</f>
        <v>0</v>
      </c>
      <c r="E162" s="25">
        <f>+COUNTIFS('[1]Facturacion a Fecha'!AY:AY,Tabla1[[#This Row],[Cliente]],'[1]Facturacion a Fecha'!AX:AX,"Correctivo")</f>
        <v>0</v>
      </c>
      <c r="F162" s="25">
        <f>+SUMIFS('[1]Facturacion a Fecha'!$T:$T,'[1]Facturacion a Fecha'!$AY:$AY,Tabla1[[#This Row],[Cliente]],'[1]Facturacion a Fecha'!$AX:$AX,"Preventivo")</f>
        <v>0</v>
      </c>
      <c r="G162" s="25">
        <f>+COUNTIFS('[1]Facturacion a Fecha'!AY:AY,Tabla1[[#This Row],[Cliente]],'[1]Facturacion a Fecha'!AX:AX,"Preventivo")</f>
        <v>0</v>
      </c>
      <c r="H162" s="26">
        <f>+Tabla1[[#This Row],['# Preventivo]]+Tabla1[[#This Row],['# Correctivo]]</f>
        <v>0</v>
      </c>
      <c r="I162" s="23">
        <f>+IFERROR(Tabla1[[#This Row],[Ingreso 2025 - 2026 Correctivo]]/Tabla1[[#This Row],[Ingreso 2025 - 2026 Preventivo]],0)</f>
        <v>0</v>
      </c>
      <c r="J162" s="59">
        <f>+IFERROR(Tabla1[[#This Row],['# Correctivo]]/Tabla1[[#This Row],['# Preventivo]],0)</f>
        <v>0</v>
      </c>
      <c r="K162" s="60">
        <f>+IFERROR(Tabla1[[#This Row],[Ingreso 2025 - 2026 Preventivo]]/(Tabla1[[#This Row],[Ingreso 2025 - 2026 Correctivo]]+Tabla1[[#This Row],[Ingreso 2025 - 2026 Preventivo]]),0)</f>
        <v>0</v>
      </c>
      <c r="L162" s="60">
        <f>1-Tabla1[[#This Row],[% Preventivo $]]</f>
        <v>1</v>
      </c>
      <c r="M162" s="45">
        <f>+COUNTIFS('[1]Base Instalada'!AA:AA,Tabla1[[#This Row],[Cliente]])</f>
        <v>5</v>
      </c>
      <c r="N16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2" s="45">
        <f>+COUNTIFS('[1]Base Instalada'!AA:AA,Tabla1[[#This Row],[Cliente]],'[1]Base Instalada'!Z:Z,"ESTERILIZACIÓN")</f>
        <v>1</v>
      </c>
      <c r="P162" s="45">
        <f>+COUNTIFS('[1]Base Instalada'!AA:AA,Tabla1[[#This Row],[Cliente]],'[1]Base Instalada'!Z:Z,"DENTAL")</f>
        <v>4</v>
      </c>
      <c r="Q162" s="45">
        <f>+COUNTIFS('[1]Base Instalada'!AA:AA,Tabla1[[#This Row],[Cliente]],'[1]Base Instalada'!Z:Z,"ENDOSCOPÍA")</f>
        <v>0</v>
      </c>
      <c r="R162" s="45">
        <f>+COUNTIFS('[1]Base Instalada'!AA:AA,Tabla1[[#This Row],[Cliente]],'[1]Base Instalada'!Z:Z,"INCARDIA")</f>
        <v>0</v>
      </c>
      <c r="S162" s="45">
        <f>+COUNTIFS('[1]Base Instalada'!AA:AA,Tabla1[[#This Row],[Cliente]],'[1]Base Instalada'!Z:Z,"MMQ")</f>
        <v>0</v>
      </c>
      <c r="T162" s="45">
        <f>+COUNTIFS('[1]Base Instalada'!AA:AA,Tabla1[[#This Row],[Cliente]],'[1]Base Instalada'!Z:Z,"REAS")</f>
        <v>0</v>
      </c>
      <c r="U162" s="46">
        <f>+COUNTIFS('[1]Base Instalada'!AA:AA,Tabla1[[#This Row],[Cliente]],'[1]Base Instalada'!Z:Z,"MOBILIARIO CLINICO")</f>
        <v>0</v>
      </c>
      <c r="V162" s="29">
        <f>+COUNTIFS('[1]Base Instalada'!AA:AA,Tabla1[[#This Row],[Cliente]],'[1]Base Instalada'!Z:Z,"OTRO")</f>
        <v>0</v>
      </c>
      <c r="W162" s="61" t="str">
        <f t="shared" si="6"/>
        <v>Region Atacama</v>
      </c>
      <c r="X162" s="61" t="str">
        <f t="shared" si="7"/>
        <v>Huasco</v>
      </c>
      <c r="Y162" s="62" t="s">
        <v>359</v>
      </c>
      <c r="Z162" s="33">
        <f>+COUNTIFS('[1]Pipeline TS'!$F:$F,Tabla1[[#This Row],[Cliente]])</f>
        <v>0</v>
      </c>
      <c r="AA162" s="63">
        <f>SUMIFS('[1]Pipeline Esterilización'!M:M,'[1]Pipeline Esterilización'!E:E,Tabla1[[#This Row],[Cliente]],'[1]Pipeline Esterilización'!B:B,"2026",'[1]Pipeline Esterilización'!L:L,"&gt;0")</f>
        <v>0</v>
      </c>
      <c r="AB162" s="33">
        <f>+SUMIFS('[1]Pipeline Endoscopía'!K:K,'[1]Pipeline Endoscopía'!E:E,Tabla1[[#This Row],[Cliente]],'[1]Pipeline Endoscopía'!B:B,"2026",'[1]Pipeline Endoscopía'!J:J,"&gt;0")</f>
        <v>0</v>
      </c>
      <c r="AC162" s="63">
        <f>+SUMIFS('[1]Pipeline Dental'!K:K,'[1]Pipeline Dental'!E:E,Tabla1[[#This Row],[Cliente]],'[1]Pipeline Dental'!B:B,"2026",'[1]Pipeline Dental'!J:J,"&gt;0")</f>
        <v>0</v>
      </c>
      <c r="AD162" s="64">
        <f>+SUMIFS('[1]Pipeline TS'!$AB:$AB,'[1]Pipeline TS'!$F:$F,Tabla1[[#This Row],[Cliente]])</f>
        <v>0</v>
      </c>
      <c r="AE162" s="65">
        <f>+SUM(Tabla1[[#This Row],[Pipeline 2026 $MM ESTERILIZACIÓN]:[Pipeline 2026 $MM TECSERVICE]])</f>
        <v>0</v>
      </c>
      <c r="AF162" s="43">
        <v>-28.469852242459002</v>
      </c>
      <c r="AG162" s="58">
        <v>-71.223868689442199</v>
      </c>
      <c r="AH162" s="57" t="str">
        <f>+IF(Tabla1[[#This Row],['# Contratos Vigentes ]]&gt;0,"SI","NO")</f>
        <v>NO</v>
      </c>
      <c r="AI162" s="66"/>
      <c r="AJ162" s="67">
        <f>+Tabla1[[#This Row],[Ingreso 2025 - 2026]]*Tabla1[[#This Row],[% Costo Serv. Directo]]</f>
        <v>0</v>
      </c>
      <c r="AK162" s="68"/>
      <c r="AL16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4393400</v>
      </c>
      <c r="AN162" s="42">
        <f>+Tabla1[[#This Row],[Potencial Equipos]]+Tabla1[[#This Row],[Potencial Pipeline]]</f>
        <v>4393400</v>
      </c>
    </row>
    <row r="163" spans="1:40" ht="15.75" x14ac:dyDescent="0.25">
      <c r="A163" s="47" t="s">
        <v>360</v>
      </c>
      <c r="B163" t="str">
        <f>+VLOOKUP(Tabla1[[#This Row],[Cliente]],'[1]Público Privado'!$A$1:$B$325,2,FALSE)</f>
        <v>Privado</v>
      </c>
      <c r="C163" s="23">
        <f>+SUMIFS('[1]Facturacion a Fecha'!$T:$T,'[1]Facturacion a Fecha'!$AY:$AY,Tabla1[[#This Row],[Cliente]])</f>
        <v>0</v>
      </c>
      <c r="D163" s="24">
        <f>+SUMIFS('[1]Facturacion a Fecha'!$T:$T,'[1]Facturacion a Fecha'!$AY:$AY,Tabla1[[#This Row],[Cliente]],'[1]Facturacion a Fecha'!$AX:$AX,"Correctivo")</f>
        <v>0</v>
      </c>
      <c r="E163" s="25">
        <f>+COUNTIFS('[1]Facturacion a Fecha'!AY:AY,Tabla1[[#This Row],[Cliente]],'[1]Facturacion a Fecha'!AX:AX,"Correctivo")</f>
        <v>0</v>
      </c>
      <c r="F163" s="25">
        <f>+SUMIFS('[1]Facturacion a Fecha'!$T:$T,'[1]Facturacion a Fecha'!$AY:$AY,Tabla1[[#This Row],[Cliente]],'[1]Facturacion a Fecha'!$AX:$AX,"Preventivo")</f>
        <v>0</v>
      </c>
      <c r="G163" s="25">
        <f>+COUNTIFS('[1]Facturacion a Fecha'!AY:AY,Tabla1[[#This Row],[Cliente]],'[1]Facturacion a Fecha'!AX:AX,"Preventivo")</f>
        <v>0</v>
      </c>
      <c r="H163" s="26">
        <f>+Tabla1[[#This Row],['# Preventivo]]+Tabla1[[#This Row],['# Correctivo]]</f>
        <v>0</v>
      </c>
      <c r="I163" s="23">
        <f>+IFERROR(Tabla1[[#This Row],[Ingreso 2025 - 2026 Correctivo]]/Tabla1[[#This Row],[Ingreso 2025 - 2026 Preventivo]],0)</f>
        <v>0</v>
      </c>
      <c r="J163" s="59">
        <f>+IFERROR(Tabla1[[#This Row],['# Correctivo]]/Tabla1[[#This Row],['# Preventivo]],0)</f>
        <v>0</v>
      </c>
      <c r="K163" s="60">
        <f>+IFERROR(Tabla1[[#This Row],[Ingreso 2025 - 2026 Preventivo]]/(Tabla1[[#This Row],[Ingreso 2025 - 2026 Correctivo]]+Tabla1[[#This Row],[Ingreso 2025 - 2026 Preventivo]]),0)</f>
        <v>0</v>
      </c>
      <c r="L163" s="60">
        <f>1-Tabla1[[#This Row],[% Preventivo $]]</f>
        <v>1</v>
      </c>
      <c r="M163" s="45">
        <f>+COUNTIFS('[1]Base Instalada'!AA:AA,Tabla1[[#This Row],[Cliente]])</f>
        <v>14</v>
      </c>
      <c r="N16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3" s="45">
        <f>+COUNTIFS('[1]Base Instalada'!AA:AA,Tabla1[[#This Row],[Cliente]],'[1]Base Instalada'!Z:Z,"ESTERILIZACIÓN")</f>
        <v>4</v>
      </c>
      <c r="P163" s="45">
        <f>+COUNTIFS('[1]Base Instalada'!AA:AA,Tabla1[[#This Row],[Cliente]],'[1]Base Instalada'!Z:Z,"DENTAL")</f>
        <v>10</v>
      </c>
      <c r="Q163" s="45">
        <f>+COUNTIFS('[1]Base Instalada'!AA:AA,Tabla1[[#This Row],[Cliente]],'[1]Base Instalada'!Z:Z,"ENDOSCOPÍA")</f>
        <v>0</v>
      </c>
      <c r="R163" s="45">
        <f>+COUNTIFS('[1]Base Instalada'!AA:AA,Tabla1[[#This Row],[Cliente]],'[1]Base Instalada'!Z:Z,"INCARDIA")</f>
        <v>0</v>
      </c>
      <c r="S163" s="45">
        <f>+COUNTIFS('[1]Base Instalada'!AA:AA,Tabla1[[#This Row],[Cliente]],'[1]Base Instalada'!Z:Z,"MMQ")</f>
        <v>0</v>
      </c>
      <c r="T163" s="45">
        <f>+COUNTIFS('[1]Base Instalada'!AA:AA,Tabla1[[#This Row],[Cliente]],'[1]Base Instalada'!Z:Z,"REAS")</f>
        <v>0</v>
      </c>
      <c r="U163" s="46">
        <f>+COUNTIFS('[1]Base Instalada'!AA:AA,Tabla1[[#This Row],[Cliente]],'[1]Base Instalada'!Z:Z,"MOBILIARIO CLINICO")</f>
        <v>0</v>
      </c>
      <c r="V163" s="29">
        <f>+COUNTIFS('[1]Base Instalada'!AA:AA,Tabla1[[#This Row],[Cliente]],'[1]Base Instalada'!Z:Z,"OTRO")</f>
        <v>0</v>
      </c>
      <c r="W163" s="61" t="str">
        <f t="shared" si="6"/>
        <v>Región Metropolitana</v>
      </c>
      <c r="X163" s="61" t="str">
        <f t="shared" si="7"/>
        <v>Ñuñoa</v>
      </c>
      <c r="Y163" s="62" t="s">
        <v>361</v>
      </c>
      <c r="Z163" s="33">
        <f>+COUNTIFS('[1]Pipeline TS'!$F:$F,Tabla1[[#This Row],[Cliente]])</f>
        <v>0</v>
      </c>
      <c r="AA163" s="63">
        <f>SUMIFS('[1]Pipeline Esterilización'!M:M,'[1]Pipeline Esterilización'!E:E,Tabla1[[#This Row],[Cliente]],'[1]Pipeline Esterilización'!B:B,"2026",'[1]Pipeline Esterilización'!L:L,"&gt;0")</f>
        <v>0</v>
      </c>
      <c r="AB163" s="33">
        <f>+SUMIFS('[1]Pipeline Endoscopía'!K:K,'[1]Pipeline Endoscopía'!E:E,Tabla1[[#This Row],[Cliente]],'[1]Pipeline Endoscopía'!B:B,"2026",'[1]Pipeline Endoscopía'!J:J,"&gt;0")</f>
        <v>0</v>
      </c>
      <c r="AC163" s="63">
        <f>+SUMIFS('[1]Pipeline Dental'!K:K,'[1]Pipeline Dental'!E:E,Tabla1[[#This Row],[Cliente]],'[1]Pipeline Dental'!B:B,"2026",'[1]Pipeline Dental'!J:J,"&gt;0")</f>
        <v>0</v>
      </c>
      <c r="AD163" s="64">
        <f>+SUMIFS('[1]Pipeline TS'!$AB:$AB,'[1]Pipeline TS'!$F:$F,Tabla1[[#This Row],[Cliente]])</f>
        <v>0</v>
      </c>
      <c r="AE163" s="65">
        <f>+SUM(Tabla1[[#This Row],[Pipeline 2026 $MM ESTERILIZACIÓN]:[Pipeline 2026 $MM TECSERVICE]])</f>
        <v>0</v>
      </c>
      <c r="AF163" s="43">
        <v>-33.3095566186011</v>
      </c>
      <c r="AG163" s="58">
        <v>-70.670209174404505</v>
      </c>
      <c r="AH163" s="57" t="str">
        <f>+IF(Tabla1[[#This Row],['# Contratos Vigentes ]]&gt;0,"SI","NO")</f>
        <v>NO</v>
      </c>
      <c r="AI163" s="66"/>
      <c r="AJ163" s="67">
        <f>+Tabla1[[#This Row],[Ingreso 2025 - 2026]]*Tabla1[[#This Row],[% Costo Serv. Directo]]</f>
        <v>0</v>
      </c>
      <c r="AK163" s="68"/>
      <c r="AL16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13979000</v>
      </c>
      <c r="AN163" s="42">
        <f>+Tabla1[[#This Row],[Potencial Equipos]]+Tabla1[[#This Row],[Potencial Pipeline]]</f>
        <v>13979000</v>
      </c>
    </row>
    <row r="164" spans="1:40" ht="15.75" x14ac:dyDescent="0.25">
      <c r="A164" s="47" t="s">
        <v>362</v>
      </c>
      <c r="B164" t="str">
        <f>+VLOOKUP(Tabla1[[#This Row],[Cliente]],'[1]Público Privado'!$A$1:$B$325,2,FALSE)</f>
        <v>Privado</v>
      </c>
      <c r="C164" s="23">
        <f>+SUMIFS('[1]Facturacion a Fecha'!$T:$T,'[1]Facturacion a Fecha'!$AY:$AY,Tabla1[[#This Row],[Cliente]])</f>
        <v>0</v>
      </c>
      <c r="D164" s="24">
        <f>+SUMIFS('[1]Facturacion a Fecha'!$T:$T,'[1]Facturacion a Fecha'!$AY:$AY,Tabla1[[#This Row],[Cliente]],'[1]Facturacion a Fecha'!$AX:$AX,"Correctivo")</f>
        <v>0</v>
      </c>
      <c r="E164" s="25">
        <f>+COUNTIFS('[1]Facturacion a Fecha'!AY:AY,Tabla1[[#This Row],[Cliente]],'[1]Facturacion a Fecha'!AX:AX,"Correctivo")</f>
        <v>0</v>
      </c>
      <c r="F164" s="25">
        <f>+SUMIFS('[1]Facturacion a Fecha'!$T:$T,'[1]Facturacion a Fecha'!$AY:$AY,Tabla1[[#This Row],[Cliente]],'[1]Facturacion a Fecha'!$AX:$AX,"Preventivo")</f>
        <v>0</v>
      </c>
      <c r="G164" s="25">
        <f>+COUNTIFS('[1]Facturacion a Fecha'!AY:AY,Tabla1[[#This Row],[Cliente]],'[1]Facturacion a Fecha'!AX:AX,"Preventivo")</f>
        <v>0</v>
      </c>
      <c r="H164" s="26">
        <f>+Tabla1[[#This Row],['# Preventivo]]+Tabla1[[#This Row],['# Correctivo]]</f>
        <v>0</v>
      </c>
      <c r="I164" s="23">
        <f>+IFERROR(Tabla1[[#This Row],[Ingreso 2025 - 2026 Correctivo]]/Tabla1[[#This Row],[Ingreso 2025 - 2026 Preventivo]],0)</f>
        <v>0</v>
      </c>
      <c r="J164" s="59">
        <f>+IFERROR(Tabla1[[#This Row],['# Correctivo]]/Tabla1[[#This Row],['# Preventivo]],0)</f>
        <v>0</v>
      </c>
      <c r="K164" s="60">
        <f>+IFERROR(Tabla1[[#This Row],[Ingreso 2025 - 2026 Preventivo]]/(Tabla1[[#This Row],[Ingreso 2025 - 2026 Correctivo]]+Tabla1[[#This Row],[Ingreso 2025 - 2026 Preventivo]]),0)</f>
        <v>0</v>
      </c>
      <c r="L164" s="60">
        <f>1-Tabla1[[#This Row],[% Preventivo $]]</f>
        <v>1</v>
      </c>
      <c r="M164" s="45">
        <f>+COUNTIFS('[1]Base Instalada'!AA:AA,Tabla1[[#This Row],[Cliente]])</f>
        <v>6</v>
      </c>
      <c r="N16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4" s="45">
        <f>+COUNTIFS('[1]Base Instalada'!AA:AA,Tabla1[[#This Row],[Cliente]],'[1]Base Instalada'!Z:Z,"ESTERILIZACIÓN")</f>
        <v>1</v>
      </c>
      <c r="P164" s="45">
        <f>+COUNTIFS('[1]Base Instalada'!AA:AA,Tabla1[[#This Row],[Cliente]],'[1]Base Instalada'!Z:Z,"DENTAL")</f>
        <v>3</v>
      </c>
      <c r="Q164" s="45">
        <f>+COUNTIFS('[1]Base Instalada'!AA:AA,Tabla1[[#This Row],[Cliente]],'[1]Base Instalada'!Z:Z,"ENDOSCOPÍA")</f>
        <v>0</v>
      </c>
      <c r="R164" s="45">
        <f>+COUNTIFS('[1]Base Instalada'!AA:AA,Tabla1[[#This Row],[Cliente]],'[1]Base Instalada'!Z:Z,"INCARDIA")</f>
        <v>0</v>
      </c>
      <c r="S164" s="45">
        <f>+COUNTIFS('[1]Base Instalada'!AA:AA,Tabla1[[#This Row],[Cliente]],'[1]Base Instalada'!Z:Z,"MMQ")</f>
        <v>0</v>
      </c>
      <c r="T164" s="45">
        <f>+COUNTIFS('[1]Base Instalada'!AA:AA,Tabla1[[#This Row],[Cliente]],'[1]Base Instalada'!Z:Z,"REAS")</f>
        <v>0</v>
      </c>
      <c r="U164" s="46">
        <f>+COUNTIFS('[1]Base Instalada'!AA:AA,Tabla1[[#This Row],[Cliente]],'[1]Base Instalada'!Z:Z,"MOBILIARIO CLINICO")</f>
        <v>2</v>
      </c>
      <c r="V164" s="29">
        <f>+COUNTIFS('[1]Base Instalada'!AA:AA,Tabla1[[#This Row],[Cliente]],'[1]Base Instalada'!Z:Z,"OTRO")</f>
        <v>0</v>
      </c>
      <c r="W164" s="61" t="str">
        <f t="shared" si="6"/>
        <v>Región Metropolitana</v>
      </c>
      <c r="X164" s="61" t="str">
        <f t="shared" si="7"/>
        <v>Isla de Maipo</v>
      </c>
      <c r="Y164" s="62" t="s">
        <v>363</v>
      </c>
      <c r="Z164" s="33">
        <f>+COUNTIFS('[1]Pipeline TS'!$F:$F,Tabla1[[#This Row],[Cliente]])</f>
        <v>0</v>
      </c>
      <c r="AA164" s="63">
        <f>SUMIFS('[1]Pipeline Esterilización'!M:M,'[1]Pipeline Esterilización'!E:E,Tabla1[[#This Row],[Cliente]],'[1]Pipeline Esterilización'!B:B,"2026",'[1]Pipeline Esterilización'!L:L,"&gt;0")</f>
        <v>0</v>
      </c>
      <c r="AB164" s="33">
        <f>+SUMIFS('[1]Pipeline Endoscopía'!K:K,'[1]Pipeline Endoscopía'!E:E,Tabla1[[#This Row],[Cliente]],'[1]Pipeline Endoscopía'!B:B,"2026",'[1]Pipeline Endoscopía'!J:J,"&gt;0")</f>
        <v>0</v>
      </c>
      <c r="AC164" s="63">
        <f>+SUMIFS('[1]Pipeline Dental'!K:K,'[1]Pipeline Dental'!E:E,Tabla1[[#This Row],[Cliente]],'[1]Pipeline Dental'!B:B,"2026",'[1]Pipeline Dental'!J:J,"&gt;0")</f>
        <v>0</v>
      </c>
      <c r="AD164" s="64">
        <f>+SUMIFS('[1]Pipeline TS'!$AB:$AB,'[1]Pipeline TS'!$F:$F,Tabla1[[#This Row],[Cliente]])</f>
        <v>0</v>
      </c>
      <c r="AE164" s="65">
        <f>+SUM(Tabla1[[#This Row],[Pipeline 2026 $MM ESTERILIZACIÓN]:[Pipeline 2026 $MM TECSERVICE]])</f>
        <v>0</v>
      </c>
      <c r="AF164" s="43">
        <v>-33.753529382340197</v>
      </c>
      <c r="AG164" s="58">
        <v>-70.902995936009106</v>
      </c>
      <c r="AH164" s="57" t="str">
        <f>+IF(Tabla1[[#This Row],['# Contratos Vigentes ]]&gt;0,"SI","NO")</f>
        <v>NO</v>
      </c>
      <c r="AI164" s="66"/>
      <c r="AJ164" s="67">
        <f>+Tabla1[[#This Row],[Ingreso 2025 - 2026]]*Tabla1[[#This Row],[% Costo Serv. Directo]]</f>
        <v>0</v>
      </c>
      <c r="AK164" s="68"/>
      <c r="AL16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3794300</v>
      </c>
      <c r="AN164" s="42">
        <f>+Tabla1[[#This Row],[Potencial Equipos]]+Tabla1[[#This Row],[Potencial Pipeline]]</f>
        <v>3794300</v>
      </c>
    </row>
    <row r="165" spans="1:40" ht="15.75" x14ac:dyDescent="0.25">
      <c r="A165" s="47" t="s">
        <v>364</v>
      </c>
      <c r="B165" t="str">
        <f>+VLOOKUP(Tabla1[[#This Row],[Cliente]],'[1]Público Privado'!$A$1:$B$325,2,FALSE)</f>
        <v>Privado</v>
      </c>
      <c r="C165" s="23">
        <f>+SUMIFS('[1]Facturacion a Fecha'!$T:$T,'[1]Facturacion a Fecha'!$AY:$AY,Tabla1[[#This Row],[Cliente]])</f>
        <v>0</v>
      </c>
      <c r="D165" s="24">
        <f>+SUMIFS('[1]Facturacion a Fecha'!$T:$T,'[1]Facturacion a Fecha'!$AY:$AY,Tabla1[[#This Row],[Cliente]],'[1]Facturacion a Fecha'!$AX:$AX,"Correctivo")</f>
        <v>0</v>
      </c>
      <c r="E165" s="25">
        <f>+COUNTIFS('[1]Facturacion a Fecha'!AY:AY,Tabla1[[#This Row],[Cliente]],'[1]Facturacion a Fecha'!AX:AX,"Correctivo")</f>
        <v>0</v>
      </c>
      <c r="F165" s="25">
        <f>+SUMIFS('[1]Facturacion a Fecha'!$T:$T,'[1]Facturacion a Fecha'!$AY:$AY,Tabla1[[#This Row],[Cliente]],'[1]Facturacion a Fecha'!$AX:$AX,"Preventivo")</f>
        <v>0</v>
      </c>
      <c r="G165" s="25">
        <f>+COUNTIFS('[1]Facturacion a Fecha'!AY:AY,Tabla1[[#This Row],[Cliente]],'[1]Facturacion a Fecha'!AX:AX,"Preventivo")</f>
        <v>0</v>
      </c>
      <c r="H165" s="26">
        <f>+Tabla1[[#This Row],['# Preventivo]]+Tabla1[[#This Row],['# Correctivo]]</f>
        <v>0</v>
      </c>
      <c r="I165" s="23">
        <f>+IFERROR(Tabla1[[#This Row],[Ingreso 2025 - 2026 Correctivo]]/Tabla1[[#This Row],[Ingreso 2025 - 2026 Preventivo]],0)</f>
        <v>0</v>
      </c>
      <c r="J165" s="59">
        <f>+IFERROR(Tabla1[[#This Row],['# Correctivo]]/Tabla1[[#This Row],['# Preventivo]],0)</f>
        <v>0</v>
      </c>
      <c r="K165" s="60">
        <f>+IFERROR(Tabla1[[#This Row],[Ingreso 2025 - 2026 Preventivo]]/(Tabla1[[#This Row],[Ingreso 2025 - 2026 Correctivo]]+Tabla1[[#This Row],[Ingreso 2025 - 2026 Preventivo]]),0)</f>
        <v>0</v>
      </c>
      <c r="L165" s="60">
        <f>1-Tabla1[[#This Row],[% Preventivo $]]</f>
        <v>1</v>
      </c>
      <c r="M165" s="45">
        <f>+COUNTIFS('[1]Base Instalada'!AA:AA,Tabla1[[#This Row],[Cliente]])</f>
        <v>5</v>
      </c>
      <c r="N16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5" s="45">
        <f>+COUNTIFS('[1]Base Instalada'!AA:AA,Tabla1[[#This Row],[Cliente]],'[1]Base Instalada'!Z:Z,"ESTERILIZACIÓN")</f>
        <v>3</v>
      </c>
      <c r="P165" s="45">
        <f>+COUNTIFS('[1]Base Instalada'!AA:AA,Tabla1[[#This Row],[Cliente]],'[1]Base Instalada'!Z:Z,"DENTAL")</f>
        <v>2</v>
      </c>
      <c r="Q165" s="45">
        <f>+COUNTIFS('[1]Base Instalada'!AA:AA,Tabla1[[#This Row],[Cliente]],'[1]Base Instalada'!Z:Z,"ENDOSCOPÍA")</f>
        <v>0</v>
      </c>
      <c r="R165" s="45">
        <f>+COUNTIFS('[1]Base Instalada'!AA:AA,Tabla1[[#This Row],[Cliente]],'[1]Base Instalada'!Z:Z,"INCARDIA")</f>
        <v>0</v>
      </c>
      <c r="S165" s="45">
        <f>+COUNTIFS('[1]Base Instalada'!AA:AA,Tabla1[[#This Row],[Cliente]],'[1]Base Instalada'!Z:Z,"MMQ")</f>
        <v>0</v>
      </c>
      <c r="T165" s="45">
        <f>+COUNTIFS('[1]Base Instalada'!AA:AA,Tabla1[[#This Row],[Cliente]],'[1]Base Instalada'!Z:Z,"REAS")</f>
        <v>0</v>
      </c>
      <c r="U165" s="46">
        <f>+COUNTIFS('[1]Base Instalada'!AA:AA,Tabla1[[#This Row],[Cliente]],'[1]Base Instalada'!Z:Z,"MOBILIARIO CLINICO")</f>
        <v>0</v>
      </c>
      <c r="V165" s="29">
        <f>+COUNTIFS('[1]Base Instalada'!AA:AA,Tabla1[[#This Row],[Cliente]],'[1]Base Instalada'!Z:Z,"OTRO")</f>
        <v>0</v>
      </c>
      <c r="W165" s="61" t="str">
        <f t="shared" si="6"/>
        <v>Región Ñuble</v>
      </c>
      <c r="X165" s="61" t="str">
        <f t="shared" si="7"/>
        <v>Chillán</v>
      </c>
      <c r="Y165" s="62" t="s">
        <v>365</v>
      </c>
      <c r="Z165" s="33">
        <f>+COUNTIFS('[1]Pipeline TS'!$F:$F,Tabla1[[#This Row],[Cliente]])</f>
        <v>0</v>
      </c>
      <c r="AA165" s="63">
        <f>SUMIFS('[1]Pipeline Esterilización'!M:M,'[1]Pipeline Esterilización'!E:E,Tabla1[[#This Row],[Cliente]],'[1]Pipeline Esterilización'!B:B,"2026",'[1]Pipeline Esterilización'!L:L,"&gt;0")</f>
        <v>0</v>
      </c>
      <c r="AB165" s="33">
        <f>+SUMIFS('[1]Pipeline Endoscopía'!K:K,'[1]Pipeline Endoscopía'!E:E,Tabla1[[#This Row],[Cliente]],'[1]Pipeline Endoscopía'!B:B,"2026",'[1]Pipeline Endoscopía'!J:J,"&gt;0")</f>
        <v>0</v>
      </c>
      <c r="AC165" s="63">
        <f>+SUMIFS('[1]Pipeline Dental'!K:K,'[1]Pipeline Dental'!E:E,Tabla1[[#This Row],[Cliente]],'[1]Pipeline Dental'!B:B,"2026",'[1]Pipeline Dental'!J:J,"&gt;0")</f>
        <v>0</v>
      </c>
      <c r="AD165" s="64">
        <f>+SUMIFS('[1]Pipeline TS'!$AB:$AB,'[1]Pipeline TS'!$F:$F,Tabla1[[#This Row],[Cliente]])</f>
        <v>0</v>
      </c>
      <c r="AE165" s="65">
        <f>+SUM(Tabla1[[#This Row],[Pipeline 2026 $MM ESTERILIZACIÓN]:[Pipeline 2026 $MM TECSERVICE]])</f>
        <v>0</v>
      </c>
      <c r="AF165" s="43">
        <v>-36.582497129623199</v>
      </c>
      <c r="AG165" s="58">
        <v>-72.111065202035107</v>
      </c>
      <c r="AH165" s="57" t="str">
        <f>+IF(Tabla1[[#This Row],['# Contratos Vigentes ]]&gt;0,"SI","NO")</f>
        <v>NO</v>
      </c>
      <c r="AI165" s="66"/>
      <c r="AJ165" s="67">
        <f>+Tabla1[[#This Row],[Ingreso 2025 - 2026]]*Tabla1[[#This Row],[% Costo Serv. Directo]]</f>
        <v>0</v>
      </c>
      <c r="AK165" s="68"/>
      <c r="AL16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7189200</v>
      </c>
      <c r="AN165" s="42">
        <f>+Tabla1[[#This Row],[Potencial Equipos]]+Tabla1[[#This Row],[Potencial Pipeline]]</f>
        <v>7189200</v>
      </c>
    </row>
    <row r="166" spans="1:40" ht="15.75" x14ac:dyDescent="0.25">
      <c r="A166" s="47" t="s">
        <v>366</v>
      </c>
      <c r="B166" t="str">
        <f>+VLOOKUP(Tabla1[[#This Row],[Cliente]],'[1]Público Privado'!$A$1:$B$325,2,FALSE)</f>
        <v>Privado</v>
      </c>
      <c r="C166" s="23">
        <f>+SUMIFS('[1]Facturacion a Fecha'!$T:$T,'[1]Facturacion a Fecha'!$AY:$AY,Tabla1[[#This Row],[Cliente]])</f>
        <v>0</v>
      </c>
      <c r="D166" s="24">
        <f>+SUMIFS('[1]Facturacion a Fecha'!$T:$T,'[1]Facturacion a Fecha'!$AY:$AY,Tabla1[[#This Row],[Cliente]],'[1]Facturacion a Fecha'!$AX:$AX,"Correctivo")</f>
        <v>0</v>
      </c>
      <c r="E166" s="25">
        <f>+COUNTIFS('[1]Facturacion a Fecha'!AY:AY,Tabla1[[#This Row],[Cliente]],'[1]Facturacion a Fecha'!AX:AX,"Correctivo")</f>
        <v>0</v>
      </c>
      <c r="F166" s="25">
        <f>+SUMIFS('[1]Facturacion a Fecha'!$T:$T,'[1]Facturacion a Fecha'!$AY:$AY,Tabla1[[#This Row],[Cliente]],'[1]Facturacion a Fecha'!$AX:$AX,"Preventivo")</f>
        <v>0</v>
      </c>
      <c r="G166" s="25">
        <f>+COUNTIFS('[1]Facturacion a Fecha'!AY:AY,Tabla1[[#This Row],[Cliente]],'[1]Facturacion a Fecha'!AX:AX,"Preventivo")</f>
        <v>0</v>
      </c>
      <c r="H166" s="26">
        <f>+Tabla1[[#This Row],['# Preventivo]]+Tabla1[[#This Row],['# Correctivo]]</f>
        <v>0</v>
      </c>
      <c r="I166" s="23">
        <f>+IFERROR(Tabla1[[#This Row],[Ingreso 2025 - 2026 Correctivo]]/Tabla1[[#This Row],[Ingreso 2025 - 2026 Preventivo]],0)</f>
        <v>0</v>
      </c>
      <c r="J166" s="59">
        <f>+IFERROR(Tabla1[[#This Row],['# Correctivo]]/Tabla1[[#This Row],['# Preventivo]],0)</f>
        <v>0</v>
      </c>
      <c r="K166" s="60">
        <f>+IFERROR(Tabla1[[#This Row],[Ingreso 2025 - 2026 Preventivo]]/(Tabla1[[#This Row],[Ingreso 2025 - 2026 Correctivo]]+Tabla1[[#This Row],[Ingreso 2025 - 2026 Preventivo]]),0)</f>
        <v>0</v>
      </c>
      <c r="L166" s="60">
        <f>1-Tabla1[[#This Row],[% Preventivo $]]</f>
        <v>1</v>
      </c>
      <c r="M166" s="45">
        <f>+COUNTIFS('[1]Base Instalada'!AA:AA,Tabla1[[#This Row],[Cliente]])</f>
        <v>80</v>
      </c>
      <c r="N16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6" s="45">
        <f>+COUNTIFS('[1]Base Instalada'!AA:AA,Tabla1[[#This Row],[Cliente]],'[1]Base Instalada'!Z:Z,"ESTERILIZACIÓN")</f>
        <v>38</v>
      </c>
      <c r="P166" s="45">
        <f>+COUNTIFS('[1]Base Instalada'!AA:AA,Tabla1[[#This Row],[Cliente]],'[1]Base Instalada'!Z:Z,"DENTAL")</f>
        <v>10</v>
      </c>
      <c r="Q166" s="45">
        <f>+COUNTIFS('[1]Base Instalada'!AA:AA,Tabla1[[#This Row],[Cliente]],'[1]Base Instalada'!Z:Z,"ENDOSCOPÍA")</f>
        <v>0</v>
      </c>
      <c r="R166" s="45">
        <f>+COUNTIFS('[1]Base Instalada'!AA:AA,Tabla1[[#This Row],[Cliente]],'[1]Base Instalada'!Z:Z,"INCARDIA")</f>
        <v>0</v>
      </c>
      <c r="S166" s="45">
        <f>+COUNTIFS('[1]Base Instalada'!AA:AA,Tabla1[[#This Row],[Cliente]],'[1]Base Instalada'!Z:Z,"MMQ")</f>
        <v>1</v>
      </c>
      <c r="T166" s="45">
        <f>+COUNTIFS('[1]Base Instalada'!AA:AA,Tabla1[[#This Row],[Cliente]],'[1]Base Instalada'!Z:Z,"REAS")</f>
        <v>0</v>
      </c>
      <c r="U166" s="46">
        <f>+COUNTIFS('[1]Base Instalada'!AA:AA,Tabla1[[#This Row],[Cliente]],'[1]Base Instalada'!Z:Z,"MOBILIARIO CLINICO")</f>
        <v>31</v>
      </c>
      <c r="V166" s="29">
        <f>+COUNTIFS('[1]Base Instalada'!AA:AA,Tabla1[[#This Row],[Cliente]],'[1]Base Instalada'!Z:Z,"OTRO")</f>
        <v>0</v>
      </c>
      <c r="W166" s="61" t="str">
        <f t="shared" si="6"/>
        <v>Región Metropolitana</v>
      </c>
      <c r="X166" s="61" t="str">
        <f t="shared" si="7"/>
        <v>Santiago</v>
      </c>
      <c r="Y166" s="62" t="s">
        <v>367</v>
      </c>
      <c r="Z166" s="33">
        <f>+COUNTIFS('[1]Pipeline TS'!$F:$F,Tabla1[[#This Row],[Cliente]])</f>
        <v>0</v>
      </c>
      <c r="AA166" s="63">
        <f>SUMIFS('[1]Pipeline Esterilización'!M:M,'[1]Pipeline Esterilización'!E:E,Tabla1[[#This Row],[Cliente]],'[1]Pipeline Esterilización'!B:B,"2026",'[1]Pipeline Esterilización'!L:L,"&gt;0")</f>
        <v>0</v>
      </c>
      <c r="AB166" s="33">
        <f>+SUMIFS('[1]Pipeline Endoscopía'!K:K,'[1]Pipeline Endoscopía'!E:E,Tabla1[[#This Row],[Cliente]],'[1]Pipeline Endoscopía'!B:B,"2026",'[1]Pipeline Endoscopía'!J:J,"&gt;0")</f>
        <v>0</v>
      </c>
      <c r="AC166" s="63">
        <f>+SUMIFS('[1]Pipeline Dental'!K:K,'[1]Pipeline Dental'!E:E,Tabla1[[#This Row],[Cliente]],'[1]Pipeline Dental'!B:B,"2026",'[1]Pipeline Dental'!J:J,"&gt;0")</f>
        <v>0</v>
      </c>
      <c r="AD166" s="64">
        <f>+SUMIFS('[1]Pipeline TS'!$AB:$AB,'[1]Pipeline TS'!$F:$F,Tabla1[[#This Row],[Cliente]])</f>
        <v>0</v>
      </c>
      <c r="AE166" s="65">
        <f>+SUM(Tabla1[[#This Row],[Pipeline 2026 $MM ESTERILIZACIÓN]:[Pipeline 2026 $MM TECSERVICE]])</f>
        <v>0</v>
      </c>
      <c r="AF166" s="43">
        <v>-33.405704768096498</v>
      </c>
      <c r="AG166" s="58">
        <v>-70.653889338337606</v>
      </c>
      <c r="AH166" s="57" t="str">
        <f>+IF(Tabla1[[#This Row],['# Contratos Vigentes ]]&gt;0,"SI","NO")</f>
        <v>NO</v>
      </c>
      <c r="AI166" s="66"/>
      <c r="AJ166" s="67">
        <f>+Tabla1[[#This Row],[Ingreso 2025 - 2026]]*Tabla1[[#This Row],[% Costo Serv. Directo]]</f>
        <v>0</v>
      </c>
      <c r="AK166" s="68"/>
      <c r="AL16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81877000</v>
      </c>
      <c r="AN166" s="42">
        <f>+Tabla1[[#This Row],[Potencial Equipos]]+Tabla1[[#This Row],[Potencial Pipeline]]</f>
        <v>81877000</v>
      </c>
    </row>
    <row r="167" spans="1:40" ht="15.75" x14ac:dyDescent="0.25">
      <c r="A167" s="47" t="s">
        <v>368</v>
      </c>
      <c r="B167" t="str">
        <f>+VLOOKUP(Tabla1[[#This Row],[Cliente]],'[1]Público Privado'!$A$1:$B$325,2,FALSE)</f>
        <v>Público</v>
      </c>
      <c r="C167" s="23">
        <f>+SUMIFS('[1]Facturacion a Fecha'!$T:$T,'[1]Facturacion a Fecha'!$AY:$AY,Tabla1[[#This Row],[Cliente]])</f>
        <v>0</v>
      </c>
      <c r="D167" s="24">
        <f>+SUMIFS('[1]Facturacion a Fecha'!$T:$T,'[1]Facturacion a Fecha'!$AY:$AY,Tabla1[[#This Row],[Cliente]],'[1]Facturacion a Fecha'!$AX:$AX,"Correctivo")</f>
        <v>0</v>
      </c>
      <c r="E167" s="25">
        <f>+COUNTIFS('[1]Facturacion a Fecha'!AY:AY,Tabla1[[#This Row],[Cliente]],'[1]Facturacion a Fecha'!AX:AX,"Correctivo")</f>
        <v>0</v>
      </c>
      <c r="F167" s="25">
        <f>+SUMIFS('[1]Facturacion a Fecha'!$T:$T,'[1]Facturacion a Fecha'!$AY:$AY,Tabla1[[#This Row],[Cliente]],'[1]Facturacion a Fecha'!$AX:$AX,"Preventivo")</f>
        <v>0</v>
      </c>
      <c r="G167" s="25">
        <f>+COUNTIFS('[1]Facturacion a Fecha'!AY:AY,Tabla1[[#This Row],[Cliente]],'[1]Facturacion a Fecha'!AX:AX,"Preventivo")</f>
        <v>0</v>
      </c>
      <c r="H167" s="26">
        <f>+Tabla1[[#This Row],['# Preventivo]]+Tabla1[[#This Row],['# Correctivo]]</f>
        <v>0</v>
      </c>
      <c r="I167" s="23">
        <f>+IFERROR(Tabla1[[#This Row],[Ingreso 2025 - 2026 Correctivo]]/Tabla1[[#This Row],[Ingreso 2025 - 2026 Preventivo]],0)</f>
        <v>0</v>
      </c>
      <c r="J167" s="59">
        <f>+IFERROR(Tabla1[[#This Row],['# Correctivo]]/Tabla1[[#This Row],['# Preventivo]],0)</f>
        <v>0</v>
      </c>
      <c r="K167" s="60">
        <f>+IFERROR(Tabla1[[#This Row],[Ingreso 2025 - 2026 Preventivo]]/(Tabla1[[#This Row],[Ingreso 2025 - 2026 Correctivo]]+Tabla1[[#This Row],[Ingreso 2025 - 2026 Preventivo]]),0)</f>
        <v>0</v>
      </c>
      <c r="L167" s="60">
        <f>1-Tabla1[[#This Row],[% Preventivo $]]</f>
        <v>1</v>
      </c>
      <c r="M167" s="45">
        <f>+COUNTIFS('[1]Base Instalada'!AA:AA,Tabla1[[#This Row],[Cliente]])</f>
        <v>9</v>
      </c>
      <c r="N16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7" s="45">
        <f>+COUNTIFS('[1]Base Instalada'!AA:AA,Tabla1[[#This Row],[Cliente]],'[1]Base Instalada'!Z:Z,"ESTERILIZACIÓN")</f>
        <v>1</v>
      </c>
      <c r="P167" s="45">
        <f>+COUNTIFS('[1]Base Instalada'!AA:AA,Tabla1[[#This Row],[Cliente]],'[1]Base Instalada'!Z:Z,"DENTAL")</f>
        <v>2</v>
      </c>
      <c r="Q167" s="45">
        <f>+COUNTIFS('[1]Base Instalada'!AA:AA,Tabla1[[#This Row],[Cliente]],'[1]Base Instalada'!Z:Z,"ENDOSCOPÍA")</f>
        <v>0</v>
      </c>
      <c r="R167" s="45">
        <f>+COUNTIFS('[1]Base Instalada'!AA:AA,Tabla1[[#This Row],[Cliente]],'[1]Base Instalada'!Z:Z,"INCARDIA")</f>
        <v>6</v>
      </c>
      <c r="S167" s="45">
        <f>+COUNTIFS('[1]Base Instalada'!AA:AA,Tabla1[[#This Row],[Cliente]],'[1]Base Instalada'!Z:Z,"MMQ")</f>
        <v>0</v>
      </c>
      <c r="T167" s="45">
        <f>+COUNTIFS('[1]Base Instalada'!AA:AA,Tabla1[[#This Row],[Cliente]],'[1]Base Instalada'!Z:Z,"REAS")</f>
        <v>0</v>
      </c>
      <c r="U167" s="46">
        <f>+COUNTIFS('[1]Base Instalada'!AA:AA,Tabla1[[#This Row],[Cliente]],'[1]Base Instalada'!Z:Z,"MOBILIARIO CLINICO")</f>
        <v>0</v>
      </c>
      <c r="V167" s="29">
        <f>+COUNTIFS('[1]Base Instalada'!AA:AA,Tabla1[[#This Row],[Cliente]],'[1]Base Instalada'!Z:Z,"OTRO")</f>
        <v>0</v>
      </c>
      <c r="W167" s="61" t="str">
        <f t="shared" si="6"/>
        <v>Región Metropolitana</v>
      </c>
      <c r="X167" s="61" t="str">
        <f t="shared" si="7"/>
        <v>Paine</v>
      </c>
      <c r="Y167" s="62" t="s">
        <v>369</v>
      </c>
      <c r="Z167" s="33">
        <f>+COUNTIFS('[1]Pipeline TS'!$F:$F,Tabla1[[#This Row],[Cliente]])</f>
        <v>0</v>
      </c>
      <c r="AA167" s="63">
        <f>SUMIFS('[1]Pipeline Esterilización'!M:M,'[1]Pipeline Esterilización'!E:E,Tabla1[[#This Row],[Cliente]],'[1]Pipeline Esterilización'!B:B,"2026",'[1]Pipeline Esterilización'!L:L,"&gt;0")</f>
        <v>0</v>
      </c>
      <c r="AB167" s="33">
        <f>+SUMIFS('[1]Pipeline Endoscopía'!K:K,'[1]Pipeline Endoscopía'!E:E,Tabla1[[#This Row],[Cliente]],'[1]Pipeline Endoscopía'!B:B,"2026",'[1]Pipeline Endoscopía'!J:J,"&gt;0")</f>
        <v>0</v>
      </c>
      <c r="AC167" s="63">
        <f>+SUMIFS('[1]Pipeline Dental'!K:K,'[1]Pipeline Dental'!E:E,Tabla1[[#This Row],[Cliente]],'[1]Pipeline Dental'!B:B,"2026",'[1]Pipeline Dental'!J:J,"&gt;0")</f>
        <v>0</v>
      </c>
      <c r="AD167" s="64">
        <f>+SUMIFS('[1]Pipeline TS'!$AB:$AB,'[1]Pipeline TS'!$F:$F,Tabla1[[#This Row],[Cliente]])</f>
        <v>0</v>
      </c>
      <c r="AE167" s="65">
        <f>+SUM(Tabla1[[#This Row],[Pipeline 2026 $MM ESTERILIZACIÓN]:[Pipeline 2026 $MM TECSERVICE]])</f>
        <v>0</v>
      </c>
      <c r="AF167" s="43">
        <v>-33.807574664603301</v>
      </c>
      <c r="AG167" s="58">
        <v>-70.741902146834505</v>
      </c>
      <c r="AH167" s="57" t="str">
        <f>+IF(Tabla1[[#This Row],['# Contratos Vigentes ]]&gt;0,"SI","NO")</f>
        <v>NO</v>
      </c>
      <c r="AI167" s="66"/>
      <c r="AJ167" s="67">
        <f>+Tabla1[[#This Row],[Ingreso 2025 - 2026]]*Tabla1[[#This Row],[% Costo Serv. Directo]]</f>
        <v>0</v>
      </c>
      <c r="AK167" s="68"/>
      <c r="AL16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3195200</v>
      </c>
      <c r="AN167" s="42">
        <f>+Tabla1[[#This Row],[Potencial Equipos]]+Tabla1[[#This Row],[Potencial Pipeline]]</f>
        <v>3195200</v>
      </c>
    </row>
    <row r="168" spans="1:40" ht="15.75" x14ac:dyDescent="0.25">
      <c r="A168" s="47" t="s">
        <v>370</v>
      </c>
      <c r="B168" t="str">
        <f>+VLOOKUP(Tabla1[[#This Row],[Cliente]],'[1]Público Privado'!$A$1:$B$325,2,FALSE)</f>
        <v>Público</v>
      </c>
      <c r="C168" s="23">
        <f>+SUMIFS('[1]Facturacion a Fecha'!$T:$T,'[1]Facturacion a Fecha'!$AY:$AY,Tabla1[[#This Row],[Cliente]])</f>
        <v>0</v>
      </c>
      <c r="D168" s="24">
        <f>+SUMIFS('[1]Facturacion a Fecha'!$T:$T,'[1]Facturacion a Fecha'!$AY:$AY,Tabla1[[#This Row],[Cliente]],'[1]Facturacion a Fecha'!$AX:$AX,"Correctivo")</f>
        <v>0</v>
      </c>
      <c r="E168" s="25">
        <f>+COUNTIFS('[1]Facturacion a Fecha'!AY:AY,Tabla1[[#This Row],[Cliente]],'[1]Facturacion a Fecha'!AX:AX,"Correctivo")</f>
        <v>0</v>
      </c>
      <c r="F168" s="25">
        <f>+SUMIFS('[1]Facturacion a Fecha'!$T:$T,'[1]Facturacion a Fecha'!$AY:$AY,Tabla1[[#This Row],[Cliente]],'[1]Facturacion a Fecha'!$AX:$AX,"Preventivo")</f>
        <v>0</v>
      </c>
      <c r="G168" s="25">
        <f>+COUNTIFS('[1]Facturacion a Fecha'!AY:AY,Tabla1[[#This Row],[Cliente]],'[1]Facturacion a Fecha'!AX:AX,"Preventivo")</f>
        <v>0</v>
      </c>
      <c r="H168" s="26">
        <f>+Tabla1[[#This Row],['# Preventivo]]+Tabla1[[#This Row],['# Correctivo]]</f>
        <v>0</v>
      </c>
      <c r="I168" s="23">
        <f>+IFERROR(Tabla1[[#This Row],[Ingreso 2025 - 2026 Correctivo]]/Tabla1[[#This Row],[Ingreso 2025 - 2026 Preventivo]],0)</f>
        <v>0</v>
      </c>
      <c r="J168" s="59">
        <f>+IFERROR(Tabla1[[#This Row],['# Correctivo]]/Tabla1[[#This Row],['# Preventivo]],0)</f>
        <v>0</v>
      </c>
      <c r="K168" s="60">
        <f>+IFERROR(Tabla1[[#This Row],[Ingreso 2025 - 2026 Preventivo]]/(Tabla1[[#This Row],[Ingreso 2025 - 2026 Correctivo]]+Tabla1[[#This Row],[Ingreso 2025 - 2026 Preventivo]]),0)</f>
        <v>0</v>
      </c>
      <c r="L168" s="60">
        <f>1-Tabla1[[#This Row],[% Preventivo $]]</f>
        <v>1</v>
      </c>
      <c r="M168" s="45">
        <f>+COUNTIFS('[1]Base Instalada'!AA:AA,Tabla1[[#This Row],[Cliente]])</f>
        <v>7</v>
      </c>
      <c r="N16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8" s="45">
        <f>+COUNTIFS('[1]Base Instalada'!AA:AA,Tabla1[[#This Row],[Cliente]],'[1]Base Instalada'!Z:Z,"ESTERILIZACIÓN")</f>
        <v>7</v>
      </c>
      <c r="P168" s="45">
        <f>+COUNTIFS('[1]Base Instalada'!AA:AA,Tabla1[[#This Row],[Cliente]],'[1]Base Instalada'!Z:Z,"DENTAL")</f>
        <v>0</v>
      </c>
      <c r="Q168" s="45">
        <f>+COUNTIFS('[1]Base Instalada'!AA:AA,Tabla1[[#This Row],[Cliente]],'[1]Base Instalada'!Z:Z,"ENDOSCOPÍA")</f>
        <v>0</v>
      </c>
      <c r="R168" s="45">
        <f>+COUNTIFS('[1]Base Instalada'!AA:AA,Tabla1[[#This Row],[Cliente]],'[1]Base Instalada'!Z:Z,"INCARDIA")</f>
        <v>0</v>
      </c>
      <c r="S168" s="45">
        <f>+COUNTIFS('[1]Base Instalada'!AA:AA,Tabla1[[#This Row],[Cliente]],'[1]Base Instalada'!Z:Z,"MMQ")</f>
        <v>0</v>
      </c>
      <c r="T168" s="45">
        <f>+COUNTIFS('[1]Base Instalada'!AA:AA,Tabla1[[#This Row],[Cliente]],'[1]Base Instalada'!Z:Z,"REAS")</f>
        <v>0</v>
      </c>
      <c r="U168" s="46">
        <f>+COUNTIFS('[1]Base Instalada'!AA:AA,Tabla1[[#This Row],[Cliente]],'[1]Base Instalada'!Z:Z,"MOBILIARIO CLINICO")</f>
        <v>0</v>
      </c>
      <c r="V168" s="29">
        <f>+COUNTIFS('[1]Base Instalada'!AA:AA,Tabla1[[#This Row],[Cliente]],'[1]Base Instalada'!Z:Z,"OTRO")</f>
        <v>0</v>
      </c>
      <c r="W168" s="61" t="str">
        <f t="shared" si="6"/>
        <v>Región Araucanía</v>
      </c>
      <c r="X168" s="61" t="str">
        <f t="shared" si="7"/>
        <v>Angol</v>
      </c>
      <c r="Y168" s="62" t="s">
        <v>371</v>
      </c>
      <c r="Z168" s="33">
        <f>+COUNTIFS('[1]Pipeline TS'!$F:$F,Tabla1[[#This Row],[Cliente]])</f>
        <v>0</v>
      </c>
      <c r="AA168" s="63">
        <f>SUMIFS('[1]Pipeline Esterilización'!M:M,'[1]Pipeline Esterilización'!E:E,Tabla1[[#This Row],[Cliente]],'[1]Pipeline Esterilización'!B:B,"2026",'[1]Pipeline Esterilización'!L:L,"&gt;0")</f>
        <v>0</v>
      </c>
      <c r="AB168" s="33">
        <f>+SUMIFS('[1]Pipeline Endoscopía'!K:K,'[1]Pipeline Endoscopía'!E:E,Tabla1[[#This Row],[Cliente]],'[1]Pipeline Endoscopía'!B:B,"2026",'[1]Pipeline Endoscopía'!J:J,"&gt;0")</f>
        <v>0</v>
      </c>
      <c r="AC168" s="63">
        <f>+SUMIFS('[1]Pipeline Dental'!K:K,'[1]Pipeline Dental'!E:E,Tabla1[[#This Row],[Cliente]],'[1]Pipeline Dental'!B:B,"2026",'[1]Pipeline Dental'!J:J,"&gt;0")</f>
        <v>0</v>
      </c>
      <c r="AD168" s="64">
        <f>+SUMIFS('[1]Pipeline TS'!$AB:$AB,'[1]Pipeline TS'!$F:$F,Tabla1[[#This Row],[Cliente]])</f>
        <v>0</v>
      </c>
      <c r="AE168" s="65">
        <f>+SUM(Tabla1[[#This Row],[Pipeline 2026 $MM ESTERILIZACIÓN]:[Pipeline 2026 $MM TECSERVICE]])</f>
        <v>0</v>
      </c>
      <c r="AF168" s="43">
        <v>-36.963255428339799</v>
      </c>
      <c r="AG168" s="58">
        <v>-72.979711256000797</v>
      </c>
      <c r="AH168" s="57" t="str">
        <f>+IF(Tabla1[[#This Row],['# Contratos Vigentes ]]&gt;0,"SI","NO")</f>
        <v>NO</v>
      </c>
      <c r="AI168" s="66"/>
      <c r="AJ168" s="67">
        <f>+Tabla1[[#This Row],[Ingreso 2025 - 2026]]*Tabla1[[#This Row],[% Costo Serv. Directo]]</f>
        <v>0</v>
      </c>
      <c r="AK168" s="68"/>
      <c r="AL16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13979000</v>
      </c>
      <c r="AN168" s="42">
        <f>+Tabla1[[#This Row],[Potencial Equipos]]+Tabla1[[#This Row],[Potencial Pipeline]]</f>
        <v>13979000</v>
      </c>
    </row>
    <row r="169" spans="1:40" ht="15.75" x14ac:dyDescent="0.25">
      <c r="A169" s="47" t="s">
        <v>372</v>
      </c>
      <c r="B169" t="str">
        <f>+VLOOKUP(Tabla1[[#This Row],[Cliente]],'[1]Público Privado'!$A$1:$B$325,2,FALSE)</f>
        <v>Público</v>
      </c>
      <c r="C169" s="23">
        <f>+SUMIFS('[1]Facturacion a Fecha'!$T:$T,'[1]Facturacion a Fecha'!$AY:$AY,Tabla1[[#This Row],[Cliente]])</f>
        <v>0</v>
      </c>
      <c r="D169" s="24">
        <f>+SUMIFS('[1]Facturacion a Fecha'!$T:$T,'[1]Facturacion a Fecha'!$AY:$AY,Tabla1[[#This Row],[Cliente]],'[1]Facturacion a Fecha'!$AX:$AX,"Correctivo")</f>
        <v>0</v>
      </c>
      <c r="E169" s="25">
        <f>+COUNTIFS('[1]Facturacion a Fecha'!AY:AY,Tabla1[[#This Row],[Cliente]],'[1]Facturacion a Fecha'!AX:AX,"Correctivo")</f>
        <v>0</v>
      </c>
      <c r="F169" s="25">
        <f>+SUMIFS('[1]Facturacion a Fecha'!$T:$T,'[1]Facturacion a Fecha'!$AY:$AY,Tabla1[[#This Row],[Cliente]],'[1]Facturacion a Fecha'!$AX:$AX,"Preventivo")</f>
        <v>0</v>
      </c>
      <c r="G169" s="25">
        <f>+COUNTIFS('[1]Facturacion a Fecha'!AY:AY,Tabla1[[#This Row],[Cliente]],'[1]Facturacion a Fecha'!AX:AX,"Preventivo")</f>
        <v>0</v>
      </c>
      <c r="H169" s="26">
        <f>+Tabla1[[#This Row],['# Preventivo]]+Tabla1[[#This Row],['# Correctivo]]</f>
        <v>0</v>
      </c>
      <c r="I169" s="23">
        <f>+IFERROR(Tabla1[[#This Row],[Ingreso 2025 - 2026 Correctivo]]/Tabla1[[#This Row],[Ingreso 2025 - 2026 Preventivo]],0)</f>
        <v>0</v>
      </c>
      <c r="J169" s="59">
        <f>+IFERROR(Tabla1[[#This Row],['# Correctivo]]/Tabla1[[#This Row],['# Preventivo]],0)</f>
        <v>0</v>
      </c>
      <c r="K169" s="60">
        <f>+IFERROR(Tabla1[[#This Row],[Ingreso 2025 - 2026 Preventivo]]/(Tabla1[[#This Row],[Ingreso 2025 - 2026 Correctivo]]+Tabla1[[#This Row],[Ingreso 2025 - 2026 Preventivo]]),0)</f>
        <v>0</v>
      </c>
      <c r="L169" s="60">
        <f>1-Tabla1[[#This Row],[% Preventivo $]]</f>
        <v>1</v>
      </c>
      <c r="M169" s="45">
        <f>+COUNTIFS('[1]Base Instalada'!AA:AA,Tabla1[[#This Row],[Cliente]])</f>
        <v>19</v>
      </c>
      <c r="N16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69" s="45">
        <f>+COUNTIFS('[1]Base Instalada'!AA:AA,Tabla1[[#This Row],[Cliente]],'[1]Base Instalada'!Z:Z,"ESTERILIZACIÓN")</f>
        <v>1</v>
      </c>
      <c r="P169" s="45">
        <f>+COUNTIFS('[1]Base Instalada'!AA:AA,Tabla1[[#This Row],[Cliente]],'[1]Base Instalada'!Z:Z,"DENTAL")</f>
        <v>18</v>
      </c>
      <c r="Q169" s="45">
        <f>+COUNTIFS('[1]Base Instalada'!AA:AA,Tabla1[[#This Row],[Cliente]],'[1]Base Instalada'!Z:Z,"ENDOSCOPÍA")</f>
        <v>0</v>
      </c>
      <c r="R169" s="45">
        <f>+COUNTIFS('[1]Base Instalada'!AA:AA,Tabla1[[#This Row],[Cliente]],'[1]Base Instalada'!Z:Z,"INCARDIA")</f>
        <v>0</v>
      </c>
      <c r="S169" s="45">
        <f>+COUNTIFS('[1]Base Instalada'!AA:AA,Tabla1[[#This Row],[Cliente]],'[1]Base Instalada'!Z:Z,"MMQ")</f>
        <v>0</v>
      </c>
      <c r="T169" s="45">
        <f>+COUNTIFS('[1]Base Instalada'!AA:AA,Tabla1[[#This Row],[Cliente]],'[1]Base Instalada'!Z:Z,"REAS")</f>
        <v>0</v>
      </c>
      <c r="U169" s="46">
        <f>+COUNTIFS('[1]Base Instalada'!AA:AA,Tabla1[[#This Row],[Cliente]],'[1]Base Instalada'!Z:Z,"MOBILIARIO CLINICO")</f>
        <v>0</v>
      </c>
      <c r="V169" s="29">
        <f>+COUNTIFS('[1]Base Instalada'!AA:AA,Tabla1[[#This Row],[Cliente]],'[1]Base Instalada'!Z:Z,"OTRO")</f>
        <v>0</v>
      </c>
      <c r="W169" s="61" t="str">
        <f t="shared" si="6"/>
        <v>Región Metropolitana</v>
      </c>
      <c r="X169" s="61" t="str">
        <f t="shared" si="7"/>
        <v>La Pintana</v>
      </c>
      <c r="Y169" s="62" t="s">
        <v>373</v>
      </c>
      <c r="Z169" s="33">
        <f>+COUNTIFS('[1]Pipeline TS'!$F:$F,Tabla1[[#This Row],[Cliente]])</f>
        <v>0</v>
      </c>
      <c r="AA169" s="63">
        <f>SUMIFS('[1]Pipeline Esterilización'!M:M,'[1]Pipeline Esterilización'!E:E,Tabla1[[#This Row],[Cliente]],'[1]Pipeline Esterilización'!B:B,"2026",'[1]Pipeline Esterilización'!L:L,"&gt;0")</f>
        <v>0</v>
      </c>
      <c r="AB169" s="33">
        <f>+SUMIFS('[1]Pipeline Endoscopía'!K:K,'[1]Pipeline Endoscopía'!E:E,Tabla1[[#This Row],[Cliente]],'[1]Pipeline Endoscopía'!B:B,"2026",'[1]Pipeline Endoscopía'!J:J,"&gt;0")</f>
        <v>0</v>
      </c>
      <c r="AC169" s="63">
        <f>+SUMIFS('[1]Pipeline Dental'!K:K,'[1]Pipeline Dental'!E:E,Tabla1[[#This Row],[Cliente]],'[1]Pipeline Dental'!B:B,"2026",'[1]Pipeline Dental'!J:J,"&gt;0")</f>
        <v>0</v>
      </c>
      <c r="AD169" s="64">
        <f>+SUMIFS('[1]Pipeline TS'!$AB:$AB,'[1]Pipeline TS'!$F:$F,Tabla1[[#This Row],[Cliente]])</f>
        <v>0</v>
      </c>
      <c r="AE169" s="65">
        <f>+SUM(Tabla1[[#This Row],[Pipeline 2026 $MM ESTERILIZACIÓN]:[Pipeline 2026 $MM TECSERVICE]])</f>
        <v>0</v>
      </c>
      <c r="AF169" s="43">
        <v>-33.579434528627601</v>
      </c>
      <c r="AG169" s="58">
        <v>-70.639016037048094</v>
      </c>
      <c r="AH169" s="57" t="str">
        <f>+IF(Tabla1[[#This Row],['# Contratos Vigentes ]]&gt;0,"SI","NO")</f>
        <v>NO</v>
      </c>
      <c r="AI169" s="66"/>
      <c r="AJ169" s="67">
        <f>+Tabla1[[#This Row],[Ingreso 2025 - 2026]]*Tabla1[[#This Row],[% Costo Serv. Directo]]</f>
        <v>0</v>
      </c>
      <c r="AK169" s="68"/>
      <c r="AL16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6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12780800</v>
      </c>
      <c r="AN169" s="42">
        <f>+Tabla1[[#This Row],[Potencial Equipos]]+Tabla1[[#This Row],[Potencial Pipeline]]</f>
        <v>12780800</v>
      </c>
    </row>
    <row r="170" spans="1:40" ht="15.75" x14ac:dyDescent="0.25">
      <c r="A170" s="47" t="s">
        <v>374</v>
      </c>
      <c r="B170" t="str">
        <f>+VLOOKUP(Tabla1[[#This Row],[Cliente]],'[1]Público Privado'!$A$1:$B$325,2,FALSE)</f>
        <v>Público</v>
      </c>
      <c r="C170" s="23">
        <f>+SUMIFS('[1]Facturacion a Fecha'!$T:$T,'[1]Facturacion a Fecha'!$AY:$AY,Tabla1[[#This Row],[Cliente]])</f>
        <v>0</v>
      </c>
      <c r="D170" s="24">
        <f>+SUMIFS('[1]Facturacion a Fecha'!$T:$T,'[1]Facturacion a Fecha'!$AY:$AY,Tabla1[[#This Row],[Cliente]],'[1]Facturacion a Fecha'!$AX:$AX,"Correctivo")</f>
        <v>0</v>
      </c>
      <c r="E170" s="25">
        <f>+COUNTIFS('[1]Facturacion a Fecha'!AY:AY,Tabla1[[#This Row],[Cliente]],'[1]Facturacion a Fecha'!AX:AX,"Correctivo")</f>
        <v>0</v>
      </c>
      <c r="F170" s="25">
        <f>+SUMIFS('[1]Facturacion a Fecha'!$T:$T,'[1]Facturacion a Fecha'!$AY:$AY,Tabla1[[#This Row],[Cliente]],'[1]Facturacion a Fecha'!$AX:$AX,"Preventivo")</f>
        <v>0</v>
      </c>
      <c r="G170" s="25">
        <f>+COUNTIFS('[1]Facturacion a Fecha'!AY:AY,Tabla1[[#This Row],[Cliente]],'[1]Facturacion a Fecha'!AX:AX,"Preventivo")</f>
        <v>0</v>
      </c>
      <c r="H170" s="26">
        <f>+Tabla1[[#This Row],['# Preventivo]]+Tabla1[[#This Row],['# Correctivo]]</f>
        <v>0</v>
      </c>
      <c r="I170" s="23">
        <f>+IFERROR(Tabla1[[#This Row],[Ingreso 2025 - 2026 Correctivo]]/Tabla1[[#This Row],[Ingreso 2025 - 2026 Preventivo]],0)</f>
        <v>0</v>
      </c>
      <c r="J170" s="59">
        <f>+IFERROR(Tabla1[[#This Row],['# Correctivo]]/Tabla1[[#This Row],['# Preventivo]],0)</f>
        <v>0</v>
      </c>
      <c r="K170" s="60">
        <f>+IFERROR(Tabla1[[#This Row],[Ingreso 2025 - 2026 Preventivo]]/(Tabla1[[#This Row],[Ingreso 2025 - 2026 Correctivo]]+Tabla1[[#This Row],[Ingreso 2025 - 2026 Preventivo]]),0)</f>
        <v>0</v>
      </c>
      <c r="L170" s="60">
        <f>1-Tabla1[[#This Row],[% Preventivo $]]</f>
        <v>1</v>
      </c>
      <c r="M170" s="45">
        <f>+COUNTIFS('[1]Base Instalada'!AA:AA,Tabla1[[#This Row],[Cliente]])</f>
        <v>7</v>
      </c>
      <c r="N17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0" s="45">
        <f>+COUNTIFS('[1]Base Instalada'!AA:AA,Tabla1[[#This Row],[Cliente]],'[1]Base Instalada'!Z:Z,"ESTERILIZACIÓN")</f>
        <v>1</v>
      </c>
      <c r="P170" s="45">
        <f>+COUNTIFS('[1]Base Instalada'!AA:AA,Tabla1[[#This Row],[Cliente]],'[1]Base Instalada'!Z:Z,"DENTAL")</f>
        <v>6</v>
      </c>
      <c r="Q170" s="45">
        <f>+COUNTIFS('[1]Base Instalada'!AA:AA,Tabla1[[#This Row],[Cliente]],'[1]Base Instalada'!Z:Z,"ENDOSCOPÍA")</f>
        <v>0</v>
      </c>
      <c r="R170" s="45">
        <f>+COUNTIFS('[1]Base Instalada'!AA:AA,Tabla1[[#This Row],[Cliente]],'[1]Base Instalada'!Z:Z,"INCARDIA")</f>
        <v>0</v>
      </c>
      <c r="S170" s="45">
        <f>+COUNTIFS('[1]Base Instalada'!AA:AA,Tabla1[[#This Row],[Cliente]],'[1]Base Instalada'!Z:Z,"MMQ")</f>
        <v>0</v>
      </c>
      <c r="T170" s="45">
        <f>+COUNTIFS('[1]Base Instalada'!AA:AA,Tabla1[[#This Row],[Cliente]],'[1]Base Instalada'!Z:Z,"REAS")</f>
        <v>0</v>
      </c>
      <c r="U170" s="46">
        <f>+COUNTIFS('[1]Base Instalada'!AA:AA,Tabla1[[#This Row],[Cliente]],'[1]Base Instalada'!Z:Z,"MOBILIARIO CLINICO")</f>
        <v>0</v>
      </c>
      <c r="V170" s="29">
        <f>+COUNTIFS('[1]Base Instalada'!AA:AA,Tabla1[[#This Row],[Cliente]],'[1]Base Instalada'!Z:Z,"OTRO")</f>
        <v>0</v>
      </c>
      <c r="W170" s="61" t="str">
        <f t="shared" si="6"/>
        <v>Región Maule</v>
      </c>
      <c r="X170" s="61" t="str">
        <f t="shared" si="7"/>
        <v>Talca</v>
      </c>
      <c r="Y170" s="62" t="s">
        <v>375</v>
      </c>
      <c r="Z170" s="33">
        <f>+COUNTIFS('[1]Pipeline TS'!$F:$F,Tabla1[[#This Row],[Cliente]])</f>
        <v>0</v>
      </c>
      <c r="AA170" s="63">
        <f>SUMIFS('[1]Pipeline Esterilización'!M:M,'[1]Pipeline Esterilización'!E:E,Tabla1[[#This Row],[Cliente]],'[1]Pipeline Esterilización'!B:B,"2026",'[1]Pipeline Esterilización'!L:L,"&gt;0")</f>
        <v>0</v>
      </c>
      <c r="AB170" s="33">
        <f>+SUMIFS('[1]Pipeline Endoscopía'!K:K,'[1]Pipeline Endoscopía'!E:E,Tabla1[[#This Row],[Cliente]],'[1]Pipeline Endoscopía'!B:B,"2026",'[1]Pipeline Endoscopía'!J:J,"&gt;0")</f>
        <v>0</v>
      </c>
      <c r="AC170" s="63">
        <f>+SUMIFS('[1]Pipeline Dental'!K:K,'[1]Pipeline Dental'!E:E,Tabla1[[#This Row],[Cliente]],'[1]Pipeline Dental'!B:B,"2026",'[1]Pipeline Dental'!J:J,"&gt;0")</f>
        <v>0</v>
      </c>
      <c r="AD170" s="64">
        <f>+SUMIFS('[1]Pipeline TS'!$AB:$AB,'[1]Pipeline TS'!$F:$F,Tabla1[[#This Row],[Cliente]])</f>
        <v>0</v>
      </c>
      <c r="AE170" s="65">
        <f>+SUM(Tabla1[[#This Row],[Pipeline 2026 $MM ESTERILIZACIÓN]:[Pipeline 2026 $MM TECSERVICE]])</f>
        <v>0</v>
      </c>
      <c r="AF170" s="43">
        <v>-35.418474762149899</v>
      </c>
      <c r="AG170" s="58">
        <v>-71.637695633249095</v>
      </c>
      <c r="AH170" s="57" t="str">
        <f>+IF(Tabla1[[#This Row],['# Contratos Vigentes ]]&gt;0,"SI","NO")</f>
        <v>NO</v>
      </c>
      <c r="AI170" s="66"/>
      <c r="AJ170" s="67">
        <f>+Tabla1[[#This Row],[Ingreso 2025 - 2026]]*Tabla1[[#This Row],[% Costo Serv. Directo]]</f>
        <v>0</v>
      </c>
      <c r="AK170" s="68"/>
      <c r="AL17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7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5591600</v>
      </c>
      <c r="AN170" s="42">
        <f>+Tabla1[[#This Row],[Potencial Equipos]]+Tabla1[[#This Row],[Potencial Pipeline]]</f>
        <v>5591600</v>
      </c>
    </row>
    <row r="171" spans="1:40" ht="15.75" x14ac:dyDescent="0.25">
      <c r="A171" s="47" t="s">
        <v>376</v>
      </c>
      <c r="B171" t="str">
        <f>+VLOOKUP(Tabla1[[#This Row],[Cliente]],'[1]Público Privado'!$A$1:$B$325,2,FALSE)</f>
        <v>Público</v>
      </c>
      <c r="C171" s="23">
        <f>+SUMIFS('[1]Facturacion a Fecha'!$T:$T,'[1]Facturacion a Fecha'!$AY:$AY,Tabla1[[#This Row],[Cliente]])</f>
        <v>0</v>
      </c>
      <c r="D171" s="24">
        <f>+SUMIFS('[1]Facturacion a Fecha'!$T:$T,'[1]Facturacion a Fecha'!$AY:$AY,Tabla1[[#This Row],[Cliente]],'[1]Facturacion a Fecha'!$AX:$AX,"Correctivo")</f>
        <v>0</v>
      </c>
      <c r="E171" s="25">
        <f>+COUNTIFS('[1]Facturacion a Fecha'!AY:AY,Tabla1[[#This Row],[Cliente]],'[1]Facturacion a Fecha'!AX:AX,"Correctivo")</f>
        <v>0</v>
      </c>
      <c r="F171" s="25">
        <f>+SUMIFS('[1]Facturacion a Fecha'!$T:$T,'[1]Facturacion a Fecha'!$AY:$AY,Tabla1[[#This Row],[Cliente]],'[1]Facturacion a Fecha'!$AX:$AX,"Preventivo")</f>
        <v>0</v>
      </c>
      <c r="G171" s="25">
        <f>+COUNTIFS('[1]Facturacion a Fecha'!AY:AY,Tabla1[[#This Row],[Cliente]],'[1]Facturacion a Fecha'!AX:AX,"Preventivo")</f>
        <v>0</v>
      </c>
      <c r="H171" s="26">
        <f>+Tabla1[[#This Row],['# Preventivo]]+Tabla1[[#This Row],['# Correctivo]]</f>
        <v>0</v>
      </c>
      <c r="I171" s="23">
        <f>+IFERROR(Tabla1[[#This Row],[Ingreso 2025 - 2026 Correctivo]]/Tabla1[[#This Row],[Ingreso 2025 - 2026 Preventivo]],0)</f>
        <v>0</v>
      </c>
      <c r="J171" s="59">
        <f>+IFERROR(Tabla1[[#This Row],['# Correctivo]]/Tabla1[[#This Row],['# Preventivo]],0)</f>
        <v>0</v>
      </c>
      <c r="K171" s="60">
        <f>+IFERROR(Tabla1[[#This Row],[Ingreso 2025 - 2026 Preventivo]]/(Tabla1[[#This Row],[Ingreso 2025 - 2026 Correctivo]]+Tabla1[[#This Row],[Ingreso 2025 - 2026 Preventivo]]),0)</f>
        <v>0</v>
      </c>
      <c r="L171" s="60">
        <f>1-Tabla1[[#This Row],[% Preventivo $]]</f>
        <v>1</v>
      </c>
      <c r="M171" s="45">
        <f>+COUNTIFS('[1]Base Instalada'!AA:AA,Tabla1[[#This Row],[Cliente]])</f>
        <v>28</v>
      </c>
      <c r="N17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1" s="45">
        <f>+COUNTIFS('[1]Base Instalada'!AA:AA,Tabla1[[#This Row],[Cliente]],'[1]Base Instalada'!Z:Z,"ESTERILIZACIÓN")</f>
        <v>1</v>
      </c>
      <c r="P171" s="45">
        <f>+COUNTIFS('[1]Base Instalada'!AA:AA,Tabla1[[#This Row],[Cliente]],'[1]Base Instalada'!Z:Z,"DENTAL")</f>
        <v>27</v>
      </c>
      <c r="Q171" s="45">
        <f>+COUNTIFS('[1]Base Instalada'!AA:AA,Tabla1[[#This Row],[Cliente]],'[1]Base Instalada'!Z:Z,"ENDOSCOPÍA")</f>
        <v>0</v>
      </c>
      <c r="R171" s="45">
        <f>+COUNTIFS('[1]Base Instalada'!AA:AA,Tabla1[[#This Row],[Cliente]],'[1]Base Instalada'!Z:Z,"INCARDIA")</f>
        <v>0</v>
      </c>
      <c r="S171" s="45">
        <f>+COUNTIFS('[1]Base Instalada'!AA:AA,Tabla1[[#This Row],[Cliente]],'[1]Base Instalada'!Z:Z,"MMQ")</f>
        <v>0</v>
      </c>
      <c r="T171" s="45">
        <f>+COUNTIFS('[1]Base Instalada'!AA:AA,Tabla1[[#This Row],[Cliente]],'[1]Base Instalada'!Z:Z,"REAS")</f>
        <v>0</v>
      </c>
      <c r="U171" s="46">
        <f>+COUNTIFS('[1]Base Instalada'!AA:AA,Tabla1[[#This Row],[Cliente]],'[1]Base Instalada'!Z:Z,"MOBILIARIO CLINICO")</f>
        <v>0</v>
      </c>
      <c r="V171" s="29">
        <f>+COUNTIFS('[1]Base Instalada'!AA:AA,Tabla1[[#This Row],[Cliente]],'[1]Base Instalada'!Z:Z,"OTRO")</f>
        <v>0</v>
      </c>
      <c r="W171" s="61" t="str">
        <f t="shared" si="6"/>
        <v>Región O'Higgins</v>
      </c>
      <c r="X171" s="61" t="str">
        <f t="shared" si="7"/>
        <v>Rancagua</v>
      </c>
      <c r="Y171" s="62" t="s">
        <v>377</v>
      </c>
      <c r="Z171" s="33">
        <f>+COUNTIFS('[1]Pipeline TS'!$F:$F,Tabla1[[#This Row],[Cliente]])</f>
        <v>0</v>
      </c>
      <c r="AA171" s="63">
        <f>SUMIFS('[1]Pipeline Esterilización'!M:M,'[1]Pipeline Esterilización'!E:E,Tabla1[[#This Row],[Cliente]],'[1]Pipeline Esterilización'!B:B,"2026",'[1]Pipeline Esterilización'!L:L,"&gt;0")</f>
        <v>0</v>
      </c>
      <c r="AB171" s="33">
        <f>+SUMIFS('[1]Pipeline Endoscopía'!K:K,'[1]Pipeline Endoscopía'!E:E,Tabla1[[#This Row],[Cliente]],'[1]Pipeline Endoscopía'!B:B,"2026",'[1]Pipeline Endoscopía'!J:J,"&gt;0")</f>
        <v>0</v>
      </c>
      <c r="AC171" s="63">
        <f>+SUMIFS('[1]Pipeline Dental'!K:K,'[1]Pipeline Dental'!E:E,Tabla1[[#This Row],[Cliente]],'[1]Pipeline Dental'!B:B,"2026",'[1]Pipeline Dental'!J:J,"&gt;0")</f>
        <v>0</v>
      </c>
      <c r="AD171" s="64">
        <f>+SUMIFS('[1]Pipeline TS'!$AB:$AB,'[1]Pipeline TS'!$F:$F,Tabla1[[#This Row],[Cliente]])</f>
        <v>0</v>
      </c>
      <c r="AE171" s="65">
        <f>+SUM(Tabla1[[#This Row],[Pipeline 2026 $MM ESTERILIZACIÓN]:[Pipeline 2026 $MM TECSERVICE]])</f>
        <v>0</v>
      </c>
      <c r="AF171" s="43">
        <v>-34.1836246785779</v>
      </c>
      <c r="AG171" s="58">
        <v>-70.743226450508402</v>
      </c>
      <c r="AH171" s="57" t="str">
        <f>+IF(Tabla1[[#This Row],['# Contratos Vigentes ]]&gt;0,"SI","NO")</f>
        <v>NO</v>
      </c>
      <c r="AI171" s="66"/>
      <c r="AJ171" s="67">
        <f>+Tabla1[[#This Row],[Ingreso 2025 - 2026]]*Tabla1[[#This Row],[% Costo Serv. Directo]]</f>
        <v>0</v>
      </c>
      <c r="AK171" s="68"/>
      <c r="AL17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7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18172700</v>
      </c>
      <c r="AN171" s="42">
        <f>+Tabla1[[#This Row],[Potencial Equipos]]+Tabla1[[#This Row],[Potencial Pipeline]]</f>
        <v>18172700</v>
      </c>
    </row>
    <row r="172" spans="1:40" ht="15.75" x14ac:dyDescent="0.25">
      <c r="A172" s="47" t="s">
        <v>378</v>
      </c>
      <c r="B172" t="str">
        <f>+VLOOKUP(Tabla1[[#This Row],[Cliente]],'[1]Público Privado'!$A$1:$B$325,2,FALSE)</f>
        <v>Privado</v>
      </c>
      <c r="C172" s="23">
        <f>+SUMIFS('[1]Facturacion a Fecha'!$T:$T,'[1]Facturacion a Fecha'!$AY:$AY,Tabla1[[#This Row],[Cliente]])</f>
        <v>0</v>
      </c>
      <c r="D172" s="24">
        <f>+SUMIFS('[1]Facturacion a Fecha'!$T:$T,'[1]Facturacion a Fecha'!$AY:$AY,Tabla1[[#This Row],[Cliente]],'[1]Facturacion a Fecha'!$AX:$AX,"Correctivo")</f>
        <v>0</v>
      </c>
      <c r="E172" s="25">
        <f>+COUNTIFS('[1]Facturacion a Fecha'!AY:AY,Tabla1[[#This Row],[Cliente]],'[1]Facturacion a Fecha'!AX:AX,"Correctivo")</f>
        <v>0</v>
      </c>
      <c r="F172" s="25">
        <f>+SUMIFS('[1]Facturacion a Fecha'!$T:$T,'[1]Facturacion a Fecha'!$AY:$AY,Tabla1[[#This Row],[Cliente]],'[1]Facturacion a Fecha'!$AX:$AX,"Preventivo")</f>
        <v>0</v>
      </c>
      <c r="G172" s="25">
        <f>+COUNTIFS('[1]Facturacion a Fecha'!AY:AY,Tabla1[[#This Row],[Cliente]],'[1]Facturacion a Fecha'!AX:AX,"Preventivo")</f>
        <v>0</v>
      </c>
      <c r="H172" s="26">
        <f>+Tabla1[[#This Row],['# Preventivo]]+Tabla1[[#This Row],['# Correctivo]]</f>
        <v>0</v>
      </c>
      <c r="I172" s="23">
        <f>+IFERROR(Tabla1[[#This Row],[Ingreso 2025 - 2026 Correctivo]]/Tabla1[[#This Row],[Ingreso 2025 - 2026 Preventivo]],0)</f>
        <v>0</v>
      </c>
      <c r="J172" s="59">
        <f>+IFERROR(Tabla1[[#This Row],['# Correctivo]]/Tabla1[[#This Row],['# Preventivo]],0)</f>
        <v>0</v>
      </c>
      <c r="K172" s="60">
        <f>+IFERROR(Tabla1[[#This Row],[Ingreso 2025 - 2026 Preventivo]]/(Tabla1[[#This Row],[Ingreso 2025 - 2026 Correctivo]]+Tabla1[[#This Row],[Ingreso 2025 - 2026 Preventivo]]),0)</f>
        <v>0</v>
      </c>
      <c r="L172" s="60">
        <f>1-Tabla1[[#This Row],[% Preventivo $]]</f>
        <v>1</v>
      </c>
      <c r="M172" s="45">
        <f>+COUNTIFS('[1]Base Instalada'!AA:AA,Tabla1[[#This Row],[Cliente]])</f>
        <v>72</v>
      </c>
      <c r="N17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2" s="45">
        <f>+COUNTIFS('[1]Base Instalada'!AA:AA,Tabla1[[#This Row],[Cliente]],'[1]Base Instalada'!Z:Z,"ESTERILIZACIÓN")</f>
        <v>8</v>
      </c>
      <c r="P172" s="45">
        <f>+COUNTIFS('[1]Base Instalada'!AA:AA,Tabla1[[#This Row],[Cliente]],'[1]Base Instalada'!Z:Z,"DENTAL")</f>
        <v>63</v>
      </c>
      <c r="Q172" s="45">
        <f>+COUNTIFS('[1]Base Instalada'!AA:AA,Tabla1[[#This Row],[Cliente]],'[1]Base Instalada'!Z:Z,"ENDOSCOPÍA")</f>
        <v>0</v>
      </c>
      <c r="R172" s="45">
        <f>+COUNTIFS('[1]Base Instalada'!AA:AA,Tabla1[[#This Row],[Cliente]],'[1]Base Instalada'!Z:Z,"INCARDIA")</f>
        <v>1</v>
      </c>
      <c r="S172" s="45">
        <f>+COUNTIFS('[1]Base Instalada'!AA:AA,Tabla1[[#This Row],[Cliente]],'[1]Base Instalada'!Z:Z,"MMQ")</f>
        <v>0</v>
      </c>
      <c r="T172" s="45">
        <f>+COUNTIFS('[1]Base Instalada'!AA:AA,Tabla1[[#This Row],[Cliente]],'[1]Base Instalada'!Z:Z,"REAS")</f>
        <v>0</v>
      </c>
      <c r="U172" s="46">
        <f>+COUNTIFS('[1]Base Instalada'!AA:AA,Tabla1[[#This Row],[Cliente]],'[1]Base Instalada'!Z:Z,"MOBILIARIO CLINICO")</f>
        <v>0</v>
      </c>
      <c r="V172" s="29">
        <f>+COUNTIFS('[1]Base Instalada'!AA:AA,Tabla1[[#This Row],[Cliente]],'[1]Base Instalada'!Z:Z,"OTRO")</f>
        <v>0</v>
      </c>
      <c r="W172" s="61" t="str">
        <f t="shared" si="6"/>
        <v>Región Metropolitana</v>
      </c>
      <c r="X172" s="61" t="str">
        <f t="shared" si="7"/>
        <v>Recoleta</v>
      </c>
      <c r="Y172" s="62" t="s">
        <v>379</v>
      </c>
      <c r="Z172" s="33">
        <f>+COUNTIFS('[1]Pipeline TS'!$F:$F,Tabla1[[#This Row],[Cliente]])</f>
        <v>0</v>
      </c>
      <c r="AA172" s="63">
        <f>SUMIFS('[1]Pipeline Esterilización'!M:M,'[1]Pipeline Esterilización'!E:E,Tabla1[[#This Row],[Cliente]],'[1]Pipeline Esterilización'!B:B,"2026",'[1]Pipeline Esterilización'!L:L,"&gt;0")</f>
        <v>0</v>
      </c>
      <c r="AB172" s="33">
        <f>+SUMIFS('[1]Pipeline Endoscopía'!K:K,'[1]Pipeline Endoscopía'!E:E,Tabla1[[#This Row],[Cliente]],'[1]Pipeline Endoscopía'!B:B,"2026",'[1]Pipeline Endoscopía'!J:J,"&gt;0")</f>
        <v>0</v>
      </c>
      <c r="AC172" s="63">
        <f>+SUMIFS('[1]Pipeline Dental'!K:K,'[1]Pipeline Dental'!E:E,Tabla1[[#This Row],[Cliente]],'[1]Pipeline Dental'!B:B,"2026",'[1]Pipeline Dental'!J:J,"&gt;0")</f>
        <v>0</v>
      </c>
      <c r="AD172" s="64">
        <f>+SUMIFS('[1]Pipeline TS'!$AB:$AB,'[1]Pipeline TS'!$F:$F,Tabla1[[#This Row],[Cliente]])</f>
        <v>0</v>
      </c>
      <c r="AE172" s="65">
        <f>+SUM(Tabla1[[#This Row],[Pipeline 2026 $MM ESTERILIZACIÓN]:[Pipeline 2026 $MM TECSERVICE]])</f>
        <v>0</v>
      </c>
      <c r="AF172" s="43">
        <v>-33.424443823588902</v>
      </c>
      <c r="AG172" s="58">
        <v>-70.6353514422876</v>
      </c>
      <c r="AH172" s="57" t="str">
        <f>+IF(Tabla1[[#This Row],['# Contratos Vigentes ]]&gt;0,"SI","NO")</f>
        <v>NO</v>
      </c>
      <c r="AI172" s="66"/>
      <c r="AJ172" s="67">
        <f>+Tabla1[[#This Row],[Ingreso 2025 - 2026]]*Tabla1[[#This Row],[% Costo Serv. Directo]]</f>
        <v>0</v>
      </c>
      <c r="AK172" s="68"/>
      <c r="AL17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7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53719300</v>
      </c>
      <c r="AN172" s="42">
        <f>+Tabla1[[#This Row],[Potencial Equipos]]+Tabla1[[#This Row],[Potencial Pipeline]]</f>
        <v>53719300</v>
      </c>
    </row>
    <row r="173" spans="1:40" ht="15.75" x14ac:dyDescent="0.25">
      <c r="A173" s="47" t="s">
        <v>380</v>
      </c>
      <c r="B173" t="str">
        <f>+VLOOKUP(Tabla1[[#This Row],[Cliente]],'[1]Público Privado'!$A$1:$B$325,2,FALSE)</f>
        <v>Privado</v>
      </c>
      <c r="C173" s="23">
        <f>+SUMIFS('[1]Facturacion a Fecha'!$T:$T,'[1]Facturacion a Fecha'!$AY:$AY,Tabla1[[#This Row],[Cliente]])</f>
        <v>0</v>
      </c>
      <c r="D173" s="24">
        <f>+SUMIFS('[1]Facturacion a Fecha'!$T:$T,'[1]Facturacion a Fecha'!$AY:$AY,Tabla1[[#This Row],[Cliente]],'[1]Facturacion a Fecha'!$AX:$AX,"Correctivo")</f>
        <v>0</v>
      </c>
      <c r="E173" s="25">
        <f>+COUNTIFS('[1]Facturacion a Fecha'!AY:AY,Tabla1[[#This Row],[Cliente]],'[1]Facturacion a Fecha'!AX:AX,"Correctivo")</f>
        <v>0</v>
      </c>
      <c r="F173" s="25">
        <f>+SUMIFS('[1]Facturacion a Fecha'!$T:$T,'[1]Facturacion a Fecha'!$AY:$AY,Tabla1[[#This Row],[Cliente]],'[1]Facturacion a Fecha'!$AX:$AX,"Preventivo")</f>
        <v>0</v>
      </c>
      <c r="G173" s="25">
        <f>+COUNTIFS('[1]Facturacion a Fecha'!AY:AY,Tabla1[[#This Row],[Cliente]],'[1]Facturacion a Fecha'!AX:AX,"Preventivo")</f>
        <v>0</v>
      </c>
      <c r="H173" s="26">
        <f>+Tabla1[[#This Row],['# Preventivo]]+Tabla1[[#This Row],['# Correctivo]]</f>
        <v>0</v>
      </c>
      <c r="I173" s="23">
        <f>+IFERROR(Tabla1[[#This Row],[Ingreso 2025 - 2026 Correctivo]]/Tabla1[[#This Row],[Ingreso 2025 - 2026 Preventivo]],0)</f>
        <v>0</v>
      </c>
      <c r="J173" s="59">
        <f>+IFERROR(Tabla1[[#This Row],['# Correctivo]]/Tabla1[[#This Row],['# Preventivo]],0)</f>
        <v>0</v>
      </c>
      <c r="K173" s="60">
        <f>+IFERROR(Tabla1[[#This Row],[Ingreso 2025 - 2026 Preventivo]]/(Tabla1[[#This Row],[Ingreso 2025 - 2026 Correctivo]]+Tabla1[[#This Row],[Ingreso 2025 - 2026 Preventivo]]),0)</f>
        <v>0</v>
      </c>
      <c r="L173" s="60">
        <f>1-Tabla1[[#This Row],[% Preventivo $]]</f>
        <v>1</v>
      </c>
      <c r="M173" s="45">
        <f>+COUNTIFS('[1]Base Instalada'!AA:AA,Tabla1[[#This Row],[Cliente]])</f>
        <v>10</v>
      </c>
      <c r="N17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3" s="45">
        <f>+COUNTIFS('[1]Base Instalada'!AA:AA,Tabla1[[#This Row],[Cliente]],'[1]Base Instalada'!Z:Z,"ESTERILIZACIÓN")</f>
        <v>2</v>
      </c>
      <c r="P173" s="45">
        <f>+COUNTIFS('[1]Base Instalada'!AA:AA,Tabla1[[#This Row],[Cliente]],'[1]Base Instalada'!Z:Z,"DENTAL")</f>
        <v>8</v>
      </c>
      <c r="Q173" s="45">
        <f>+COUNTIFS('[1]Base Instalada'!AA:AA,Tabla1[[#This Row],[Cliente]],'[1]Base Instalada'!Z:Z,"ENDOSCOPÍA")</f>
        <v>0</v>
      </c>
      <c r="R173" s="45">
        <f>+COUNTIFS('[1]Base Instalada'!AA:AA,Tabla1[[#This Row],[Cliente]],'[1]Base Instalada'!Z:Z,"INCARDIA")</f>
        <v>0</v>
      </c>
      <c r="S173" s="45">
        <f>+COUNTIFS('[1]Base Instalada'!AA:AA,Tabla1[[#This Row],[Cliente]],'[1]Base Instalada'!Z:Z,"MMQ")</f>
        <v>0</v>
      </c>
      <c r="T173" s="45">
        <f>+COUNTIFS('[1]Base Instalada'!AA:AA,Tabla1[[#This Row],[Cliente]],'[1]Base Instalada'!Z:Z,"REAS")</f>
        <v>0</v>
      </c>
      <c r="U173" s="46">
        <f>+COUNTIFS('[1]Base Instalada'!AA:AA,Tabla1[[#This Row],[Cliente]],'[1]Base Instalada'!Z:Z,"MOBILIARIO CLINICO")</f>
        <v>0</v>
      </c>
      <c r="V173" s="29">
        <f>+COUNTIFS('[1]Base Instalada'!AA:AA,Tabla1[[#This Row],[Cliente]],'[1]Base Instalada'!Z:Z,"OTRO")</f>
        <v>0</v>
      </c>
      <c r="W173" s="61" t="str">
        <f t="shared" si="6"/>
        <v>Región Metropolitana</v>
      </c>
      <c r="X173" s="61" t="str">
        <f t="shared" si="7"/>
        <v>Santiago</v>
      </c>
      <c r="Y173" s="62" t="s">
        <v>381</v>
      </c>
      <c r="Z173" s="33">
        <f>+COUNTIFS('[1]Pipeline TS'!$F:$F,Tabla1[[#This Row],[Cliente]])</f>
        <v>0</v>
      </c>
      <c r="AA173" s="63">
        <f>SUMIFS('[1]Pipeline Esterilización'!M:M,'[1]Pipeline Esterilización'!E:E,Tabla1[[#This Row],[Cliente]],'[1]Pipeline Esterilización'!B:B,"2026",'[1]Pipeline Esterilización'!L:L,"&gt;0")</f>
        <v>0</v>
      </c>
      <c r="AB173" s="33">
        <f>+SUMIFS('[1]Pipeline Endoscopía'!K:K,'[1]Pipeline Endoscopía'!E:E,Tabla1[[#This Row],[Cliente]],'[1]Pipeline Endoscopía'!B:B,"2026",'[1]Pipeline Endoscopía'!J:J,"&gt;0")</f>
        <v>0</v>
      </c>
      <c r="AC173" s="63">
        <f>+SUMIFS('[1]Pipeline Dental'!K:K,'[1]Pipeline Dental'!E:E,Tabla1[[#This Row],[Cliente]],'[1]Pipeline Dental'!B:B,"2026",'[1]Pipeline Dental'!J:J,"&gt;0")</f>
        <v>0</v>
      </c>
      <c r="AD173" s="64">
        <f>+SUMIFS('[1]Pipeline TS'!$AB:$AB,'[1]Pipeline TS'!$F:$F,Tabla1[[#This Row],[Cliente]])</f>
        <v>0</v>
      </c>
      <c r="AE173" s="65">
        <f>+SUM(Tabla1[[#This Row],[Pipeline 2026 $MM ESTERILIZACIÓN]:[Pipeline 2026 $MM TECSERVICE]])</f>
        <v>0</v>
      </c>
      <c r="AF173" s="43">
        <v>-33.434659899442202</v>
      </c>
      <c r="AG173" s="58">
        <v>-70.662599746855307</v>
      </c>
      <c r="AH173" s="57" t="str">
        <f>+IF(Tabla1[[#This Row],['# Contratos Vigentes ]]&gt;0,"SI","NO")</f>
        <v>NO</v>
      </c>
      <c r="AI173" s="66"/>
      <c r="AJ173" s="67">
        <f>+Tabla1[[#This Row],[Ingreso 2025 - 2026]]*Tabla1[[#This Row],[% Costo Serv. Directo]]</f>
        <v>0</v>
      </c>
      <c r="AK173" s="68"/>
      <c r="AL17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7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8786800</v>
      </c>
      <c r="AN173" s="42">
        <f>+Tabla1[[#This Row],[Potencial Equipos]]+Tabla1[[#This Row],[Potencial Pipeline]]</f>
        <v>8786800</v>
      </c>
    </row>
    <row r="174" spans="1:40" ht="15.75" x14ac:dyDescent="0.25">
      <c r="A174" s="47" t="s">
        <v>382</v>
      </c>
      <c r="B174" t="str">
        <f>+VLOOKUP(Tabla1[[#This Row],[Cliente]],'[1]Público Privado'!$A$1:$B$325,2,FALSE)</f>
        <v>Público</v>
      </c>
      <c r="C174" s="23">
        <f>+SUMIFS('[1]Facturacion a Fecha'!$T:$T,'[1]Facturacion a Fecha'!$AY:$AY,Tabla1[[#This Row],[Cliente]])</f>
        <v>0</v>
      </c>
      <c r="D174" s="24">
        <f>+SUMIFS('[1]Facturacion a Fecha'!$T:$T,'[1]Facturacion a Fecha'!$AY:$AY,Tabla1[[#This Row],[Cliente]],'[1]Facturacion a Fecha'!$AX:$AX,"Correctivo")</f>
        <v>0</v>
      </c>
      <c r="E174" s="25">
        <f>+COUNTIFS('[1]Facturacion a Fecha'!AY:AY,Tabla1[[#This Row],[Cliente]],'[1]Facturacion a Fecha'!AX:AX,"Correctivo")</f>
        <v>0</v>
      </c>
      <c r="F174" s="25">
        <f>+SUMIFS('[1]Facturacion a Fecha'!$T:$T,'[1]Facturacion a Fecha'!$AY:$AY,Tabla1[[#This Row],[Cliente]],'[1]Facturacion a Fecha'!$AX:$AX,"Preventivo")</f>
        <v>0</v>
      </c>
      <c r="G174" s="25">
        <f>+COUNTIFS('[1]Facturacion a Fecha'!AY:AY,Tabla1[[#This Row],[Cliente]],'[1]Facturacion a Fecha'!AX:AX,"Preventivo")</f>
        <v>0</v>
      </c>
      <c r="H174" s="26">
        <f>+Tabla1[[#This Row],['# Preventivo]]+Tabla1[[#This Row],['# Correctivo]]</f>
        <v>0</v>
      </c>
      <c r="I174" s="23">
        <f>+IFERROR(Tabla1[[#This Row],[Ingreso 2025 - 2026 Correctivo]]/Tabla1[[#This Row],[Ingreso 2025 - 2026 Preventivo]],0)</f>
        <v>0</v>
      </c>
      <c r="J174" s="59">
        <f>+IFERROR(Tabla1[[#This Row],['# Correctivo]]/Tabla1[[#This Row],['# Preventivo]],0)</f>
        <v>0</v>
      </c>
      <c r="K174" s="60">
        <f>+IFERROR(Tabla1[[#This Row],[Ingreso 2025 - 2026 Preventivo]]/(Tabla1[[#This Row],[Ingreso 2025 - 2026 Correctivo]]+Tabla1[[#This Row],[Ingreso 2025 - 2026 Preventivo]]),0)</f>
        <v>0</v>
      </c>
      <c r="L174" s="60">
        <f>1-Tabla1[[#This Row],[% Preventivo $]]</f>
        <v>1</v>
      </c>
      <c r="M174" s="45">
        <f>+COUNTIFS('[1]Base Instalada'!AA:AA,Tabla1[[#This Row],[Cliente]])</f>
        <v>8</v>
      </c>
      <c r="N17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4" s="45">
        <f>+COUNTIFS('[1]Base Instalada'!AA:AA,Tabla1[[#This Row],[Cliente]],'[1]Base Instalada'!Z:Z,"ESTERILIZACIÓN")</f>
        <v>3</v>
      </c>
      <c r="P174" s="45">
        <f>+COUNTIFS('[1]Base Instalada'!AA:AA,Tabla1[[#This Row],[Cliente]],'[1]Base Instalada'!Z:Z,"DENTAL")</f>
        <v>5</v>
      </c>
      <c r="Q174" s="45">
        <f>+COUNTIFS('[1]Base Instalada'!AA:AA,Tabla1[[#This Row],[Cliente]],'[1]Base Instalada'!Z:Z,"ENDOSCOPÍA")</f>
        <v>0</v>
      </c>
      <c r="R174" s="45">
        <f>+COUNTIFS('[1]Base Instalada'!AA:AA,Tabla1[[#This Row],[Cliente]],'[1]Base Instalada'!Z:Z,"INCARDIA")</f>
        <v>0</v>
      </c>
      <c r="S174" s="45">
        <f>+COUNTIFS('[1]Base Instalada'!AA:AA,Tabla1[[#This Row],[Cliente]],'[1]Base Instalada'!Z:Z,"MMQ")</f>
        <v>0</v>
      </c>
      <c r="T174" s="45">
        <f>+COUNTIFS('[1]Base Instalada'!AA:AA,Tabla1[[#This Row],[Cliente]],'[1]Base Instalada'!Z:Z,"REAS")</f>
        <v>0</v>
      </c>
      <c r="U174" s="46">
        <f>+COUNTIFS('[1]Base Instalada'!AA:AA,Tabla1[[#This Row],[Cliente]],'[1]Base Instalada'!Z:Z,"MOBILIARIO CLINICO")</f>
        <v>0</v>
      </c>
      <c r="V174" s="29">
        <f>+COUNTIFS('[1]Base Instalada'!AA:AA,Tabla1[[#This Row],[Cliente]],'[1]Base Instalada'!Z:Z,"OTRO")</f>
        <v>0</v>
      </c>
      <c r="W174" s="61" t="str">
        <f t="shared" si="6"/>
        <v>Región Antofagasta</v>
      </c>
      <c r="X174" s="61" t="str">
        <f t="shared" si="7"/>
        <v>Calama</v>
      </c>
      <c r="Y174" s="62" t="s">
        <v>383</v>
      </c>
      <c r="Z174" s="33">
        <f>+COUNTIFS('[1]Pipeline TS'!$F:$F,Tabla1[[#This Row],[Cliente]])</f>
        <v>0</v>
      </c>
      <c r="AA174" s="63">
        <f>SUMIFS('[1]Pipeline Esterilización'!M:M,'[1]Pipeline Esterilización'!E:E,Tabla1[[#This Row],[Cliente]],'[1]Pipeline Esterilización'!B:B,"2026",'[1]Pipeline Esterilización'!L:L,"&gt;0")</f>
        <v>0</v>
      </c>
      <c r="AB174" s="33">
        <f>+SUMIFS('[1]Pipeline Endoscopía'!K:K,'[1]Pipeline Endoscopía'!E:E,Tabla1[[#This Row],[Cliente]],'[1]Pipeline Endoscopía'!B:B,"2026",'[1]Pipeline Endoscopía'!J:J,"&gt;0")</f>
        <v>0</v>
      </c>
      <c r="AC174" s="63">
        <f>+SUMIFS('[1]Pipeline Dental'!K:K,'[1]Pipeline Dental'!E:E,Tabla1[[#This Row],[Cliente]],'[1]Pipeline Dental'!B:B,"2026",'[1]Pipeline Dental'!J:J,"&gt;0")</f>
        <v>0</v>
      </c>
      <c r="AD174" s="64">
        <f>+SUMIFS('[1]Pipeline TS'!$AB:$AB,'[1]Pipeline TS'!$F:$F,Tabla1[[#This Row],[Cliente]])</f>
        <v>0</v>
      </c>
      <c r="AE174" s="65">
        <f>+SUM(Tabla1[[#This Row],[Pipeline 2026 $MM ESTERILIZACIÓN]:[Pipeline 2026 $MM TECSERVICE]])</f>
        <v>0</v>
      </c>
      <c r="AF174" s="43">
        <v>-22.438635815793099</v>
      </c>
      <c r="AG174" s="58">
        <v>-68.935737551074098</v>
      </c>
      <c r="AH174" s="57" t="str">
        <f>+IF(Tabla1[[#This Row],['# Contratos Vigentes ]]&gt;0,"SI","NO")</f>
        <v>NO</v>
      </c>
      <c r="AI174" s="66"/>
      <c r="AJ174" s="67">
        <f>+Tabla1[[#This Row],[Ingreso 2025 - 2026]]*Tabla1[[#This Row],[% Costo Serv. Directo]]</f>
        <v>0</v>
      </c>
      <c r="AK174" s="68"/>
      <c r="AL17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7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8986500</v>
      </c>
      <c r="AN174" s="42">
        <f>+Tabla1[[#This Row],[Potencial Equipos]]+Tabla1[[#This Row],[Potencial Pipeline]]</f>
        <v>8986500</v>
      </c>
    </row>
    <row r="175" spans="1:40" ht="15.75" x14ac:dyDescent="0.25">
      <c r="A175" s="47" t="s">
        <v>384</v>
      </c>
      <c r="B175" t="str">
        <f>+VLOOKUP(Tabla1[[#This Row],[Cliente]],'[1]Público Privado'!$A$1:$B$325,2,FALSE)</f>
        <v>Público</v>
      </c>
      <c r="C175" s="23">
        <f>+SUMIFS('[1]Facturacion a Fecha'!$T:$T,'[1]Facturacion a Fecha'!$AY:$AY,Tabla1[[#This Row],[Cliente]])</f>
        <v>0</v>
      </c>
      <c r="D175" s="24">
        <f>+SUMIFS('[1]Facturacion a Fecha'!$T:$T,'[1]Facturacion a Fecha'!$AY:$AY,Tabla1[[#This Row],[Cliente]],'[1]Facturacion a Fecha'!$AX:$AX,"Correctivo")</f>
        <v>0</v>
      </c>
      <c r="E175" s="25">
        <f>+COUNTIFS('[1]Facturacion a Fecha'!AY:AY,Tabla1[[#This Row],[Cliente]],'[1]Facturacion a Fecha'!AX:AX,"Correctivo")</f>
        <v>0</v>
      </c>
      <c r="F175" s="25">
        <f>+SUMIFS('[1]Facturacion a Fecha'!$T:$T,'[1]Facturacion a Fecha'!$AY:$AY,Tabla1[[#This Row],[Cliente]],'[1]Facturacion a Fecha'!$AX:$AX,"Preventivo")</f>
        <v>0</v>
      </c>
      <c r="G175" s="25">
        <f>+COUNTIFS('[1]Facturacion a Fecha'!AY:AY,Tabla1[[#This Row],[Cliente]],'[1]Facturacion a Fecha'!AX:AX,"Preventivo")</f>
        <v>0</v>
      </c>
      <c r="H175" s="26">
        <f>+Tabla1[[#This Row],['# Preventivo]]+Tabla1[[#This Row],['# Correctivo]]</f>
        <v>0</v>
      </c>
      <c r="I175" s="23">
        <f>+IFERROR(Tabla1[[#This Row],[Ingreso 2025 - 2026 Correctivo]]/Tabla1[[#This Row],[Ingreso 2025 - 2026 Preventivo]],0)</f>
        <v>0</v>
      </c>
      <c r="J175" s="59">
        <f>+IFERROR(Tabla1[[#This Row],['# Correctivo]]/Tabla1[[#This Row],['# Preventivo]],0)</f>
        <v>0</v>
      </c>
      <c r="K175" s="60">
        <f>+IFERROR(Tabla1[[#This Row],[Ingreso 2025 - 2026 Preventivo]]/(Tabla1[[#This Row],[Ingreso 2025 - 2026 Correctivo]]+Tabla1[[#This Row],[Ingreso 2025 - 2026 Preventivo]]),0)</f>
        <v>0</v>
      </c>
      <c r="L175" s="60">
        <f>1-Tabla1[[#This Row],[% Preventivo $]]</f>
        <v>1</v>
      </c>
      <c r="M175" s="45">
        <f>+COUNTIFS('[1]Base Instalada'!AA:AA,Tabla1[[#This Row],[Cliente]])</f>
        <v>5</v>
      </c>
      <c r="N17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5" s="45">
        <f>+COUNTIFS('[1]Base Instalada'!AA:AA,Tabla1[[#This Row],[Cliente]],'[1]Base Instalada'!Z:Z,"ESTERILIZACIÓN")</f>
        <v>1</v>
      </c>
      <c r="P175" s="45">
        <f>+COUNTIFS('[1]Base Instalada'!AA:AA,Tabla1[[#This Row],[Cliente]],'[1]Base Instalada'!Z:Z,"DENTAL")</f>
        <v>0</v>
      </c>
      <c r="Q175" s="45">
        <f>+COUNTIFS('[1]Base Instalada'!AA:AA,Tabla1[[#This Row],[Cliente]],'[1]Base Instalada'!Z:Z,"ENDOSCOPÍA")</f>
        <v>0</v>
      </c>
      <c r="R175" s="45">
        <f>+COUNTIFS('[1]Base Instalada'!AA:AA,Tabla1[[#This Row],[Cliente]],'[1]Base Instalada'!Z:Z,"INCARDIA")</f>
        <v>4</v>
      </c>
      <c r="S175" s="45">
        <f>+COUNTIFS('[1]Base Instalada'!AA:AA,Tabla1[[#This Row],[Cliente]],'[1]Base Instalada'!Z:Z,"MMQ")</f>
        <v>0</v>
      </c>
      <c r="T175" s="45">
        <f>+COUNTIFS('[1]Base Instalada'!AA:AA,Tabla1[[#This Row],[Cliente]],'[1]Base Instalada'!Z:Z,"REAS")</f>
        <v>0</v>
      </c>
      <c r="U175" s="46">
        <f>+COUNTIFS('[1]Base Instalada'!AA:AA,Tabla1[[#This Row],[Cliente]],'[1]Base Instalada'!Z:Z,"MOBILIARIO CLINICO")</f>
        <v>0</v>
      </c>
      <c r="V175" s="29">
        <f>+COUNTIFS('[1]Base Instalada'!AA:AA,Tabla1[[#This Row],[Cliente]],'[1]Base Instalada'!Z:Z,"OTRO")</f>
        <v>0</v>
      </c>
      <c r="W175" s="61" t="str">
        <f t="shared" si="6"/>
        <v>Región Bío Bío</v>
      </c>
      <c r="X175" s="61" t="str">
        <f t="shared" si="7"/>
        <v>San Pedro de la Paz</v>
      </c>
      <c r="Y175" s="62" t="s">
        <v>385</v>
      </c>
      <c r="Z175" s="33">
        <f>+COUNTIFS('[1]Pipeline TS'!$F:$F,Tabla1[[#This Row],[Cliente]])</f>
        <v>0</v>
      </c>
      <c r="AA175" s="63">
        <f>SUMIFS('[1]Pipeline Esterilización'!M:M,'[1]Pipeline Esterilización'!E:E,Tabla1[[#This Row],[Cliente]],'[1]Pipeline Esterilización'!B:B,"2026",'[1]Pipeline Esterilización'!L:L,"&gt;0")</f>
        <v>0</v>
      </c>
      <c r="AB175" s="33">
        <f>+SUMIFS('[1]Pipeline Endoscopía'!K:K,'[1]Pipeline Endoscopía'!E:E,Tabla1[[#This Row],[Cliente]],'[1]Pipeline Endoscopía'!B:B,"2026",'[1]Pipeline Endoscopía'!J:J,"&gt;0")</f>
        <v>0</v>
      </c>
      <c r="AC175" s="63">
        <f>+SUMIFS('[1]Pipeline Dental'!K:K,'[1]Pipeline Dental'!E:E,Tabla1[[#This Row],[Cliente]],'[1]Pipeline Dental'!B:B,"2026",'[1]Pipeline Dental'!J:J,"&gt;0")</f>
        <v>0</v>
      </c>
      <c r="AD175" s="64">
        <f>+SUMIFS('[1]Pipeline TS'!$AB:$AB,'[1]Pipeline TS'!$F:$F,Tabla1[[#This Row],[Cliente]])</f>
        <v>0</v>
      </c>
      <c r="AE175" s="65">
        <f>+SUM(Tabla1[[#This Row],[Pipeline 2026 $MM ESTERILIZACIÓN]:[Pipeline 2026 $MM TECSERVICE]])</f>
        <v>0</v>
      </c>
      <c r="AF175" s="43">
        <v>-36.839835573977403</v>
      </c>
      <c r="AG175" s="58">
        <v>-73.140469556177607</v>
      </c>
      <c r="AH175" s="57" t="str">
        <f>+IF(Tabla1[[#This Row],['# Contratos Vigentes ]]&gt;0,"SI","NO")</f>
        <v>NO</v>
      </c>
      <c r="AI175" s="66"/>
      <c r="AJ175" s="67">
        <f>+Tabla1[[#This Row],[Ingreso 2025 - 2026]]*Tabla1[[#This Row],[% Costo Serv. Directo]]</f>
        <v>0</v>
      </c>
      <c r="AK175" s="68"/>
      <c r="AL17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7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1997000</v>
      </c>
      <c r="AN175" s="42">
        <f>+Tabla1[[#This Row],[Potencial Equipos]]+Tabla1[[#This Row],[Potencial Pipeline]]</f>
        <v>1997000</v>
      </c>
    </row>
    <row r="176" spans="1:40" ht="15.75" x14ac:dyDescent="0.25">
      <c r="A176" s="47" t="s">
        <v>386</v>
      </c>
      <c r="B176" t="str">
        <f>+VLOOKUP(Tabla1[[#This Row],[Cliente]],'[1]Público Privado'!$A$1:$B$325,2,FALSE)</f>
        <v>Público</v>
      </c>
      <c r="C176" s="23">
        <f>+SUMIFS('[1]Facturacion a Fecha'!$T:$T,'[1]Facturacion a Fecha'!$AY:$AY,Tabla1[[#This Row],[Cliente]])</f>
        <v>0</v>
      </c>
      <c r="D176" s="24">
        <f>+SUMIFS('[1]Facturacion a Fecha'!$T:$T,'[1]Facturacion a Fecha'!$AY:$AY,Tabla1[[#This Row],[Cliente]],'[1]Facturacion a Fecha'!$AX:$AX,"Correctivo")</f>
        <v>0</v>
      </c>
      <c r="E176" s="25">
        <f>+COUNTIFS('[1]Facturacion a Fecha'!AY:AY,Tabla1[[#This Row],[Cliente]],'[1]Facturacion a Fecha'!AX:AX,"Correctivo")</f>
        <v>0</v>
      </c>
      <c r="F176" s="25">
        <f>+SUMIFS('[1]Facturacion a Fecha'!$T:$T,'[1]Facturacion a Fecha'!$AY:$AY,Tabla1[[#This Row],[Cliente]],'[1]Facturacion a Fecha'!$AX:$AX,"Preventivo")</f>
        <v>0</v>
      </c>
      <c r="G176" s="25">
        <f>+COUNTIFS('[1]Facturacion a Fecha'!AY:AY,Tabla1[[#This Row],[Cliente]],'[1]Facturacion a Fecha'!AX:AX,"Preventivo")</f>
        <v>0</v>
      </c>
      <c r="H176" s="26">
        <f>+Tabla1[[#This Row],['# Preventivo]]+Tabla1[[#This Row],['# Correctivo]]</f>
        <v>0</v>
      </c>
      <c r="I176" s="23">
        <f>+IFERROR(Tabla1[[#This Row],[Ingreso 2025 - 2026 Correctivo]]/Tabla1[[#This Row],[Ingreso 2025 - 2026 Preventivo]],0)</f>
        <v>0</v>
      </c>
      <c r="J176" s="59">
        <f>+IFERROR(Tabla1[[#This Row],['# Correctivo]]/Tabla1[[#This Row],['# Preventivo]],0)</f>
        <v>0</v>
      </c>
      <c r="K176" s="60">
        <f>+IFERROR(Tabla1[[#This Row],[Ingreso 2025 - 2026 Preventivo]]/(Tabla1[[#This Row],[Ingreso 2025 - 2026 Correctivo]]+Tabla1[[#This Row],[Ingreso 2025 - 2026 Preventivo]]),0)</f>
        <v>0</v>
      </c>
      <c r="L176" s="60">
        <f>1-Tabla1[[#This Row],[% Preventivo $]]</f>
        <v>1</v>
      </c>
      <c r="M176" s="45">
        <f>+COUNTIFS('[1]Base Instalada'!AA:AA,Tabla1[[#This Row],[Cliente]])</f>
        <v>6</v>
      </c>
      <c r="N17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6" s="45">
        <f>+COUNTIFS('[1]Base Instalada'!AA:AA,Tabla1[[#This Row],[Cliente]],'[1]Base Instalada'!Z:Z,"ESTERILIZACIÓN")</f>
        <v>1</v>
      </c>
      <c r="P176" s="45">
        <f>+COUNTIFS('[1]Base Instalada'!AA:AA,Tabla1[[#This Row],[Cliente]],'[1]Base Instalada'!Z:Z,"DENTAL")</f>
        <v>5</v>
      </c>
      <c r="Q176" s="45">
        <f>+COUNTIFS('[1]Base Instalada'!AA:AA,Tabla1[[#This Row],[Cliente]],'[1]Base Instalada'!Z:Z,"ENDOSCOPÍA")</f>
        <v>0</v>
      </c>
      <c r="R176" s="45">
        <f>+COUNTIFS('[1]Base Instalada'!AA:AA,Tabla1[[#This Row],[Cliente]],'[1]Base Instalada'!Z:Z,"INCARDIA")</f>
        <v>0</v>
      </c>
      <c r="S176" s="45">
        <f>+COUNTIFS('[1]Base Instalada'!AA:AA,Tabla1[[#This Row],[Cliente]],'[1]Base Instalada'!Z:Z,"MMQ")</f>
        <v>0</v>
      </c>
      <c r="T176" s="45">
        <f>+COUNTIFS('[1]Base Instalada'!AA:AA,Tabla1[[#This Row],[Cliente]],'[1]Base Instalada'!Z:Z,"REAS")</f>
        <v>0</v>
      </c>
      <c r="U176" s="46">
        <f>+COUNTIFS('[1]Base Instalada'!AA:AA,Tabla1[[#This Row],[Cliente]],'[1]Base Instalada'!Z:Z,"MOBILIARIO CLINICO")</f>
        <v>0</v>
      </c>
      <c r="V176" s="29">
        <f>+COUNTIFS('[1]Base Instalada'!AA:AA,Tabla1[[#This Row],[Cliente]],'[1]Base Instalada'!Z:Z,"OTRO")</f>
        <v>0</v>
      </c>
      <c r="W176" s="61" t="str">
        <f t="shared" si="6"/>
        <v>Región Maule</v>
      </c>
      <c r="X176" s="61" t="str">
        <f t="shared" si="7"/>
        <v>Cauquenes</v>
      </c>
      <c r="Y176" s="62" t="s">
        <v>387</v>
      </c>
      <c r="Z176" s="33">
        <f>+COUNTIFS('[1]Pipeline TS'!$F:$F,Tabla1[[#This Row],[Cliente]])</f>
        <v>0</v>
      </c>
      <c r="AA176" s="63">
        <f>SUMIFS('[1]Pipeline Esterilización'!M:M,'[1]Pipeline Esterilización'!E:E,Tabla1[[#This Row],[Cliente]],'[1]Pipeline Esterilización'!B:B,"2026",'[1]Pipeline Esterilización'!L:L,"&gt;0")</f>
        <v>0</v>
      </c>
      <c r="AB176" s="33">
        <f>+SUMIFS('[1]Pipeline Endoscopía'!K:K,'[1]Pipeline Endoscopía'!E:E,Tabla1[[#This Row],[Cliente]],'[1]Pipeline Endoscopía'!B:B,"2026",'[1]Pipeline Endoscopía'!J:J,"&gt;0")</f>
        <v>0</v>
      </c>
      <c r="AC176" s="63">
        <f>+SUMIFS('[1]Pipeline Dental'!K:K,'[1]Pipeline Dental'!E:E,Tabla1[[#This Row],[Cliente]],'[1]Pipeline Dental'!B:B,"2026",'[1]Pipeline Dental'!J:J,"&gt;0")</f>
        <v>0</v>
      </c>
      <c r="AD176" s="64">
        <f>+SUMIFS('[1]Pipeline TS'!$AB:$AB,'[1]Pipeline TS'!$F:$F,Tabla1[[#This Row],[Cliente]])</f>
        <v>0</v>
      </c>
      <c r="AE176" s="65">
        <f>+SUM(Tabla1[[#This Row],[Pipeline 2026 $MM ESTERILIZACIÓN]:[Pipeline 2026 $MM TECSERVICE]])</f>
        <v>0</v>
      </c>
      <c r="AF176" s="43">
        <v>-35.962759697878298</v>
      </c>
      <c r="AG176" s="58">
        <v>-72.3247225313699</v>
      </c>
      <c r="AH176" s="57" t="str">
        <f>+IF(Tabla1[[#This Row],['# Contratos Vigentes ]]&gt;0,"SI","NO")</f>
        <v>NO</v>
      </c>
      <c r="AI176" s="66"/>
      <c r="AJ176" s="67">
        <f>+Tabla1[[#This Row],[Ingreso 2025 - 2026]]*Tabla1[[#This Row],[% Costo Serv. Directo]]</f>
        <v>0</v>
      </c>
      <c r="AK176" s="68"/>
      <c r="AL17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7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4992500</v>
      </c>
      <c r="AN176" s="42">
        <f>+Tabla1[[#This Row],[Potencial Equipos]]+Tabla1[[#This Row],[Potencial Pipeline]]</f>
        <v>4992500</v>
      </c>
    </row>
    <row r="177" spans="1:40" ht="15.75" x14ac:dyDescent="0.25">
      <c r="A177" s="47" t="s">
        <v>388</v>
      </c>
      <c r="B177" t="str">
        <f>+VLOOKUP(Tabla1[[#This Row],[Cliente]],'[1]Público Privado'!$A$1:$B$325,2,FALSE)</f>
        <v>Público</v>
      </c>
      <c r="C177" s="23">
        <f>+SUMIFS('[1]Facturacion a Fecha'!$T:$T,'[1]Facturacion a Fecha'!$AY:$AY,Tabla1[[#This Row],[Cliente]])</f>
        <v>1272749</v>
      </c>
      <c r="D177" s="24">
        <f>+SUMIFS('[1]Facturacion a Fecha'!$T:$T,'[1]Facturacion a Fecha'!$AY:$AY,Tabla1[[#This Row],[Cliente]],'[1]Facturacion a Fecha'!$AX:$AX,"Correctivo")</f>
        <v>1272749</v>
      </c>
      <c r="E177" s="25">
        <f>+COUNTIFS('[1]Facturacion a Fecha'!AY:AY,Tabla1[[#This Row],[Cliente]],'[1]Facturacion a Fecha'!AX:AX,"Correctivo")</f>
        <v>7</v>
      </c>
      <c r="F177" s="25">
        <f>+SUMIFS('[1]Facturacion a Fecha'!$T:$T,'[1]Facturacion a Fecha'!$AY:$AY,Tabla1[[#This Row],[Cliente]],'[1]Facturacion a Fecha'!$AX:$AX,"Preventivo")</f>
        <v>0</v>
      </c>
      <c r="G177" s="25">
        <f>+COUNTIFS('[1]Facturacion a Fecha'!AY:AY,Tabla1[[#This Row],[Cliente]],'[1]Facturacion a Fecha'!AX:AX,"Preventivo")</f>
        <v>0</v>
      </c>
      <c r="H177" s="26">
        <f>+Tabla1[[#This Row],['# Preventivo]]+Tabla1[[#This Row],['# Correctivo]]</f>
        <v>7</v>
      </c>
      <c r="I177" s="23">
        <f>+IFERROR(Tabla1[[#This Row],[Ingreso 2025 - 2026 Correctivo]]/Tabla1[[#This Row],[Ingreso 2025 - 2026 Preventivo]],0)</f>
        <v>0</v>
      </c>
      <c r="J177" s="59">
        <f>+IFERROR(Tabla1[[#This Row],['# Correctivo]]/Tabla1[[#This Row],['# Preventivo]],0)</f>
        <v>0</v>
      </c>
      <c r="K177" s="60">
        <f>+IFERROR(Tabla1[[#This Row],[Ingreso 2025 - 2026 Preventivo]]/(Tabla1[[#This Row],[Ingreso 2025 - 2026 Correctivo]]+Tabla1[[#This Row],[Ingreso 2025 - 2026 Preventivo]]),0)</f>
        <v>0</v>
      </c>
      <c r="L177" s="60">
        <f>1-Tabla1[[#This Row],[% Preventivo $]]</f>
        <v>1</v>
      </c>
      <c r="M177" s="45">
        <f>+COUNTIFS('[1]Base Instalada'!AA:AA,Tabla1[[#This Row],[Cliente]])</f>
        <v>13</v>
      </c>
      <c r="N17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7" s="45">
        <f>+COUNTIFS('[1]Base Instalada'!AA:AA,Tabla1[[#This Row],[Cliente]],'[1]Base Instalada'!Z:Z,"ESTERILIZACIÓN")</f>
        <v>3</v>
      </c>
      <c r="P177" s="45">
        <f>+COUNTIFS('[1]Base Instalada'!AA:AA,Tabla1[[#This Row],[Cliente]],'[1]Base Instalada'!Z:Z,"DENTAL")</f>
        <v>1</v>
      </c>
      <c r="Q177" s="45">
        <f>+COUNTIFS('[1]Base Instalada'!AA:AA,Tabla1[[#This Row],[Cliente]],'[1]Base Instalada'!Z:Z,"ENDOSCOPÍA")</f>
        <v>0</v>
      </c>
      <c r="R177" s="45">
        <f>+COUNTIFS('[1]Base Instalada'!AA:AA,Tabla1[[#This Row],[Cliente]],'[1]Base Instalada'!Z:Z,"INCARDIA")</f>
        <v>0</v>
      </c>
      <c r="S177" s="45">
        <f>+COUNTIFS('[1]Base Instalada'!AA:AA,Tabla1[[#This Row],[Cliente]],'[1]Base Instalada'!Z:Z,"MMQ")</f>
        <v>0</v>
      </c>
      <c r="T177" s="45">
        <f>+COUNTIFS('[1]Base Instalada'!AA:AA,Tabla1[[#This Row],[Cliente]],'[1]Base Instalada'!Z:Z,"REAS")</f>
        <v>0</v>
      </c>
      <c r="U177" s="46">
        <f>+COUNTIFS('[1]Base Instalada'!AA:AA,Tabla1[[#This Row],[Cliente]],'[1]Base Instalada'!Z:Z,"MOBILIARIO CLINICO")</f>
        <v>9</v>
      </c>
      <c r="V177" s="29">
        <f>+COUNTIFS('[1]Base Instalada'!AA:AA,Tabla1[[#This Row],[Cliente]],'[1]Base Instalada'!Z:Z,"OTRO")</f>
        <v>0</v>
      </c>
      <c r="W177" s="61" t="str">
        <f t="shared" si="6"/>
        <v>Región Metropolitana</v>
      </c>
      <c r="X177" s="61" t="str">
        <f t="shared" si="7"/>
        <v>Estación Central</v>
      </c>
      <c r="Y177" s="62" t="s">
        <v>389</v>
      </c>
      <c r="Z177" s="33">
        <f>+COUNTIFS('[1]Pipeline TS'!$F:$F,Tabla1[[#This Row],[Cliente]])</f>
        <v>0</v>
      </c>
      <c r="AA177" s="63">
        <f>SUMIFS('[1]Pipeline Esterilización'!M:M,'[1]Pipeline Esterilización'!E:E,Tabla1[[#This Row],[Cliente]],'[1]Pipeline Esterilización'!B:B,"2026",'[1]Pipeline Esterilización'!L:L,"&gt;0")</f>
        <v>84000000</v>
      </c>
      <c r="AB177" s="33">
        <f>+SUMIFS('[1]Pipeline Endoscopía'!K:K,'[1]Pipeline Endoscopía'!E:E,Tabla1[[#This Row],[Cliente]],'[1]Pipeline Endoscopía'!B:B,"2026",'[1]Pipeline Endoscopía'!J:J,"&gt;0")</f>
        <v>0</v>
      </c>
      <c r="AC177" s="63">
        <f>+SUMIFS('[1]Pipeline Dental'!K:K,'[1]Pipeline Dental'!E:E,Tabla1[[#This Row],[Cliente]],'[1]Pipeline Dental'!B:B,"2026",'[1]Pipeline Dental'!J:J,"&gt;0")</f>
        <v>0</v>
      </c>
      <c r="AD177" s="64">
        <f>+SUMIFS('[1]Pipeline TS'!$AB:$AB,'[1]Pipeline TS'!$F:$F,Tabla1[[#This Row],[Cliente]])</f>
        <v>0</v>
      </c>
      <c r="AE177" s="65">
        <f>+SUM(Tabla1[[#This Row],[Pipeline 2026 $MM ESTERILIZACIÓN]:[Pipeline 2026 $MM TECSERVICE]])</f>
        <v>84000000</v>
      </c>
      <c r="AF177" s="43">
        <v>-33.456850641360603</v>
      </c>
      <c r="AG177" s="58">
        <v>-70.703068048701496</v>
      </c>
      <c r="AH177" s="57" t="str">
        <f>+IF(Tabla1[[#This Row],['# Contratos Vigentes ]]&gt;0,"SI","NO")</f>
        <v>NO</v>
      </c>
      <c r="AI177" s="66"/>
      <c r="AJ177" s="67">
        <f>+Tabla1[[#This Row],[Ingreso 2025 - 2026]]*Tabla1[[#This Row],[% Costo Serv. Directo]]</f>
        <v>0</v>
      </c>
      <c r="AK177" s="68"/>
      <c r="AL17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8400000</v>
      </c>
      <c r="AM17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6590100</v>
      </c>
      <c r="AN177" s="42">
        <f>+Tabla1[[#This Row],[Potencial Equipos]]+Tabla1[[#This Row],[Potencial Pipeline]]</f>
        <v>14990100</v>
      </c>
    </row>
    <row r="178" spans="1:40" ht="15.75" x14ac:dyDescent="0.25">
      <c r="A178" s="47" t="s">
        <v>390</v>
      </c>
      <c r="B178" t="str">
        <f>+VLOOKUP(Tabla1[[#This Row],[Cliente]],'[1]Público Privado'!$A$1:$B$325,2,FALSE)</f>
        <v>Privado</v>
      </c>
      <c r="C178" s="23">
        <f>+SUMIFS('[1]Facturacion a Fecha'!$T:$T,'[1]Facturacion a Fecha'!$AY:$AY,Tabla1[[#This Row],[Cliente]])</f>
        <v>0</v>
      </c>
      <c r="D178" s="24">
        <f>+SUMIFS('[1]Facturacion a Fecha'!$T:$T,'[1]Facturacion a Fecha'!$AY:$AY,Tabla1[[#This Row],[Cliente]],'[1]Facturacion a Fecha'!$AX:$AX,"Correctivo")</f>
        <v>0</v>
      </c>
      <c r="E178" s="25">
        <f>+COUNTIFS('[1]Facturacion a Fecha'!AY:AY,Tabla1[[#This Row],[Cliente]],'[1]Facturacion a Fecha'!AX:AX,"Correctivo")</f>
        <v>0</v>
      </c>
      <c r="F178" s="25">
        <f>+SUMIFS('[1]Facturacion a Fecha'!$T:$T,'[1]Facturacion a Fecha'!$AY:$AY,Tabla1[[#This Row],[Cliente]],'[1]Facturacion a Fecha'!$AX:$AX,"Preventivo")</f>
        <v>0</v>
      </c>
      <c r="G178" s="25">
        <f>+COUNTIFS('[1]Facturacion a Fecha'!AY:AY,Tabla1[[#This Row],[Cliente]],'[1]Facturacion a Fecha'!AX:AX,"Preventivo")</f>
        <v>0</v>
      </c>
      <c r="H178" s="26">
        <f>+Tabla1[[#This Row],['# Preventivo]]+Tabla1[[#This Row],['# Correctivo]]</f>
        <v>0</v>
      </c>
      <c r="I178" s="23">
        <f>+IFERROR(Tabla1[[#This Row],[Ingreso 2025 - 2026 Correctivo]]/Tabla1[[#This Row],[Ingreso 2025 - 2026 Preventivo]],0)</f>
        <v>0</v>
      </c>
      <c r="J178" s="59">
        <f>+IFERROR(Tabla1[[#This Row],['# Correctivo]]/Tabla1[[#This Row],['# Preventivo]],0)</f>
        <v>0</v>
      </c>
      <c r="K178" s="60">
        <f>+IFERROR(Tabla1[[#This Row],[Ingreso 2025 - 2026 Preventivo]]/(Tabla1[[#This Row],[Ingreso 2025 - 2026 Correctivo]]+Tabla1[[#This Row],[Ingreso 2025 - 2026 Preventivo]]),0)</f>
        <v>0</v>
      </c>
      <c r="L178" s="60">
        <f>1-Tabla1[[#This Row],[% Preventivo $]]</f>
        <v>1</v>
      </c>
      <c r="M178" s="45">
        <f>+COUNTIFS('[1]Base Instalada'!AA:AA,Tabla1[[#This Row],[Cliente]])</f>
        <v>6</v>
      </c>
      <c r="N17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8" s="45">
        <f>+COUNTIFS('[1]Base Instalada'!AA:AA,Tabla1[[#This Row],[Cliente]],'[1]Base Instalada'!Z:Z,"ESTERILIZACIÓN")</f>
        <v>1</v>
      </c>
      <c r="P178" s="45">
        <f>+COUNTIFS('[1]Base Instalada'!AA:AA,Tabla1[[#This Row],[Cliente]],'[1]Base Instalada'!Z:Z,"DENTAL")</f>
        <v>2</v>
      </c>
      <c r="Q178" s="45">
        <f>+COUNTIFS('[1]Base Instalada'!AA:AA,Tabla1[[#This Row],[Cliente]],'[1]Base Instalada'!Z:Z,"ENDOSCOPÍA")</f>
        <v>0</v>
      </c>
      <c r="R178" s="45">
        <f>+COUNTIFS('[1]Base Instalada'!AA:AA,Tabla1[[#This Row],[Cliente]],'[1]Base Instalada'!Z:Z,"INCARDIA")</f>
        <v>0</v>
      </c>
      <c r="S178" s="45">
        <f>+COUNTIFS('[1]Base Instalada'!AA:AA,Tabla1[[#This Row],[Cliente]],'[1]Base Instalada'!Z:Z,"MMQ")</f>
        <v>2</v>
      </c>
      <c r="T178" s="45">
        <f>+COUNTIFS('[1]Base Instalada'!AA:AA,Tabla1[[#This Row],[Cliente]],'[1]Base Instalada'!Z:Z,"REAS")</f>
        <v>0</v>
      </c>
      <c r="U178" s="46">
        <f>+COUNTIFS('[1]Base Instalada'!AA:AA,Tabla1[[#This Row],[Cliente]],'[1]Base Instalada'!Z:Z,"MOBILIARIO CLINICO")</f>
        <v>1</v>
      </c>
      <c r="V178" s="29">
        <f>+COUNTIFS('[1]Base Instalada'!AA:AA,Tabla1[[#This Row],[Cliente]],'[1]Base Instalada'!Z:Z,"OTRO")</f>
        <v>0</v>
      </c>
      <c r="W178" s="61" t="str">
        <f t="shared" si="6"/>
        <v>Región Metropolitana</v>
      </c>
      <c r="X178" s="61" t="str">
        <f t="shared" si="7"/>
        <v>Puente Alto</v>
      </c>
      <c r="Y178" s="62" t="s">
        <v>391</v>
      </c>
      <c r="Z178" s="33">
        <f>+COUNTIFS('[1]Pipeline TS'!$F:$F,Tabla1[[#This Row],[Cliente]])</f>
        <v>0</v>
      </c>
      <c r="AA178" s="63">
        <f>SUMIFS('[1]Pipeline Esterilización'!M:M,'[1]Pipeline Esterilización'!E:E,Tabla1[[#This Row],[Cliente]],'[1]Pipeline Esterilización'!B:B,"2026",'[1]Pipeline Esterilización'!L:L,"&gt;0")</f>
        <v>0</v>
      </c>
      <c r="AB178" s="33">
        <f>+SUMIFS('[1]Pipeline Endoscopía'!K:K,'[1]Pipeline Endoscopía'!E:E,Tabla1[[#This Row],[Cliente]],'[1]Pipeline Endoscopía'!B:B,"2026",'[1]Pipeline Endoscopía'!J:J,"&gt;0")</f>
        <v>0</v>
      </c>
      <c r="AC178" s="63">
        <f>+SUMIFS('[1]Pipeline Dental'!K:K,'[1]Pipeline Dental'!E:E,Tabla1[[#This Row],[Cliente]],'[1]Pipeline Dental'!B:B,"2026",'[1]Pipeline Dental'!J:J,"&gt;0")</f>
        <v>0</v>
      </c>
      <c r="AD178" s="64">
        <f>+SUMIFS('[1]Pipeline TS'!$AB:$AB,'[1]Pipeline TS'!$F:$F,Tabla1[[#This Row],[Cliente]])</f>
        <v>0</v>
      </c>
      <c r="AE178" s="65">
        <f>+SUM(Tabla1[[#This Row],[Pipeline 2026 $MM ESTERILIZACIÓN]:[Pipeline 2026 $MM TECSERVICE]])</f>
        <v>0</v>
      </c>
      <c r="AF178" s="43">
        <v>-33.569354563391798</v>
      </c>
      <c r="AG178" s="58">
        <v>-70.554227991024604</v>
      </c>
      <c r="AH178" s="57" t="str">
        <f>+IF(Tabla1[[#This Row],['# Contratos Vigentes ]]&gt;0,"SI","NO")</f>
        <v>NO</v>
      </c>
      <c r="AI178" s="66"/>
      <c r="AJ178" s="67">
        <f>+Tabla1[[#This Row],[Ingreso 2025 - 2026]]*Tabla1[[#This Row],[% Costo Serv. Directo]]</f>
        <v>0</v>
      </c>
      <c r="AK178" s="68"/>
      <c r="AL17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7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3195200</v>
      </c>
      <c r="AN178" s="42">
        <f>+Tabla1[[#This Row],[Potencial Equipos]]+Tabla1[[#This Row],[Potencial Pipeline]]</f>
        <v>3195200</v>
      </c>
    </row>
    <row r="179" spans="1:40" ht="15.75" x14ac:dyDescent="0.25">
      <c r="A179" s="47" t="s">
        <v>392</v>
      </c>
      <c r="B179" t="str">
        <f>+VLOOKUP(Tabla1[[#This Row],[Cliente]],'[1]Público Privado'!$A$1:$B$325,2,FALSE)</f>
        <v>Público</v>
      </c>
      <c r="C179" s="23">
        <f>+SUMIFS('[1]Facturacion a Fecha'!$T:$T,'[1]Facturacion a Fecha'!$AY:$AY,Tabla1[[#This Row],[Cliente]])</f>
        <v>0</v>
      </c>
      <c r="D179" s="24">
        <f>+SUMIFS('[1]Facturacion a Fecha'!$T:$T,'[1]Facturacion a Fecha'!$AY:$AY,Tabla1[[#This Row],[Cliente]],'[1]Facturacion a Fecha'!$AX:$AX,"Correctivo")</f>
        <v>0</v>
      </c>
      <c r="E179" s="25">
        <f>+COUNTIFS('[1]Facturacion a Fecha'!AY:AY,Tabla1[[#This Row],[Cliente]],'[1]Facturacion a Fecha'!AX:AX,"Correctivo")</f>
        <v>0</v>
      </c>
      <c r="F179" s="25">
        <f>+SUMIFS('[1]Facturacion a Fecha'!$T:$T,'[1]Facturacion a Fecha'!$AY:$AY,Tabla1[[#This Row],[Cliente]],'[1]Facturacion a Fecha'!$AX:$AX,"Preventivo")</f>
        <v>0</v>
      </c>
      <c r="G179" s="25">
        <f>+COUNTIFS('[1]Facturacion a Fecha'!AY:AY,Tabla1[[#This Row],[Cliente]],'[1]Facturacion a Fecha'!AX:AX,"Preventivo")</f>
        <v>0</v>
      </c>
      <c r="H179" s="26">
        <f>+Tabla1[[#This Row],['# Preventivo]]+Tabla1[[#This Row],['# Correctivo]]</f>
        <v>0</v>
      </c>
      <c r="I179" s="23">
        <f>+IFERROR(Tabla1[[#This Row],[Ingreso 2025 - 2026 Correctivo]]/Tabla1[[#This Row],[Ingreso 2025 - 2026 Preventivo]],0)</f>
        <v>0</v>
      </c>
      <c r="J179" s="59">
        <f>+IFERROR(Tabla1[[#This Row],['# Correctivo]]/Tabla1[[#This Row],['# Preventivo]],0)</f>
        <v>0</v>
      </c>
      <c r="K179" s="60">
        <f>+IFERROR(Tabla1[[#This Row],[Ingreso 2025 - 2026 Preventivo]]/(Tabla1[[#This Row],[Ingreso 2025 - 2026 Correctivo]]+Tabla1[[#This Row],[Ingreso 2025 - 2026 Preventivo]]),0)</f>
        <v>0</v>
      </c>
      <c r="L179" s="60">
        <f>1-Tabla1[[#This Row],[% Preventivo $]]</f>
        <v>1</v>
      </c>
      <c r="M179" s="45">
        <f>+COUNTIFS('[1]Base Instalada'!AA:AA,Tabla1[[#This Row],[Cliente]])</f>
        <v>7</v>
      </c>
      <c r="N17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79" s="45">
        <f>+COUNTIFS('[1]Base Instalada'!AA:AA,Tabla1[[#This Row],[Cliente]],'[1]Base Instalada'!Z:Z,"ESTERILIZACIÓN")</f>
        <v>1</v>
      </c>
      <c r="P179" s="45">
        <f>+COUNTIFS('[1]Base Instalada'!AA:AA,Tabla1[[#This Row],[Cliente]],'[1]Base Instalada'!Z:Z,"DENTAL")</f>
        <v>6</v>
      </c>
      <c r="Q179" s="45">
        <f>+COUNTIFS('[1]Base Instalada'!AA:AA,Tabla1[[#This Row],[Cliente]],'[1]Base Instalada'!Z:Z,"ENDOSCOPÍA")</f>
        <v>0</v>
      </c>
      <c r="R179" s="45">
        <f>+COUNTIFS('[1]Base Instalada'!AA:AA,Tabla1[[#This Row],[Cliente]],'[1]Base Instalada'!Z:Z,"INCARDIA")</f>
        <v>0</v>
      </c>
      <c r="S179" s="45">
        <f>+COUNTIFS('[1]Base Instalada'!AA:AA,Tabla1[[#This Row],[Cliente]],'[1]Base Instalada'!Z:Z,"MMQ")</f>
        <v>0</v>
      </c>
      <c r="T179" s="45">
        <f>+COUNTIFS('[1]Base Instalada'!AA:AA,Tabla1[[#This Row],[Cliente]],'[1]Base Instalada'!Z:Z,"REAS")</f>
        <v>0</v>
      </c>
      <c r="U179" s="46">
        <f>+COUNTIFS('[1]Base Instalada'!AA:AA,Tabla1[[#This Row],[Cliente]],'[1]Base Instalada'!Z:Z,"MOBILIARIO CLINICO")</f>
        <v>0</v>
      </c>
      <c r="V179" s="29">
        <f>+COUNTIFS('[1]Base Instalada'!AA:AA,Tabla1[[#This Row],[Cliente]],'[1]Base Instalada'!Z:Z,"OTRO")</f>
        <v>0</v>
      </c>
      <c r="W179" s="61" t="str">
        <f t="shared" si="6"/>
        <v>Región Maule</v>
      </c>
      <c r="X179" s="61" t="str">
        <f t="shared" si="7"/>
        <v>Hualañé</v>
      </c>
      <c r="Y179" s="62" t="s">
        <v>393</v>
      </c>
      <c r="Z179" s="33">
        <f>+COUNTIFS('[1]Pipeline TS'!$F:$F,Tabla1[[#This Row],[Cliente]])</f>
        <v>0</v>
      </c>
      <c r="AA179" s="63">
        <f>SUMIFS('[1]Pipeline Esterilización'!M:M,'[1]Pipeline Esterilización'!E:E,Tabla1[[#This Row],[Cliente]],'[1]Pipeline Esterilización'!B:B,"2026",'[1]Pipeline Esterilización'!L:L,"&gt;0")</f>
        <v>0</v>
      </c>
      <c r="AB179" s="33">
        <f>+SUMIFS('[1]Pipeline Endoscopía'!K:K,'[1]Pipeline Endoscopía'!E:E,Tabla1[[#This Row],[Cliente]],'[1]Pipeline Endoscopía'!B:B,"2026",'[1]Pipeline Endoscopía'!J:J,"&gt;0")</f>
        <v>0</v>
      </c>
      <c r="AC179" s="63">
        <f>+SUMIFS('[1]Pipeline Dental'!K:K,'[1]Pipeline Dental'!E:E,Tabla1[[#This Row],[Cliente]],'[1]Pipeline Dental'!B:B,"2026",'[1]Pipeline Dental'!J:J,"&gt;0")</f>
        <v>0</v>
      </c>
      <c r="AD179" s="64">
        <f>+SUMIFS('[1]Pipeline TS'!$AB:$AB,'[1]Pipeline TS'!$F:$F,Tabla1[[#This Row],[Cliente]])</f>
        <v>0</v>
      </c>
      <c r="AE179" s="65">
        <f>+SUM(Tabla1[[#This Row],[Pipeline 2026 $MM ESTERILIZACIÓN]:[Pipeline 2026 $MM TECSERVICE]])</f>
        <v>0</v>
      </c>
      <c r="AF179" s="43">
        <v>-34.976043704012902</v>
      </c>
      <c r="AG179" s="58">
        <v>-71.805328889097794</v>
      </c>
      <c r="AH179" s="57" t="str">
        <f>+IF(Tabla1[[#This Row],['# Contratos Vigentes ]]&gt;0,"SI","NO")</f>
        <v>NO</v>
      </c>
      <c r="AI179" s="66"/>
      <c r="AJ179" s="67">
        <f>+Tabla1[[#This Row],[Ingreso 2025 - 2026]]*Tabla1[[#This Row],[% Costo Serv. Directo]]</f>
        <v>0</v>
      </c>
      <c r="AK179" s="68"/>
      <c r="AL17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7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5591600</v>
      </c>
      <c r="AN179" s="42">
        <f>+Tabla1[[#This Row],[Potencial Equipos]]+Tabla1[[#This Row],[Potencial Pipeline]]</f>
        <v>5591600</v>
      </c>
    </row>
    <row r="180" spans="1:40" ht="15.75" x14ac:dyDescent="0.25">
      <c r="A180" s="47" t="s">
        <v>394</v>
      </c>
      <c r="B180" t="str">
        <f>+VLOOKUP(Tabla1[[#This Row],[Cliente]],'[1]Público Privado'!$A$1:$B$325,2,FALSE)</f>
        <v>Público</v>
      </c>
      <c r="C180" s="23">
        <f>+SUMIFS('[1]Facturacion a Fecha'!$T:$T,'[1]Facturacion a Fecha'!$AY:$AY,Tabla1[[#This Row],[Cliente]])</f>
        <v>0</v>
      </c>
      <c r="D180" s="24">
        <f>+SUMIFS('[1]Facturacion a Fecha'!$T:$T,'[1]Facturacion a Fecha'!$AY:$AY,Tabla1[[#This Row],[Cliente]],'[1]Facturacion a Fecha'!$AX:$AX,"Correctivo")</f>
        <v>0</v>
      </c>
      <c r="E180" s="25">
        <f>+COUNTIFS('[1]Facturacion a Fecha'!AY:AY,Tabla1[[#This Row],[Cliente]],'[1]Facturacion a Fecha'!AX:AX,"Correctivo")</f>
        <v>0</v>
      </c>
      <c r="F180" s="25">
        <f>+SUMIFS('[1]Facturacion a Fecha'!$T:$T,'[1]Facturacion a Fecha'!$AY:$AY,Tabla1[[#This Row],[Cliente]],'[1]Facturacion a Fecha'!$AX:$AX,"Preventivo")</f>
        <v>0</v>
      </c>
      <c r="G180" s="25">
        <f>+COUNTIFS('[1]Facturacion a Fecha'!AY:AY,Tabla1[[#This Row],[Cliente]],'[1]Facturacion a Fecha'!AX:AX,"Preventivo")</f>
        <v>0</v>
      </c>
      <c r="H180" s="26">
        <f>+Tabla1[[#This Row],['# Preventivo]]+Tabla1[[#This Row],['# Correctivo]]</f>
        <v>0</v>
      </c>
      <c r="I180" s="23">
        <f>+IFERROR(Tabla1[[#This Row],[Ingreso 2025 - 2026 Correctivo]]/Tabla1[[#This Row],[Ingreso 2025 - 2026 Preventivo]],0)</f>
        <v>0</v>
      </c>
      <c r="J180" s="59">
        <f>+IFERROR(Tabla1[[#This Row],['# Correctivo]]/Tabla1[[#This Row],['# Preventivo]],0)</f>
        <v>0</v>
      </c>
      <c r="K180" s="60">
        <f>+IFERROR(Tabla1[[#This Row],[Ingreso 2025 - 2026 Preventivo]]/(Tabla1[[#This Row],[Ingreso 2025 - 2026 Correctivo]]+Tabla1[[#This Row],[Ingreso 2025 - 2026 Preventivo]]),0)</f>
        <v>0</v>
      </c>
      <c r="L180" s="60">
        <f>1-Tabla1[[#This Row],[% Preventivo $]]</f>
        <v>1</v>
      </c>
      <c r="M180" s="45">
        <f>+COUNTIFS('[1]Base Instalada'!AA:AA,Tabla1[[#This Row],[Cliente]])</f>
        <v>5</v>
      </c>
      <c r="N18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0" s="45">
        <f>+COUNTIFS('[1]Base Instalada'!AA:AA,Tabla1[[#This Row],[Cliente]],'[1]Base Instalada'!Z:Z,"ESTERILIZACIÓN")</f>
        <v>1</v>
      </c>
      <c r="P180" s="45">
        <f>+COUNTIFS('[1]Base Instalada'!AA:AA,Tabla1[[#This Row],[Cliente]],'[1]Base Instalada'!Z:Z,"DENTAL")</f>
        <v>4</v>
      </c>
      <c r="Q180" s="45">
        <f>+COUNTIFS('[1]Base Instalada'!AA:AA,Tabla1[[#This Row],[Cliente]],'[1]Base Instalada'!Z:Z,"ENDOSCOPÍA")</f>
        <v>0</v>
      </c>
      <c r="R180" s="45">
        <f>+COUNTIFS('[1]Base Instalada'!AA:AA,Tabla1[[#This Row],[Cliente]],'[1]Base Instalada'!Z:Z,"INCARDIA")</f>
        <v>0</v>
      </c>
      <c r="S180" s="45">
        <f>+COUNTIFS('[1]Base Instalada'!AA:AA,Tabla1[[#This Row],[Cliente]],'[1]Base Instalada'!Z:Z,"MMQ")</f>
        <v>0</v>
      </c>
      <c r="T180" s="45">
        <f>+COUNTIFS('[1]Base Instalada'!AA:AA,Tabla1[[#This Row],[Cliente]],'[1]Base Instalada'!Z:Z,"REAS")</f>
        <v>0</v>
      </c>
      <c r="U180" s="46">
        <f>+COUNTIFS('[1]Base Instalada'!AA:AA,Tabla1[[#This Row],[Cliente]],'[1]Base Instalada'!Z:Z,"MOBILIARIO CLINICO")</f>
        <v>0</v>
      </c>
      <c r="V180" s="29">
        <f>+COUNTIFS('[1]Base Instalada'!AA:AA,Tabla1[[#This Row],[Cliente]],'[1]Base Instalada'!Z:Z,"OTRO")</f>
        <v>0</v>
      </c>
      <c r="W180" s="61" t="str">
        <f t="shared" si="6"/>
        <v>Región Los Ríos</v>
      </c>
      <c r="X180" s="61" t="str">
        <f t="shared" si="7"/>
        <v>Futrono</v>
      </c>
      <c r="Y180" s="62" t="s">
        <v>395</v>
      </c>
      <c r="Z180" s="33">
        <f>+COUNTIFS('[1]Pipeline TS'!$F:$F,Tabla1[[#This Row],[Cliente]])</f>
        <v>0</v>
      </c>
      <c r="AA180" s="63">
        <f>SUMIFS('[1]Pipeline Esterilización'!M:M,'[1]Pipeline Esterilización'!E:E,Tabla1[[#This Row],[Cliente]],'[1]Pipeline Esterilización'!B:B,"2026",'[1]Pipeline Esterilización'!L:L,"&gt;0")</f>
        <v>0</v>
      </c>
      <c r="AB180" s="33">
        <f>+SUMIFS('[1]Pipeline Endoscopía'!K:K,'[1]Pipeline Endoscopía'!E:E,Tabla1[[#This Row],[Cliente]],'[1]Pipeline Endoscopía'!B:B,"2026",'[1]Pipeline Endoscopía'!J:J,"&gt;0")</f>
        <v>0</v>
      </c>
      <c r="AC180" s="63">
        <f>+SUMIFS('[1]Pipeline Dental'!K:K,'[1]Pipeline Dental'!E:E,Tabla1[[#This Row],[Cliente]],'[1]Pipeline Dental'!B:B,"2026",'[1]Pipeline Dental'!J:J,"&gt;0")</f>
        <v>0</v>
      </c>
      <c r="AD180" s="64">
        <f>+SUMIFS('[1]Pipeline TS'!$AB:$AB,'[1]Pipeline TS'!$F:$F,Tabla1[[#This Row],[Cliente]])</f>
        <v>0</v>
      </c>
      <c r="AE180" s="65">
        <f>+SUM(Tabla1[[#This Row],[Pipeline 2026 $MM ESTERILIZACIÓN]:[Pipeline 2026 $MM TECSERVICE]])</f>
        <v>0</v>
      </c>
      <c r="AF180" s="43">
        <v>-40.125411287784601</v>
      </c>
      <c r="AG180" s="58">
        <v>-72.382775105974702</v>
      </c>
      <c r="AH180" s="57" t="str">
        <f>+IF(Tabla1[[#This Row],['# Contratos Vigentes ]]&gt;0,"SI","NO")</f>
        <v>NO</v>
      </c>
      <c r="AI180" s="66"/>
      <c r="AJ180" s="67">
        <f>+Tabla1[[#This Row],[Ingreso 2025 - 2026]]*Tabla1[[#This Row],[% Costo Serv. Directo]]</f>
        <v>0</v>
      </c>
      <c r="AK180" s="68"/>
      <c r="AL18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4393400</v>
      </c>
      <c r="AN180" s="42">
        <f>+Tabla1[[#This Row],[Potencial Equipos]]+Tabla1[[#This Row],[Potencial Pipeline]]</f>
        <v>4393400</v>
      </c>
    </row>
    <row r="181" spans="1:40" ht="15.75" x14ac:dyDescent="0.25">
      <c r="A181" s="47" t="s">
        <v>396</v>
      </c>
      <c r="B181" t="str">
        <f>+VLOOKUP(Tabla1[[#This Row],[Cliente]],'[1]Público Privado'!$A$1:$B$325,2,FALSE)</f>
        <v>Público</v>
      </c>
      <c r="C181" s="23">
        <f>+SUMIFS('[1]Facturacion a Fecha'!$T:$T,'[1]Facturacion a Fecha'!$AY:$AY,Tabla1[[#This Row],[Cliente]])</f>
        <v>0</v>
      </c>
      <c r="D181" s="24">
        <f>+SUMIFS('[1]Facturacion a Fecha'!$T:$T,'[1]Facturacion a Fecha'!$AY:$AY,Tabla1[[#This Row],[Cliente]],'[1]Facturacion a Fecha'!$AX:$AX,"Correctivo")</f>
        <v>0</v>
      </c>
      <c r="E181" s="25">
        <f>+COUNTIFS('[1]Facturacion a Fecha'!AY:AY,Tabla1[[#This Row],[Cliente]],'[1]Facturacion a Fecha'!AX:AX,"Correctivo")</f>
        <v>0</v>
      </c>
      <c r="F181" s="25">
        <f>+SUMIFS('[1]Facturacion a Fecha'!$T:$T,'[1]Facturacion a Fecha'!$AY:$AY,Tabla1[[#This Row],[Cliente]],'[1]Facturacion a Fecha'!$AX:$AX,"Preventivo")</f>
        <v>0</v>
      </c>
      <c r="G181" s="25">
        <f>+COUNTIFS('[1]Facturacion a Fecha'!AY:AY,Tabla1[[#This Row],[Cliente]],'[1]Facturacion a Fecha'!AX:AX,"Preventivo")</f>
        <v>0</v>
      </c>
      <c r="H181" s="26">
        <f>+Tabla1[[#This Row],['# Preventivo]]+Tabla1[[#This Row],['# Correctivo]]</f>
        <v>0</v>
      </c>
      <c r="I181" s="23">
        <f>+IFERROR(Tabla1[[#This Row],[Ingreso 2025 - 2026 Correctivo]]/Tabla1[[#This Row],[Ingreso 2025 - 2026 Preventivo]],0)</f>
        <v>0</v>
      </c>
      <c r="J181" s="59">
        <f>+IFERROR(Tabla1[[#This Row],['# Correctivo]]/Tabla1[[#This Row],['# Preventivo]],0)</f>
        <v>0</v>
      </c>
      <c r="K181" s="60">
        <f>+IFERROR(Tabla1[[#This Row],[Ingreso 2025 - 2026 Preventivo]]/(Tabla1[[#This Row],[Ingreso 2025 - 2026 Correctivo]]+Tabla1[[#This Row],[Ingreso 2025 - 2026 Preventivo]]),0)</f>
        <v>0</v>
      </c>
      <c r="L181" s="60">
        <f>1-Tabla1[[#This Row],[% Preventivo $]]</f>
        <v>1</v>
      </c>
      <c r="M181" s="45">
        <f>+COUNTIFS('[1]Base Instalada'!AA:AA,Tabla1[[#This Row],[Cliente]])</f>
        <v>16</v>
      </c>
      <c r="N18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1" s="45">
        <f>+COUNTIFS('[1]Base Instalada'!AA:AA,Tabla1[[#This Row],[Cliente]],'[1]Base Instalada'!Z:Z,"ESTERILIZACIÓN")</f>
        <v>1</v>
      </c>
      <c r="P181" s="45">
        <f>+COUNTIFS('[1]Base Instalada'!AA:AA,Tabla1[[#This Row],[Cliente]],'[1]Base Instalada'!Z:Z,"DENTAL")</f>
        <v>8</v>
      </c>
      <c r="Q181" s="45">
        <f>+COUNTIFS('[1]Base Instalada'!AA:AA,Tabla1[[#This Row],[Cliente]],'[1]Base Instalada'!Z:Z,"ENDOSCOPÍA")</f>
        <v>0</v>
      </c>
      <c r="R181" s="45">
        <f>+COUNTIFS('[1]Base Instalada'!AA:AA,Tabla1[[#This Row],[Cliente]],'[1]Base Instalada'!Z:Z,"INCARDIA")</f>
        <v>0</v>
      </c>
      <c r="S181" s="45">
        <f>+COUNTIFS('[1]Base Instalada'!AA:AA,Tabla1[[#This Row],[Cliente]],'[1]Base Instalada'!Z:Z,"MMQ")</f>
        <v>0</v>
      </c>
      <c r="T181" s="45">
        <f>+COUNTIFS('[1]Base Instalada'!AA:AA,Tabla1[[#This Row],[Cliente]],'[1]Base Instalada'!Z:Z,"REAS")</f>
        <v>0</v>
      </c>
      <c r="U181" s="46">
        <f>+COUNTIFS('[1]Base Instalada'!AA:AA,Tabla1[[#This Row],[Cliente]],'[1]Base Instalada'!Z:Z,"MOBILIARIO CLINICO")</f>
        <v>7</v>
      </c>
      <c r="V181" s="29">
        <f>+COUNTIFS('[1]Base Instalada'!AA:AA,Tabla1[[#This Row],[Cliente]],'[1]Base Instalada'!Z:Z,"OTRO")</f>
        <v>0</v>
      </c>
      <c r="W181" s="61" t="str">
        <f t="shared" si="6"/>
        <v>Región Bío Bío</v>
      </c>
      <c r="X181" s="61" t="str">
        <f t="shared" si="7"/>
        <v>Mulchén</v>
      </c>
      <c r="Y181" s="62" t="s">
        <v>397</v>
      </c>
      <c r="Z181" s="33">
        <f>+COUNTIFS('[1]Pipeline TS'!$F:$F,Tabla1[[#This Row],[Cliente]])</f>
        <v>0</v>
      </c>
      <c r="AA181" s="63">
        <f>SUMIFS('[1]Pipeline Esterilización'!M:M,'[1]Pipeline Esterilización'!E:E,Tabla1[[#This Row],[Cliente]],'[1]Pipeline Esterilización'!B:B,"2026",'[1]Pipeline Esterilización'!L:L,"&gt;0")</f>
        <v>0</v>
      </c>
      <c r="AB181" s="33">
        <f>+SUMIFS('[1]Pipeline Endoscopía'!K:K,'[1]Pipeline Endoscopía'!E:E,Tabla1[[#This Row],[Cliente]],'[1]Pipeline Endoscopía'!B:B,"2026",'[1]Pipeline Endoscopía'!J:J,"&gt;0")</f>
        <v>0</v>
      </c>
      <c r="AC181" s="63">
        <f>+SUMIFS('[1]Pipeline Dental'!K:K,'[1]Pipeline Dental'!E:E,Tabla1[[#This Row],[Cliente]],'[1]Pipeline Dental'!B:B,"2026",'[1]Pipeline Dental'!J:J,"&gt;0")</f>
        <v>0</v>
      </c>
      <c r="AD181" s="64">
        <f>+SUMIFS('[1]Pipeline TS'!$AB:$AB,'[1]Pipeline TS'!$F:$F,Tabla1[[#This Row],[Cliente]])</f>
        <v>0</v>
      </c>
      <c r="AE181" s="65">
        <f>+SUM(Tabla1[[#This Row],[Pipeline 2026 $MM ESTERILIZACIÓN]:[Pipeline 2026 $MM TECSERVICE]])</f>
        <v>0</v>
      </c>
      <c r="AF181" s="43">
        <v>-37.719814299287499</v>
      </c>
      <c r="AG181" s="58">
        <v>-72.240581660100503</v>
      </c>
      <c r="AH181" s="57" t="str">
        <f>+IF(Tabla1[[#This Row],['# Contratos Vigentes ]]&gt;0,"SI","NO")</f>
        <v>NO</v>
      </c>
      <c r="AI181" s="66"/>
      <c r="AJ181" s="67">
        <f>+Tabla1[[#This Row],[Ingreso 2025 - 2026]]*Tabla1[[#This Row],[% Costo Serv. Directo]]</f>
        <v>0</v>
      </c>
      <c r="AK181" s="68"/>
      <c r="AL18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6789800</v>
      </c>
      <c r="AN181" s="42">
        <f>+Tabla1[[#This Row],[Potencial Equipos]]+Tabla1[[#This Row],[Potencial Pipeline]]</f>
        <v>6789800</v>
      </c>
    </row>
    <row r="182" spans="1:40" ht="15.75" x14ac:dyDescent="0.25">
      <c r="A182" s="47" t="s">
        <v>398</v>
      </c>
      <c r="B182" t="str">
        <f>+VLOOKUP(Tabla1[[#This Row],[Cliente]],'[1]Público Privado'!$A$1:$B$325,2,FALSE)</f>
        <v>Público</v>
      </c>
      <c r="C182" s="23">
        <f>+SUMIFS('[1]Facturacion a Fecha'!$T:$T,'[1]Facturacion a Fecha'!$AY:$AY,Tabla1[[#This Row],[Cliente]])</f>
        <v>0</v>
      </c>
      <c r="D182" s="24">
        <f>+SUMIFS('[1]Facturacion a Fecha'!$T:$T,'[1]Facturacion a Fecha'!$AY:$AY,Tabla1[[#This Row],[Cliente]],'[1]Facturacion a Fecha'!$AX:$AX,"Correctivo")</f>
        <v>0</v>
      </c>
      <c r="E182" s="25">
        <f>+COUNTIFS('[1]Facturacion a Fecha'!AY:AY,Tabla1[[#This Row],[Cliente]],'[1]Facturacion a Fecha'!AX:AX,"Correctivo")</f>
        <v>0</v>
      </c>
      <c r="F182" s="25">
        <f>+SUMIFS('[1]Facturacion a Fecha'!$T:$T,'[1]Facturacion a Fecha'!$AY:$AY,Tabla1[[#This Row],[Cliente]],'[1]Facturacion a Fecha'!$AX:$AX,"Preventivo")</f>
        <v>0</v>
      </c>
      <c r="G182" s="25">
        <f>+COUNTIFS('[1]Facturacion a Fecha'!AY:AY,Tabla1[[#This Row],[Cliente]],'[1]Facturacion a Fecha'!AX:AX,"Preventivo")</f>
        <v>0</v>
      </c>
      <c r="H182" s="26">
        <f>+Tabla1[[#This Row],['# Preventivo]]+Tabla1[[#This Row],['# Correctivo]]</f>
        <v>0</v>
      </c>
      <c r="I182" s="23">
        <f>+IFERROR(Tabla1[[#This Row],[Ingreso 2025 - 2026 Correctivo]]/Tabla1[[#This Row],[Ingreso 2025 - 2026 Preventivo]],0)</f>
        <v>0</v>
      </c>
      <c r="J182" s="59">
        <f>+IFERROR(Tabla1[[#This Row],['# Correctivo]]/Tabla1[[#This Row],['# Preventivo]],0)</f>
        <v>0</v>
      </c>
      <c r="K182" s="60">
        <f>+IFERROR(Tabla1[[#This Row],[Ingreso 2025 - 2026 Preventivo]]/(Tabla1[[#This Row],[Ingreso 2025 - 2026 Correctivo]]+Tabla1[[#This Row],[Ingreso 2025 - 2026 Preventivo]]),0)</f>
        <v>0</v>
      </c>
      <c r="L182" s="60">
        <f>1-Tabla1[[#This Row],[% Preventivo $]]</f>
        <v>1</v>
      </c>
      <c r="M182" s="45">
        <f>+COUNTIFS('[1]Base Instalada'!AA:AA,Tabla1[[#This Row],[Cliente]])</f>
        <v>7</v>
      </c>
      <c r="N18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2" s="45">
        <f>+COUNTIFS('[1]Base Instalada'!AA:AA,Tabla1[[#This Row],[Cliente]],'[1]Base Instalada'!Z:Z,"ESTERILIZACIÓN")</f>
        <v>7</v>
      </c>
      <c r="P182" s="45">
        <f>+COUNTIFS('[1]Base Instalada'!AA:AA,Tabla1[[#This Row],[Cliente]],'[1]Base Instalada'!Z:Z,"DENTAL")</f>
        <v>0</v>
      </c>
      <c r="Q182" s="45">
        <f>+COUNTIFS('[1]Base Instalada'!AA:AA,Tabla1[[#This Row],[Cliente]],'[1]Base Instalada'!Z:Z,"ENDOSCOPÍA")</f>
        <v>0</v>
      </c>
      <c r="R182" s="45">
        <f>+COUNTIFS('[1]Base Instalada'!AA:AA,Tabla1[[#This Row],[Cliente]],'[1]Base Instalada'!Z:Z,"INCARDIA")</f>
        <v>0</v>
      </c>
      <c r="S182" s="45">
        <f>+COUNTIFS('[1]Base Instalada'!AA:AA,Tabla1[[#This Row],[Cliente]],'[1]Base Instalada'!Z:Z,"MMQ")</f>
        <v>0</v>
      </c>
      <c r="T182" s="45">
        <f>+COUNTIFS('[1]Base Instalada'!AA:AA,Tabla1[[#This Row],[Cliente]],'[1]Base Instalada'!Z:Z,"REAS")</f>
        <v>0</v>
      </c>
      <c r="U182" s="46">
        <f>+COUNTIFS('[1]Base Instalada'!AA:AA,Tabla1[[#This Row],[Cliente]],'[1]Base Instalada'!Z:Z,"MOBILIARIO CLINICO")</f>
        <v>0</v>
      </c>
      <c r="V182" s="29">
        <f>+COUNTIFS('[1]Base Instalada'!AA:AA,Tabla1[[#This Row],[Cliente]],'[1]Base Instalada'!Z:Z,"OTRO")</f>
        <v>0</v>
      </c>
      <c r="W182" s="61" t="str">
        <f t="shared" si="6"/>
        <v>Región Bío Bío</v>
      </c>
      <c r="X182" s="61" t="str">
        <f t="shared" si="7"/>
        <v>Santa Juana</v>
      </c>
      <c r="Y182" s="62" t="s">
        <v>399</v>
      </c>
      <c r="Z182" s="33">
        <f>+COUNTIFS('[1]Pipeline TS'!$F:$F,Tabla1[[#This Row],[Cliente]])</f>
        <v>0</v>
      </c>
      <c r="AA182" s="63">
        <f>SUMIFS('[1]Pipeline Esterilización'!M:M,'[1]Pipeline Esterilización'!E:E,Tabla1[[#This Row],[Cliente]],'[1]Pipeline Esterilización'!B:B,"2026",'[1]Pipeline Esterilización'!L:L,"&gt;0")</f>
        <v>0</v>
      </c>
      <c r="AB182" s="33">
        <f>+SUMIFS('[1]Pipeline Endoscopía'!K:K,'[1]Pipeline Endoscopía'!E:E,Tabla1[[#This Row],[Cliente]],'[1]Pipeline Endoscopía'!B:B,"2026",'[1]Pipeline Endoscopía'!J:J,"&gt;0")</f>
        <v>0</v>
      </c>
      <c r="AC182" s="63">
        <f>+SUMIFS('[1]Pipeline Dental'!K:K,'[1]Pipeline Dental'!E:E,Tabla1[[#This Row],[Cliente]],'[1]Pipeline Dental'!B:B,"2026",'[1]Pipeline Dental'!J:J,"&gt;0")</f>
        <v>0</v>
      </c>
      <c r="AD182" s="64">
        <f>+SUMIFS('[1]Pipeline TS'!$AB:$AB,'[1]Pipeline TS'!$F:$F,Tabla1[[#This Row],[Cliente]])</f>
        <v>0</v>
      </c>
      <c r="AE182" s="65">
        <f>+SUM(Tabla1[[#This Row],[Pipeline 2026 $MM ESTERILIZACIÓN]:[Pipeline 2026 $MM TECSERVICE]])</f>
        <v>0</v>
      </c>
      <c r="AF182" s="43">
        <v>-37.174609733762999</v>
      </c>
      <c r="AG182" s="58">
        <v>-72.936762917804103</v>
      </c>
      <c r="AH182" s="57" t="str">
        <f>+IF(Tabla1[[#This Row],['# Contratos Vigentes ]]&gt;0,"SI","NO")</f>
        <v>NO</v>
      </c>
      <c r="AI182" s="66"/>
      <c r="AJ182" s="67">
        <f>+Tabla1[[#This Row],[Ingreso 2025 - 2026]]*Tabla1[[#This Row],[% Costo Serv. Directo]]</f>
        <v>0</v>
      </c>
      <c r="AK182" s="68"/>
      <c r="AL18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13979000</v>
      </c>
      <c r="AN182" s="42">
        <f>+Tabla1[[#This Row],[Potencial Equipos]]+Tabla1[[#This Row],[Potencial Pipeline]]</f>
        <v>13979000</v>
      </c>
    </row>
    <row r="183" spans="1:40" ht="15.75" x14ac:dyDescent="0.25">
      <c r="A183" s="47" t="s">
        <v>400</v>
      </c>
      <c r="B183" t="str">
        <f>+VLOOKUP(Tabla1[[#This Row],[Cliente]],'[1]Público Privado'!$A$1:$B$325,2,FALSE)</f>
        <v>Público</v>
      </c>
      <c r="C183" s="23">
        <f>+SUMIFS('[1]Facturacion a Fecha'!$T:$T,'[1]Facturacion a Fecha'!$AY:$AY,Tabla1[[#This Row],[Cliente]])</f>
        <v>0</v>
      </c>
      <c r="D183" s="24">
        <f>+SUMIFS('[1]Facturacion a Fecha'!$T:$T,'[1]Facturacion a Fecha'!$AY:$AY,Tabla1[[#This Row],[Cliente]],'[1]Facturacion a Fecha'!$AX:$AX,"Correctivo")</f>
        <v>0</v>
      </c>
      <c r="E183" s="25">
        <f>+COUNTIFS('[1]Facturacion a Fecha'!AY:AY,Tabla1[[#This Row],[Cliente]],'[1]Facturacion a Fecha'!AX:AX,"Correctivo")</f>
        <v>0</v>
      </c>
      <c r="F183" s="25">
        <f>+SUMIFS('[1]Facturacion a Fecha'!$T:$T,'[1]Facturacion a Fecha'!$AY:$AY,Tabla1[[#This Row],[Cliente]],'[1]Facturacion a Fecha'!$AX:$AX,"Preventivo")</f>
        <v>0</v>
      </c>
      <c r="G183" s="25">
        <f>+COUNTIFS('[1]Facturacion a Fecha'!AY:AY,Tabla1[[#This Row],[Cliente]],'[1]Facturacion a Fecha'!AX:AX,"Preventivo")</f>
        <v>0</v>
      </c>
      <c r="H183" s="26">
        <f>+Tabla1[[#This Row],['# Preventivo]]+Tabla1[[#This Row],['# Correctivo]]</f>
        <v>0</v>
      </c>
      <c r="I183" s="23">
        <f>+IFERROR(Tabla1[[#This Row],[Ingreso 2025 - 2026 Correctivo]]/Tabla1[[#This Row],[Ingreso 2025 - 2026 Preventivo]],0)</f>
        <v>0</v>
      </c>
      <c r="J183" s="59">
        <f>+IFERROR(Tabla1[[#This Row],['# Correctivo]]/Tabla1[[#This Row],['# Preventivo]],0)</f>
        <v>0</v>
      </c>
      <c r="K183" s="60">
        <f>+IFERROR(Tabla1[[#This Row],[Ingreso 2025 - 2026 Preventivo]]/(Tabla1[[#This Row],[Ingreso 2025 - 2026 Correctivo]]+Tabla1[[#This Row],[Ingreso 2025 - 2026 Preventivo]]),0)</f>
        <v>0</v>
      </c>
      <c r="L183" s="60">
        <f>1-Tabla1[[#This Row],[% Preventivo $]]</f>
        <v>1</v>
      </c>
      <c r="M183" s="45">
        <f>+COUNTIFS('[1]Base Instalada'!AA:AA,Tabla1[[#This Row],[Cliente]])</f>
        <v>13</v>
      </c>
      <c r="N18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3" s="45">
        <f>+COUNTIFS('[1]Base Instalada'!AA:AA,Tabla1[[#This Row],[Cliente]],'[1]Base Instalada'!Z:Z,"ESTERILIZACIÓN")</f>
        <v>2</v>
      </c>
      <c r="P183" s="45">
        <f>+COUNTIFS('[1]Base Instalada'!AA:AA,Tabla1[[#This Row],[Cliente]],'[1]Base Instalada'!Z:Z,"DENTAL")</f>
        <v>3</v>
      </c>
      <c r="Q183" s="45">
        <f>+COUNTIFS('[1]Base Instalada'!AA:AA,Tabla1[[#This Row],[Cliente]],'[1]Base Instalada'!Z:Z,"ENDOSCOPÍA")</f>
        <v>0</v>
      </c>
      <c r="R183" s="45">
        <f>+COUNTIFS('[1]Base Instalada'!AA:AA,Tabla1[[#This Row],[Cliente]],'[1]Base Instalada'!Z:Z,"INCARDIA")</f>
        <v>8</v>
      </c>
      <c r="S183" s="45">
        <f>+COUNTIFS('[1]Base Instalada'!AA:AA,Tabla1[[#This Row],[Cliente]],'[1]Base Instalada'!Z:Z,"MMQ")</f>
        <v>0</v>
      </c>
      <c r="T183" s="45">
        <f>+COUNTIFS('[1]Base Instalada'!AA:AA,Tabla1[[#This Row],[Cliente]],'[1]Base Instalada'!Z:Z,"REAS")</f>
        <v>0</v>
      </c>
      <c r="U183" s="46">
        <f>+COUNTIFS('[1]Base Instalada'!AA:AA,Tabla1[[#This Row],[Cliente]],'[1]Base Instalada'!Z:Z,"MOBILIARIO CLINICO")</f>
        <v>0</v>
      </c>
      <c r="V183" s="29">
        <f>+COUNTIFS('[1]Base Instalada'!AA:AA,Tabla1[[#This Row],[Cliente]],'[1]Base Instalada'!Z:Z,"OTRO")</f>
        <v>0</v>
      </c>
      <c r="W183" s="61" t="str">
        <f t="shared" si="6"/>
        <v>Región Aysén</v>
      </c>
      <c r="X183" s="61" t="str">
        <f t="shared" si="7"/>
        <v>Coyhaique</v>
      </c>
      <c r="Y183" s="62" t="s">
        <v>401</v>
      </c>
      <c r="Z183" s="33">
        <f>+COUNTIFS('[1]Pipeline TS'!$F:$F,Tabla1[[#This Row],[Cliente]])</f>
        <v>0</v>
      </c>
      <c r="AA183" s="63">
        <f>SUMIFS('[1]Pipeline Esterilización'!M:M,'[1]Pipeline Esterilización'!E:E,Tabla1[[#This Row],[Cliente]],'[1]Pipeline Esterilización'!B:B,"2026",'[1]Pipeline Esterilización'!L:L,"&gt;0")</f>
        <v>0</v>
      </c>
      <c r="AB183" s="33">
        <f>+SUMIFS('[1]Pipeline Endoscopía'!K:K,'[1]Pipeline Endoscopía'!E:E,Tabla1[[#This Row],[Cliente]],'[1]Pipeline Endoscopía'!B:B,"2026",'[1]Pipeline Endoscopía'!J:J,"&gt;0")</f>
        <v>0</v>
      </c>
      <c r="AC183" s="63">
        <f>+SUMIFS('[1]Pipeline Dental'!K:K,'[1]Pipeline Dental'!E:E,Tabla1[[#This Row],[Cliente]],'[1]Pipeline Dental'!B:B,"2026",'[1]Pipeline Dental'!J:J,"&gt;0")</f>
        <v>0</v>
      </c>
      <c r="AD183" s="64">
        <f>+SUMIFS('[1]Pipeline TS'!$AB:$AB,'[1]Pipeline TS'!$F:$F,Tabla1[[#This Row],[Cliente]])</f>
        <v>0</v>
      </c>
      <c r="AE183" s="65">
        <f>+SUM(Tabla1[[#This Row],[Pipeline 2026 $MM ESTERILIZACIÓN]:[Pipeline 2026 $MM TECSERVICE]])</f>
        <v>0</v>
      </c>
      <c r="AF183" s="43">
        <v>-45.568502820165797</v>
      </c>
      <c r="AG183" s="58">
        <v>-72.073549261433797</v>
      </c>
      <c r="AH183" s="57" t="str">
        <f>+IF(Tabla1[[#This Row],['# Contratos Vigentes ]]&gt;0,"SI","NO")</f>
        <v>NO</v>
      </c>
      <c r="AI183" s="66"/>
      <c r="AJ183" s="67">
        <f>+Tabla1[[#This Row],[Ingreso 2025 - 2026]]*Tabla1[[#This Row],[% Costo Serv. Directo]]</f>
        <v>0</v>
      </c>
      <c r="AK183" s="68"/>
      <c r="AL18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5791300</v>
      </c>
      <c r="AN183" s="42">
        <f>+Tabla1[[#This Row],[Potencial Equipos]]+Tabla1[[#This Row],[Potencial Pipeline]]</f>
        <v>5791300</v>
      </c>
    </row>
    <row r="184" spans="1:40" ht="15.75" x14ac:dyDescent="0.25">
      <c r="A184" s="47" t="s">
        <v>402</v>
      </c>
      <c r="B184" t="str">
        <f>+VLOOKUP(Tabla1[[#This Row],[Cliente]],'[1]Público Privado'!$A$1:$B$325,2,FALSE)</f>
        <v>Privado</v>
      </c>
      <c r="C184" s="23">
        <f>+SUMIFS('[1]Facturacion a Fecha'!$T:$T,'[1]Facturacion a Fecha'!$AY:$AY,Tabla1[[#This Row],[Cliente]])</f>
        <v>0</v>
      </c>
      <c r="D184" s="24">
        <f>+SUMIFS('[1]Facturacion a Fecha'!$T:$T,'[1]Facturacion a Fecha'!$AY:$AY,Tabla1[[#This Row],[Cliente]],'[1]Facturacion a Fecha'!$AX:$AX,"Correctivo")</f>
        <v>0</v>
      </c>
      <c r="E184" s="25">
        <f>+COUNTIFS('[1]Facturacion a Fecha'!AY:AY,Tabla1[[#This Row],[Cliente]],'[1]Facturacion a Fecha'!AX:AX,"Correctivo")</f>
        <v>0</v>
      </c>
      <c r="F184" s="25">
        <f>+SUMIFS('[1]Facturacion a Fecha'!$T:$T,'[1]Facturacion a Fecha'!$AY:$AY,Tabla1[[#This Row],[Cliente]],'[1]Facturacion a Fecha'!$AX:$AX,"Preventivo")</f>
        <v>0</v>
      </c>
      <c r="G184" s="25">
        <f>+COUNTIFS('[1]Facturacion a Fecha'!AY:AY,Tabla1[[#This Row],[Cliente]],'[1]Facturacion a Fecha'!AX:AX,"Preventivo")</f>
        <v>0</v>
      </c>
      <c r="H184" s="26">
        <f>+Tabla1[[#This Row],['# Preventivo]]+Tabla1[[#This Row],['# Correctivo]]</f>
        <v>0</v>
      </c>
      <c r="I184" s="23">
        <f>+IFERROR(Tabla1[[#This Row],[Ingreso 2025 - 2026 Correctivo]]/Tabla1[[#This Row],[Ingreso 2025 - 2026 Preventivo]],0)</f>
        <v>0</v>
      </c>
      <c r="J184" s="59">
        <f>+IFERROR(Tabla1[[#This Row],['# Correctivo]]/Tabla1[[#This Row],['# Preventivo]],0)</f>
        <v>0</v>
      </c>
      <c r="K184" s="60">
        <f>+IFERROR(Tabla1[[#This Row],[Ingreso 2025 - 2026 Preventivo]]/(Tabla1[[#This Row],[Ingreso 2025 - 2026 Correctivo]]+Tabla1[[#This Row],[Ingreso 2025 - 2026 Preventivo]]),0)</f>
        <v>0</v>
      </c>
      <c r="L184" s="60">
        <f>1-Tabla1[[#This Row],[% Preventivo $]]</f>
        <v>1</v>
      </c>
      <c r="M184" s="45">
        <f>+COUNTIFS('[1]Base Instalada'!AA:AA,Tabla1[[#This Row],[Cliente]])</f>
        <v>30</v>
      </c>
      <c r="N18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4" s="45">
        <f>+COUNTIFS('[1]Base Instalada'!AA:AA,Tabla1[[#This Row],[Cliente]],'[1]Base Instalada'!Z:Z,"ESTERILIZACIÓN")</f>
        <v>30</v>
      </c>
      <c r="P184" s="45">
        <f>+COUNTIFS('[1]Base Instalada'!AA:AA,Tabla1[[#This Row],[Cliente]],'[1]Base Instalada'!Z:Z,"DENTAL")</f>
        <v>0</v>
      </c>
      <c r="Q184" s="45">
        <f>+COUNTIFS('[1]Base Instalada'!AA:AA,Tabla1[[#This Row],[Cliente]],'[1]Base Instalada'!Z:Z,"ENDOSCOPÍA")</f>
        <v>0</v>
      </c>
      <c r="R184" s="45">
        <f>+COUNTIFS('[1]Base Instalada'!AA:AA,Tabla1[[#This Row],[Cliente]],'[1]Base Instalada'!Z:Z,"INCARDIA")</f>
        <v>0</v>
      </c>
      <c r="S184" s="45">
        <f>+COUNTIFS('[1]Base Instalada'!AA:AA,Tabla1[[#This Row],[Cliente]],'[1]Base Instalada'!Z:Z,"MMQ")</f>
        <v>0</v>
      </c>
      <c r="T184" s="45">
        <f>+COUNTIFS('[1]Base Instalada'!AA:AA,Tabla1[[#This Row],[Cliente]],'[1]Base Instalada'!Z:Z,"REAS")</f>
        <v>0</v>
      </c>
      <c r="U184" s="46">
        <f>+COUNTIFS('[1]Base Instalada'!AA:AA,Tabla1[[#This Row],[Cliente]],'[1]Base Instalada'!Z:Z,"MOBILIARIO CLINICO")</f>
        <v>0</v>
      </c>
      <c r="V184" s="29">
        <f>+COUNTIFS('[1]Base Instalada'!AA:AA,Tabla1[[#This Row],[Cliente]],'[1]Base Instalada'!Z:Z,"OTRO")</f>
        <v>0</v>
      </c>
      <c r="W184" s="61" t="str">
        <f t="shared" si="6"/>
        <v>Región Metropolitana</v>
      </c>
      <c r="X184" s="61" t="str">
        <f t="shared" si="7"/>
        <v>Providencia</v>
      </c>
      <c r="Y184" s="62" t="s">
        <v>403</v>
      </c>
      <c r="Z184" s="33">
        <f>+COUNTIFS('[1]Pipeline TS'!$F:$F,Tabla1[[#This Row],[Cliente]])</f>
        <v>0</v>
      </c>
      <c r="AA184" s="63">
        <f>SUMIFS('[1]Pipeline Esterilización'!M:M,'[1]Pipeline Esterilización'!E:E,Tabla1[[#This Row],[Cliente]],'[1]Pipeline Esterilización'!B:B,"2026",'[1]Pipeline Esterilización'!L:L,"&gt;0")</f>
        <v>0</v>
      </c>
      <c r="AB184" s="33">
        <f>+SUMIFS('[1]Pipeline Endoscopía'!K:K,'[1]Pipeline Endoscopía'!E:E,Tabla1[[#This Row],[Cliente]],'[1]Pipeline Endoscopía'!B:B,"2026",'[1]Pipeline Endoscopía'!J:J,"&gt;0")</f>
        <v>0</v>
      </c>
      <c r="AC184" s="63">
        <f>+SUMIFS('[1]Pipeline Dental'!K:K,'[1]Pipeline Dental'!E:E,Tabla1[[#This Row],[Cliente]],'[1]Pipeline Dental'!B:B,"2026",'[1]Pipeline Dental'!J:J,"&gt;0")</f>
        <v>0</v>
      </c>
      <c r="AD184" s="64">
        <f>+SUMIFS('[1]Pipeline TS'!$AB:$AB,'[1]Pipeline TS'!$F:$F,Tabla1[[#This Row],[Cliente]])</f>
        <v>0</v>
      </c>
      <c r="AE184" s="65">
        <f>+SUM(Tabla1[[#This Row],[Pipeline 2026 $MM ESTERILIZACIÓN]:[Pipeline 2026 $MM TECSERVICE]])</f>
        <v>0</v>
      </c>
      <c r="AF184" s="43">
        <v>-41.155392278923102</v>
      </c>
      <c r="AG184" s="58">
        <v>-73.422949690567094</v>
      </c>
      <c r="AH184" s="57" t="str">
        <f>+IF(Tabla1[[#This Row],['# Contratos Vigentes ]]&gt;0,"SI","NO")</f>
        <v>NO</v>
      </c>
      <c r="AI184" s="66"/>
      <c r="AJ184" s="67">
        <f>+Tabla1[[#This Row],[Ingreso 2025 - 2026]]*Tabla1[[#This Row],[% Costo Serv. Directo]]</f>
        <v>0</v>
      </c>
      <c r="AK184" s="68"/>
      <c r="AL18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59910000</v>
      </c>
      <c r="AN184" s="42">
        <f>+Tabla1[[#This Row],[Potencial Equipos]]+Tabla1[[#This Row],[Potencial Pipeline]]</f>
        <v>59910000</v>
      </c>
    </row>
    <row r="185" spans="1:40" ht="15.75" x14ac:dyDescent="0.25">
      <c r="A185" s="47" t="s">
        <v>404</v>
      </c>
      <c r="B185" t="str">
        <f>+VLOOKUP(Tabla1[[#This Row],[Cliente]],'[1]Público Privado'!$A$1:$B$325,2,FALSE)</f>
        <v>Público</v>
      </c>
      <c r="C185" s="23">
        <f>+SUMIFS('[1]Facturacion a Fecha'!$T:$T,'[1]Facturacion a Fecha'!$AY:$AY,Tabla1[[#This Row],[Cliente]])</f>
        <v>0</v>
      </c>
      <c r="D185" s="24">
        <f>+SUMIFS('[1]Facturacion a Fecha'!$T:$T,'[1]Facturacion a Fecha'!$AY:$AY,Tabla1[[#This Row],[Cliente]],'[1]Facturacion a Fecha'!$AX:$AX,"Correctivo")</f>
        <v>0</v>
      </c>
      <c r="E185" s="25">
        <f>+COUNTIFS('[1]Facturacion a Fecha'!AY:AY,Tabla1[[#This Row],[Cliente]],'[1]Facturacion a Fecha'!AX:AX,"Correctivo")</f>
        <v>0</v>
      </c>
      <c r="F185" s="25">
        <f>+SUMIFS('[1]Facturacion a Fecha'!$T:$T,'[1]Facturacion a Fecha'!$AY:$AY,Tabla1[[#This Row],[Cliente]],'[1]Facturacion a Fecha'!$AX:$AX,"Preventivo")</f>
        <v>0</v>
      </c>
      <c r="G185" s="25">
        <f>+COUNTIFS('[1]Facturacion a Fecha'!AY:AY,Tabla1[[#This Row],[Cliente]],'[1]Facturacion a Fecha'!AX:AX,"Preventivo")</f>
        <v>0</v>
      </c>
      <c r="H185" s="26">
        <f>+Tabla1[[#This Row],['# Preventivo]]+Tabla1[[#This Row],['# Correctivo]]</f>
        <v>0</v>
      </c>
      <c r="I185" s="23">
        <f>+IFERROR(Tabla1[[#This Row],[Ingreso 2025 - 2026 Correctivo]]/Tabla1[[#This Row],[Ingreso 2025 - 2026 Preventivo]],0)</f>
        <v>0</v>
      </c>
      <c r="J185" s="59">
        <f>+IFERROR(Tabla1[[#This Row],['# Correctivo]]/Tabla1[[#This Row],['# Preventivo]],0)</f>
        <v>0</v>
      </c>
      <c r="K185" s="60">
        <f>+IFERROR(Tabla1[[#This Row],[Ingreso 2025 - 2026 Preventivo]]/(Tabla1[[#This Row],[Ingreso 2025 - 2026 Correctivo]]+Tabla1[[#This Row],[Ingreso 2025 - 2026 Preventivo]]),0)</f>
        <v>0</v>
      </c>
      <c r="L185" s="60">
        <f>1-Tabla1[[#This Row],[% Preventivo $]]</f>
        <v>1</v>
      </c>
      <c r="M185" s="45">
        <f>+COUNTIFS('[1]Base Instalada'!AA:AA,Tabla1[[#This Row],[Cliente]])</f>
        <v>11</v>
      </c>
      <c r="N18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5" s="45">
        <f>+COUNTIFS('[1]Base Instalada'!AA:AA,Tabla1[[#This Row],[Cliente]],'[1]Base Instalada'!Z:Z,"ESTERILIZACIÓN")</f>
        <v>9</v>
      </c>
      <c r="P185" s="45">
        <f>+COUNTIFS('[1]Base Instalada'!AA:AA,Tabla1[[#This Row],[Cliente]],'[1]Base Instalada'!Z:Z,"DENTAL")</f>
        <v>2</v>
      </c>
      <c r="Q185" s="45">
        <f>+COUNTIFS('[1]Base Instalada'!AA:AA,Tabla1[[#This Row],[Cliente]],'[1]Base Instalada'!Z:Z,"ENDOSCOPÍA")</f>
        <v>0</v>
      </c>
      <c r="R185" s="45">
        <f>+COUNTIFS('[1]Base Instalada'!AA:AA,Tabla1[[#This Row],[Cliente]],'[1]Base Instalada'!Z:Z,"INCARDIA")</f>
        <v>0</v>
      </c>
      <c r="S185" s="45">
        <f>+COUNTIFS('[1]Base Instalada'!AA:AA,Tabla1[[#This Row],[Cliente]],'[1]Base Instalada'!Z:Z,"MMQ")</f>
        <v>0</v>
      </c>
      <c r="T185" s="45">
        <f>+COUNTIFS('[1]Base Instalada'!AA:AA,Tabla1[[#This Row],[Cliente]],'[1]Base Instalada'!Z:Z,"REAS")</f>
        <v>0</v>
      </c>
      <c r="U185" s="46">
        <f>+COUNTIFS('[1]Base Instalada'!AA:AA,Tabla1[[#This Row],[Cliente]],'[1]Base Instalada'!Z:Z,"MOBILIARIO CLINICO")</f>
        <v>0</v>
      </c>
      <c r="V185" s="29">
        <f>+COUNTIFS('[1]Base Instalada'!AA:AA,Tabla1[[#This Row],[Cliente]],'[1]Base Instalada'!Z:Z,"OTRO")</f>
        <v>0</v>
      </c>
      <c r="W185" s="61" t="str">
        <f t="shared" si="6"/>
        <v>Región Los Lagos</v>
      </c>
      <c r="X185" s="61" t="str">
        <f t="shared" si="7"/>
        <v>Fresia</v>
      </c>
      <c r="Y185" s="62" t="s">
        <v>405</v>
      </c>
      <c r="Z185" s="33">
        <f>+COUNTIFS('[1]Pipeline TS'!$F:$F,Tabla1[[#This Row],[Cliente]])</f>
        <v>0</v>
      </c>
      <c r="AA185" s="63">
        <f>SUMIFS('[1]Pipeline Esterilización'!M:M,'[1]Pipeline Esterilización'!E:E,Tabla1[[#This Row],[Cliente]],'[1]Pipeline Esterilización'!B:B,"2026",'[1]Pipeline Esterilización'!L:L,"&gt;0")</f>
        <v>0</v>
      </c>
      <c r="AB185" s="33">
        <f>+SUMIFS('[1]Pipeline Endoscopía'!K:K,'[1]Pipeline Endoscopía'!E:E,Tabla1[[#This Row],[Cliente]],'[1]Pipeline Endoscopía'!B:B,"2026",'[1]Pipeline Endoscopía'!J:J,"&gt;0")</f>
        <v>0</v>
      </c>
      <c r="AC185" s="63">
        <f>+SUMIFS('[1]Pipeline Dental'!K:K,'[1]Pipeline Dental'!E:E,Tabla1[[#This Row],[Cliente]],'[1]Pipeline Dental'!B:B,"2026",'[1]Pipeline Dental'!J:J,"&gt;0")</f>
        <v>0</v>
      </c>
      <c r="AD185" s="64">
        <f>+SUMIFS('[1]Pipeline TS'!$AB:$AB,'[1]Pipeline TS'!$F:$F,Tabla1[[#This Row],[Cliente]])</f>
        <v>0</v>
      </c>
      <c r="AE185" s="65">
        <f>+SUM(Tabla1[[#This Row],[Pipeline 2026 $MM ESTERILIZACIÓN]:[Pipeline 2026 $MM TECSERVICE]])</f>
        <v>0</v>
      </c>
      <c r="AF185" s="43">
        <v>-41.155343810691498</v>
      </c>
      <c r="AG185" s="58">
        <v>-73.422992605908505</v>
      </c>
      <c r="AH185" s="57" t="str">
        <f>+IF(Tabla1[[#This Row],['# Contratos Vigentes ]]&gt;0,"SI","NO")</f>
        <v>NO</v>
      </c>
      <c r="AI185" s="66"/>
      <c r="AJ185" s="67">
        <f>+Tabla1[[#This Row],[Ingreso 2025 - 2026]]*Tabla1[[#This Row],[% Costo Serv. Directo]]</f>
        <v>0</v>
      </c>
      <c r="AK185" s="68"/>
      <c r="AL18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19171200</v>
      </c>
      <c r="AN185" s="42">
        <f>+Tabla1[[#This Row],[Potencial Equipos]]+Tabla1[[#This Row],[Potencial Pipeline]]</f>
        <v>19171200</v>
      </c>
    </row>
    <row r="186" spans="1:40" ht="15.75" x14ac:dyDescent="0.25">
      <c r="A186" s="47" t="s">
        <v>406</v>
      </c>
      <c r="B186" t="str">
        <f>+VLOOKUP(Tabla1[[#This Row],[Cliente]],'[1]Público Privado'!$A$1:$B$325,2,FALSE)</f>
        <v>Público</v>
      </c>
      <c r="C186" s="23">
        <f>+SUMIFS('[1]Facturacion a Fecha'!$T:$T,'[1]Facturacion a Fecha'!$AY:$AY,Tabla1[[#This Row],[Cliente]])</f>
        <v>0</v>
      </c>
      <c r="D186" s="24">
        <f>+SUMIFS('[1]Facturacion a Fecha'!$T:$T,'[1]Facturacion a Fecha'!$AY:$AY,Tabla1[[#This Row],[Cliente]],'[1]Facturacion a Fecha'!$AX:$AX,"Correctivo")</f>
        <v>0</v>
      </c>
      <c r="E186" s="25">
        <f>+COUNTIFS('[1]Facturacion a Fecha'!AY:AY,Tabla1[[#This Row],[Cliente]],'[1]Facturacion a Fecha'!AX:AX,"Correctivo")</f>
        <v>0</v>
      </c>
      <c r="F186" s="25">
        <f>+SUMIFS('[1]Facturacion a Fecha'!$T:$T,'[1]Facturacion a Fecha'!$AY:$AY,Tabla1[[#This Row],[Cliente]],'[1]Facturacion a Fecha'!$AX:$AX,"Preventivo")</f>
        <v>0</v>
      </c>
      <c r="G186" s="25">
        <f>+COUNTIFS('[1]Facturacion a Fecha'!AY:AY,Tabla1[[#This Row],[Cliente]],'[1]Facturacion a Fecha'!AX:AX,"Preventivo")</f>
        <v>0</v>
      </c>
      <c r="H186" s="26">
        <f>+Tabla1[[#This Row],['# Preventivo]]+Tabla1[[#This Row],['# Correctivo]]</f>
        <v>0</v>
      </c>
      <c r="I186" s="23">
        <f>+IFERROR(Tabla1[[#This Row],[Ingreso 2025 - 2026 Correctivo]]/Tabla1[[#This Row],[Ingreso 2025 - 2026 Preventivo]],0)</f>
        <v>0</v>
      </c>
      <c r="J186" s="59">
        <f>+IFERROR(Tabla1[[#This Row],['# Correctivo]]/Tabla1[[#This Row],['# Preventivo]],0)</f>
        <v>0</v>
      </c>
      <c r="K186" s="60">
        <f>+IFERROR(Tabla1[[#This Row],[Ingreso 2025 - 2026 Preventivo]]/(Tabla1[[#This Row],[Ingreso 2025 - 2026 Correctivo]]+Tabla1[[#This Row],[Ingreso 2025 - 2026 Preventivo]]),0)</f>
        <v>0</v>
      </c>
      <c r="L186" s="60">
        <f>1-Tabla1[[#This Row],[% Preventivo $]]</f>
        <v>1</v>
      </c>
      <c r="M186" s="45">
        <f>+COUNTIFS('[1]Base Instalada'!AA:AA,Tabla1[[#This Row],[Cliente]])</f>
        <v>18</v>
      </c>
      <c r="N18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6" s="45">
        <f>+COUNTIFS('[1]Base Instalada'!AA:AA,Tabla1[[#This Row],[Cliente]],'[1]Base Instalada'!Z:Z,"ESTERILIZACIÓN")</f>
        <v>2</v>
      </c>
      <c r="P186" s="45">
        <f>+COUNTIFS('[1]Base Instalada'!AA:AA,Tabla1[[#This Row],[Cliente]],'[1]Base Instalada'!Z:Z,"DENTAL")</f>
        <v>16</v>
      </c>
      <c r="Q186" s="45">
        <f>+COUNTIFS('[1]Base Instalada'!AA:AA,Tabla1[[#This Row],[Cliente]],'[1]Base Instalada'!Z:Z,"ENDOSCOPÍA")</f>
        <v>0</v>
      </c>
      <c r="R186" s="45">
        <f>+COUNTIFS('[1]Base Instalada'!AA:AA,Tabla1[[#This Row],[Cliente]],'[1]Base Instalada'!Z:Z,"INCARDIA")</f>
        <v>0</v>
      </c>
      <c r="S186" s="45">
        <f>+COUNTIFS('[1]Base Instalada'!AA:AA,Tabla1[[#This Row],[Cliente]],'[1]Base Instalada'!Z:Z,"MMQ")</f>
        <v>0</v>
      </c>
      <c r="T186" s="45">
        <f>+COUNTIFS('[1]Base Instalada'!AA:AA,Tabla1[[#This Row],[Cliente]],'[1]Base Instalada'!Z:Z,"REAS")</f>
        <v>0</v>
      </c>
      <c r="U186" s="46">
        <f>+COUNTIFS('[1]Base Instalada'!AA:AA,Tabla1[[#This Row],[Cliente]],'[1]Base Instalada'!Z:Z,"MOBILIARIO CLINICO")</f>
        <v>0</v>
      </c>
      <c r="V186" s="29">
        <f>+COUNTIFS('[1]Base Instalada'!AA:AA,Tabla1[[#This Row],[Cliente]],'[1]Base Instalada'!Z:Z,"OTRO")</f>
        <v>0</v>
      </c>
      <c r="W186" s="61" t="str">
        <f t="shared" si="6"/>
        <v>Región Valparaíso</v>
      </c>
      <c r="X186" s="61" t="str">
        <f t="shared" si="7"/>
        <v>Valparaíso</v>
      </c>
      <c r="Y186" s="62" t="s">
        <v>407</v>
      </c>
      <c r="Z186" s="33">
        <f>+COUNTIFS('[1]Pipeline TS'!$F:$F,Tabla1[[#This Row],[Cliente]])</f>
        <v>0</v>
      </c>
      <c r="AA186" s="63">
        <f>SUMIFS('[1]Pipeline Esterilización'!M:M,'[1]Pipeline Esterilización'!E:E,Tabla1[[#This Row],[Cliente]],'[1]Pipeline Esterilización'!B:B,"2026",'[1]Pipeline Esterilización'!L:L,"&gt;0")</f>
        <v>0</v>
      </c>
      <c r="AB186" s="33">
        <f>+SUMIFS('[1]Pipeline Endoscopía'!K:K,'[1]Pipeline Endoscopía'!E:E,Tabla1[[#This Row],[Cliente]],'[1]Pipeline Endoscopía'!B:B,"2026",'[1]Pipeline Endoscopía'!J:J,"&gt;0")</f>
        <v>0</v>
      </c>
      <c r="AC186" s="63">
        <f>+SUMIFS('[1]Pipeline Dental'!K:K,'[1]Pipeline Dental'!E:E,Tabla1[[#This Row],[Cliente]],'[1]Pipeline Dental'!B:B,"2026",'[1]Pipeline Dental'!J:J,"&gt;0")</f>
        <v>0</v>
      </c>
      <c r="AD186" s="64">
        <f>+SUMIFS('[1]Pipeline TS'!$AB:$AB,'[1]Pipeline TS'!$F:$F,Tabla1[[#This Row],[Cliente]])</f>
        <v>0</v>
      </c>
      <c r="AE186" s="65">
        <f>+SUM(Tabla1[[#This Row],[Pipeline 2026 $MM ESTERILIZACIÓN]:[Pipeline 2026 $MM TECSERVICE]])</f>
        <v>0</v>
      </c>
      <c r="AF186" s="43">
        <v>-33.050800552160197</v>
      </c>
      <c r="AG186" s="58">
        <v>-71.610641336366797</v>
      </c>
      <c r="AH186" s="57" t="str">
        <f>+IF(Tabla1[[#This Row],['# Contratos Vigentes ]]&gt;0,"SI","NO")</f>
        <v>NO</v>
      </c>
      <c r="AI186" s="66"/>
      <c r="AJ186" s="67">
        <f>+Tabla1[[#This Row],[Ingreso 2025 - 2026]]*Tabla1[[#This Row],[% Costo Serv. Directo]]</f>
        <v>0</v>
      </c>
      <c r="AK186" s="68"/>
      <c r="AL18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13579600</v>
      </c>
      <c r="AN186" s="42">
        <f>+Tabla1[[#This Row],[Potencial Equipos]]+Tabla1[[#This Row],[Potencial Pipeline]]</f>
        <v>13579600</v>
      </c>
    </row>
    <row r="187" spans="1:40" ht="15.75" x14ac:dyDescent="0.25">
      <c r="A187" s="47" t="s">
        <v>408</v>
      </c>
      <c r="B187" t="str">
        <f>+VLOOKUP(Tabla1[[#This Row],[Cliente]],'[1]Público Privado'!$A$1:$B$325,2,FALSE)</f>
        <v>Público</v>
      </c>
      <c r="C187" s="23">
        <f>+SUMIFS('[1]Facturacion a Fecha'!$T:$T,'[1]Facturacion a Fecha'!$AY:$AY,Tabla1[[#This Row],[Cliente]])</f>
        <v>0</v>
      </c>
      <c r="D187" s="24">
        <f>+SUMIFS('[1]Facturacion a Fecha'!$T:$T,'[1]Facturacion a Fecha'!$AY:$AY,Tabla1[[#This Row],[Cliente]],'[1]Facturacion a Fecha'!$AX:$AX,"Correctivo")</f>
        <v>0</v>
      </c>
      <c r="E187" s="25">
        <f>+COUNTIFS('[1]Facturacion a Fecha'!AY:AY,Tabla1[[#This Row],[Cliente]],'[1]Facturacion a Fecha'!AX:AX,"Correctivo")</f>
        <v>0</v>
      </c>
      <c r="F187" s="25">
        <f>+SUMIFS('[1]Facturacion a Fecha'!$T:$T,'[1]Facturacion a Fecha'!$AY:$AY,Tabla1[[#This Row],[Cliente]],'[1]Facturacion a Fecha'!$AX:$AX,"Preventivo")</f>
        <v>0</v>
      </c>
      <c r="G187" s="25">
        <f>+COUNTIFS('[1]Facturacion a Fecha'!AY:AY,Tabla1[[#This Row],[Cliente]],'[1]Facturacion a Fecha'!AX:AX,"Preventivo")</f>
        <v>0</v>
      </c>
      <c r="H187" s="26">
        <f>+Tabla1[[#This Row],['# Preventivo]]+Tabla1[[#This Row],['# Correctivo]]</f>
        <v>0</v>
      </c>
      <c r="I187" s="23">
        <f>+IFERROR(Tabla1[[#This Row],[Ingreso 2025 - 2026 Correctivo]]/Tabla1[[#This Row],[Ingreso 2025 - 2026 Preventivo]],0)</f>
        <v>0</v>
      </c>
      <c r="J187" s="59">
        <f>+IFERROR(Tabla1[[#This Row],['# Correctivo]]/Tabla1[[#This Row],['# Preventivo]],0)</f>
        <v>0</v>
      </c>
      <c r="K187" s="60">
        <f>+IFERROR(Tabla1[[#This Row],[Ingreso 2025 - 2026 Preventivo]]/(Tabla1[[#This Row],[Ingreso 2025 - 2026 Correctivo]]+Tabla1[[#This Row],[Ingreso 2025 - 2026 Preventivo]]),0)</f>
        <v>0</v>
      </c>
      <c r="L187" s="60">
        <f>1-Tabla1[[#This Row],[% Preventivo $]]</f>
        <v>1</v>
      </c>
      <c r="M187" s="45">
        <f>+COUNTIFS('[1]Base Instalada'!AA:AA,Tabla1[[#This Row],[Cliente]])</f>
        <v>17</v>
      </c>
      <c r="N18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7" s="45">
        <f>+COUNTIFS('[1]Base Instalada'!AA:AA,Tabla1[[#This Row],[Cliente]],'[1]Base Instalada'!Z:Z,"ESTERILIZACIÓN")</f>
        <v>3</v>
      </c>
      <c r="P187" s="45">
        <f>+COUNTIFS('[1]Base Instalada'!AA:AA,Tabla1[[#This Row],[Cliente]],'[1]Base Instalada'!Z:Z,"DENTAL")</f>
        <v>10</v>
      </c>
      <c r="Q187" s="45">
        <f>+COUNTIFS('[1]Base Instalada'!AA:AA,Tabla1[[#This Row],[Cliente]],'[1]Base Instalada'!Z:Z,"ENDOSCOPÍA")</f>
        <v>0</v>
      </c>
      <c r="R187" s="45">
        <f>+COUNTIFS('[1]Base Instalada'!AA:AA,Tabla1[[#This Row],[Cliente]],'[1]Base Instalada'!Z:Z,"INCARDIA")</f>
        <v>0</v>
      </c>
      <c r="S187" s="45">
        <f>+COUNTIFS('[1]Base Instalada'!AA:AA,Tabla1[[#This Row],[Cliente]],'[1]Base Instalada'!Z:Z,"MMQ")</f>
        <v>1</v>
      </c>
      <c r="T187" s="45">
        <f>+COUNTIFS('[1]Base Instalada'!AA:AA,Tabla1[[#This Row],[Cliente]],'[1]Base Instalada'!Z:Z,"REAS")</f>
        <v>0</v>
      </c>
      <c r="U187" s="46">
        <f>+COUNTIFS('[1]Base Instalada'!AA:AA,Tabla1[[#This Row],[Cliente]],'[1]Base Instalada'!Z:Z,"MOBILIARIO CLINICO")</f>
        <v>3</v>
      </c>
      <c r="V187" s="29">
        <f>+COUNTIFS('[1]Base Instalada'!AA:AA,Tabla1[[#This Row],[Cliente]],'[1]Base Instalada'!Z:Z,"OTRO")</f>
        <v>0</v>
      </c>
      <c r="W187" s="61" t="str">
        <f t="shared" si="6"/>
        <v>Región Valparaíso</v>
      </c>
      <c r="X187" s="61" t="str">
        <f t="shared" si="7"/>
        <v>Quilpué</v>
      </c>
      <c r="Y187" s="62" t="s">
        <v>409</v>
      </c>
      <c r="Z187" s="33">
        <f>+COUNTIFS('[1]Pipeline TS'!$F:$F,Tabla1[[#This Row],[Cliente]])</f>
        <v>0</v>
      </c>
      <c r="AA187" s="63">
        <f>SUMIFS('[1]Pipeline Esterilización'!M:M,'[1]Pipeline Esterilización'!E:E,Tabla1[[#This Row],[Cliente]],'[1]Pipeline Esterilización'!B:B,"2026",'[1]Pipeline Esterilización'!L:L,"&gt;0")</f>
        <v>0</v>
      </c>
      <c r="AB187" s="33">
        <f>+SUMIFS('[1]Pipeline Endoscopía'!K:K,'[1]Pipeline Endoscopía'!E:E,Tabla1[[#This Row],[Cliente]],'[1]Pipeline Endoscopía'!B:B,"2026",'[1]Pipeline Endoscopía'!J:J,"&gt;0")</f>
        <v>0</v>
      </c>
      <c r="AC187" s="63">
        <f>+SUMIFS('[1]Pipeline Dental'!K:K,'[1]Pipeline Dental'!E:E,Tabla1[[#This Row],[Cliente]],'[1]Pipeline Dental'!B:B,"2026",'[1]Pipeline Dental'!J:J,"&gt;0")</f>
        <v>0</v>
      </c>
      <c r="AD187" s="64">
        <f>+SUMIFS('[1]Pipeline TS'!$AB:$AB,'[1]Pipeline TS'!$F:$F,Tabla1[[#This Row],[Cliente]])</f>
        <v>0</v>
      </c>
      <c r="AE187" s="65">
        <f>+SUM(Tabla1[[#This Row],[Pipeline 2026 $MM ESTERILIZACIÓN]:[Pipeline 2026 $MM TECSERVICE]])</f>
        <v>0</v>
      </c>
      <c r="AF187" s="43">
        <v>-33.050945062102201</v>
      </c>
      <c r="AG187" s="58">
        <v>-71.433426002699704</v>
      </c>
      <c r="AH187" s="57" t="str">
        <f>+IF(Tabla1[[#This Row],['# Contratos Vigentes ]]&gt;0,"SI","NO")</f>
        <v>NO</v>
      </c>
      <c r="AI187" s="66"/>
      <c r="AJ187" s="67">
        <f>+Tabla1[[#This Row],[Ingreso 2025 - 2026]]*Tabla1[[#This Row],[% Costo Serv. Directo]]</f>
        <v>0</v>
      </c>
      <c r="AK187" s="68"/>
      <c r="AL18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11982000</v>
      </c>
      <c r="AN187" s="42">
        <f>+Tabla1[[#This Row],[Potencial Equipos]]+Tabla1[[#This Row],[Potencial Pipeline]]</f>
        <v>11982000</v>
      </c>
    </row>
    <row r="188" spans="1:40" ht="15.75" x14ac:dyDescent="0.25">
      <c r="A188" s="47" t="s">
        <v>410</v>
      </c>
      <c r="B188" t="str">
        <f>+VLOOKUP(Tabla1[[#This Row],[Cliente]],'[1]Público Privado'!$A$1:$B$325,2,FALSE)</f>
        <v>Público</v>
      </c>
      <c r="C188" s="23">
        <f>+SUMIFS('[1]Facturacion a Fecha'!$T:$T,'[1]Facturacion a Fecha'!$AY:$AY,Tabla1[[#This Row],[Cliente]])</f>
        <v>0</v>
      </c>
      <c r="D188" s="24">
        <f>+SUMIFS('[1]Facturacion a Fecha'!$T:$T,'[1]Facturacion a Fecha'!$AY:$AY,Tabla1[[#This Row],[Cliente]],'[1]Facturacion a Fecha'!$AX:$AX,"Correctivo")</f>
        <v>0</v>
      </c>
      <c r="E188" s="25">
        <f>+COUNTIFS('[1]Facturacion a Fecha'!AY:AY,Tabla1[[#This Row],[Cliente]],'[1]Facturacion a Fecha'!AX:AX,"Correctivo")</f>
        <v>0</v>
      </c>
      <c r="F188" s="25">
        <f>+SUMIFS('[1]Facturacion a Fecha'!$T:$T,'[1]Facturacion a Fecha'!$AY:$AY,Tabla1[[#This Row],[Cliente]],'[1]Facturacion a Fecha'!$AX:$AX,"Preventivo")</f>
        <v>0</v>
      </c>
      <c r="G188" s="25">
        <f>+COUNTIFS('[1]Facturacion a Fecha'!AY:AY,Tabla1[[#This Row],[Cliente]],'[1]Facturacion a Fecha'!AX:AX,"Preventivo")</f>
        <v>0</v>
      </c>
      <c r="H188" s="26">
        <f>+Tabla1[[#This Row],['# Preventivo]]+Tabla1[[#This Row],['# Correctivo]]</f>
        <v>0</v>
      </c>
      <c r="I188" s="23">
        <f>+IFERROR(Tabla1[[#This Row],[Ingreso 2025 - 2026 Correctivo]]/Tabla1[[#This Row],[Ingreso 2025 - 2026 Preventivo]],0)</f>
        <v>0</v>
      </c>
      <c r="J188" s="59">
        <f>+IFERROR(Tabla1[[#This Row],['# Correctivo]]/Tabla1[[#This Row],['# Preventivo]],0)</f>
        <v>0</v>
      </c>
      <c r="K188" s="60">
        <f>+IFERROR(Tabla1[[#This Row],[Ingreso 2025 - 2026 Preventivo]]/(Tabla1[[#This Row],[Ingreso 2025 - 2026 Correctivo]]+Tabla1[[#This Row],[Ingreso 2025 - 2026 Preventivo]]),0)</f>
        <v>0</v>
      </c>
      <c r="L188" s="60">
        <f>1-Tabla1[[#This Row],[% Preventivo $]]</f>
        <v>1</v>
      </c>
      <c r="M188" s="45">
        <f>+COUNTIFS('[1]Base Instalada'!AA:AA,Tabla1[[#This Row],[Cliente]])</f>
        <v>5</v>
      </c>
      <c r="N18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8" s="45">
        <f>+COUNTIFS('[1]Base Instalada'!AA:AA,Tabla1[[#This Row],[Cliente]],'[1]Base Instalada'!Z:Z,"ESTERILIZACIÓN")</f>
        <v>0</v>
      </c>
      <c r="P188" s="45">
        <f>+COUNTIFS('[1]Base Instalada'!AA:AA,Tabla1[[#This Row],[Cliente]],'[1]Base Instalada'!Z:Z,"DENTAL")</f>
        <v>5</v>
      </c>
      <c r="Q188" s="45">
        <f>+COUNTIFS('[1]Base Instalada'!AA:AA,Tabla1[[#This Row],[Cliente]],'[1]Base Instalada'!Z:Z,"ENDOSCOPÍA")</f>
        <v>0</v>
      </c>
      <c r="R188" s="45">
        <f>+COUNTIFS('[1]Base Instalada'!AA:AA,Tabla1[[#This Row],[Cliente]],'[1]Base Instalada'!Z:Z,"INCARDIA")</f>
        <v>0</v>
      </c>
      <c r="S188" s="45">
        <f>+COUNTIFS('[1]Base Instalada'!AA:AA,Tabla1[[#This Row],[Cliente]],'[1]Base Instalada'!Z:Z,"MMQ")</f>
        <v>0</v>
      </c>
      <c r="T188" s="45">
        <f>+COUNTIFS('[1]Base Instalada'!AA:AA,Tabla1[[#This Row],[Cliente]],'[1]Base Instalada'!Z:Z,"REAS")</f>
        <v>0</v>
      </c>
      <c r="U188" s="46">
        <f>+COUNTIFS('[1]Base Instalada'!AA:AA,Tabla1[[#This Row],[Cliente]],'[1]Base Instalada'!Z:Z,"MOBILIARIO CLINICO")</f>
        <v>0</v>
      </c>
      <c r="V188" s="29">
        <f>+COUNTIFS('[1]Base Instalada'!AA:AA,Tabla1[[#This Row],[Cliente]],'[1]Base Instalada'!Z:Z,"OTRO")</f>
        <v>0</v>
      </c>
      <c r="W188" s="61" t="str">
        <f t="shared" si="6"/>
        <v>Región Valparaíso</v>
      </c>
      <c r="X188" s="61" t="str">
        <f t="shared" si="7"/>
        <v>San Felipe</v>
      </c>
      <c r="Y188" s="62" t="s">
        <v>411</v>
      </c>
      <c r="Z188" s="33">
        <f>+COUNTIFS('[1]Pipeline TS'!$F:$F,Tabla1[[#This Row],[Cliente]])</f>
        <v>0</v>
      </c>
      <c r="AA188" s="63">
        <f>SUMIFS('[1]Pipeline Esterilización'!M:M,'[1]Pipeline Esterilización'!E:E,Tabla1[[#This Row],[Cliente]],'[1]Pipeline Esterilización'!B:B,"2026",'[1]Pipeline Esterilización'!L:L,"&gt;0")</f>
        <v>0</v>
      </c>
      <c r="AB188" s="33">
        <f>+SUMIFS('[1]Pipeline Endoscopía'!K:K,'[1]Pipeline Endoscopía'!E:E,Tabla1[[#This Row],[Cliente]],'[1]Pipeline Endoscopía'!B:B,"2026",'[1]Pipeline Endoscopía'!J:J,"&gt;0")</f>
        <v>0</v>
      </c>
      <c r="AC188" s="63">
        <f>+SUMIFS('[1]Pipeline Dental'!K:K,'[1]Pipeline Dental'!E:E,Tabla1[[#This Row],[Cliente]],'[1]Pipeline Dental'!B:B,"2026",'[1]Pipeline Dental'!J:J,"&gt;0")</f>
        <v>0</v>
      </c>
      <c r="AD188" s="64">
        <f>+SUMIFS('[1]Pipeline TS'!$AB:$AB,'[1]Pipeline TS'!$F:$F,Tabla1[[#This Row],[Cliente]])</f>
        <v>0</v>
      </c>
      <c r="AE188" s="65">
        <f>+SUM(Tabla1[[#This Row],[Pipeline 2026 $MM ESTERILIZACIÓN]:[Pipeline 2026 $MM TECSERVICE]])</f>
        <v>0</v>
      </c>
      <c r="AF188" s="43">
        <v>-32.758580591291903</v>
      </c>
      <c r="AG188" s="58">
        <v>-70.725554318056993</v>
      </c>
      <c r="AH188" s="57" t="str">
        <f>+IF(Tabla1[[#This Row],['# Contratos Vigentes ]]&gt;0,"SI","NO")</f>
        <v>NO</v>
      </c>
      <c r="AI188" s="66"/>
      <c r="AJ188" s="67">
        <f>+Tabla1[[#This Row],[Ingreso 2025 - 2026]]*Tabla1[[#This Row],[% Costo Serv. Directo]]</f>
        <v>0</v>
      </c>
      <c r="AK188" s="68"/>
      <c r="AL18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188" s="42">
        <f>+Tabla1[[#This Row],[Potencial Equipos]]+Tabla1[[#This Row],[Potencial Pipeline]]</f>
        <v>2995500</v>
      </c>
    </row>
    <row r="189" spans="1:40" ht="15.75" x14ac:dyDescent="0.25">
      <c r="A189" s="47" t="s">
        <v>412</v>
      </c>
      <c r="B189" t="str">
        <f>+VLOOKUP(Tabla1[[#This Row],[Cliente]],'[1]Público Privado'!$A$1:$B$325,2,FALSE)</f>
        <v>Privado</v>
      </c>
      <c r="C189" s="23">
        <f>+SUMIFS('[1]Facturacion a Fecha'!$T:$T,'[1]Facturacion a Fecha'!$AY:$AY,Tabla1[[#This Row],[Cliente]])</f>
        <v>0</v>
      </c>
      <c r="D189" s="24">
        <f>+SUMIFS('[1]Facturacion a Fecha'!$T:$T,'[1]Facturacion a Fecha'!$AY:$AY,Tabla1[[#This Row],[Cliente]],'[1]Facturacion a Fecha'!$AX:$AX,"Correctivo")</f>
        <v>0</v>
      </c>
      <c r="E189" s="25">
        <f>+COUNTIFS('[1]Facturacion a Fecha'!AY:AY,Tabla1[[#This Row],[Cliente]],'[1]Facturacion a Fecha'!AX:AX,"Correctivo")</f>
        <v>0</v>
      </c>
      <c r="F189" s="25">
        <f>+SUMIFS('[1]Facturacion a Fecha'!$T:$T,'[1]Facturacion a Fecha'!$AY:$AY,Tabla1[[#This Row],[Cliente]],'[1]Facturacion a Fecha'!$AX:$AX,"Preventivo")</f>
        <v>0</v>
      </c>
      <c r="G189" s="25">
        <f>+COUNTIFS('[1]Facturacion a Fecha'!AY:AY,Tabla1[[#This Row],[Cliente]],'[1]Facturacion a Fecha'!AX:AX,"Preventivo")</f>
        <v>0</v>
      </c>
      <c r="H189" s="26">
        <f>+Tabla1[[#This Row],['# Preventivo]]+Tabla1[[#This Row],['# Correctivo]]</f>
        <v>0</v>
      </c>
      <c r="I189" s="23">
        <f>+IFERROR(Tabla1[[#This Row],[Ingreso 2025 - 2026 Correctivo]]/Tabla1[[#This Row],[Ingreso 2025 - 2026 Preventivo]],0)</f>
        <v>0</v>
      </c>
      <c r="J189" s="59">
        <f>+IFERROR(Tabla1[[#This Row],['# Correctivo]]/Tabla1[[#This Row],['# Preventivo]],0)</f>
        <v>0</v>
      </c>
      <c r="K189" s="60">
        <f>+IFERROR(Tabla1[[#This Row],[Ingreso 2025 - 2026 Preventivo]]/(Tabla1[[#This Row],[Ingreso 2025 - 2026 Correctivo]]+Tabla1[[#This Row],[Ingreso 2025 - 2026 Preventivo]]),0)</f>
        <v>0</v>
      </c>
      <c r="L189" s="60">
        <f>1-Tabla1[[#This Row],[% Preventivo $]]</f>
        <v>1</v>
      </c>
      <c r="M189" s="45">
        <f>+COUNTIFS('[1]Base Instalada'!AA:AA,Tabla1[[#This Row],[Cliente]])</f>
        <v>17</v>
      </c>
      <c r="N18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89" s="45">
        <f>+COUNTIFS('[1]Base Instalada'!AA:AA,Tabla1[[#This Row],[Cliente]],'[1]Base Instalada'!Z:Z,"ESTERILIZACIÓN")</f>
        <v>0</v>
      </c>
      <c r="P189" s="45">
        <f>+COUNTIFS('[1]Base Instalada'!AA:AA,Tabla1[[#This Row],[Cliente]],'[1]Base Instalada'!Z:Z,"DENTAL")</f>
        <v>17</v>
      </c>
      <c r="Q189" s="45">
        <f>+COUNTIFS('[1]Base Instalada'!AA:AA,Tabla1[[#This Row],[Cliente]],'[1]Base Instalada'!Z:Z,"ENDOSCOPÍA")</f>
        <v>0</v>
      </c>
      <c r="R189" s="45">
        <f>+COUNTIFS('[1]Base Instalada'!AA:AA,Tabla1[[#This Row],[Cliente]],'[1]Base Instalada'!Z:Z,"INCARDIA")</f>
        <v>0</v>
      </c>
      <c r="S189" s="45">
        <f>+COUNTIFS('[1]Base Instalada'!AA:AA,Tabla1[[#This Row],[Cliente]],'[1]Base Instalada'!Z:Z,"MMQ")</f>
        <v>0</v>
      </c>
      <c r="T189" s="45">
        <f>+COUNTIFS('[1]Base Instalada'!AA:AA,Tabla1[[#This Row],[Cliente]],'[1]Base Instalada'!Z:Z,"REAS")</f>
        <v>0</v>
      </c>
      <c r="U189" s="46">
        <f>+COUNTIFS('[1]Base Instalada'!AA:AA,Tabla1[[#This Row],[Cliente]],'[1]Base Instalada'!Z:Z,"MOBILIARIO CLINICO")</f>
        <v>0</v>
      </c>
      <c r="V189" s="29">
        <f>+COUNTIFS('[1]Base Instalada'!AA:AA,Tabla1[[#This Row],[Cliente]],'[1]Base Instalada'!Z:Z,"OTRO")</f>
        <v>0</v>
      </c>
      <c r="W189" s="61" t="str">
        <f t="shared" si="6"/>
        <v>Región Maule</v>
      </c>
      <c r="X189" s="61" t="str">
        <f t="shared" si="7"/>
        <v>Talca</v>
      </c>
      <c r="Y189" s="62" t="s">
        <v>413</v>
      </c>
      <c r="Z189" s="33">
        <f>+COUNTIFS('[1]Pipeline TS'!$F:$F,Tabla1[[#This Row],[Cliente]])</f>
        <v>0</v>
      </c>
      <c r="AA189" s="63">
        <f>SUMIFS('[1]Pipeline Esterilización'!M:M,'[1]Pipeline Esterilización'!E:E,Tabla1[[#This Row],[Cliente]],'[1]Pipeline Esterilización'!B:B,"2026",'[1]Pipeline Esterilización'!L:L,"&gt;0")</f>
        <v>0</v>
      </c>
      <c r="AB189" s="33">
        <f>+SUMIFS('[1]Pipeline Endoscopía'!K:K,'[1]Pipeline Endoscopía'!E:E,Tabla1[[#This Row],[Cliente]],'[1]Pipeline Endoscopía'!B:B,"2026",'[1]Pipeline Endoscopía'!J:J,"&gt;0")</f>
        <v>0</v>
      </c>
      <c r="AC189" s="63">
        <f>+SUMIFS('[1]Pipeline Dental'!K:K,'[1]Pipeline Dental'!E:E,Tabla1[[#This Row],[Cliente]],'[1]Pipeline Dental'!B:B,"2026",'[1]Pipeline Dental'!J:J,"&gt;0")</f>
        <v>0</v>
      </c>
      <c r="AD189" s="64">
        <f>+SUMIFS('[1]Pipeline TS'!$AB:$AB,'[1]Pipeline TS'!$F:$F,Tabla1[[#This Row],[Cliente]])</f>
        <v>0</v>
      </c>
      <c r="AE189" s="65">
        <f>+SUM(Tabla1[[#This Row],[Pipeline 2026 $MM ESTERILIZACIÓN]:[Pipeline 2026 $MM TECSERVICE]])</f>
        <v>0</v>
      </c>
      <c r="AF189" s="43">
        <v>-35.427508443826902</v>
      </c>
      <c r="AG189" s="58">
        <v>-71.654768444895097</v>
      </c>
      <c r="AH189" s="57" t="str">
        <f>+IF(Tabla1[[#This Row],['# Contratos Vigentes ]]&gt;0,"SI","NO")</f>
        <v>NO</v>
      </c>
      <c r="AI189" s="66"/>
      <c r="AJ189" s="67">
        <f>+Tabla1[[#This Row],[Ingreso 2025 - 2026]]*Tabla1[[#This Row],[% Costo Serv. Directo]]</f>
        <v>0</v>
      </c>
      <c r="AK189" s="68"/>
      <c r="AL18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8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10184700</v>
      </c>
      <c r="AN189" s="42">
        <f>+Tabla1[[#This Row],[Potencial Equipos]]+Tabla1[[#This Row],[Potencial Pipeline]]</f>
        <v>10184700</v>
      </c>
    </row>
    <row r="190" spans="1:40" ht="15.75" x14ac:dyDescent="0.25">
      <c r="A190" s="47" t="s">
        <v>414</v>
      </c>
      <c r="B190" t="str">
        <f>+VLOOKUP(Tabla1[[#This Row],[Cliente]],'[1]Público Privado'!$A$1:$B$325,2,FALSE)</f>
        <v>Privado</v>
      </c>
      <c r="C190" s="23">
        <f>+SUMIFS('[1]Facturacion a Fecha'!$T:$T,'[1]Facturacion a Fecha'!$AY:$AY,Tabla1[[#This Row],[Cliente]])</f>
        <v>0</v>
      </c>
      <c r="D190" s="24">
        <f>+SUMIFS('[1]Facturacion a Fecha'!$T:$T,'[1]Facturacion a Fecha'!$AY:$AY,Tabla1[[#This Row],[Cliente]],'[1]Facturacion a Fecha'!$AX:$AX,"Correctivo")</f>
        <v>0</v>
      </c>
      <c r="E190" s="25">
        <f>+COUNTIFS('[1]Facturacion a Fecha'!AY:AY,Tabla1[[#This Row],[Cliente]],'[1]Facturacion a Fecha'!AX:AX,"Correctivo")</f>
        <v>0</v>
      </c>
      <c r="F190" s="25">
        <f>+SUMIFS('[1]Facturacion a Fecha'!$T:$T,'[1]Facturacion a Fecha'!$AY:$AY,Tabla1[[#This Row],[Cliente]],'[1]Facturacion a Fecha'!$AX:$AX,"Preventivo")</f>
        <v>0</v>
      </c>
      <c r="G190" s="25">
        <f>+COUNTIFS('[1]Facturacion a Fecha'!AY:AY,Tabla1[[#This Row],[Cliente]],'[1]Facturacion a Fecha'!AX:AX,"Preventivo")</f>
        <v>0</v>
      </c>
      <c r="H190" s="26">
        <f>+Tabla1[[#This Row],['# Preventivo]]+Tabla1[[#This Row],['# Correctivo]]</f>
        <v>0</v>
      </c>
      <c r="I190" s="23">
        <f>+IFERROR(Tabla1[[#This Row],[Ingreso 2025 - 2026 Correctivo]]/Tabla1[[#This Row],[Ingreso 2025 - 2026 Preventivo]],0)</f>
        <v>0</v>
      </c>
      <c r="J190" s="59">
        <f>+IFERROR(Tabla1[[#This Row],['# Correctivo]]/Tabla1[[#This Row],['# Preventivo]],0)</f>
        <v>0</v>
      </c>
      <c r="K190" s="60">
        <f>+IFERROR(Tabla1[[#This Row],[Ingreso 2025 - 2026 Preventivo]]/(Tabla1[[#This Row],[Ingreso 2025 - 2026 Correctivo]]+Tabla1[[#This Row],[Ingreso 2025 - 2026 Preventivo]]),0)</f>
        <v>0</v>
      </c>
      <c r="L190" s="60">
        <f>1-Tabla1[[#This Row],[% Preventivo $]]</f>
        <v>1</v>
      </c>
      <c r="M190" s="45">
        <f>+COUNTIFS('[1]Base Instalada'!AA:AA,Tabla1[[#This Row],[Cliente]])</f>
        <v>8</v>
      </c>
      <c r="N19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0" s="45">
        <f>+COUNTIFS('[1]Base Instalada'!AA:AA,Tabla1[[#This Row],[Cliente]],'[1]Base Instalada'!Z:Z,"ESTERILIZACIÓN")</f>
        <v>0</v>
      </c>
      <c r="P190" s="45">
        <f>+COUNTIFS('[1]Base Instalada'!AA:AA,Tabla1[[#This Row],[Cliente]],'[1]Base Instalada'!Z:Z,"DENTAL")</f>
        <v>7</v>
      </c>
      <c r="Q190" s="45">
        <f>+COUNTIFS('[1]Base Instalada'!AA:AA,Tabla1[[#This Row],[Cliente]],'[1]Base Instalada'!Z:Z,"ENDOSCOPÍA")</f>
        <v>0</v>
      </c>
      <c r="R190" s="45">
        <f>+COUNTIFS('[1]Base Instalada'!AA:AA,Tabla1[[#This Row],[Cliente]],'[1]Base Instalada'!Z:Z,"INCARDIA")</f>
        <v>0</v>
      </c>
      <c r="S190" s="45">
        <f>+COUNTIFS('[1]Base Instalada'!AA:AA,Tabla1[[#This Row],[Cliente]],'[1]Base Instalada'!Z:Z,"MMQ")</f>
        <v>0</v>
      </c>
      <c r="T190" s="45">
        <f>+COUNTIFS('[1]Base Instalada'!AA:AA,Tabla1[[#This Row],[Cliente]],'[1]Base Instalada'!Z:Z,"REAS")</f>
        <v>0</v>
      </c>
      <c r="U190" s="46">
        <f>+COUNTIFS('[1]Base Instalada'!AA:AA,Tabla1[[#This Row],[Cliente]],'[1]Base Instalada'!Z:Z,"MOBILIARIO CLINICO")</f>
        <v>1</v>
      </c>
      <c r="V190" s="29">
        <f>+COUNTIFS('[1]Base Instalada'!AA:AA,Tabla1[[#This Row],[Cliente]],'[1]Base Instalada'!Z:Z,"OTRO")</f>
        <v>0</v>
      </c>
      <c r="W190" s="61" t="str">
        <f t="shared" si="6"/>
        <v>Región Metropolitana</v>
      </c>
      <c r="X190" s="61" t="str">
        <f t="shared" si="7"/>
        <v>La Florida</v>
      </c>
      <c r="Y190" s="62" t="s">
        <v>415</v>
      </c>
      <c r="Z190" s="33">
        <f>+COUNTIFS('[1]Pipeline TS'!$F:$F,Tabla1[[#This Row],[Cliente]])</f>
        <v>0</v>
      </c>
      <c r="AA190" s="63">
        <f>SUMIFS('[1]Pipeline Esterilización'!M:M,'[1]Pipeline Esterilización'!E:E,Tabla1[[#This Row],[Cliente]],'[1]Pipeline Esterilización'!B:B,"2026",'[1]Pipeline Esterilización'!L:L,"&gt;0")</f>
        <v>0</v>
      </c>
      <c r="AB190" s="33">
        <f>+SUMIFS('[1]Pipeline Endoscopía'!K:K,'[1]Pipeline Endoscopía'!E:E,Tabla1[[#This Row],[Cliente]],'[1]Pipeline Endoscopía'!B:B,"2026",'[1]Pipeline Endoscopía'!J:J,"&gt;0")</f>
        <v>0</v>
      </c>
      <c r="AC190" s="63">
        <f>+SUMIFS('[1]Pipeline Dental'!K:K,'[1]Pipeline Dental'!E:E,Tabla1[[#This Row],[Cliente]],'[1]Pipeline Dental'!B:B,"2026",'[1]Pipeline Dental'!J:J,"&gt;0")</f>
        <v>0</v>
      </c>
      <c r="AD190" s="64">
        <f>+SUMIFS('[1]Pipeline TS'!$AB:$AB,'[1]Pipeline TS'!$F:$F,Tabla1[[#This Row],[Cliente]])</f>
        <v>0</v>
      </c>
      <c r="AE190" s="65">
        <f>+SUM(Tabla1[[#This Row],[Pipeline 2026 $MM ESTERILIZACIÓN]:[Pipeline 2026 $MM TECSERVICE]])</f>
        <v>0</v>
      </c>
      <c r="AF190" s="43">
        <v>-33.538462266989399</v>
      </c>
      <c r="AG190" s="58">
        <v>-70.5881507240899</v>
      </c>
      <c r="AH190" s="57" t="str">
        <f>+IF(Tabla1[[#This Row],['# Contratos Vigentes ]]&gt;0,"SI","NO")</f>
        <v>NO</v>
      </c>
      <c r="AI190" s="66"/>
      <c r="AJ190" s="67">
        <f>+Tabla1[[#This Row],[Ingreso 2025 - 2026]]*Tabla1[[#This Row],[% Costo Serv. Directo]]</f>
        <v>0</v>
      </c>
      <c r="AK190" s="68"/>
      <c r="AL19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9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190" s="42">
        <f>+Tabla1[[#This Row],[Potencial Equipos]]+Tabla1[[#This Row],[Potencial Pipeline]]</f>
        <v>4193700</v>
      </c>
    </row>
    <row r="191" spans="1:40" ht="15.75" x14ac:dyDescent="0.25">
      <c r="A191" s="47" t="s">
        <v>416</v>
      </c>
      <c r="B191" t="str">
        <f>+VLOOKUP(Tabla1[[#This Row],[Cliente]],'[1]Público Privado'!$A$1:$B$325,2,FALSE)</f>
        <v>Público</v>
      </c>
      <c r="C191" s="23">
        <f>+SUMIFS('[1]Facturacion a Fecha'!$T:$T,'[1]Facturacion a Fecha'!$AY:$AY,Tabla1[[#This Row],[Cliente]])</f>
        <v>0</v>
      </c>
      <c r="D191" s="24">
        <f>+SUMIFS('[1]Facturacion a Fecha'!$T:$T,'[1]Facturacion a Fecha'!$AY:$AY,Tabla1[[#This Row],[Cliente]],'[1]Facturacion a Fecha'!$AX:$AX,"Correctivo")</f>
        <v>0</v>
      </c>
      <c r="E191" s="25">
        <f>+COUNTIFS('[1]Facturacion a Fecha'!AY:AY,Tabla1[[#This Row],[Cliente]],'[1]Facturacion a Fecha'!AX:AX,"Correctivo")</f>
        <v>0</v>
      </c>
      <c r="F191" s="25">
        <f>+SUMIFS('[1]Facturacion a Fecha'!$T:$T,'[1]Facturacion a Fecha'!$AY:$AY,Tabla1[[#This Row],[Cliente]],'[1]Facturacion a Fecha'!$AX:$AX,"Preventivo")</f>
        <v>0</v>
      </c>
      <c r="G191" s="25">
        <f>+COUNTIFS('[1]Facturacion a Fecha'!AY:AY,Tabla1[[#This Row],[Cliente]],'[1]Facturacion a Fecha'!AX:AX,"Preventivo")</f>
        <v>0</v>
      </c>
      <c r="H191" s="26">
        <f>+Tabla1[[#This Row],['# Preventivo]]+Tabla1[[#This Row],['# Correctivo]]</f>
        <v>0</v>
      </c>
      <c r="I191" s="23">
        <f>+IFERROR(Tabla1[[#This Row],[Ingreso 2025 - 2026 Correctivo]]/Tabla1[[#This Row],[Ingreso 2025 - 2026 Preventivo]],0)</f>
        <v>0</v>
      </c>
      <c r="J191" s="59">
        <f>+IFERROR(Tabla1[[#This Row],['# Correctivo]]/Tabla1[[#This Row],['# Preventivo]],0)</f>
        <v>0</v>
      </c>
      <c r="K191" s="60">
        <f>+IFERROR(Tabla1[[#This Row],[Ingreso 2025 - 2026 Preventivo]]/(Tabla1[[#This Row],[Ingreso 2025 - 2026 Correctivo]]+Tabla1[[#This Row],[Ingreso 2025 - 2026 Preventivo]]),0)</f>
        <v>0</v>
      </c>
      <c r="L191" s="60">
        <f>1-Tabla1[[#This Row],[% Preventivo $]]</f>
        <v>1</v>
      </c>
      <c r="M191" s="45">
        <f>+COUNTIFS('[1]Base Instalada'!AA:AA,Tabla1[[#This Row],[Cliente]])</f>
        <v>34</v>
      </c>
      <c r="N19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1" s="45">
        <f>+COUNTIFS('[1]Base Instalada'!AA:AA,Tabla1[[#This Row],[Cliente]],'[1]Base Instalada'!Z:Z,"ESTERILIZACIÓN")</f>
        <v>0</v>
      </c>
      <c r="P191" s="45">
        <f>+COUNTIFS('[1]Base Instalada'!AA:AA,Tabla1[[#This Row],[Cliente]],'[1]Base Instalada'!Z:Z,"DENTAL")</f>
        <v>0</v>
      </c>
      <c r="Q191" s="45">
        <f>+COUNTIFS('[1]Base Instalada'!AA:AA,Tabla1[[#This Row],[Cliente]],'[1]Base Instalada'!Z:Z,"ENDOSCOPÍA")</f>
        <v>7</v>
      </c>
      <c r="R191" s="45">
        <f>+COUNTIFS('[1]Base Instalada'!AA:AA,Tabla1[[#This Row],[Cliente]],'[1]Base Instalada'!Z:Z,"INCARDIA")</f>
        <v>0</v>
      </c>
      <c r="S191" s="45">
        <f>+COUNTIFS('[1]Base Instalada'!AA:AA,Tabla1[[#This Row],[Cliente]],'[1]Base Instalada'!Z:Z,"MMQ")</f>
        <v>0</v>
      </c>
      <c r="T191" s="45">
        <f>+COUNTIFS('[1]Base Instalada'!AA:AA,Tabla1[[#This Row],[Cliente]],'[1]Base Instalada'!Z:Z,"REAS")</f>
        <v>0</v>
      </c>
      <c r="U191" s="46">
        <f>+COUNTIFS('[1]Base Instalada'!AA:AA,Tabla1[[#This Row],[Cliente]],'[1]Base Instalada'!Z:Z,"MOBILIARIO CLINICO")</f>
        <v>27</v>
      </c>
      <c r="V191" s="29">
        <f>+COUNTIFS('[1]Base Instalada'!AA:AA,Tabla1[[#This Row],[Cliente]],'[1]Base Instalada'!Z:Z,"OTRO")</f>
        <v>0</v>
      </c>
      <c r="W191" s="61" t="str">
        <f t="shared" si="6"/>
        <v>Región Metropolitana</v>
      </c>
      <c r="X191" s="61" t="str">
        <f t="shared" si="7"/>
        <v>Providencia</v>
      </c>
      <c r="Y191" s="62" t="s">
        <v>417</v>
      </c>
      <c r="Z191" s="33">
        <f>+COUNTIFS('[1]Pipeline TS'!$F:$F,Tabla1[[#This Row],[Cliente]])</f>
        <v>0</v>
      </c>
      <c r="AA191" s="63">
        <f>SUMIFS('[1]Pipeline Esterilización'!M:M,'[1]Pipeline Esterilización'!E:E,Tabla1[[#This Row],[Cliente]],'[1]Pipeline Esterilización'!B:B,"2026",'[1]Pipeline Esterilización'!L:L,"&gt;0")</f>
        <v>0</v>
      </c>
      <c r="AB191" s="33">
        <f>+SUMIFS('[1]Pipeline Endoscopía'!K:K,'[1]Pipeline Endoscopía'!E:E,Tabla1[[#This Row],[Cliente]],'[1]Pipeline Endoscopía'!B:B,"2026",'[1]Pipeline Endoscopía'!J:J,"&gt;0")</f>
        <v>0</v>
      </c>
      <c r="AC191" s="63">
        <f>+SUMIFS('[1]Pipeline Dental'!K:K,'[1]Pipeline Dental'!E:E,Tabla1[[#This Row],[Cliente]],'[1]Pipeline Dental'!B:B,"2026",'[1]Pipeline Dental'!J:J,"&gt;0")</f>
        <v>0</v>
      </c>
      <c r="AD191" s="64">
        <f>+SUMIFS('[1]Pipeline TS'!$AB:$AB,'[1]Pipeline TS'!$F:$F,Tabla1[[#This Row],[Cliente]])</f>
        <v>0</v>
      </c>
      <c r="AE191" s="65">
        <f>+SUM(Tabla1[[#This Row],[Pipeline 2026 $MM ESTERILIZACIÓN]:[Pipeline 2026 $MM TECSERVICE]])</f>
        <v>0</v>
      </c>
      <c r="AF191" s="43">
        <v>-33.437946524989499</v>
      </c>
      <c r="AG191" s="58">
        <v>-70.622248662196597</v>
      </c>
      <c r="AH191" s="57" t="str">
        <f>+IF(Tabla1[[#This Row],['# Contratos Vigentes ]]&gt;0,"SI","NO")</f>
        <v>NO</v>
      </c>
      <c r="AI191" s="66"/>
      <c r="AJ191" s="67">
        <f>+Tabla1[[#This Row],[Ingreso 2025 - 2026]]*Tabla1[[#This Row],[% Costo Serv. Directo]]</f>
        <v>0</v>
      </c>
      <c r="AK191" s="68"/>
      <c r="AL19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9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6021723.076923077</v>
      </c>
      <c r="AN191" s="42">
        <f>+Tabla1[[#This Row],[Potencial Equipos]]+Tabla1[[#This Row],[Potencial Pipeline]]</f>
        <v>6021723.076923077</v>
      </c>
    </row>
    <row r="192" spans="1:40" ht="15.75" x14ac:dyDescent="0.25">
      <c r="A192" s="47" t="s">
        <v>418</v>
      </c>
      <c r="B192" t="str">
        <f>+VLOOKUP(Tabla1[[#This Row],[Cliente]],'[1]Público Privado'!$A$1:$B$325,2,FALSE)</f>
        <v>Privado</v>
      </c>
      <c r="C192" s="23">
        <f>+SUMIFS('[1]Facturacion a Fecha'!$T:$T,'[1]Facturacion a Fecha'!$AY:$AY,Tabla1[[#This Row],[Cliente]])</f>
        <v>0</v>
      </c>
      <c r="D192" s="24">
        <f>+SUMIFS('[1]Facturacion a Fecha'!$T:$T,'[1]Facturacion a Fecha'!$AY:$AY,Tabla1[[#This Row],[Cliente]],'[1]Facturacion a Fecha'!$AX:$AX,"Correctivo")</f>
        <v>0</v>
      </c>
      <c r="E192" s="25">
        <f>+COUNTIFS('[1]Facturacion a Fecha'!AY:AY,Tabla1[[#This Row],[Cliente]],'[1]Facturacion a Fecha'!AX:AX,"Correctivo")</f>
        <v>0</v>
      </c>
      <c r="F192" s="25">
        <f>+SUMIFS('[1]Facturacion a Fecha'!$T:$T,'[1]Facturacion a Fecha'!$AY:$AY,Tabla1[[#This Row],[Cliente]],'[1]Facturacion a Fecha'!$AX:$AX,"Preventivo")</f>
        <v>0</v>
      </c>
      <c r="G192" s="25">
        <f>+COUNTIFS('[1]Facturacion a Fecha'!AY:AY,Tabla1[[#This Row],[Cliente]],'[1]Facturacion a Fecha'!AX:AX,"Preventivo")</f>
        <v>0</v>
      </c>
      <c r="H192" s="26">
        <f>+Tabla1[[#This Row],['# Preventivo]]+Tabla1[[#This Row],['# Correctivo]]</f>
        <v>0</v>
      </c>
      <c r="I192" s="23">
        <f>+IFERROR(Tabla1[[#This Row],[Ingreso 2025 - 2026 Correctivo]]/Tabla1[[#This Row],[Ingreso 2025 - 2026 Preventivo]],0)</f>
        <v>0</v>
      </c>
      <c r="J192" s="59">
        <f>+IFERROR(Tabla1[[#This Row],['# Correctivo]]/Tabla1[[#This Row],['# Preventivo]],0)</f>
        <v>0</v>
      </c>
      <c r="K192" s="60">
        <f>+IFERROR(Tabla1[[#This Row],[Ingreso 2025 - 2026 Preventivo]]/(Tabla1[[#This Row],[Ingreso 2025 - 2026 Correctivo]]+Tabla1[[#This Row],[Ingreso 2025 - 2026 Preventivo]]),0)</f>
        <v>0</v>
      </c>
      <c r="L192" s="60">
        <f>1-Tabla1[[#This Row],[% Preventivo $]]</f>
        <v>1</v>
      </c>
      <c r="M192" s="45">
        <f>+COUNTIFS('[1]Base Instalada'!AA:AA,Tabla1[[#This Row],[Cliente]])</f>
        <v>21</v>
      </c>
      <c r="N19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2" s="45">
        <f>+COUNTIFS('[1]Base Instalada'!AA:AA,Tabla1[[#This Row],[Cliente]],'[1]Base Instalada'!Z:Z,"ESTERILIZACIÓN")</f>
        <v>0</v>
      </c>
      <c r="P192" s="45">
        <f>+COUNTIFS('[1]Base Instalada'!AA:AA,Tabla1[[#This Row],[Cliente]],'[1]Base Instalada'!Z:Z,"DENTAL")</f>
        <v>8</v>
      </c>
      <c r="Q192" s="45">
        <f>+COUNTIFS('[1]Base Instalada'!AA:AA,Tabla1[[#This Row],[Cliente]],'[1]Base Instalada'!Z:Z,"ENDOSCOPÍA")</f>
        <v>7</v>
      </c>
      <c r="R192" s="45">
        <f>+COUNTIFS('[1]Base Instalada'!AA:AA,Tabla1[[#This Row],[Cliente]],'[1]Base Instalada'!Z:Z,"INCARDIA")</f>
        <v>1</v>
      </c>
      <c r="S192" s="45">
        <f>+COUNTIFS('[1]Base Instalada'!AA:AA,Tabla1[[#This Row],[Cliente]],'[1]Base Instalada'!Z:Z,"MMQ")</f>
        <v>0</v>
      </c>
      <c r="T192" s="45">
        <f>+COUNTIFS('[1]Base Instalada'!AA:AA,Tabla1[[#This Row],[Cliente]],'[1]Base Instalada'!Z:Z,"REAS")</f>
        <v>0</v>
      </c>
      <c r="U192" s="46">
        <f>+COUNTIFS('[1]Base Instalada'!AA:AA,Tabla1[[#This Row],[Cliente]],'[1]Base Instalada'!Z:Z,"MOBILIARIO CLINICO")</f>
        <v>5</v>
      </c>
      <c r="V192" s="29">
        <f>+COUNTIFS('[1]Base Instalada'!AA:AA,Tabla1[[#This Row],[Cliente]],'[1]Base Instalada'!Z:Z,"OTRO")</f>
        <v>0</v>
      </c>
      <c r="W192" s="61" t="str">
        <f t="shared" si="6"/>
        <v>Región Metropolitana</v>
      </c>
      <c r="X192" s="61" t="str">
        <f t="shared" si="7"/>
        <v>Providencia</v>
      </c>
      <c r="Y192" s="62" t="s">
        <v>419</v>
      </c>
      <c r="Z192" s="33">
        <f>+COUNTIFS('[1]Pipeline TS'!$F:$F,Tabla1[[#This Row],[Cliente]])</f>
        <v>0</v>
      </c>
      <c r="AA192" s="63">
        <f>SUMIFS('[1]Pipeline Esterilización'!M:M,'[1]Pipeline Esterilización'!E:E,Tabla1[[#This Row],[Cliente]],'[1]Pipeline Esterilización'!B:B,"2026",'[1]Pipeline Esterilización'!L:L,"&gt;0")</f>
        <v>0</v>
      </c>
      <c r="AB192" s="33">
        <f>+SUMIFS('[1]Pipeline Endoscopía'!K:K,'[1]Pipeline Endoscopía'!E:E,Tabla1[[#This Row],[Cliente]],'[1]Pipeline Endoscopía'!B:B,"2026",'[1]Pipeline Endoscopía'!J:J,"&gt;0")</f>
        <v>0</v>
      </c>
      <c r="AC192" s="63">
        <f>+SUMIFS('[1]Pipeline Dental'!K:K,'[1]Pipeline Dental'!E:E,Tabla1[[#This Row],[Cliente]],'[1]Pipeline Dental'!B:B,"2026",'[1]Pipeline Dental'!J:J,"&gt;0")</f>
        <v>0</v>
      </c>
      <c r="AD192" s="64">
        <f>+SUMIFS('[1]Pipeline TS'!$AB:$AB,'[1]Pipeline TS'!$F:$F,Tabla1[[#This Row],[Cliente]])</f>
        <v>0</v>
      </c>
      <c r="AE192" s="65">
        <f>+SUM(Tabla1[[#This Row],[Pipeline 2026 $MM ESTERILIZACIÓN]:[Pipeline 2026 $MM TECSERVICE]])</f>
        <v>0</v>
      </c>
      <c r="AF192" s="43">
        <v>-33.4424147495155</v>
      </c>
      <c r="AG192" s="58">
        <v>-70.632251603725294</v>
      </c>
      <c r="AH192" s="57" t="str">
        <f>+IF(Tabla1[[#This Row],['# Contratos Vigentes ]]&gt;0,"SI","NO")</f>
        <v>NO</v>
      </c>
      <c r="AI192" s="66"/>
      <c r="AJ192" s="67">
        <f>+Tabla1[[#This Row],[Ingreso 2025 - 2026]]*Tabla1[[#This Row],[% Costo Serv. Directo]]</f>
        <v>0</v>
      </c>
      <c r="AK192" s="68"/>
      <c r="AL19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9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10814523.076923078</v>
      </c>
      <c r="AN192" s="42">
        <f>+Tabla1[[#This Row],[Potencial Equipos]]+Tabla1[[#This Row],[Potencial Pipeline]]</f>
        <v>10814523.076923078</v>
      </c>
    </row>
    <row r="193" spans="1:40" ht="15.75" x14ac:dyDescent="0.25">
      <c r="A193" s="47" t="s">
        <v>420</v>
      </c>
      <c r="B193" t="str">
        <f>+VLOOKUP(Tabla1[[#This Row],[Cliente]],'[1]Público Privado'!$A$1:$B$325,2,FALSE)</f>
        <v>Público</v>
      </c>
      <c r="C193" s="23">
        <f>+SUMIFS('[1]Facturacion a Fecha'!$T:$T,'[1]Facturacion a Fecha'!$AY:$AY,Tabla1[[#This Row],[Cliente]])</f>
        <v>0</v>
      </c>
      <c r="D193" s="24">
        <f>+SUMIFS('[1]Facturacion a Fecha'!$T:$T,'[1]Facturacion a Fecha'!$AY:$AY,Tabla1[[#This Row],[Cliente]],'[1]Facturacion a Fecha'!$AX:$AX,"Correctivo")</f>
        <v>0</v>
      </c>
      <c r="E193" s="25">
        <f>+COUNTIFS('[1]Facturacion a Fecha'!AY:AY,Tabla1[[#This Row],[Cliente]],'[1]Facturacion a Fecha'!AX:AX,"Correctivo")</f>
        <v>0</v>
      </c>
      <c r="F193" s="25">
        <f>+SUMIFS('[1]Facturacion a Fecha'!$T:$T,'[1]Facturacion a Fecha'!$AY:$AY,Tabla1[[#This Row],[Cliente]],'[1]Facturacion a Fecha'!$AX:$AX,"Preventivo")</f>
        <v>0</v>
      </c>
      <c r="G193" s="25">
        <f>+COUNTIFS('[1]Facturacion a Fecha'!AY:AY,Tabla1[[#This Row],[Cliente]],'[1]Facturacion a Fecha'!AX:AX,"Preventivo")</f>
        <v>0</v>
      </c>
      <c r="H193" s="26">
        <f>+Tabla1[[#This Row],['# Preventivo]]+Tabla1[[#This Row],['# Correctivo]]</f>
        <v>0</v>
      </c>
      <c r="I193" s="23">
        <f>+IFERROR(Tabla1[[#This Row],[Ingreso 2025 - 2026 Correctivo]]/Tabla1[[#This Row],[Ingreso 2025 - 2026 Preventivo]],0)</f>
        <v>0</v>
      </c>
      <c r="J193" s="59">
        <f>+IFERROR(Tabla1[[#This Row],['# Correctivo]]/Tabla1[[#This Row],['# Preventivo]],0)</f>
        <v>0</v>
      </c>
      <c r="K193" s="60">
        <f>+IFERROR(Tabla1[[#This Row],[Ingreso 2025 - 2026 Preventivo]]/(Tabla1[[#This Row],[Ingreso 2025 - 2026 Correctivo]]+Tabla1[[#This Row],[Ingreso 2025 - 2026 Preventivo]]),0)</f>
        <v>0</v>
      </c>
      <c r="L193" s="60">
        <f>1-Tabla1[[#This Row],[% Preventivo $]]</f>
        <v>1</v>
      </c>
      <c r="M193" s="45">
        <f>+COUNTIFS('[1]Base Instalada'!AA:AA,Tabla1[[#This Row],[Cliente]])</f>
        <v>18</v>
      </c>
      <c r="N19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3" s="45">
        <f>+COUNTIFS('[1]Base Instalada'!AA:AA,Tabla1[[#This Row],[Cliente]],'[1]Base Instalada'!Z:Z,"ESTERILIZACIÓN")</f>
        <v>0</v>
      </c>
      <c r="P193" s="45">
        <f>+COUNTIFS('[1]Base Instalada'!AA:AA,Tabla1[[#This Row],[Cliente]],'[1]Base Instalada'!Z:Z,"DENTAL")</f>
        <v>11</v>
      </c>
      <c r="Q193" s="45">
        <f>+COUNTIFS('[1]Base Instalada'!AA:AA,Tabla1[[#This Row],[Cliente]],'[1]Base Instalada'!Z:Z,"ENDOSCOPÍA")</f>
        <v>0</v>
      </c>
      <c r="R193" s="45">
        <f>+COUNTIFS('[1]Base Instalada'!AA:AA,Tabla1[[#This Row],[Cliente]],'[1]Base Instalada'!Z:Z,"INCARDIA")</f>
        <v>0</v>
      </c>
      <c r="S193" s="45">
        <f>+COUNTIFS('[1]Base Instalada'!AA:AA,Tabla1[[#This Row],[Cliente]],'[1]Base Instalada'!Z:Z,"MMQ")</f>
        <v>0</v>
      </c>
      <c r="T193" s="45">
        <f>+COUNTIFS('[1]Base Instalada'!AA:AA,Tabla1[[#This Row],[Cliente]],'[1]Base Instalada'!Z:Z,"REAS")</f>
        <v>0</v>
      </c>
      <c r="U193" s="46">
        <f>+COUNTIFS('[1]Base Instalada'!AA:AA,Tabla1[[#This Row],[Cliente]],'[1]Base Instalada'!Z:Z,"MOBILIARIO CLINICO")</f>
        <v>7</v>
      </c>
      <c r="V193" s="29">
        <f>+COUNTIFS('[1]Base Instalada'!AA:AA,Tabla1[[#This Row],[Cliente]],'[1]Base Instalada'!Z:Z,"OTRO")</f>
        <v>0</v>
      </c>
      <c r="W193" s="61" t="str">
        <f t="shared" si="6"/>
        <v>Región Maule</v>
      </c>
      <c r="X193" s="61" t="str">
        <f t="shared" si="7"/>
        <v>Constitución</v>
      </c>
      <c r="Y193" s="62" t="s">
        <v>421</v>
      </c>
      <c r="Z193" s="33">
        <f>+COUNTIFS('[1]Pipeline TS'!$F:$F,Tabla1[[#This Row],[Cliente]])</f>
        <v>0</v>
      </c>
      <c r="AA193" s="63">
        <f>SUMIFS('[1]Pipeline Esterilización'!M:M,'[1]Pipeline Esterilización'!E:E,Tabla1[[#This Row],[Cliente]],'[1]Pipeline Esterilización'!B:B,"2026",'[1]Pipeline Esterilización'!L:L,"&gt;0")</f>
        <v>0</v>
      </c>
      <c r="AB193" s="33">
        <f>+SUMIFS('[1]Pipeline Endoscopía'!K:K,'[1]Pipeline Endoscopía'!E:E,Tabla1[[#This Row],[Cliente]],'[1]Pipeline Endoscopía'!B:B,"2026",'[1]Pipeline Endoscopía'!J:J,"&gt;0")</f>
        <v>0</v>
      </c>
      <c r="AC193" s="63">
        <f>+SUMIFS('[1]Pipeline Dental'!K:K,'[1]Pipeline Dental'!E:E,Tabla1[[#This Row],[Cliente]],'[1]Pipeline Dental'!B:B,"2026",'[1]Pipeline Dental'!J:J,"&gt;0")</f>
        <v>0</v>
      </c>
      <c r="AD193" s="64">
        <f>+SUMIFS('[1]Pipeline TS'!$AB:$AB,'[1]Pipeline TS'!$F:$F,Tabla1[[#This Row],[Cliente]])</f>
        <v>0</v>
      </c>
      <c r="AE193" s="65">
        <f>+SUM(Tabla1[[#This Row],[Pipeline 2026 $MM ESTERILIZACIÓN]:[Pipeline 2026 $MM TECSERVICE]])</f>
        <v>0</v>
      </c>
      <c r="AF193" s="43">
        <v>-35.338958381138603</v>
      </c>
      <c r="AG193" s="58">
        <v>-72.402623073735597</v>
      </c>
      <c r="AH193" s="57" t="str">
        <f>+IF(Tabla1[[#This Row],['# Contratos Vigentes ]]&gt;0,"SI","NO")</f>
        <v>NO</v>
      </c>
      <c r="AI193" s="66"/>
      <c r="AJ193" s="67">
        <f>+Tabla1[[#This Row],[Ingreso 2025 - 2026]]*Tabla1[[#This Row],[% Costo Serv. Directo]]</f>
        <v>0</v>
      </c>
      <c r="AK193" s="68"/>
      <c r="AL19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9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6590100</v>
      </c>
      <c r="AN193" s="42">
        <f>+Tabla1[[#This Row],[Potencial Equipos]]+Tabla1[[#This Row],[Potencial Pipeline]]</f>
        <v>6590100</v>
      </c>
    </row>
    <row r="194" spans="1:40" ht="15.75" x14ac:dyDescent="0.25">
      <c r="A194" s="47" t="s">
        <v>422</v>
      </c>
      <c r="B194" t="str">
        <f>+VLOOKUP(Tabla1[[#This Row],[Cliente]],'[1]Público Privado'!$A$1:$B$325,2,FALSE)</f>
        <v>Público</v>
      </c>
      <c r="C194" s="23">
        <f>+SUMIFS('[1]Facturacion a Fecha'!$T:$T,'[1]Facturacion a Fecha'!$AY:$AY,Tabla1[[#This Row],[Cliente]])</f>
        <v>0</v>
      </c>
      <c r="D194" s="24">
        <f>+SUMIFS('[1]Facturacion a Fecha'!$T:$T,'[1]Facturacion a Fecha'!$AY:$AY,Tabla1[[#This Row],[Cliente]],'[1]Facturacion a Fecha'!$AX:$AX,"Correctivo")</f>
        <v>0</v>
      </c>
      <c r="E194" s="25">
        <f>+COUNTIFS('[1]Facturacion a Fecha'!AY:AY,Tabla1[[#This Row],[Cliente]],'[1]Facturacion a Fecha'!AX:AX,"Correctivo")</f>
        <v>0</v>
      </c>
      <c r="F194" s="25">
        <f>+SUMIFS('[1]Facturacion a Fecha'!$T:$T,'[1]Facturacion a Fecha'!$AY:$AY,Tabla1[[#This Row],[Cliente]],'[1]Facturacion a Fecha'!$AX:$AX,"Preventivo")</f>
        <v>0</v>
      </c>
      <c r="G194" s="25">
        <f>+COUNTIFS('[1]Facturacion a Fecha'!AY:AY,Tabla1[[#This Row],[Cliente]],'[1]Facturacion a Fecha'!AX:AX,"Preventivo")</f>
        <v>0</v>
      </c>
      <c r="H194" s="26">
        <f>+Tabla1[[#This Row],['# Preventivo]]+Tabla1[[#This Row],['# Correctivo]]</f>
        <v>0</v>
      </c>
      <c r="I194" s="23">
        <f>+IFERROR(Tabla1[[#This Row],[Ingreso 2025 - 2026 Correctivo]]/Tabla1[[#This Row],[Ingreso 2025 - 2026 Preventivo]],0)</f>
        <v>0</v>
      </c>
      <c r="J194" s="59">
        <f>+IFERROR(Tabla1[[#This Row],['# Correctivo]]/Tabla1[[#This Row],['# Preventivo]],0)</f>
        <v>0</v>
      </c>
      <c r="K194" s="60">
        <f>+IFERROR(Tabla1[[#This Row],[Ingreso 2025 - 2026 Preventivo]]/(Tabla1[[#This Row],[Ingreso 2025 - 2026 Correctivo]]+Tabla1[[#This Row],[Ingreso 2025 - 2026 Preventivo]]),0)</f>
        <v>0</v>
      </c>
      <c r="L194" s="60">
        <f>1-Tabla1[[#This Row],[% Preventivo $]]</f>
        <v>1</v>
      </c>
      <c r="M194" s="45">
        <f>+COUNTIFS('[1]Base Instalada'!AA:AA,Tabla1[[#This Row],[Cliente]])</f>
        <v>20</v>
      </c>
      <c r="N19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4" s="45">
        <f>+COUNTIFS('[1]Base Instalada'!AA:AA,Tabla1[[#This Row],[Cliente]],'[1]Base Instalada'!Z:Z,"ESTERILIZACIÓN")</f>
        <v>2</v>
      </c>
      <c r="P194" s="45">
        <f>+COUNTIFS('[1]Base Instalada'!AA:AA,Tabla1[[#This Row],[Cliente]],'[1]Base Instalada'!Z:Z,"DENTAL")</f>
        <v>4</v>
      </c>
      <c r="Q194" s="45">
        <f>+COUNTIFS('[1]Base Instalada'!AA:AA,Tabla1[[#This Row],[Cliente]],'[1]Base Instalada'!Z:Z,"ENDOSCOPÍA")</f>
        <v>0</v>
      </c>
      <c r="R194" s="45">
        <f>+COUNTIFS('[1]Base Instalada'!AA:AA,Tabla1[[#This Row],[Cliente]],'[1]Base Instalada'!Z:Z,"INCARDIA")</f>
        <v>0</v>
      </c>
      <c r="S194" s="45">
        <f>+COUNTIFS('[1]Base Instalada'!AA:AA,Tabla1[[#This Row],[Cliente]],'[1]Base Instalada'!Z:Z,"MMQ")</f>
        <v>0</v>
      </c>
      <c r="T194" s="45">
        <f>+COUNTIFS('[1]Base Instalada'!AA:AA,Tabla1[[#This Row],[Cliente]],'[1]Base Instalada'!Z:Z,"REAS")</f>
        <v>0</v>
      </c>
      <c r="U194" s="46">
        <f>+COUNTIFS('[1]Base Instalada'!AA:AA,Tabla1[[#This Row],[Cliente]],'[1]Base Instalada'!Z:Z,"MOBILIARIO CLINICO")</f>
        <v>14</v>
      </c>
      <c r="V194" s="29">
        <f>+COUNTIFS('[1]Base Instalada'!AA:AA,Tabla1[[#This Row],[Cliente]],'[1]Base Instalada'!Z:Z,"OTRO")</f>
        <v>0</v>
      </c>
      <c r="W194" s="61" t="str">
        <f t="shared" si="6"/>
        <v>Región Los Ríos</v>
      </c>
      <c r="X194" s="61" t="str">
        <f t="shared" si="7"/>
        <v>Valdivia</v>
      </c>
      <c r="Y194" s="62" t="s">
        <v>423</v>
      </c>
      <c r="Z194" s="33">
        <f>+COUNTIFS('[1]Pipeline TS'!$F:$F,Tabla1[[#This Row],[Cliente]])</f>
        <v>0</v>
      </c>
      <c r="AA194" s="63">
        <f>SUMIFS('[1]Pipeline Esterilización'!M:M,'[1]Pipeline Esterilización'!E:E,Tabla1[[#This Row],[Cliente]],'[1]Pipeline Esterilización'!B:B,"2026",'[1]Pipeline Esterilización'!L:L,"&gt;0")</f>
        <v>0</v>
      </c>
      <c r="AB194" s="33">
        <f>+SUMIFS('[1]Pipeline Endoscopía'!K:K,'[1]Pipeline Endoscopía'!E:E,Tabla1[[#This Row],[Cliente]],'[1]Pipeline Endoscopía'!B:B,"2026",'[1]Pipeline Endoscopía'!J:J,"&gt;0")</f>
        <v>300000000</v>
      </c>
      <c r="AC194" s="63">
        <f>+SUMIFS('[1]Pipeline Dental'!K:K,'[1]Pipeline Dental'!E:E,Tabla1[[#This Row],[Cliente]],'[1]Pipeline Dental'!B:B,"2026",'[1]Pipeline Dental'!J:J,"&gt;0")</f>
        <v>0</v>
      </c>
      <c r="AD194" s="64">
        <f>+SUMIFS('[1]Pipeline TS'!$AB:$AB,'[1]Pipeline TS'!$F:$F,Tabla1[[#This Row],[Cliente]])</f>
        <v>0</v>
      </c>
      <c r="AE194" s="65">
        <f>+SUM(Tabla1[[#This Row],[Pipeline 2026 $MM ESTERILIZACIÓN]:[Pipeline 2026 $MM TECSERVICE]])</f>
        <v>300000000</v>
      </c>
      <c r="AF194" s="43">
        <v>-39.831278525105702</v>
      </c>
      <c r="AG194" s="58">
        <v>-73.240028175310698</v>
      </c>
      <c r="AH194" s="57" t="str">
        <f>+IF(Tabla1[[#This Row],['# Contratos Vigentes ]]&gt;0,"SI","NO")</f>
        <v>NO</v>
      </c>
      <c r="AI194" s="66"/>
      <c r="AJ194" s="67">
        <f>+Tabla1[[#This Row],[Ingreso 2025 - 2026]]*Tabla1[[#This Row],[% Costo Serv. Directo]]</f>
        <v>0</v>
      </c>
      <c r="AK194" s="68"/>
      <c r="AL19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18000000</v>
      </c>
      <c r="AM19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6390400</v>
      </c>
      <c r="AN194" s="42">
        <f>+Tabla1[[#This Row],[Potencial Equipos]]+Tabla1[[#This Row],[Potencial Pipeline]]</f>
        <v>24390400</v>
      </c>
    </row>
    <row r="195" spans="1:40" ht="15.75" x14ac:dyDescent="0.25">
      <c r="A195" s="47" t="s">
        <v>424</v>
      </c>
      <c r="B195" t="str">
        <f>+VLOOKUP(Tabla1[[#This Row],[Cliente]],'[1]Público Privado'!$A$1:$B$325,2,FALSE)</f>
        <v>Público</v>
      </c>
      <c r="C195" s="23">
        <f>+SUMIFS('[1]Facturacion a Fecha'!$T:$T,'[1]Facturacion a Fecha'!$AY:$AY,Tabla1[[#This Row],[Cliente]])</f>
        <v>0</v>
      </c>
      <c r="D195" s="24">
        <f>+SUMIFS('[1]Facturacion a Fecha'!$T:$T,'[1]Facturacion a Fecha'!$AY:$AY,Tabla1[[#This Row],[Cliente]],'[1]Facturacion a Fecha'!$AX:$AX,"Correctivo")</f>
        <v>0</v>
      </c>
      <c r="E195" s="25">
        <f>+COUNTIFS('[1]Facturacion a Fecha'!AY:AY,Tabla1[[#This Row],[Cliente]],'[1]Facturacion a Fecha'!AX:AX,"Correctivo")</f>
        <v>0</v>
      </c>
      <c r="F195" s="25">
        <f>+SUMIFS('[1]Facturacion a Fecha'!$T:$T,'[1]Facturacion a Fecha'!$AY:$AY,Tabla1[[#This Row],[Cliente]],'[1]Facturacion a Fecha'!$AX:$AX,"Preventivo")</f>
        <v>0</v>
      </c>
      <c r="G195" s="25">
        <f>+COUNTIFS('[1]Facturacion a Fecha'!AY:AY,Tabla1[[#This Row],[Cliente]],'[1]Facturacion a Fecha'!AX:AX,"Preventivo")</f>
        <v>0</v>
      </c>
      <c r="H195" s="26">
        <f>+Tabla1[[#This Row],['# Preventivo]]+Tabla1[[#This Row],['# Correctivo]]</f>
        <v>0</v>
      </c>
      <c r="I195" s="23">
        <f>+IFERROR(Tabla1[[#This Row],[Ingreso 2025 - 2026 Correctivo]]/Tabla1[[#This Row],[Ingreso 2025 - 2026 Preventivo]],0)</f>
        <v>0</v>
      </c>
      <c r="J195" s="59">
        <f>+IFERROR(Tabla1[[#This Row],['# Correctivo]]/Tabla1[[#This Row],['# Preventivo]],0)</f>
        <v>0</v>
      </c>
      <c r="K195" s="60">
        <f>+IFERROR(Tabla1[[#This Row],[Ingreso 2025 - 2026 Preventivo]]/(Tabla1[[#This Row],[Ingreso 2025 - 2026 Correctivo]]+Tabla1[[#This Row],[Ingreso 2025 - 2026 Preventivo]]),0)</f>
        <v>0</v>
      </c>
      <c r="L195" s="60">
        <f>1-Tabla1[[#This Row],[% Preventivo $]]</f>
        <v>1</v>
      </c>
      <c r="M195" s="45">
        <f>+COUNTIFS('[1]Base Instalada'!AA:AA,Tabla1[[#This Row],[Cliente]])</f>
        <v>13</v>
      </c>
      <c r="N19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5" s="45">
        <f>+COUNTIFS('[1]Base Instalada'!AA:AA,Tabla1[[#This Row],[Cliente]],'[1]Base Instalada'!Z:Z,"ESTERILIZACIÓN")</f>
        <v>2</v>
      </c>
      <c r="P195" s="45">
        <f>+COUNTIFS('[1]Base Instalada'!AA:AA,Tabla1[[#This Row],[Cliente]],'[1]Base Instalada'!Z:Z,"DENTAL")</f>
        <v>5</v>
      </c>
      <c r="Q195" s="45">
        <f>+COUNTIFS('[1]Base Instalada'!AA:AA,Tabla1[[#This Row],[Cliente]],'[1]Base Instalada'!Z:Z,"ENDOSCOPÍA")</f>
        <v>0</v>
      </c>
      <c r="R195" s="45">
        <f>+COUNTIFS('[1]Base Instalada'!AA:AA,Tabla1[[#This Row],[Cliente]],'[1]Base Instalada'!Z:Z,"INCARDIA")</f>
        <v>5</v>
      </c>
      <c r="S195" s="45">
        <f>+COUNTIFS('[1]Base Instalada'!AA:AA,Tabla1[[#This Row],[Cliente]],'[1]Base Instalada'!Z:Z,"MMQ")</f>
        <v>0</v>
      </c>
      <c r="T195" s="45">
        <f>+COUNTIFS('[1]Base Instalada'!AA:AA,Tabla1[[#This Row],[Cliente]],'[1]Base Instalada'!Z:Z,"REAS")</f>
        <v>0</v>
      </c>
      <c r="U195" s="46">
        <f>+COUNTIFS('[1]Base Instalada'!AA:AA,Tabla1[[#This Row],[Cliente]],'[1]Base Instalada'!Z:Z,"MOBILIARIO CLINICO")</f>
        <v>1</v>
      </c>
      <c r="V195" s="29">
        <f>+COUNTIFS('[1]Base Instalada'!AA:AA,Tabla1[[#This Row],[Cliente]],'[1]Base Instalada'!Z:Z,"OTRO")</f>
        <v>0</v>
      </c>
      <c r="W195" s="61" t="str">
        <f t="shared" si="6"/>
        <v>Región Bío Bío</v>
      </c>
      <c r="X195" s="61" t="str">
        <f t="shared" si="7"/>
        <v>Talcahuano</v>
      </c>
      <c r="Y195" s="62" t="s">
        <v>425</v>
      </c>
      <c r="Z195" s="33">
        <f>+COUNTIFS('[1]Pipeline TS'!$F:$F,Tabla1[[#This Row],[Cliente]])</f>
        <v>0</v>
      </c>
      <c r="AA195" s="63">
        <f>SUMIFS('[1]Pipeline Esterilización'!M:M,'[1]Pipeline Esterilización'!E:E,Tabla1[[#This Row],[Cliente]],'[1]Pipeline Esterilización'!B:B,"2026",'[1]Pipeline Esterilización'!L:L,"&gt;0")</f>
        <v>0</v>
      </c>
      <c r="AB195" s="33">
        <f>+SUMIFS('[1]Pipeline Endoscopía'!K:K,'[1]Pipeline Endoscopía'!E:E,Tabla1[[#This Row],[Cliente]],'[1]Pipeline Endoscopía'!B:B,"2026",'[1]Pipeline Endoscopía'!J:J,"&gt;0")</f>
        <v>330000000</v>
      </c>
      <c r="AC195" s="63">
        <f>+SUMIFS('[1]Pipeline Dental'!K:K,'[1]Pipeline Dental'!E:E,Tabla1[[#This Row],[Cliente]],'[1]Pipeline Dental'!B:B,"2026",'[1]Pipeline Dental'!J:J,"&gt;0")</f>
        <v>0</v>
      </c>
      <c r="AD195" s="64">
        <f>+SUMIFS('[1]Pipeline TS'!$AB:$AB,'[1]Pipeline TS'!$F:$F,Tabla1[[#This Row],[Cliente]])</f>
        <v>0</v>
      </c>
      <c r="AE195" s="65">
        <f>+SUM(Tabla1[[#This Row],[Pipeline 2026 $MM ESTERILIZACIÓN]:[Pipeline 2026 $MM TECSERVICE]])</f>
        <v>330000000</v>
      </c>
      <c r="AF195" s="43">
        <v>-36.740492694024702</v>
      </c>
      <c r="AG195" s="58">
        <v>-73.108924325219704</v>
      </c>
      <c r="AH195" s="57" t="str">
        <f>+IF(Tabla1[[#This Row],['# Contratos Vigentes ]]&gt;0,"SI","NO")</f>
        <v>NO</v>
      </c>
      <c r="AI195" s="66"/>
      <c r="AJ195" s="67">
        <f>+Tabla1[[#This Row],[Ingreso 2025 - 2026]]*Tabla1[[#This Row],[% Costo Serv. Directo]]</f>
        <v>0</v>
      </c>
      <c r="AK195" s="68"/>
      <c r="AL19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19800000</v>
      </c>
      <c r="AM19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6989500</v>
      </c>
      <c r="AN195" s="42">
        <f>+Tabla1[[#This Row],[Potencial Equipos]]+Tabla1[[#This Row],[Potencial Pipeline]]</f>
        <v>26789500</v>
      </c>
    </row>
    <row r="196" spans="1:40" ht="15.75" x14ac:dyDescent="0.25">
      <c r="A196" s="47" t="s">
        <v>426</v>
      </c>
      <c r="B196" t="str">
        <f>+VLOOKUP(Tabla1[[#This Row],[Cliente]],'[1]Público Privado'!$A$1:$B$325,2,FALSE)</f>
        <v>Público</v>
      </c>
      <c r="C196" s="23">
        <f>+SUMIFS('[1]Facturacion a Fecha'!$T:$T,'[1]Facturacion a Fecha'!$AY:$AY,Tabla1[[#This Row],[Cliente]])</f>
        <v>0</v>
      </c>
      <c r="D196" s="24">
        <f>+SUMIFS('[1]Facturacion a Fecha'!$T:$T,'[1]Facturacion a Fecha'!$AY:$AY,Tabla1[[#This Row],[Cliente]],'[1]Facturacion a Fecha'!$AX:$AX,"Correctivo")</f>
        <v>0</v>
      </c>
      <c r="E196" s="25">
        <f>+COUNTIFS('[1]Facturacion a Fecha'!AY:AY,Tabla1[[#This Row],[Cliente]],'[1]Facturacion a Fecha'!AX:AX,"Correctivo")</f>
        <v>0</v>
      </c>
      <c r="F196" s="25">
        <f>+SUMIFS('[1]Facturacion a Fecha'!$T:$T,'[1]Facturacion a Fecha'!$AY:$AY,Tabla1[[#This Row],[Cliente]],'[1]Facturacion a Fecha'!$AX:$AX,"Preventivo")</f>
        <v>0</v>
      </c>
      <c r="G196" s="25">
        <f>+COUNTIFS('[1]Facturacion a Fecha'!AY:AY,Tabla1[[#This Row],[Cliente]],'[1]Facturacion a Fecha'!AX:AX,"Preventivo")</f>
        <v>0</v>
      </c>
      <c r="H196" s="26">
        <f>+Tabla1[[#This Row],['# Preventivo]]+Tabla1[[#This Row],['# Correctivo]]</f>
        <v>0</v>
      </c>
      <c r="I196" s="23">
        <f>+IFERROR(Tabla1[[#This Row],[Ingreso 2025 - 2026 Correctivo]]/Tabla1[[#This Row],[Ingreso 2025 - 2026 Preventivo]],0)</f>
        <v>0</v>
      </c>
      <c r="J196" s="59">
        <f>+IFERROR(Tabla1[[#This Row],['# Correctivo]]/Tabla1[[#This Row],['# Preventivo]],0)</f>
        <v>0</v>
      </c>
      <c r="K196" s="60">
        <f>+IFERROR(Tabla1[[#This Row],[Ingreso 2025 - 2026 Preventivo]]/(Tabla1[[#This Row],[Ingreso 2025 - 2026 Correctivo]]+Tabla1[[#This Row],[Ingreso 2025 - 2026 Preventivo]]),0)</f>
        <v>0</v>
      </c>
      <c r="L196" s="60">
        <f>1-Tabla1[[#This Row],[% Preventivo $]]</f>
        <v>1</v>
      </c>
      <c r="M196" s="45">
        <f>+COUNTIFS('[1]Base Instalada'!AA:AA,Tabla1[[#This Row],[Cliente]])</f>
        <v>25</v>
      </c>
      <c r="N19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6" s="45">
        <f>+COUNTIFS('[1]Base Instalada'!AA:AA,Tabla1[[#This Row],[Cliente]],'[1]Base Instalada'!Z:Z,"ESTERILIZACIÓN")</f>
        <v>0</v>
      </c>
      <c r="P196" s="45">
        <f>+COUNTIFS('[1]Base Instalada'!AA:AA,Tabla1[[#This Row],[Cliente]],'[1]Base Instalada'!Z:Z,"DENTAL")</f>
        <v>7</v>
      </c>
      <c r="Q196" s="45">
        <f>+COUNTIFS('[1]Base Instalada'!AA:AA,Tabla1[[#This Row],[Cliente]],'[1]Base Instalada'!Z:Z,"ENDOSCOPÍA")</f>
        <v>0</v>
      </c>
      <c r="R196" s="45">
        <f>+COUNTIFS('[1]Base Instalada'!AA:AA,Tabla1[[#This Row],[Cliente]],'[1]Base Instalada'!Z:Z,"INCARDIA")</f>
        <v>0</v>
      </c>
      <c r="S196" s="45">
        <f>+COUNTIFS('[1]Base Instalada'!AA:AA,Tabla1[[#This Row],[Cliente]],'[1]Base Instalada'!Z:Z,"MMQ")</f>
        <v>0</v>
      </c>
      <c r="T196" s="45">
        <f>+COUNTIFS('[1]Base Instalada'!AA:AA,Tabla1[[#This Row],[Cliente]],'[1]Base Instalada'!Z:Z,"REAS")</f>
        <v>0</v>
      </c>
      <c r="U196" s="46">
        <f>+COUNTIFS('[1]Base Instalada'!AA:AA,Tabla1[[#This Row],[Cliente]],'[1]Base Instalada'!Z:Z,"MOBILIARIO CLINICO")</f>
        <v>18</v>
      </c>
      <c r="V196" s="29">
        <f>+COUNTIFS('[1]Base Instalada'!AA:AA,Tabla1[[#This Row],[Cliente]],'[1]Base Instalada'!Z:Z,"OTRO")</f>
        <v>0</v>
      </c>
      <c r="W196" s="61" t="str">
        <f t="shared" si="6"/>
        <v>Región Bío Bío</v>
      </c>
      <c r="X196" s="61" t="str">
        <f t="shared" si="7"/>
        <v>Concepción</v>
      </c>
      <c r="Y196" s="62" t="s">
        <v>427</v>
      </c>
      <c r="Z196" s="33">
        <f>+COUNTIFS('[1]Pipeline TS'!$F:$F,Tabla1[[#This Row],[Cliente]])</f>
        <v>0</v>
      </c>
      <c r="AA196" s="63">
        <f>SUMIFS('[1]Pipeline Esterilización'!M:M,'[1]Pipeline Esterilización'!E:E,Tabla1[[#This Row],[Cliente]],'[1]Pipeline Esterilización'!B:B,"2026",'[1]Pipeline Esterilización'!L:L,"&gt;0")</f>
        <v>850000000</v>
      </c>
      <c r="AB196" s="33">
        <f>+SUMIFS('[1]Pipeline Endoscopía'!K:K,'[1]Pipeline Endoscopía'!E:E,Tabla1[[#This Row],[Cliente]],'[1]Pipeline Endoscopía'!B:B,"2026",'[1]Pipeline Endoscopía'!J:J,"&gt;0")</f>
        <v>0</v>
      </c>
      <c r="AC196" s="63">
        <f>+SUMIFS('[1]Pipeline Dental'!K:K,'[1]Pipeline Dental'!E:E,Tabla1[[#This Row],[Cliente]],'[1]Pipeline Dental'!B:B,"2026",'[1]Pipeline Dental'!J:J,"&gt;0")</f>
        <v>0</v>
      </c>
      <c r="AD196" s="64">
        <f>+SUMIFS('[1]Pipeline TS'!$AB:$AB,'[1]Pipeline TS'!$F:$F,Tabla1[[#This Row],[Cliente]])</f>
        <v>0</v>
      </c>
      <c r="AE196" s="65">
        <f>+SUM(Tabla1[[#This Row],[Pipeline 2026 $MM ESTERILIZACIÓN]:[Pipeline 2026 $MM TECSERVICE]])</f>
        <v>850000000</v>
      </c>
      <c r="AF196" s="43">
        <v>-36.829184919610903</v>
      </c>
      <c r="AG196" s="58">
        <v>-73.054732890836902</v>
      </c>
      <c r="AH196" s="57" t="str">
        <f>+IF(Tabla1[[#This Row],['# Contratos Vigentes ]]&gt;0,"SI","NO")</f>
        <v>NO</v>
      </c>
      <c r="AI196" s="66"/>
      <c r="AJ196" s="67">
        <f>+Tabla1[[#This Row],[Ingreso 2025 - 2026]]*Tabla1[[#This Row],[% Costo Serv. Directo]]</f>
        <v>0</v>
      </c>
      <c r="AK196" s="68"/>
      <c r="AL19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85000000</v>
      </c>
      <c r="AM19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196" s="42">
        <f>+Tabla1[[#This Row],[Potencial Equipos]]+Tabla1[[#This Row],[Potencial Pipeline]]</f>
        <v>89193700</v>
      </c>
    </row>
    <row r="197" spans="1:40" ht="15.75" x14ac:dyDescent="0.25">
      <c r="A197" s="47" t="s">
        <v>428</v>
      </c>
      <c r="B197" t="str">
        <f>+VLOOKUP(Tabla1[[#This Row],[Cliente]],'[1]Público Privado'!$A$1:$B$325,2,FALSE)</f>
        <v>Público</v>
      </c>
      <c r="C197" s="23">
        <f>+SUMIFS('[1]Facturacion a Fecha'!$T:$T,'[1]Facturacion a Fecha'!$AY:$AY,Tabla1[[#This Row],[Cliente]])</f>
        <v>0</v>
      </c>
      <c r="D197" s="24">
        <f>+SUMIFS('[1]Facturacion a Fecha'!$T:$T,'[1]Facturacion a Fecha'!$AY:$AY,Tabla1[[#This Row],[Cliente]],'[1]Facturacion a Fecha'!$AX:$AX,"Correctivo")</f>
        <v>0</v>
      </c>
      <c r="E197" s="25">
        <f>+COUNTIFS('[1]Facturacion a Fecha'!AY:AY,Tabla1[[#This Row],[Cliente]],'[1]Facturacion a Fecha'!AX:AX,"Correctivo")</f>
        <v>0</v>
      </c>
      <c r="F197" s="25">
        <f>+SUMIFS('[1]Facturacion a Fecha'!$T:$T,'[1]Facturacion a Fecha'!$AY:$AY,Tabla1[[#This Row],[Cliente]],'[1]Facturacion a Fecha'!$AX:$AX,"Preventivo")</f>
        <v>0</v>
      </c>
      <c r="G197" s="25">
        <f>+COUNTIFS('[1]Facturacion a Fecha'!AY:AY,Tabla1[[#This Row],[Cliente]],'[1]Facturacion a Fecha'!AX:AX,"Preventivo")</f>
        <v>0</v>
      </c>
      <c r="H197" s="26">
        <f>+Tabla1[[#This Row],['# Preventivo]]+Tabla1[[#This Row],['# Correctivo]]</f>
        <v>0</v>
      </c>
      <c r="I197" s="23">
        <f>+IFERROR(Tabla1[[#This Row],[Ingreso 2025 - 2026 Correctivo]]/Tabla1[[#This Row],[Ingreso 2025 - 2026 Preventivo]],0)</f>
        <v>0</v>
      </c>
      <c r="J197" s="59">
        <f>+IFERROR(Tabla1[[#This Row],['# Correctivo]]/Tabla1[[#This Row],['# Preventivo]],0)</f>
        <v>0</v>
      </c>
      <c r="K197" s="60">
        <f>+IFERROR(Tabla1[[#This Row],[Ingreso 2025 - 2026 Preventivo]]/(Tabla1[[#This Row],[Ingreso 2025 - 2026 Correctivo]]+Tabla1[[#This Row],[Ingreso 2025 - 2026 Preventivo]]),0)</f>
        <v>0</v>
      </c>
      <c r="L197" s="60">
        <f>1-Tabla1[[#This Row],[% Preventivo $]]</f>
        <v>1</v>
      </c>
      <c r="M197" s="45">
        <f>+COUNTIFS('[1]Base Instalada'!AA:AA,Tabla1[[#This Row],[Cliente]])</f>
        <v>624</v>
      </c>
      <c r="N19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7" s="45">
        <f>+COUNTIFS('[1]Base Instalada'!AA:AA,Tabla1[[#This Row],[Cliente]],'[1]Base Instalada'!Z:Z,"ESTERILIZACIÓN")</f>
        <v>0</v>
      </c>
      <c r="P197" s="45">
        <f>+COUNTIFS('[1]Base Instalada'!AA:AA,Tabla1[[#This Row],[Cliente]],'[1]Base Instalada'!Z:Z,"DENTAL")</f>
        <v>19</v>
      </c>
      <c r="Q197" s="45">
        <f>+COUNTIFS('[1]Base Instalada'!AA:AA,Tabla1[[#This Row],[Cliente]],'[1]Base Instalada'!Z:Z,"ENDOSCOPÍA")</f>
        <v>0</v>
      </c>
      <c r="R197" s="45">
        <f>+COUNTIFS('[1]Base Instalada'!AA:AA,Tabla1[[#This Row],[Cliente]],'[1]Base Instalada'!Z:Z,"INCARDIA")</f>
        <v>1</v>
      </c>
      <c r="S197" s="45">
        <f>+COUNTIFS('[1]Base Instalada'!AA:AA,Tabla1[[#This Row],[Cliente]],'[1]Base Instalada'!Z:Z,"MMQ")</f>
        <v>0</v>
      </c>
      <c r="T197" s="45">
        <f>+COUNTIFS('[1]Base Instalada'!AA:AA,Tabla1[[#This Row],[Cliente]],'[1]Base Instalada'!Z:Z,"REAS")</f>
        <v>0</v>
      </c>
      <c r="U197" s="46">
        <f>+COUNTIFS('[1]Base Instalada'!AA:AA,Tabla1[[#This Row],[Cliente]],'[1]Base Instalada'!Z:Z,"MOBILIARIO CLINICO")</f>
        <v>604</v>
      </c>
      <c r="V197" s="29">
        <f>+COUNTIFS('[1]Base Instalada'!AA:AA,Tabla1[[#This Row],[Cliente]],'[1]Base Instalada'!Z:Z,"OTRO")</f>
        <v>0</v>
      </c>
      <c r="W197" s="61" t="str">
        <f t="shared" si="6"/>
        <v>Región Valparaíso</v>
      </c>
      <c r="X197" s="61" t="str">
        <f t="shared" si="7"/>
        <v>Viña del Mar</v>
      </c>
      <c r="Y197" s="62" t="s">
        <v>429</v>
      </c>
      <c r="Z197" s="33">
        <f>+COUNTIFS('[1]Pipeline TS'!$F:$F,Tabla1[[#This Row],[Cliente]])</f>
        <v>0</v>
      </c>
      <c r="AA197" s="63">
        <f>SUMIFS('[1]Pipeline Esterilización'!M:M,'[1]Pipeline Esterilización'!E:E,Tabla1[[#This Row],[Cliente]],'[1]Pipeline Esterilización'!B:B,"2026",'[1]Pipeline Esterilización'!L:L,"&gt;0")</f>
        <v>0</v>
      </c>
      <c r="AB197" s="33">
        <f>+SUMIFS('[1]Pipeline Endoscopía'!K:K,'[1]Pipeline Endoscopía'!E:E,Tabla1[[#This Row],[Cliente]],'[1]Pipeline Endoscopía'!B:B,"2026",'[1]Pipeline Endoscopía'!J:J,"&gt;0")</f>
        <v>0</v>
      </c>
      <c r="AC197" s="63">
        <f>+SUMIFS('[1]Pipeline Dental'!K:K,'[1]Pipeline Dental'!E:E,Tabla1[[#This Row],[Cliente]],'[1]Pipeline Dental'!B:B,"2026",'[1]Pipeline Dental'!J:J,"&gt;0")</f>
        <v>0</v>
      </c>
      <c r="AD197" s="64">
        <f>+SUMIFS('[1]Pipeline TS'!$AB:$AB,'[1]Pipeline TS'!$F:$F,Tabla1[[#This Row],[Cliente]])</f>
        <v>0</v>
      </c>
      <c r="AE197" s="65">
        <f>+SUM(Tabla1[[#This Row],[Pipeline 2026 $MM ESTERILIZACIÓN]:[Pipeline 2026 $MM TECSERVICE]])</f>
        <v>0</v>
      </c>
      <c r="AF197" s="43">
        <v>-33.028606057998601</v>
      </c>
      <c r="AG197" s="58">
        <v>-71.549131675712999</v>
      </c>
      <c r="AH197" s="57" t="str">
        <f>+IF(Tabla1[[#This Row],['# Contratos Vigentes ]]&gt;0,"SI","NO")</f>
        <v>NO</v>
      </c>
      <c r="AI197" s="66"/>
      <c r="AJ197" s="67">
        <f>+Tabla1[[#This Row],[Ingreso 2025 - 2026]]*Tabla1[[#This Row],[% Costo Serv. Directo]]</f>
        <v>0</v>
      </c>
      <c r="AK197" s="68"/>
      <c r="AL19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9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11382900</v>
      </c>
      <c r="AN197" s="42">
        <f>+Tabla1[[#This Row],[Potencial Equipos]]+Tabla1[[#This Row],[Potencial Pipeline]]</f>
        <v>11382900</v>
      </c>
    </row>
    <row r="198" spans="1:40" ht="15.75" x14ac:dyDescent="0.25">
      <c r="A198" s="47" t="s">
        <v>430</v>
      </c>
      <c r="B198" t="str">
        <f>+VLOOKUP(Tabla1[[#This Row],[Cliente]],'[1]Público Privado'!$A$1:$B$325,2,FALSE)</f>
        <v>Público</v>
      </c>
      <c r="C198" s="23">
        <f>+SUMIFS('[1]Facturacion a Fecha'!$T:$T,'[1]Facturacion a Fecha'!$AY:$AY,Tabla1[[#This Row],[Cliente]])</f>
        <v>0</v>
      </c>
      <c r="D198" s="24">
        <f>+SUMIFS('[1]Facturacion a Fecha'!$T:$T,'[1]Facturacion a Fecha'!$AY:$AY,Tabla1[[#This Row],[Cliente]],'[1]Facturacion a Fecha'!$AX:$AX,"Correctivo")</f>
        <v>0</v>
      </c>
      <c r="E198" s="25">
        <f>+COUNTIFS('[1]Facturacion a Fecha'!AY:AY,Tabla1[[#This Row],[Cliente]],'[1]Facturacion a Fecha'!AX:AX,"Correctivo")</f>
        <v>0</v>
      </c>
      <c r="F198" s="25">
        <f>+SUMIFS('[1]Facturacion a Fecha'!$T:$T,'[1]Facturacion a Fecha'!$AY:$AY,Tabla1[[#This Row],[Cliente]],'[1]Facturacion a Fecha'!$AX:$AX,"Preventivo")</f>
        <v>0</v>
      </c>
      <c r="G198" s="25">
        <f>+COUNTIFS('[1]Facturacion a Fecha'!AY:AY,Tabla1[[#This Row],[Cliente]],'[1]Facturacion a Fecha'!AX:AX,"Preventivo")</f>
        <v>0</v>
      </c>
      <c r="H198" s="26">
        <f>+Tabla1[[#This Row],['# Preventivo]]+Tabla1[[#This Row],['# Correctivo]]</f>
        <v>0</v>
      </c>
      <c r="I198" s="23">
        <f>+IFERROR(Tabla1[[#This Row],[Ingreso 2025 - 2026 Correctivo]]/Tabla1[[#This Row],[Ingreso 2025 - 2026 Preventivo]],0)</f>
        <v>0</v>
      </c>
      <c r="J198" s="59">
        <f>+IFERROR(Tabla1[[#This Row],['# Correctivo]]/Tabla1[[#This Row],['# Preventivo]],0)</f>
        <v>0</v>
      </c>
      <c r="K198" s="60">
        <f>+IFERROR(Tabla1[[#This Row],[Ingreso 2025 - 2026 Preventivo]]/(Tabla1[[#This Row],[Ingreso 2025 - 2026 Correctivo]]+Tabla1[[#This Row],[Ingreso 2025 - 2026 Preventivo]]),0)</f>
        <v>0</v>
      </c>
      <c r="L198" s="60">
        <f>1-Tabla1[[#This Row],[% Preventivo $]]</f>
        <v>1</v>
      </c>
      <c r="M198" s="45">
        <f>+COUNTIFS('[1]Base Instalada'!AA:AA,Tabla1[[#This Row],[Cliente]])</f>
        <v>289</v>
      </c>
      <c r="N19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8" s="45">
        <f>+COUNTIFS('[1]Base Instalada'!AA:AA,Tabla1[[#This Row],[Cliente]],'[1]Base Instalada'!Z:Z,"ESTERILIZACIÓN")</f>
        <v>0</v>
      </c>
      <c r="P198" s="45">
        <f>+COUNTIFS('[1]Base Instalada'!AA:AA,Tabla1[[#This Row],[Cliente]],'[1]Base Instalada'!Z:Z,"DENTAL")</f>
        <v>10</v>
      </c>
      <c r="Q198" s="45">
        <f>+COUNTIFS('[1]Base Instalada'!AA:AA,Tabla1[[#This Row],[Cliente]],'[1]Base Instalada'!Z:Z,"ENDOSCOPÍA")</f>
        <v>0</v>
      </c>
      <c r="R198" s="45">
        <f>+COUNTIFS('[1]Base Instalada'!AA:AA,Tabla1[[#This Row],[Cliente]],'[1]Base Instalada'!Z:Z,"INCARDIA")</f>
        <v>15</v>
      </c>
      <c r="S198" s="45">
        <f>+COUNTIFS('[1]Base Instalada'!AA:AA,Tabla1[[#This Row],[Cliente]],'[1]Base Instalada'!Z:Z,"MMQ")</f>
        <v>0</v>
      </c>
      <c r="T198" s="45">
        <f>+COUNTIFS('[1]Base Instalada'!AA:AA,Tabla1[[#This Row],[Cliente]],'[1]Base Instalada'!Z:Z,"REAS")</f>
        <v>0</v>
      </c>
      <c r="U198" s="46">
        <f>+COUNTIFS('[1]Base Instalada'!AA:AA,Tabla1[[#This Row],[Cliente]],'[1]Base Instalada'!Z:Z,"MOBILIARIO CLINICO")</f>
        <v>264</v>
      </c>
      <c r="V198" s="29">
        <f>+COUNTIFS('[1]Base Instalada'!AA:AA,Tabla1[[#This Row],[Cliente]],'[1]Base Instalada'!Z:Z,"OTRO")</f>
        <v>0</v>
      </c>
      <c r="W198" s="61" t="str">
        <f t="shared" si="6"/>
        <v>Región Bío Bío</v>
      </c>
      <c r="X198" s="61" t="str">
        <f t="shared" si="7"/>
        <v>Los Ángeles</v>
      </c>
      <c r="Y198" s="62" t="s">
        <v>431</v>
      </c>
      <c r="Z198" s="33">
        <f>+COUNTIFS('[1]Pipeline TS'!$F:$F,Tabla1[[#This Row],[Cliente]])</f>
        <v>0</v>
      </c>
      <c r="AA198" s="63">
        <f>SUMIFS('[1]Pipeline Esterilización'!M:M,'[1]Pipeline Esterilización'!E:E,Tabla1[[#This Row],[Cliente]],'[1]Pipeline Esterilización'!B:B,"2026",'[1]Pipeline Esterilización'!L:L,"&gt;0")</f>
        <v>0</v>
      </c>
      <c r="AB198" s="33">
        <f>+SUMIFS('[1]Pipeline Endoscopía'!K:K,'[1]Pipeline Endoscopía'!E:E,Tabla1[[#This Row],[Cliente]],'[1]Pipeline Endoscopía'!B:B,"2026",'[1]Pipeline Endoscopía'!J:J,"&gt;0")</f>
        <v>0</v>
      </c>
      <c r="AC198" s="63">
        <f>+SUMIFS('[1]Pipeline Dental'!K:K,'[1]Pipeline Dental'!E:E,Tabla1[[#This Row],[Cliente]],'[1]Pipeline Dental'!B:B,"2026",'[1]Pipeline Dental'!J:J,"&gt;0")</f>
        <v>0</v>
      </c>
      <c r="AD198" s="64">
        <f>+SUMIFS('[1]Pipeline TS'!$AB:$AB,'[1]Pipeline TS'!$F:$F,Tabla1[[#This Row],[Cliente]])</f>
        <v>0</v>
      </c>
      <c r="AE198" s="65">
        <f>+SUM(Tabla1[[#This Row],[Pipeline 2026 $MM ESTERILIZACIÓN]:[Pipeline 2026 $MM TECSERVICE]])</f>
        <v>0</v>
      </c>
      <c r="AF198" s="43">
        <v>-37.2685834996485</v>
      </c>
      <c r="AG198" s="58">
        <v>-72.372833458200802</v>
      </c>
      <c r="AH198" s="57" t="str">
        <f>+IF(Tabla1[[#This Row],['# Contratos Vigentes ]]&gt;0,"SI","NO")</f>
        <v>NO</v>
      </c>
      <c r="AI198" s="66"/>
      <c r="AJ198" s="67">
        <f>+Tabla1[[#This Row],[Ingreso 2025 - 2026]]*Tabla1[[#This Row],[% Costo Serv. Directo]]</f>
        <v>0</v>
      </c>
      <c r="AK198" s="68"/>
      <c r="AL19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9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5991000</v>
      </c>
      <c r="AN198" s="42">
        <f>+Tabla1[[#This Row],[Potencial Equipos]]+Tabla1[[#This Row],[Potencial Pipeline]]</f>
        <v>5991000</v>
      </c>
    </row>
    <row r="199" spans="1:40" ht="15.75" x14ac:dyDescent="0.25">
      <c r="A199" s="47" t="s">
        <v>432</v>
      </c>
      <c r="B199" t="str">
        <f>+VLOOKUP(Tabla1[[#This Row],[Cliente]],'[1]Público Privado'!$A$1:$B$325,2,FALSE)</f>
        <v>Público</v>
      </c>
      <c r="C199" s="23">
        <f>+SUMIFS('[1]Facturacion a Fecha'!$T:$T,'[1]Facturacion a Fecha'!$AY:$AY,Tabla1[[#This Row],[Cliente]])</f>
        <v>0</v>
      </c>
      <c r="D199" s="24">
        <f>+SUMIFS('[1]Facturacion a Fecha'!$T:$T,'[1]Facturacion a Fecha'!$AY:$AY,Tabla1[[#This Row],[Cliente]],'[1]Facturacion a Fecha'!$AX:$AX,"Correctivo")</f>
        <v>0</v>
      </c>
      <c r="E199" s="25">
        <f>+COUNTIFS('[1]Facturacion a Fecha'!AY:AY,Tabla1[[#This Row],[Cliente]],'[1]Facturacion a Fecha'!AX:AX,"Correctivo")</f>
        <v>0</v>
      </c>
      <c r="F199" s="25">
        <f>+SUMIFS('[1]Facturacion a Fecha'!$T:$T,'[1]Facturacion a Fecha'!$AY:$AY,Tabla1[[#This Row],[Cliente]],'[1]Facturacion a Fecha'!$AX:$AX,"Preventivo")</f>
        <v>0</v>
      </c>
      <c r="G199" s="25">
        <f>+COUNTIFS('[1]Facturacion a Fecha'!AY:AY,Tabla1[[#This Row],[Cliente]],'[1]Facturacion a Fecha'!AX:AX,"Preventivo")</f>
        <v>0</v>
      </c>
      <c r="H199" s="26">
        <f>+Tabla1[[#This Row],['# Preventivo]]+Tabla1[[#This Row],['# Correctivo]]</f>
        <v>0</v>
      </c>
      <c r="I199" s="23">
        <f>+IFERROR(Tabla1[[#This Row],[Ingreso 2025 - 2026 Correctivo]]/Tabla1[[#This Row],[Ingreso 2025 - 2026 Preventivo]],0)</f>
        <v>0</v>
      </c>
      <c r="J199" s="59">
        <f>+IFERROR(Tabla1[[#This Row],['# Correctivo]]/Tabla1[[#This Row],['# Preventivo]],0)</f>
        <v>0</v>
      </c>
      <c r="K199" s="60">
        <f>+IFERROR(Tabla1[[#This Row],[Ingreso 2025 - 2026 Preventivo]]/(Tabla1[[#This Row],[Ingreso 2025 - 2026 Correctivo]]+Tabla1[[#This Row],[Ingreso 2025 - 2026 Preventivo]]),0)</f>
        <v>0</v>
      </c>
      <c r="L199" s="60">
        <f>1-Tabla1[[#This Row],[% Preventivo $]]</f>
        <v>1</v>
      </c>
      <c r="M199" s="45">
        <f>+COUNTIFS('[1]Base Instalada'!AA:AA,Tabla1[[#This Row],[Cliente]])</f>
        <v>40</v>
      </c>
      <c r="N19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199" s="45">
        <f>+COUNTIFS('[1]Base Instalada'!AA:AA,Tabla1[[#This Row],[Cliente]],'[1]Base Instalada'!Z:Z,"ESTERILIZACIÓN")</f>
        <v>0</v>
      </c>
      <c r="P199" s="45">
        <f>+COUNTIFS('[1]Base Instalada'!AA:AA,Tabla1[[#This Row],[Cliente]],'[1]Base Instalada'!Z:Z,"DENTAL")</f>
        <v>13</v>
      </c>
      <c r="Q199" s="45">
        <f>+COUNTIFS('[1]Base Instalada'!AA:AA,Tabla1[[#This Row],[Cliente]],'[1]Base Instalada'!Z:Z,"ENDOSCOPÍA")</f>
        <v>0</v>
      </c>
      <c r="R199" s="45">
        <f>+COUNTIFS('[1]Base Instalada'!AA:AA,Tabla1[[#This Row],[Cliente]],'[1]Base Instalada'!Z:Z,"INCARDIA")</f>
        <v>0</v>
      </c>
      <c r="S199" s="45">
        <f>+COUNTIFS('[1]Base Instalada'!AA:AA,Tabla1[[#This Row],[Cliente]],'[1]Base Instalada'!Z:Z,"MMQ")</f>
        <v>0</v>
      </c>
      <c r="T199" s="45">
        <f>+COUNTIFS('[1]Base Instalada'!AA:AA,Tabla1[[#This Row],[Cliente]],'[1]Base Instalada'!Z:Z,"REAS")</f>
        <v>0</v>
      </c>
      <c r="U199" s="46">
        <f>+COUNTIFS('[1]Base Instalada'!AA:AA,Tabla1[[#This Row],[Cliente]],'[1]Base Instalada'!Z:Z,"MOBILIARIO CLINICO")</f>
        <v>27</v>
      </c>
      <c r="V199" s="29">
        <f>+COUNTIFS('[1]Base Instalada'!AA:AA,Tabla1[[#This Row],[Cliente]],'[1]Base Instalada'!Z:Z,"OTRO")</f>
        <v>0</v>
      </c>
      <c r="W199" s="61" t="str">
        <f t="shared" si="6"/>
        <v>Región Metropolitana</v>
      </c>
      <c r="X199" s="61" t="str">
        <f t="shared" si="7"/>
        <v>Puente Alto</v>
      </c>
      <c r="Y199" s="62" t="s">
        <v>100</v>
      </c>
      <c r="Z199" s="33">
        <f>+COUNTIFS('[1]Pipeline TS'!$F:$F,Tabla1[[#This Row],[Cliente]])</f>
        <v>0</v>
      </c>
      <c r="AA199" s="63">
        <f>SUMIFS('[1]Pipeline Esterilización'!M:M,'[1]Pipeline Esterilización'!E:E,Tabla1[[#This Row],[Cliente]],'[1]Pipeline Esterilización'!B:B,"2026",'[1]Pipeline Esterilización'!L:L,"&gt;0")</f>
        <v>0</v>
      </c>
      <c r="AB199" s="33">
        <f>+SUMIFS('[1]Pipeline Endoscopía'!K:K,'[1]Pipeline Endoscopía'!E:E,Tabla1[[#This Row],[Cliente]],'[1]Pipeline Endoscopía'!B:B,"2026",'[1]Pipeline Endoscopía'!J:J,"&gt;0")</f>
        <v>0</v>
      </c>
      <c r="AC199" s="63">
        <f>+SUMIFS('[1]Pipeline Dental'!K:K,'[1]Pipeline Dental'!E:E,Tabla1[[#This Row],[Cliente]],'[1]Pipeline Dental'!B:B,"2026",'[1]Pipeline Dental'!J:J,"&gt;0")</f>
        <v>0</v>
      </c>
      <c r="AD199" s="64">
        <f>+SUMIFS('[1]Pipeline TS'!$AB:$AB,'[1]Pipeline TS'!$F:$F,Tabla1[[#This Row],[Cliente]])</f>
        <v>0</v>
      </c>
      <c r="AE199" s="65">
        <f>+SUM(Tabla1[[#This Row],[Pipeline 2026 $MM ESTERILIZACIÓN]:[Pipeline 2026 $MM TECSERVICE]])</f>
        <v>0</v>
      </c>
      <c r="AF199" s="43">
        <v>-33.567820319073903</v>
      </c>
      <c r="AG199" s="58">
        <v>-70.583119010093199</v>
      </c>
      <c r="AH199" s="57" t="str">
        <f>+IF(Tabla1[[#This Row],['# Contratos Vigentes ]]&gt;0,"SI","NO")</f>
        <v>NO</v>
      </c>
      <c r="AI199" s="66"/>
      <c r="AJ199" s="67">
        <f>+Tabla1[[#This Row],[Ingreso 2025 - 2026]]*Tabla1[[#This Row],[% Costo Serv. Directo]]</f>
        <v>0</v>
      </c>
      <c r="AK199" s="68"/>
      <c r="AL19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19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7788300</v>
      </c>
      <c r="AN199" s="42">
        <f>+Tabla1[[#This Row],[Potencial Equipos]]+Tabla1[[#This Row],[Potencial Pipeline]]</f>
        <v>7788300</v>
      </c>
    </row>
    <row r="200" spans="1:40" ht="15.75" x14ac:dyDescent="0.25">
      <c r="A200" s="47" t="s">
        <v>433</v>
      </c>
      <c r="B200" t="str">
        <f>+VLOOKUP(Tabla1[[#This Row],[Cliente]],'[1]Público Privado'!$A$1:$B$325,2,FALSE)</f>
        <v>Público</v>
      </c>
      <c r="C200" s="23">
        <f>+SUMIFS('[1]Facturacion a Fecha'!$T:$T,'[1]Facturacion a Fecha'!$AY:$AY,Tabla1[[#This Row],[Cliente]])</f>
        <v>0</v>
      </c>
      <c r="D200" s="24">
        <f>+SUMIFS('[1]Facturacion a Fecha'!$T:$T,'[1]Facturacion a Fecha'!$AY:$AY,Tabla1[[#This Row],[Cliente]],'[1]Facturacion a Fecha'!$AX:$AX,"Correctivo")</f>
        <v>0</v>
      </c>
      <c r="E200" s="25">
        <f>+COUNTIFS('[1]Facturacion a Fecha'!AY:AY,Tabla1[[#This Row],[Cliente]],'[1]Facturacion a Fecha'!AX:AX,"Correctivo")</f>
        <v>0</v>
      </c>
      <c r="F200" s="25">
        <f>+SUMIFS('[1]Facturacion a Fecha'!$T:$T,'[1]Facturacion a Fecha'!$AY:$AY,Tabla1[[#This Row],[Cliente]],'[1]Facturacion a Fecha'!$AX:$AX,"Preventivo")</f>
        <v>0</v>
      </c>
      <c r="G200" s="25">
        <f>+COUNTIFS('[1]Facturacion a Fecha'!AY:AY,Tabla1[[#This Row],[Cliente]],'[1]Facturacion a Fecha'!AX:AX,"Preventivo")</f>
        <v>0</v>
      </c>
      <c r="H200" s="26">
        <f>+Tabla1[[#This Row],['# Preventivo]]+Tabla1[[#This Row],['# Correctivo]]</f>
        <v>0</v>
      </c>
      <c r="I200" s="23">
        <f>+IFERROR(Tabla1[[#This Row],[Ingreso 2025 - 2026 Correctivo]]/Tabla1[[#This Row],[Ingreso 2025 - 2026 Preventivo]],0)</f>
        <v>0</v>
      </c>
      <c r="J200" s="59">
        <f>+IFERROR(Tabla1[[#This Row],['# Correctivo]]/Tabla1[[#This Row],['# Preventivo]],0)</f>
        <v>0</v>
      </c>
      <c r="K200" s="60">
        <f>+IFERROR(Tabla1[[#This Row],[Ingreso 2025 - 2026 Preventivo]]/(Tabla1[[#This Row],[Ingreso 2025 - 2026 Correctivo]]+Tabla1[[#This Row],[Ingreso 2025 - 2026 Preventivo]]),0)</f>
        <v>0</v>
      </c>
      <c r="L200" s="60">
        <f>1-Tabla1[[#This Row],[% Preventivo $]]</f>
        <v>1</v>
      </c>
      <c r="M200" s="45">
        <f>+COUNTIFS('[1]Base Instalada'!AA:AA,Tabla1[[#This Row],[Cliente]])</f>
        <v>129</v>
      </c>
      <c r="N20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0" s="45">
        <f>+COUNTIFS('[1]Base Instalada'!AA:AA,Tabla1[[#This Row],[Cliente]],'[1]Base Instalada'!Z:Z,"ESTERILIZACIÓN")</f>
        <v>0</v>
      </c>
      <c r="P200" s="45">
        <f>+COUNTIFS('[1]Base Instalada'!AA:AA,Tabla1[[#This Row],[Cliente]],'[1]Base Instalada'!Z:Z,"DENTAL")</f>
        <v>1</v>
      </c>
      <c r="Q200" s="45">
        <f>+COUNTIFS('[1]Base Instalada'!AA:AA,Tabla1[[#This Row],[Cliente]],'[1]Base Instalada'!Z:Z,"ENDOSCOPÍA")</f>
        <v>0</v>
      </c>
      <c r="R200" s="45">
        <f>+COUNTIFS('[1]Base Instalada'!AA:AA,Tabla1[[#This Row],[Cliente]],'[1]Base Instalada'!Z:Z,"INCARDIA")</f>
        <v>0</v>
      </c>
      <c r="S200" s="45">
        <f>+COUNTIFS('[1]Base Instalada'!AA:AA,Tabla1[[#This Row],[Cliente]],'[1]Base Instalada'!Z:Z,"MMQ")</f>
        <v>0</v>
      </c>
      <c r="T200" s="45">
        <f>+COUNTIFS('[1]Base Instalada'!AA:AA,Tabla1[[#This Row],[Cliente]],'[1]Base Instalada'!Z:Z,"REAS")</f>
        <v>0</v>
      </c>
      <c r="U200" s="46">
        <f>+COUNTIFS('[1]Base Instalada'!AA:AA,Tabla1[[#This Row],[Cliente]],'[1]Base Instalada'!Z:Z,"MOBILIARIO CLINICO")</f>
        <v>128</v>
      </c>
      <c r="V200" s="29">
        <f>+COUNTIFS('[1]Base Instalada'!AA:AA,Tabla1[[#This Row],[Cliente]],'[1]Base Instalada'!Z:Z,"OTRO")</f>
        <v>0</v>
      </c>
      <c r="W200" s="61" t="str">
        <f t="shared" si="6"/>
        <v>Región Los Lagos</v>
      </c>
      <c r="X200" s="61" t="str">
        <f t="shared" si="7"/>
        <v>Castro</v>
      </c>
      <c r="Y200" s="62" t="s">
        <v>434</v>
      </c>
      <c r="Z200" s="33">
        <f>+COUNTIFS('[1]Pipeline TS'!$F:$F,Tabla1[[#This Row],[Cliente]])</f>
        <v>0</v>
      </c>
      <c r="AA200" s="63">
        <f>SUMIFS('[1]Pipeline Esterilización'!M:M,'[1]Pipeline Esterilización'!E:E,Tabla1[[#This Row],[Cliente]],'[1]Pipeline Esterilización'!B:B,"2026",'[1]Pipeline Esterilización'!L:L,"&gt;0")</f>
        <v>0</v>
      </c>
      <c r="AB200" s="33">
        <f>+SUMIFS('[1]Pipeline Endoscopía'!K:K,'[1]Pipeline Endoscopía'!E:E,Tabla1[[#This Row],[Cliente]],'[1]Pipeline Endoscopía'!B:B,"2026",'[1]Pipeline Endoscopía'!J:J,"&gt;0")</f>
        <v>0</v>
      </c>
      <c r="AC200" s="63">
        <f>+SUMIFS('[1]Pipeline Dental'!K:K,'[1]Pipeline Dental'!E:E,Tabla1[[#This Row],[Cliente]],'[1]Pipeline Dental'!B:B,"2026",'[1]Pipeline Dental'!J:J,"&gt;0")</f>
        <v>0</v>
      </c>
      <c r="AD200" s="64">
        <f>+SUMIFS('[1]Pipeline TS'!$AB:$AB,'[1]Pipeline TS'!$F:$F,Tabla1[[#This Row],[Cliente]])</f>
        <v>0</v>
      </c>
      <c r="AE200" s="65">
        <f>+SUM(Tabla1[[#This Row],[Pipeline 2026 $MM ESTERILIZACIÓN]:[Pipeline 2026 $MM TECSERVICE]])</f>
        <v>0</v>
      </c>
      <c r="AF200" s="43">
        <v>-42.480363182119703</v>
      </c>
      <c r="AG200" s="58">
        <v>-73.765223471443704</v>
      </c>
      <c r="AH200" s="57" t="str">
        <f>+IF(Tabla1[[#This Row],['# Contratos Vigentes ]]&gt;0,"SI","NO")</f>
        <v>NO</v>
      </c>
      <c r="AI200" s="66"/>
      <c r="AJ200" s="67">
        <f>+Tabla1[[#This Row],[Ingreso 2025 - 2026]]*Tabla1[[#This Row],[% Costo Serv. Directo]]</f>
        <v>0</v>
      </c>
      <c r="AK200" s="68"/>
      <c r="AL20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0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</v>
      </c>
      <c r="AN200" s="42">
        <f>+Tabla1[[#This Row],[Potencial Equipos]]+Tabla1[[#This Row],[Potencial Pipeline]]</f>
        <v>599100</v>
      </c>
    </row>
    <row r="201" spans="1:40" ht="15.75" x14ac:dyDescent="0.25">
      <c r="A201" s="47" t="s">
        <v>435</v>
      </c>
      <c r="B201" t="str">
        <f>+VLOOKUP(Tabla1[[#This Row],[Cliente]],'[1]Público Privado'!$A$1:$B$325,2,FALSE)</f>
        <v>Público</v>
      </c>
      <c r="C201" s="23">
        <f>+SUMIFS('[1]Facturacion a Fecha'!$T:$T,'[1]Facturacion a Fecha'!$AY:$AY,Tabla1[[#This Row],[Cliente]])</f>
        <v>3798948</v>
      </c>
      <c r="D201" s="24">
        <f>+SUMIFS('[1]Facturacion a Fecha'!$T:$T,'[1]Facturacion a Fecha'!$AY:$AY,Tabla1[[#This Row],[Cliente]],'[1]Facturacion a Fecha'!$AX:$AX,"Correctivo")</f>
        <v>3798948</v>
      </c>
      <c r="E201" s="25">
        <f>+COUNTIFS('[1]Facturacion a Fecha'!AY:AY,Tabla1[[#This Row],[Cliente]],'[1]Facturacion a Fecha'!AX:AX,"Correctivo")</f>
        <v>1</v>
      </c>
      <c r="F201" s="25">
        <f>+SUMIFS('[1]Facturacion a Fecha'!$T:$T,'[1]Facturacion a Fecha'!$AY:$AY,Tabla1[[#This Row],[Cliente]],'[1]Facturacion a Fecha'!$AX:$AX,"Preventivo")</f>
        <v>0</v>
      </c>
      <c r="G201" s="25">
        <f>+COUNTIFS('[1]Facturacion a Fecha'!AY:AY,Tabla1[[#This Row],[Cliente]],'[1]Facturacion a Fecha'!AX:AX,"Preventivo")</f>
        <v>0</v>
      </c>
      <c r="H201" s="26">
        <f>+Tabla1[[#This Row],['# Preventivo]]+Tabla1[[#This Row],['# Correctivo]]</f>
        <v>1</v>
      </c>
      <c r="I201" s="23">
        <f>+IFERROR(Tabla1[[#This Row],[Ingreso 2025 - 2026 Correctivo]]/Tabla1[[#This Row],[Ingreso 2025 - 2026 Preventivo]],0)</f>
        <v>0</v>
      </c>
      <c r="J201" s="59">
        <f>+IFERROR(Tabla1[[#This Row],['# Correctivo]]/Tabla1[[#This Row],['# Preventivo]],0)</f>
        <v>0</v>
      </c>
      <c r="K201" s="60">
        <f>+IFERROR(Tabla1[[#This Row],[Ingreso 2025 - 2026 Preventivo]]/(Tabla1[[#This Row],[Ingreso 2025 - 2026 Correctivo]]+Tabla1[[#This Row],[Ingreso 2025 - 2026 Preventivo]]),0)</f>
        <v>0</v>
      </c>
      <c r="L201" s="60">
        <f>1-Tabla1[[#This Row],[% Preventivo $]]</f>
        <v>1</v>
      </c>
      <c r="M201" s="45">
        <f>+COUNTIFS('[1]Base Instalada'!AA:AA,Tabla1[[#This Row],[Cliente]])</f>
        <v>13</v>
      </c>
      <c r="N20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1" s="45">
        <f>+COUNTIFS('[1]Base Instalada'!AA:AA,Tabla1[[#This Row],[Cliente]],'[1]Base Instalada'!Z:Z,"ESTERILIZACIÓN")</f>
        <v>1</v>
      </c>
      <c r="P201" s="45">
        <f>+COUNTIFS('[1]Base Instalada'!AA:AA,Tabla1[[#This Row],[Cliente]],'[1]Base Instalada'!Z:Z,"DENTAL")</f>
        <v>1</v>
      </c>
      <c r="Q201" s="45">
        <f>+COUNTIFS('[1]Base Instalada'!AA:AA,Tabla1[[#This Row],[Cliente]],'[1]Base Instalada'!Z:Z,"ENDOSCOPÍA")</f>
        <v>3</v>
      </c>
      <c r="R201" s="45">
        <f>+COUNTIFS('[1]Base Instalada'!AA:AA,Tabla1[[#This Row],[Cliente]],'[1]Base Instalada'!Z:Z,"INCARDIA")</f>
        <v>0</v>
      </c>
      <c r="S201" s="45">
        <f>+COUNTIFS('[1]Base Instalada'!AA:AA,Tabla1[[#This Row],[Cliente]],'[1]Base Instalada'!Z:Z,"MMQ")</f>
        <v>0</v>
      </c>
      <c r="T201" s="45">
        <f>+COUNTIFS('[1]Base Instalada'!AA:AA,Tabla1[[#This Row],[Cliente]],'[1]Base Instalada'!Z:Z,"REAS")</f>
        <v>0</v>
      </c>
      <c r="U201" s="46">
        <f>+COUNTIFS('[1]Base Instalada'!AA:AA,Tabla1[[#This Row],[Cliente]],'[1]Base Instalada'!Z:Z,"MOBILIARIO CLINICO")</f>
        <v>8</v>
      </c>
      <c r="V201" s="29">
        <f>+COUNTIFS('[1]Base Instalada'!AA:AA,Tabla1[[#This Row],[Cliente]],'[1]Base Instalada'!Z:Z,"OTRO")</f>
        <v>0</v>
      </c>
      <c r="W201" s="61" t="str">
        <f t="shared" si="6"/>
        <v>Región O'Higgins</v>
      </c>
      <c r="X201" s="61" t="str">
        <f t="shared" si="7"/>
        <v>Rancagua</v>
      </c>
      <c r="Y201" s="62" t="s">
        <v>436</v>
      </c>
      <c r="Z201" s="33">
        <f>+COUNTIFS('[1]Pipeline TS'!$F:$F,Tabla1[[#This Row],[Cliente]])</f>
        <v>0</v>
      </c>
      <c r="AA201" s="63">
        <f>SUMIFS('[1]Pipeline Esterilización'!M:M,'[1]Pipeline Esterilización'!E:E,Tabla1[[#This Row],[Cliente]],'[1]Pipeline Esterilización'!B:B,"2026",'[1]Pipeline Esterilización'!L:L,"&gt;0")</f>
        <v>0</v>
      </c>
      <c r="AB201" s="33">
        <f>+SUMIFS('[1]Pipeline Endoscopía'!K:K,'[1]Pipeline Endoscopía'!E:E,Tabla1[[#This Row],[Cliente]],'[1]Pipeline Endoscopía'!B:B,"2026",'[1]Pipeline Endoscopía'!J:J,"&gt;0")</f>
        <v>1200000000</v>
      </c>
      <c r="AC201" s="63">
        <f>+SUMIFS('[1]Pipeline Dental'!K:K,'[1]Pipeline Dental'!E:E,Tabla1[[#This Row],[Cliente]],'[1]Pipeline Dental'!B:B,"2026",'[1]Pipeline Dental'!J:J,"&gt;0")</f>
        <v>0</v>
      </c>
      <c r="AD201" s="64">
        <f>+SUMIFS('[1]Pipeline TS'!$AB:$AB,'[1]Pipeline TS'!$F:$F,Tabla1[[#This Row],[Cliente]])</f>
        <v>0</v>
      </c>
      <c r="AE201" s="65">
        <f>+SUM(Tabla1[[#This Row],[Pipeline 2026 $MM ESTERILIZACIÓN]:[Pipeline 2026 $MM TECSERVICE]])</f>
        <v>1200000000</v>
      </c>
      <c r="AF201" s="43">
        <v>-34.154904976227897</v>
      </c>
      <c r="AG201" s="58">
        <v>-70.766412889144505</v>
      </c>
      <c r="AH201" s="57" t="str">
        <f>+IF(Tabla1[[#This Row],['# Contratos Vigentes ]]&gt;0,"SI","NO")</f>
        <v>NO</v>
      </c>
      <c r="AI201" s="66"/>
      <c r="AJ201" s="67">
        <f>+Tabla1[[#This Row],[Ingreso 2025 - 2026]]*Tabla1[[#This Row],[% Costo Serv. Directo]]</f>
        <v>0</v>
      </c>
      <c r="AK201" s="68"/>
      <c r="AL20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72000000</v>
      </c>
      <c r="AM20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5176838.461538461</v>
      </c>
      <c r="AN201" s="42">
        <f>+Tabla1[[#This Row],[Potencial Equipos]]+Tabla1[[#This Row],[Potencial Pipeline]]</f>
        <v>77176838.461538464</v>
      </c>
    </row>
    <row r="202" spans="1:40" ht="15.75" x14ac:dyDescent="0.25">
      <c r="A202" s="47" t="s">
        <v>437</v>
      </c>
      <c r="B202" t="str">
        <f>+VLOOKUP(Tabla1[[#This Row],[Cliente]],'[1]Público Privado'!$A$1:$B$325,2,FALSE)</f>
        <v>Público</v>
      </c>
      <c r="C202" s="23">
        <f>+SUMIFS('[1]Facturacion a Fecha'!$T:$T,'[1]Facturacion a Fecha'!$AY:$AY,Tabla1[[#This Row],[Cliente]])</f>
        <v>0</v>
      </c>
      <c r="D202" s="24">
        <f>+SUMIFS('[1]Facturacion a Fecha'!$T:$T,'[1]Facturacion a Fecha'!$AY:$AY,Tabla1[[#This Row],[Cliente]],'[1]Facturacion a Fecha'!$AX:$AX,"Correctivo")</f>
        <v>0</v>
      </c>
      <c r="E202" s="25">
        <f>+COUNTIFS('[1]Facturacion a Fecha'!AY:AY,Tabla1[[#This Row],[Cliente]],'[1]Facturacion a Fecha'!AX:AX,"Correctivo")</f>
        <v>0</v>
      </c>
      <c r="F202" s="25">
        <f>+SUMIFS('[1]Facturacion a Fecha'!$T:$T,'[1]Facturacion a Fecha'!$AY:$AY,Tabla1[[#This Row],[Cliente]],'[1]Facturacion a Fecha'!$AX:$AX,"Preventivo")</f>
        <v>0</v>
      </c>
      <c r="G202" s="25">
        <f>+COUNTIFS('[1]Facturacion a Fecha'!AY:AY,Tabla1[[#This Row],[Cliente]],'[1]Facturacion a Fecha'!AX:AX,"Preventivo")</f>
        <v>0</v>
      </c>
      <c r="H202" s="26">
        <f>+Tabla1[[#This Row],['# Preventivo]]+Tabla1[[#This Row],['# Correctivo]]</f>
        <v>0</v>
      </c>
      <c r="I202" s="23">
        <f>+IFERROR(Tabla1[[#This Row],[Ingreso 2025 - 2026 Correctivo]]/Tabla1[[#This Row],[Ingreso 2025 - 2026 Preventivo]],0)</f>
        <v>0</v>
      </c>
      <c r="J202" s="59">
        <f>+IFERROR(Tabla1[[#This Row],['# Correctivo]]/Tabla1[[#This Row],['# Preventivo]],0)</f>
        <v>0</v>
      </c>
      <c r="K202" s="60">
        <f>+IFERROR(Tabla1[[#This Row],[Ingreso 2025 - 2026 Preventivo]]/(Tabla1[[#This Row],[Ingreso 2025 - 2026 Correctivo]]+Tabla1[[#This Row],[Ingreso 2025 - 2026 Preventivo]]),0)</f>
        <v>0</v>
      </c>
      <c r="L202" s="60">
        <f>1-Tabla1[[#This Row],[% Preventivo $]]</f>
        <v>1</v>
      </c>
      <c r="M202" s="45">
        <f>+COUNTIFS('[1]Base Instalada'!AA:AA,Tabla1[[#This Row],[Cliente]])</f>
        <v>20</v>
      </c>
      <c r="N20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2" s="45">
        <f>+COUNTIFS('[1]Base Instalada'!AA:AA,Tabla1[[#This Row],[Cliente]],'[1]Base Instalada'!Z:Z,"ESTERILIZACIÓN")</f>
        <v>4</v>
      </c>
      <c r="P202" s="45">
        <f>+COUNTIFS('[1]Base Instalada'!AA:AA,Tabla1[[#This Row],[Cliente]],'[1]Base Instalada'!Z:Z,"DENTAL")</f>
        <v>6</v>
      </c>
      <c r="Q202" s="45">
        <f>+COUNTIFS('[1]Base Instalada'!AA:AA,Tabla1[[#This Row],[Cliente]],'[1]Base Instalada'!Z:Z,"ENDOSCOPÍA")</f>
        <v>2</v>
      </c>
      <c r="R202" s="45">
        <f>+COUNTIFS('[1]Base Instalada'!AA:AA,Tabla1[[#This Row],[Cliente]],'[1]Base Instalada'!Z:Z,"INCARDIA")</f>
        <v>0</v>
      </c>
      <c r="S202" s="45">
        <f>+COUNTIFS('[1]Base Instalada'!AA:AA,Tabla1[[#This Row],[Cliente]],'[1]Base Instalada'!Z:Z,"MMQ")</f>
        <v>0</v>
      </c>
      <c r="T202" s="45">
        <f>+COUNTIFS('[1]Base Instalada'!AA:AA,Tabla1[[#This Row],[Cliente]],'[1]Base Instalada'!Z:Z,"REAS")</f>
        <v>0</v>
      </c>
      <c r="U202" s="46">
        <f>+COUNTIFS('[1]Base Instalada'!AA:AA,Tabla1[[#This Row],[Cliente]],'[1]Base Instalada'!Z:Z,"MOBILIARIO CLINICO")</f>
        <v>8</v>
      </c>
      <c r="V202" s="29">
        <f>+COUNTIFS('[1]Base Instalada'!AA:AA,Tabla1[[#This Row],[Cliente]],'[1]Base Instalada'!Z:Z,"OTRO")</f>
        <v>0</v>
      </c>
      <c r="W202" s="61" t="str">
        <f t="shared" si="6"/>
        <v>Región Metropolitana</v>
      </c>
      <c r="X202" s="61" t="str">
        <f t="shared" si="7"/>
        <v>Santiago</v>
      </c>
      <c r="Y202" s="62" t="s">
        <v>438</v>
      </c>
      <c r="Z202" s="33">
        <f>+COUNTIFS('[1]Pipeline TS'!$F:$F,Tabla1[[#This Row],[Cliente]])</f>
        <v>0</v>
      </c>
      <c r="AA202" s="63">
        <f>SUMIFS('[1]Pipeline Esterilización'!M:M,'[1]Pipeline Esterilización'!E:E,Tabla1[[#This Row],[Cliente]],'[1]Pipeline Esterilización'!B:B,"2026",'[1]Pipeline Esterilización'!L:L,"&gt;0")</f>
        <v>0</v>
      </c>
      <c r="AB202" s="33">
        <f>+SUMIFS('[1]Pipeline Endoscopía'!K:K,'[1]Pipeline Endoscopía'!E:E,Tabla1[[#This Row],[Cliente]],'[1]Pipeline Endoscopía'!B:B,"2026",'[1]Pipeline Endoscopía'!J:J,"&gt;0")</f>
        <v>0</v>
      </c>
      <c r="AC202" s="63">
        <f>+SUMIFS('[1]Pipeline Dental'!K:K,'[1]Pipeline Dental'!E:E,Tabla1[[#This Row],[Cliente]],'[1]Pipeline Dental'!B:B,"2026",'[1]Pipeline Dental'!J:J,"&gt;0")</f>
        <v>0</v>
      </c>
      <c r="AD202" s="64">
        <f>+SUMIFS('[1]Pipeline TS'!$AB:$AB,'[1]Pipeline TS'!$F:$F,Tabla1[[#This Row],[Cliente]])</f>
        <v>0</v>
      </c>
      <c r="AE202" s="65">
        <f>+SUM(Tabla1[[#This Row],[Pipeline 2026 $MM ESTERILIZACIÓN]:[Pipeline 2026 $MM TECSERVICE]])</f>
        <v>0</v>
      </c>
      <c r="AF202" s="43">
        <v>-33.438098820523798</v>
      </c>
      <c r="AG202" s="58">
        <v>-70.677798575233396</v>
      </c>
      <c r="AH202" s="57" t="str">
        <f>+IF(Tabla1[[#This Row],['# Contratos Vigentes ]]&gt;0,"SI","NO")</f>
        <v>NO</v>
      </c>
      <c r="AI202" s="66"/>
      <c r="AJ202" s="67">
        <f>+Tabla1[[#This Row],[Ingreso 2025 - 2026]]*Tabla1[[#This Row],[% Costo Serv. Directo]]</f>
        <v>0</v>
      </c>
      <c r="AK202" s="68"/>
      <c r="AL20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0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13303092.307692308</v>
      </c>
      <c r="AN202" s="42">
        <f>+Tabla1[[#This Row],[Potencial Equipos]]+Tabla1[[#This Row],[Potencial Pipeline]]</f>
        <v>13303092.307692308</v>
      </c>
    </row>
    <row r="203" spans="1:40" ht="15.75" x14ac:dyDescent="0.25">
      <c r="A203" s="47" t="s">
        <v>439</v>
      </c>
      <c r="B203" t="str">
        <f>+VLOOKUP(Tabla1[[#This Row],[Cliente]],'[1]Público Privado'!$A$1:$B$325,2,FALSE)</f>
        <v>Público</v>
      </c>
      <c r="C203" s="23">
        <f>+SUMIFS('[1]Facturacion a Fecha'!$T:$T,'[1]Facturacion a Fecha'!$AY:$AY,Tabla1[[#This Row],[Cliente]])</f>
        <v>0</v>
      </c>
      <c r="D203" s="24">
        <f>+SUMIFS('[1]Facturacion a Fecha'!$T:$T,'[1]Facturacion a Fecha'!$AY:$AY,Tabla1[[#This Row],[Cliente]],'[1]Facturacion a Fecha'!$AX:$AX,"Correctivo")</f>
        <v>0</v>
      </c>
      <c r="E203" s="25">
        <f>+COUNTIFS('[1]Facturacion a Fecha'!AY:AY,Tabla1[[#This Row],[Cliente]],'[1]Facturacion a Fecha'!AX:AX,"Correctivo")</f>
        <v>0</v>
      </c>
      <c r="F203" s="25">
        <f>+SUMIFS('[1]Facturacion a Fecha'!$T:$T,'[1]Facturacion a Fecha'!$AY:$AY,Tabla1[[#This Row],[Cliente]],'[1]Facturacion a Fecha'!$AX:$AX,"Preventivo")</f>
        <v>0</v>
      </c>
      <c r="G203" s="25">
        <f>+COUNTIFS('[1]Facturacion a Fecha'!AY:AY,Tabla1[[#This Row],[Cliente]],'[1]Facturacion a Fecha'!AX:AX,"Preventivo")</f>
        <v>0</v>
      </c>
      <c r="H203" s="26">
        <f>+Tabla1[[#This Row],['# Preventivo]]+Tabla1[[#This Row],['# Correctivo]]</f>
        <v>0</v>
      </c>
      <c r="I203" s="23">
        <f>+IFERROR(Tabla1[[#This Row],[Ingreso 2025 - 2026 Correctivo]]/Tabla1[[#This Row],[Ingreso 2025 - 2026 Preventivo]],0)</f>
        <v>0</v>
      </c>
      <c r="J203" s="59">
        <f>+IFERROR(Tabla1[[#This Row],['# Correctivo]]/Tabla1[[#This Row],['# Preventivo]],0)</f>
        <v>0</v>
      </c>
      <c r="K203" s="60">
        <f>+IFERROR(Tabla1[[#This Row],[Ingreso 2025 - 2026 Preventivo]]/(Tabla1[[#This Row],[Ingreso 2025 - 2026 Correctivo]]+Tabla1[[#This Row],[Ingreso 2025 - 2026 Preventivo]]),0)</f>
        <v>0</v>
      </c>
      <c r="L203" s="60">
        <f>1-Tabla1[[#This Row],[% Preventivo $]]</f>
        <v>1</v>
      </c>
      <c r="M203" s="45">
        <f>+COUNTIFS('[1]Base Instalada'!AA:AA,Tabla1[[#This Row],[Cliente]])</f>
        <v>309</v>
      </c>
      <c r="N20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3" s="45">
        <f>+COUNTIFS('[1]Base Instalada'!AA:AA,Tabla1[[#This Row],[Cliente]],'[1]Base Instalada'!Z:Z,"ESTERILIZACIÓN")</f>
        <v>4</v>
      </c>
      <c r="P203" s="45">
        <f>+COUNTIFS('[1]Base Instalada'!AA:AA,Tabla1[[#This Row],[Cliente]],'[1]Base Instalada'!Z:Z,"DENTAL")</f>
        <v>0</v>
      </c>
      <c r="Q203" s="45">
        <f>+COUNTIFS('[1]Base Instalada'!AA:AA,Tabla1[[#This Row],[Cliente]],'[1]Base Instalada'!Z:Z,"ENDOSCOPÍA")</f>
        <v>0</v>
      </c>
      <c r="R203" s="45">
        <f>+COUNTIFS('[1]Base Instalada'!AA:AA,Tabla1[[#This Row],[Cliente]],'[1]Base Instalada'!Z:Z,"INCARDIA")</f>
        <v>0</v>
      </c>
      <c r="S203" s="45">
        <f>+COUNTIFS('[1]Base Instalada'!AA:AA,Tabla1[[#This Row],[Cliente]],'[1]Base Instalada'!Z:Z,"MMQ")</f>
        <v>0</v>
      </c>
      <c r="T203" s="45">
        <f>+COUNTIFS('[1]Base Instalada'!AA:AA,Tabla1[[#This Row],[Cliente]],'[1]Base Instalada'!Z:Z,"REAS")</f>
        <v>0</v>
      </c>
      <c r="U203" s="46">
        <f>+COUNTIFS('[1]Base Instalada'!AA:AA,Tabla1[[#This Row],[Cliente]],'[1]Base Instalada'!Z:Z,"MOBILIARIO CLINICO")</f>
        <v>305</v>
      </c>
      <c r="V203" s="29">
        <f>+COUNTIFS('[1]Base Instalada'!AA:AA,Tabla1[[#This Row],[Cliente]],'[1]Base Instalada'!Z:Z,"OTRO")</f>
        <v>0</v>
      </c>
      <c r="W203" s="61" t="str">
        <f t="shared" si="6"/>
        <v>Region Atacama</v>
      </c>
      <c r="X203" s="61" t="str">
        <f t="shared" si="7"/>
        <v>Copiapó</v>
      </c>
      <c r="Y203" s="62" t="s">
        <v>440</v>
      </c>
      <c r="Z203" s="33">
        <f>+COUNTIFS('[1]Pipeline TS'!$F:$F,Tabla1[[#This Row],[Cliente]])</f>
        <v>0</v>
      </c>
      <c r="AA203" s="63">
        <f>SUMIFS('[1]Pipeline Esterilización'!M:M,'[1]Pipeline Esterilización'!E:E,Tabla1[[#This Row],[Cliente]],'[1]Pipeline Esterilización'!B:B,"2026",'[1]Pipeline Esterilización'!L:L,"&gt;0")</f>
        <v>0</v>
      </c>
      <c r="AB203" s="33">
        <f>+SUMIFS('[1]Pipeline Endoscopía'!K:K,'[1]Pipeline Endoscopía'!E:E,Tabla1[[#This Row],[Cliente]],'[1]Pipeline Endoscopía'!B:B,"2026",'[1]Pipeline Endoscopía'!J:J,"&gt;0")</f>
        <v>280000000</v>
      </c>
      <c r="AC203" s="63">
        <f>+SUMIFS('[1]Pipeline Dental'!K:K,'[1]Pipeline Dental'!E:E,Tabla1[[#This Row],[Cliente]],'[1]Pipeline Dental'!B:B,"2026",'[1]Pipeline Dental'!J:J,"&gt;0")</f>
        <v>0</v>
      </c>
      <c r="AD203" s="64">
        <f>+SUMIFS('[1]Pipeline TS'!$AB:$AB,'[1]Pipeline TS'!$F:$F,Tabla1[[#This Row],[Cliente]])</f>
        <v>0</v>
      </c>
      <c r="AE203" s="65">
        <f>+SUM(Tabla1[[#This Row],[Pipeline 2026 $MM ESTERILIZACIÓN]:[Pipeline 2026 $MM TECSERVICE]])</f>
        <v>280000000</v>
      </c>
      <c r="AF203" s="43">
        <v>-27.373818844527801</v>
      </c>
      <c r="AG203" s="58">
        <v>-70.321953516482495</v>
      </c>
      <c r="AH203" s="57" t="str">
        <f>+IF(Tabla1[[#This Row],['# Contratos Vigentes ]]&gt;0,"SI","NO")</f>
        <v>NO</v>
      </c>
      <c r="AI203" s="66"/>
      <c r="AJ203" s="67">
        <f>+Tabla1[[#This Row],[Ingreso 2025 - 2026]]*Tabla1[[#This Row],[% Costo Serv. Directo]]</f>
        <v>0</v>
      </c>
      <c r="AK203" s="68"/>
      <c r="AL20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16800000</v>
      </c>
      <c r="AM20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7988000</v>
      </c>
      <c r="AN203" s="42">
        <f>+Tabla1[[#This Row],[Potencial Equipos]]+Tabla1[[#This Row],[Potencial Pipeline]]</f>
        <v>24788000</v>
      </c>
    </row>
    <row r="204" spans="1:40" ht="15.75" x14ac:dyDescent="0.25">
      <c r="A204" s="47" t="s">
        <v>441</v>
      </c>
      <c r="B204" t="str">
        <f>+VLOOKUP(Tabla1[[#This Row],[Cliente]],'[1]Público Privado'!$A$1:$B$325,2,FALSE)</f>
        <v>Público</v>
      </c>
      <c r="C204" s="23">
        <f>+SUMIFS('[1]Facturacion a Fecha'!$T:$T,'[1]Facturacion a Fecha'!$AY:$AY,Tabla1[[#This Row],[Cliente]])</f>
        <v>0</v>
      </c>
      <c r="D204" s="24">
        <f>+SUMIFS('[1]Facturacion a Fecha'!$T:$T,'[1]Facturacion a Fecha'!$AY:$AY,Tabla1[[#This Row],[Cliente]],'[1]Facturacion a Fecha'!$AX:$AX,"Correctivo")</f>
        <v>0</v>
      </c>
      <c r="E204" s="25">
        <f>+COUNTIFS('[1]Facturacion a Fecha'!AY:AY,Tabla1[[#This Row],[Cliente]],'[1]Facturacion a Fecha'!AX:AX,"Correctivo")</f>
        <v>0</v>
      </c>
      <c r="F204" s="25">
        <f>+SUMIFS('[1]Facturacion a Fecha'!$T:$T,'[1]Facturacion a Fecha'!$AY:$AY,Tabla1[[#This Row],[Cliente]],'[1]Facturacion a Fecha'!$AX:$AX,"Preventivo")</f>
        <v>0</v>
      </c>
      <c r="G204" s="25">
        <f>+COUNTIFS('[1]Facturacion a Fecha'!AY:AY,Tabla1[[#This Row],[Cliente]],'[1]Facturacion a Fecha'!AX:AX,"Preventivo")</f>
        <v>0</v>
      </c>
      <c r="H204" s="26">
        <f>+Tabla1[[#This Row],['# Preventivo]]+Tabla1[[#This Row],['# Correctivo]]</f>
        <v>0</v>
      </c>
      <c r="I204" s="23">
        <f>+IFERROR(Tabla1[[#This Row],[Ingreso 2025 - 2026 Correctivo]]/Tabla1[[#This Row],[Ingreso 2025 - 2026 Preventivo]],0)</f>
        <v>0</v>
      </c>
      <c r="J204" s="59">
        <f>+IFERROR(Tabla1[[#This Row],['# Correctivo]]/Tabla1[[#This Row],['# Preventivo]],0)</f>
        <v>0</v>
      </c>
      <c r="K204" s="60">
        <f>+IFERROR(Tabla1[[#This Row],[Ingreso 2025 - 2026 Preventivo]]/(Tabla1[[#This Row],[Ingreso 2025 - 2026 Correctivo]]+Tabla1[[#This Row],[Ingreso 2025 - 2026 Preventivo]]),0)</f>
        <v>0</v>
      </c>
      <c r="L204" s="60">
        <f>1-Tabla1[[#This Row],[% Preventivo $]]</f>
        <v>1</v>
      </c>
      <c r="M204" s="45">
        <f>+COUNTIFS('[1]Base Instalada'!AA:AA,Tabla1[[#This Row],[Cliente]])</f>
        <v>40</v>
      </c>
      <c r="N20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4" s="45">
        <f>+COUNTIFS('[1]Base Instalada'!AA:AA,Tabla1[[#This Row],[Cliente]],'[1]Base Instalada'!Z:Z,"ESTERILIZACIÓN")</f>
        <v>1</v>
      </c>
      <c r="P204" s="45">
        <f>+COUNTIFS('[1]Base Instalada'!AA:AA,Tabla1[[#This Row],[Cliente]],'[1]Base Instalada'!Z:Z,"DENTAL")</f>
        <v>4</v>
      </c>
      <c r="Q204" s="45">
        <f>+COUNTIFS('[1]Base Instalada'!AA:AA,Tabla1[[#This Row],[Cliente]],'[1]Base Instalada'!Z:Z,"ENDOSCOPÍA")</f>
        <v>0</v>
      </c>
      <c r="R204" s="45">
        <f>+COUNTIFS('[1]Base Instalada'!AA:AA,Tabla1[[#This Row],[Cliente]],'[1]Base Instalada'!Z:Z,"INCARDIA")</f>
        <v>0</v>
      </c>
      <c r="S204" s="45">
        <f>+COUNTIFS('[1]Base Instalada'!AA:AA,Tabla1[[#This Row],[Cliente]],'[1]Base Instalada'!Z:Z,"MMQ")</f>
        <v>0</v>
      </c>
      <c r="T204" s="45">
        <f>+COUNTIFS('[1]Base Instalada'!AA:AA,Tabla1[[#This Row],[Cliente]],'[1]Base Instalada'!Z:Z,"REAS")</f>
        <v>0</v>
      </c>
      <c r="U204" s="46">
        <f>+COUNTIFS('[1]Base Instalada'!AA:AA,Tabla1[[#This Row],[Cliente]],'[1]Base Instalada'!Z:Z,"MOBILIARIO CLINICO")</f>
        <v>35</v>
      </c>
      <c r="V204" s="29">
        <f>+COUNTIFS('[1]Base Instalada'!AA:AA,Tabla1[[#This Row],[Cliente]],'[1]Base Instalada'!Z:Z,"OTRO")</f>
        <v>0</v>
      </c>
      <c r="W204" s="61" t="str">
        <f t="shared" si="6"/>
        <v>Región Valparaíso</v>
      </c>
      <c r="X204" s="61" t="str">
        <f t="shared" si="7"/>
        <v>Cabildo</v>
      </c>
      <c r="Y204" s="62" t="s">
        <v>442</v>
      </c>
      <c r="Z204" s="33">
        <f>+COUNTIFS('[1]Pipeline TS'!$F:$F,Tabla1[[#This Row],[Cliente]])</f>
        <v>0</v>
      </c>
      <c r="AA204" s="63">
        <f>SUMIFS('[1]Pipeline Esterilización'!M:M,'[1]Pipeline Esterilización'!E:E,Tabla1[[#This Row],[Cliente]],'[1]Pipeline Esterilización'!B:B,"2026",'[1]Pipeline Esterilización'!L:L,"&gt;0")</f>
        <v>0</v>
      </c>
      <c r="AB204" s="33">
        <f>+SUMIFS('[1]Pipeline Endoscopía'!K:K,'[1]Pipeline Endoscopía'!E:E,Tabla1[[#This Row],[Cliente]],'[1]Pipeline Endoscopía'!B:B,"2026",'[1]Pipeline Endoscopía'!J:J,"&gt;0")</f>
        <v>0</v>
      </c>
      <c r="AC204" s="63">
        <f>+SUMIFS('[1]Pipeline Dental'!K:K,'[1]Pipeline Dental'!E:E,Tabla1[[#This Row],[Cliente]],'[1]Pipeline Dental'!B:B,"2026",'[1]Pipeline Dental'!J:J,"&gt;0")</f>
        <v>0</v>
      </c>
      <c r="AD204" s="64">
        <f>+SUMIFS('[1]Pipeline TS'!$AB:$AB,'[1]Pipeline TS'!$F:$F,Tabla1[[#This Row],[Cliente]])</f>
        <v>0</v>
      </c>
      <c r="AE204" s="65">
        <f>+SUM(Tabla1[[#This Row],[Pipeline 2026 $MM ESTERILIZACIÓN]:[Pipeline 2026 $MM TECSERVICE]])</f>
        <v>0</v>
      </c>
      <c r="AF204" s="43">
        <v>-32.4280918247225</v>
      </c>
      <c r="AG204" s="58">
        <v>-71.067850719922205</v>
      </c>
      <c r="AH204" s="57" t="str">
        <f>+IF(Tabla1[[#This Row],['# Contratos Vigentes ]]&gt;0,"SI","NO")</f>
        <v>NO</v>
      </c>
      <c r="AI204" s="66"/>
      <c r="AJ204" s="67">
        <f>+Tabla1[[#This Row],[Ingreso 2025 - 2026]]*Tabla1[[#This Row],[% Costo Serv. Directo]]</f>
        <v>0</v>
      </c>
      <c r="AK204" s="68"/>
      <c r="AL20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0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4393400</v>
      </c>
      <c r="AN204" s="42">
        <f>+Tabla1[[#This Row],[Potencial Equipos]]+Tabla1[[#This Row],[Potencial Pipeline]]</f>
        <v>4393400</v>
      </c>
    </row>
    <row r="205" spans="1:40" ht="15.75" x14ac:dyDescent="0.25">
      <c r="A205" s="47" t="s">
        <v>443</v>
      </c>
      <c r="B205" t="str">
        <f>+VLOOKUP(Tabla1[[#This Row],[Cliente]],'[1]Público Privado'!$A$1:$B$325,2,FALSE)</f>
        <v>Público</v>
      </c>
      <c r="C205" s="23">
        <f>+SUMIFS('[1]Facturacion a Fecha'!$T:$T,'[1]Facturacion a Fecha'!$AY:$AY,Tabla1[[#This Row],[Cliente]])</f>
        <v>0</v>
      </c>
      <c r="D205" s="24">
        <f>+SUMIFS('[1]Facturacion a Fecha'!$T:$T,'[1]Facturacion a Fecha'!$AY:$AY,Tabla1[[#This Row],[Cliente]],'[1]Facturacion a Fecha'!$AX:$AX,"Correctivo")</f>
        <v>0</v>
      </c>
      <c r="E205" s="25">
        <f>+COUNTIFS('[1]Facturacion a Fecha'!AY:AY,Tabla1[[#This Row],[Cliente]],'[1]Facturacion a Fecha'!AX:AX,"Correctivo")</f>
        <v>0</v>
      </c>
      <c r="F205" s="25">
        <f>+SUMIFS('[1]Facturacion a Fecha'!$T:$T,'[1]Facturacion a Fecha'!$AY:$AY,Tabla1[[#This Row],[Cliente]],'[1]Facturacion a Fecha'!$AX:$AX,"Preventivo")</f>
        <v>0</v>
      </c>
      <c r="G205" s="25">
        <f>+COUNTIFS('[1]Facturacion a Fecha'!AY:AY,Tabla1[[#This Row],[Cliente]],'[1]Facturacion a Fecha'!AX:AX,"Preventivo")</f>
        <v>0</v>
      </c>
      <c r="H205" s="26">
        <f>+Tabla1[[#This Row],['# Preventivo]]+Tabla1[[#This Row],['# Correctivo]]</f>
        <v>0</v>
      </c>
      <c r="I205" s="23">
        <f>+IFERROR(Tabla1[[#This Row],[Ingreso 2025 - 2026 Correctivo]]/Tabla1[[#This Row],[Ingreso 2025 - 2026 Preventivo]],0)</f>
        <v>0</v>
      </c>
      <c r="J205" s="59">
        <f>+IFERROR(Tabla1[[#This Row],['# Correctivo]]/Tabla1[[#This Row],['# Preventivo]],0)</f>
        <v>0</v>
      </c>
      <c r="K205" s="60">
        <f>+IFERROR(Tabla1[[#This Row],[Ingreso 2025 - 2026 Preventivo]]/(Tabla1[[#This Row],[Ingreso 2025 - 2026 Correctivo]]+Tabla1[[#This Row],[Ingreso 2025 - 2026 Preventivo]]),0)</f>
        <v>0</v>
      </c>
      <c r="L205" s="60">
        <f>1-Tabla1[[#This Row],[% Preventivo $]]</f>
        <v>1</v>
      </c>
      <c r="M205" s="45">
        <f>+COUNTIFS('[1]Base Instalada'!AA:AA,Tabla1[[#This Row],[Cliente]])</f>
        <v>86</v>
      </c>
      <c r="N20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5" s="45">
        <f>+COUNTIFS('[1]Base Instalada'!AA:AA,Tabla1[[#This Row],[Cliente]],'[1]Base Instalada'!Z:Z,"ESTERILIZACIÓN")</f>
        <v>1</v>
      </c>
      <c r="P205" s="45">
        <f>+COUNTIFS('[1]Base Instalada'!AA:AA,Tabla1[[#This Row],[Cliente]],'[1]Base Instalada'!Z:Z,"DENTAL")</f>
        <v>0</v>
      </c>
      <c r="Q205" s="45">
        <f>+COUNTIFS('[1]Base Instalada'!AA:AA,Tabla1[[#This Row],[Cliente]],'[1]Base Instalada'!Z:Z,"ENDOSCOPÍA")</f>
        <v>0</v>
      </c>
      <c r="R205" s="45">
        <f>+COUNTIFS('[1]Base Instalada'!AA:AA,Tabla1[[#This Row],[Cliente]],'[1]Base Instalada'!Z:Z,"INCARDIA")</f>
        <v>59</v>
      </c>
      <c r="S205" s="45">
        <f>+COUNTIFS('[1]Base Instalada'!AA:AA,Tabla1[[#This Row],[Cliente]],'[1]Base Instalada'!Z:Z,"MMQ")</f>
        <v>0</v>
      </c>
      <c r="T205" s="45">
        <f>+COUNTIFS('[1]Base Instalada'!AA:AA,Tabla1[[#This Row],[Cliente]],'[1]Base Instalada'!Z:Z,"REAS")</f>
        <v>0</v>
      </c>
      <c r="U205" s="46">
        <f>+COUNTIFS('[1]Base Instalada'!AA:AA,Tabla1[[#This Row],[Cliente]],'[1]Base Instalada'!Z:Z,"MOBILIARIO CLINICO")</f>
        <v>26</v>
      </c>
      <c r="V205" s="29">
        <f>+COUNTIFS('[1]Base Instalada'!AA:AA,Tabla1[[#This Row],[Cliente]],'[1]Base Instalada'!Z:Z,"OTRO")</f>
        <v>0</v>
      </c>
      <c r="W205" s="61" t="str">
        <f t="shared" si="6"/>
        <v>Región Metropolitana</v>
      </c>
      <c r="X205" s="61" t="str">
        <f t="shared" si="7"/>
        <v>Providencia</v>
      </c>
      <c r="Y205" s="62" t="s">
        <v>444</v>
      </c>
      <c r="Z205" s="33">
        <f>+COUNTIFS('[1]Pipeline TS'!$F:$F,Tabla1[[#This Row],[Cliente]])</f>
        <v>0</v>
      </c>
      <c r="AA205" s="63">
        <f>SUMIFS('[1]Pipeline Esterilización'!M:M,'[1]Pipeline Esterilización'!E:E,Tabla1[[#This Row],[Cliente]],'[1]Pipeline Esterilización'!B:B,"2026",'[1]Pipeline Esterilización'!L:L,"&gt;0")</f>
        <v>0</v>
      </c>
      <c r="AB205" s="33">
        <f>+SUMIFS('[1]Pipeline Endoscopía'!K:K,'[1]Pipeline Endoscopía'!E:E,Tabla1[[#This Row],[Cliente]],'[1]Pipeline Endoscopía'!B:B,"2026",'[1]Pipeline Endoscopía'!J:J,"&gt;0")</f>
        <v>0</v>
      </c>
      <c r="AC205" s="63">
        <f>+SUMIFS('[1]Pipeline Dental'!K:K,'[1]Pipeline Dental'!E:E,Tabla1[[#This Row],[Cliente]],'[1]Pipeline Dental'!B:B,"2026",'[1]Pipeline Dental'!J:J,"&gt;0")</f>
        <v>0</v>
      </c>
      <c r="AD205" s="64">
        <f>+SUMIFS('[1]Pipeline TS'!$AB:$AB,'[1]Pipeline TS'!$F:$F,Tabla1[[#This Row],[Cliente]])</f>
        <v>0</v>
      </c>
      <c r="AE205" s="65">
        <f>+SUM(Tabla1[[#This Row],[Pipeline 2026 $MM ESTERILIZACIÓN]:[Pipeline 2026 $MM TECSERVICE]])</f>
        <v>0</v>
      </c>
      <c r="AF205" s="43">
        <v>-33.4346723662307</v>
      </c>
      <c r="AG205" s="58">
        <v>-70.622375364044103</v>
      </c>
      <c r="AH205" s="57" t="str">
        <f>+IF(Tabla1[[#This Row],['# Contratos Vigentes ]]&gt;0,"SI","NO")</f>
        <v>NO</v>
      </c>
      <c r="AI205" s="66"/>
      <c r="AJ205" s="67">
        <f>+Tabla1[[#This Row],[Ingreso 2025 - 2026]]*Tabla1[[#This Row],[% Costo Serv. Directo]]</f>
        <v>0</v>
      </c>
      <c r="AK205" s="68"/>
      <c r="AL20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0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1997000</v>
      </c>
      <c r="AN205" s="42">
        <f>+Tabla1[[#This Row],[Potencial Equipos]]+Tabla1[[#This Row],[Potencial Pipeline]]</f>
        <v>1997000</v>
      </c>
    </row>
    <row r="206" spans="1:40" ht="15.75" x14ac:dyDescent="0.25">
      <c r="A206" s="47" t="s">
        <v>445</v>
      </c>
      <c r="B206" t="str">
        <f>+VLOOKUP(Tabla1[[#This Row],[Cliente]],'[1]Público Privado'!$A$1:$B$325,2,FALSE)</f>
        <v>Público</v>
      </c>
      <c r="C206" s="23">
        <f>+SUMIFS('[1]Facturacion a Fecha'!$T:$T,'[1]Facturacion a Fecha'!$AY:$AY,Tabla1[[#This Row],[Cliente]])</f>
        <v>0</v>
      </c>
      <c r="D206" s="24">
        <f>+SUMIFS('[1]Facturacion a Fecha'!$T:$T,'[1]Facturacion a Fecha'!$AY:$AY,Tabla1[[#This Row],[Cliente]],'[1]Facturacion a Fecha'!$AX:$AX,"Correctivo")</f>
        <v>0</v>
      </c>
      <c r="E206" s="25">
        <f>+COUNTIFS('[1]Facturacion a Fecha'!AY:AY,Tabla1[[#This Row],[Cliente]],'[1]Facturacion a Fecha'!AX:AX,"Correctivo")</f>
        <v>0</v>
      </c>
      <c r="F206" s="25">
        <f>+SUMIFS('[1]Facturacion a Fecha'!$T:$T,'[1]Facturacion a Fecha'!$AY:$AY,Tabla1[[#This Row],[Cliente]],'[1]Facturacion a Fecha'!$AX:$AX,"Preventivo")</f>
        <v>0</v>
      </c>
      <c r="G206" s="25">
        <f>+COUNTIFS('[1]Facturacion a Fecha'!AY:AY,Tabla1[[#This Row],[Cliente]],'[1]Facturacion a Fecha'!AX:AX,"Preventivo")</f>
        <v>0</v>
      </c>
      <c r="H206" s="26">
        <f>+Tabla1[[#This Row],['# Preventivo]]+Tabla1[[#This Row],['# Correctivo]]</f>
        <v>0</v>
      </c>
      <c r="I206" s="23">
        <f>+IFERROR(Tabla1[[#This Row],[Ingreso 2025 - 2026 Correctivo]]/Tabla1[[#This Row],[Ingreso 2025 - 2026 Preventivo]],0)</f>
        <v>0</v>
      </c>
      <c r="J206" s="59">
        <f>+IFERROR(Tabla1[[#This Row],['# Correctivo]]/Tabla1[[#This Row],['# Preventivo]],0)</f>
        <v>0</v>
      </c>
      <c r="K206" s="60">
        <f>+IFERROR(Tabla1[[#This Row],[Ingreso 2025 - 2026 Preventivo]]/(Tabla1[[#This Row],[Ingreso 2025 - 2026 Correctivo]]+Tabla1[[#This Row],[Ingreso 2025 - 2026 Preventivo]]),0)</f>
        <v>0</v>
      </c>
      <c r="L206" s="60">
        <f>1-Tabla1[[#This Row],[% Preventivo $]]</f>
        <v>1</v>
      </c>
      <c r="M206" s="45">
        <f>+COUNTIFS('[1]Base Instalada'!AA:AA,Tabla1[[#This Row],[Cliente]])</f>
        <v>7</v>
      </c>
      <c r="N20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6" s="45">
        <f>+COUNTIFS('[1]Base Instalada'!AA:AA,Tabla1[[#This Row],[Cliente]],'[1]Base Instalada'!Z:Z,"ESTERILIZACIÓN")</f>
        <v>0</v>
      </c>
      <c r="P206" s="45">
        <f>+COUNTIFS('[1]Base Instalada'!AA:AA,Tabla1[[#This Row],[Cliente]],'[1]Base Instalada'!Z:Z,"DENTAL")</f>
        <v>0</v>
      </c>
      <c r="Q206" s="45">
        <f>+COUNTIFS('[1]Base Instalada'!AA:AA,Tabla1[[#This Row],[Cliente]],'[1]Base Instalada'!Z:Z,"ENDOSCOPÍA")</f>
        <v>4</v>
      </c>
      <c r="R206" s="45">
        <f>+COUNTIFS('[1]Base Instalada'!AA:AA,Tabla1[[#This Row],[Cliente]],'[1]Base Instalada'!Z:Z,"INCARDIA")</f>
        <v>0</v>
      </c>
      <c r="S206" s="45">
        <f>+COUNTIFS('[1]Base Instalada'!AA:AA,Tabla1[[#This Row],[Cliente]],'[1]Base Instalada'!Z:Z,"MMQ")</f>
        <v>0</v>
      </c>
      <c r="T206" s="45">
        <f>+COUNTIFS('[1]Base Instalada'!AA:AA,Tabla1[[#This Row],[Cliente]],'[1]Base Instalada'!Z:Z,"REAS")</f>
        <v>0</v>
      </c>
      <c r="U206" s="46">
        <f>+COUNTIFS('[1]Base Instalada'!AA:AA,Tabla1[[#This Row],[Cliente]],'[1]Base Instalada'!Z:Z,"MOBILIARIO CLINICO")</f>
        <v>3</v>
      </c>
      <c r="V206" s="29">
        <f>+COUNTIFS('[1]Base Instalada'!AA:AA,Tabla1[[#This Row],[Cliente]],'[1]Base Instalada'!Z:Z,"OTRO")</f>
        <v>0</v>
      </c>
      <c r="W206" s="61" t="str">
        <f t="shared" si="6"/>
        <v>Región Valparaíso</v>
      </c>
      <c r="X206" s="61" t="str">
        <f t="shared" si="7"/>
        <v>Viña del Mar</v>
      </c>
      <c r="Y206" s="62" t="s">
        <v>446</v>
      </c>
      <c r="Z206" s="33">
        <f>+COUNTIFS('[1]Pipeline TS'!$F:$F,Tabla1[[#This Row],[Cliente]])</f>
        <v>0</v>
      </c>
      <c r="AA206" s="63">
        <f>SUMIFS('[1]Pipeline Esterilización'!M:M,'[1]Pipeline Esterilización'!E:E,Tabla1[[#This Row],[Cliente]],'[1]Pipeline Esterilización'!B:B,"2026",'[1]Pipeline Esterilización'!L:L,"&gt;0")</f>
        <v>0</v>
      </c>
      <c r="AB206" s="33">
        <f>+SUMIFS('[1]Pipeline Endoscopía'!K:K,'[1]Pipeline Endoscopía'!E:E,Tabla1[[#This Row],[Cliente]],'[1]Pipeline Endoscopía'!B:B,"2026",'[1]Pipeline Endoscopía'!J:J,"&gt;0")</f>
        <v>0</v>
      </c>
      <c r="AC206" s="63">
        <f>+SUMIFS('[1]Pipeline Dental'!K:K,'[1]Pipeline Dental'!E:E,Tabla1[[#This Row],[Cliente]],'[1]Pipeline Dental'!B:B,"2026",'[1]Pipeline Dental'!J:J,"&gt;0")</f>
        <v>0</v>
      </c>
      <c r="AD206" s="64">
        <f>+SUMIFS('[1]Pipeline TS'!$AB:$AB,'[1]Pipeline TS'!$F:$F,Tabla1[[#This Row],[Cliente]])</f>
        <v>0</v>
      </c>
      <c r="AE206" s="65">
        <f>+SUM(Tabla1[[#This Row],[Pipeline 2026 $MM ESTERILIZACIÓN]:[Pipeline 2026 $MM TECSERVICE]])</f>
        <v>0</v>
      </c>
      <c r="AF206" s="43">
        <v>-33.455379143067198</v>
      </c>
      <c r="AG206" s="58">
        <v>-70.610757070515206</v>
      </c>
      <c r="AH206" s="57" t="str">
        <f>+IF(Tabla1[[#This Row],['# Contratos Vigentes ]]&gt;0,"SI","NO")</f>
        <v>NO</v>
      </c>
      <c r="AI206" s="66"/>
      <c r="AJ206" s="67">
        <f>+Tabla1[[#This Row],[Ingreso 2025 - 2026]]*Tabla1[[#This Row],[% Costo Serv. Directo]]</f>
        <v>0</v>
      </c>
      <c r="AK206" s="68"/>
      <c r="AL20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0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3440984.6153846155</v>
      </c>
      <c r="AN206" s="42">
        <f>+Tabla1[[#This Row],[Potencial Equipos]]+Tabla1[[#This Row],[Potencial Pipeline]]</f>
        <v>3440984.6153846155</v>
      </c>
    </row>
    <row r="207" spans="1:40" ht="15.75" x14ac:dyDescent="0.25">
      <c r="A207" s="47" t="s">
        <v>447</v>
      </c>
      <c r="B207" t="str">
        <f>+VLOOKUP(Tabla1[[#This Row],[Cliente]],'[1]Público Privado'!$A$1:$B$325,2,FALSE)</f>
        <v>Público</v>
      </c>
      <c r="C207" s="23">
        <f>+SUMIFS('[1]Facturacion a Fecha'!$T:$T,'[1]Facturacion a Fecha'!$AY:$AY,Tabla1[[#This Row],[Cliente]])</f>
        <v>0</v>
      </c>
      <c r="D207" s="24">
        <f>+SUMIFS('[1]Facturacion a Fecha'!$T:$T,'[1]Facturacion a Fecha'!$AY:$AY,Tabla1[[#This Row],[Cliente]],'[1]Facturacion a Fecha'!$AX:$AX,"Correctivo")</f>
        <v>0</v>
      </c>
      <c r="E207" s="25">
        <f>+COUNTIFS('[1]Facturacion a Fecha'!AY:AY,Tabla1[[#This Row],[Cliente]],'[1]Facturacion a Fecha'!AX:AX,"Correctivo")</f>
        <v>0</v>
      </c>
      <c r="F207" s="25">
        <f>+SUMIFS('[1]Facturacion a Fecha'!$T:$T,'[1]Facturacion a Fecha'!$AY:$AY,Tabla1[[#This Row],[Cliente]],'[1]Facturacion a Fecha'!$AX:$AX,"Preventivo")</f>
        <v>0</v>
      </c>
      <c r="G207" s="25">
        <f>+COUNTIFS('[1]Facturacion a Fecha'!AY:AY,Tabla1[[#This Row],[Cliente]],'[1]Facturacion a Fecha'!AX:AX,"Preventivo")</f>
        <v>0</v>
      </c>
      <c r="H207" s="26">
        <f>+Tabla1[[#This Row],['# Preventivo]]+Tabla1[[#This Row],['# Correctivo]]</f>
        <v>0</v>
      </c>
      <c r="I207" s="23">
        <f>+IFERROR(Tabla1[[#This Row],[Ingreso 2025 - 2026 Correctivo]]/Tabla1[[#This Row],[Ingreso 2025 - 2026 Preventivo]],0)</f>
        <v>0</v>
      </c>
      <c r="J207" s="59">
        <f>+IFERROR(Tabla1[[#This Row],['# Correctivo]]/Tabla1[[#This Row],['# Preventivo]],0)</f>
        <v>0</v>
      </c>
      <c r="K207" s="60">
        <f>+IFERROR(Tabla1[[#This Row],[Ingreso 2025 - 2026 Preventivo]]/(Tabla1[[#This Row],[Ingreso 2025 - 2026 Correctivo]]+Tabla1[[#This Row],[Ingreso 2025 - 2026 Preventivo]]),0)</f>
        <v>0</v>
      </c>
      <c r="L207" s="60">
        <f>1-Tabla1[[#This Row],[% Preventivo $]]</f>
        <v>1</v>
      </c>
      <c r="M207" s="45">
        <f>+COUNTIFS('[1]Base Instalada'!AA:AA,Tabla1[[#This Row],[Cliente]])</f>
        <v>9</v>
      </c>
      <c r="N20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7" s="45">
        <f>+COUNTIFS('[1]Base Instalada'!AA:AA,Tabla1[[#This Row],[Cliente]],'[1]Base Instalada'!Z:Z,"ESTERILIZACIÓN")</f>
        <v>1</v>
      </c>
      <c r="P207" s="45">
        <f>+COUNTIFS('[1]Base Instalada'!AA:AA,Tabla1[[#This Row],[Cliente]],'[1]Base Instalada'!Z:Z,"DENTAL")</f>
        <v>8</v>
      </c>
      <c r="Q207" s="45">
        <f>+COUNTIFS('[1]Base Instalada'!AA:AA,Tabla1[[#This Row],[Cliente]],'[1]Base Instalada'!Z:Z,"ENDOSCOPÍA")</f>
        <v>0</v>
      </c>
      <c r="R207" s="45">
        <f>+COUNTIFS('[1]Base Instalada'!AA:AA,Tabla1[[#This Row],[Cliente]],'[1]Base Instalada'!Z:Z,"INCARDIA")</f>
        <v>0</v>
      </c>
      <c r="S207" s="45">
        <f>+COUNTIFS('[1]Base Instalada'!AA:AA,Tabla1[[#This Row],[Cliente]],'[1]Base Instalada'!Z:Z,"MMQ")</f>
        <v>0</v>
      </c>
      <c r="T207" s="45">
        <f>+COUNTIFS('[1]Base Instalada'!AA:AA,Tabla1[[#This Row],[Cliente]],'[1]Base Instalada'!Z:Z,"REAS")</f>
        <v>0</v>
      </c>
      <c r="U207" s="46">
        <f>+COUNTIFS('[1]Base Instalada'!AA:AA,Tabla1[[#This Row],[Cliente]],'[1]Base Instalada'!Z:Z,"MOBILIARIO CLINICO")</f>
        <v>0</v>
      </c>
      <c r="V207" s="29">
        <f>+COUNTIFS('[1]Base Instalada'!AA:AA,Tabla1[[#This Row],[Cliente]],'[1]Base Instalada'!Z:Z,"OTRO")</f>
        <v>0</v>
      </c>
      <c r="W207" s="61" t="str">
        <f t="shared" si="6"/>
        <v>Región Antofagasta</v>
      </c>
      <c r="X207" s="61" t="str">
        <f t="shared" si="7"/>
        <v>Antofagasta</v>
      </c>
      <c r="Y207" s="62" t="s">
        <v>448</v>
      </c>
      <c r="Z207" s="33">
        <f>+COUNTIFS('[1]Pipeline TS'!$F:$F,Tabla1[[#This Row],[Cliente]])</f>
        <v>0</v>
      </c>
      <c r="AA207" s="63">
        <f>SUMIFS('[1]Pipeline Esterilización'!M:M,'[1]Pipeline Esterilización'!E:E,Tabla1[[#This Row],[Cliente]],'[1]Pipeline Esterilización'!B:B,"2026",'[1]Pipeline Esterilización'!L:L,"&gt;0")</f>
        <v>0</v>
      </c>
      <c r="AB207" s="33">
        <f>+SUMIFS('[1]Pipeline Endoscopía'!K:K,'[1]Pipeline Endoscopía'!E:E,Tabla1[[#This Row],[Cliente]],'[1]Pipeline Endoscopía'!B:B,"2026",'[1]Pipeline Endoscopía'!J:J,"&gt;0")</f>
        <v>0</v>
      </c>
      <c r="AC207" s="63">
        <f>+SUMIFS('[1]Pipeline Dental'!K:K,'[1]Pipeline Dental'!E:E,Tabla1[[#This Row],[Cliente]],'[1]Pipeline Dental'!B:B,"2026",'[1]Pipeline Dental'!J:J,"&gt;0")</f>
        <v>0</v>
      </c>
      <c r="AD207" s="64">
        <f>+SUMIFS('[1]Pipeline TS'!$AB:$AB,'[1]Pipeline TS'!$F:$F,Tabla1[[#This Row],[Cliente]])</f>
        <v>0</v>
      </c>
      <c r="AE207" s="65">
        <f>+SUM(Tabla1[[#This Row],[Pipeline 2026 $MM ESTERILIZACIÓN]:[Pipeline 2026 $MM TECSERVICE]])</f>
        <v>0</v>
      </c>
      <c r="AF207" s="43">
        <v>-23.660648393684401</v>
      </c>
      <c r="AG207" s="58">
        <v>-70.396502474317401</v>
      </c>
      <c r="AH207" s="57" t="str">
        <f>+IF(Tabla1[[#This Row],['# Contratos Vigentes ]]&gt;0,"SI","NO")</f>
        <v>NO</v>
      </c>
      <c r="AI207" s="66"/>
      <c r="AJ207" s="67">
        <f>+Tabla1[[#This Row],[Ingreso 2025 - 2026]]*Tabla1[[#This Row],[% Costo Serv. Directo]]</f>
        <v>0</v>
      </c>
      <c r="AK207" s="68"/>
      <c r="AL20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0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6789800</v>
      </c>
      <c r="AN207" s="42">
        <f>+Tabla1[[#This Row],[Potencial Equipos]]+Tabla1[[#This Row],[Potencial Pipeline]]</f>
        <v>6789800</v>
      </c>
    </row>
    <row r="208" spans="1:40" ht="15.75" x14ac:dyDescent="0.25">
      <c r="A208" s="47" t="s">
        <v>449</v>
      </c>
      <c r="B208" t="str">
        <f>+VLOOKUP(Tabla1[[#This Row],[Cliente]],'[1]Público Privado'!$A$1:$B$325,2,FALSE)</f>
        <v>Público</v>
      </c>
      <c r="C208" s="23">
        <f>+SUMIFS('[1]Facturacion a Fecha'!$T:$T,'[1]Facturacion a Fecha'!$AY:$AY,Tabla1[[#This Row],[Cliente]])</f>
        <v>0</v>
      </c>
      <c r="D208" s="24">
        <f>+SUMIFS('[1]Facturacion a Fecha'!$T:$T,'[1]Facturacion a Fecha'!$AY:$AY,Tabla1[[#This Row],[Cliente]],'[1]Facturacion a Fecha'!$AX:$AX,"Correctivo")</f>
        <v>0</v>
      </c>
      <c r="E208" s="25">
        <f>+COUNTIFS('[1]Facturacion a Fecha'!AY:AY,Tabla1[[#This Row],[Cliente]],'[1]Facturacion a Fecha'!AX:AX,"Correctivo")</f>
        <v>0</v>
      </c>
      <c r="F208" s="25">
        <f>+SUMIFS('[1]Facturacion a Fecha'!$T:$T,'[1]Facturacion a Fecha'!$AY:$AY,Tabla1[[#This Row],[Cliente]],'[1]Facturacion a Fecha'!$AX:$AX,"Preventivo")</f>
        <v>0</v>
      </c>
      <c r="G208" s="25">
        <f>+COUNTIFS('[1]Facturacion a Fecha'!AY:AY,Tabla1[[#This Row],[Cliente]],'[1]Facturacion a Fecha'!AX:AX,"Preventivo")</f>
        <v>0</v>
      </c>
      <c r="H208" s="26">
        <f>+Tabla1[[#This Row],['# Preventivo]]+Tabla1[[#This Row],['# Correctivo]]</f>
        <v>0</v>
      </c>
      <c r="I208" s="23">
        <f>+IFERROR(Tabla1[[#This Row],[Ingreso 2025 - 2026 Correctivo]]/Tabla1[[#This Row],[Ingreso 2025 - 2026 Preventivo]],0)</f>
        <v>0</v>
      </c>
      <c r="J208" s="59">
        <f>+IFERROR(Tabla1[[#This Row],['# Correctivo]]/Tabla1[[#This Row],['# Preventivo]],0)</f>
        <v>0</v>
      </c>
      <c r="K208" s="60">
        <f>+IFERROR(Tabla1[[#This Row],[Ingreso 2025 - 2026 Preventivo]]/(Tabla1[[#This Row],[Ingreso 2025 - 2026 Correctivo]]+Tabla1[[#This Row],[Ingreso 2025 - 2026 Preventivo]]),0)</f>
        <v>0</v>
      </c>
      <c r="L208" s="60">
        <f>1-Tabla1[[#This Row],[% Preventivo $]]</f>
        <v>1</v>
      </c>
      <c r="M208" s="45">
        <f>+COUNTIFS('[1]Base Instalada'!AA:AA,Tabla1[[#This Row],[Cliente]])</f>
        <v>24</v>
      </c>
      <c r="N20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8" s="45">
        <f>+COUNTIFS('[1]Base Instalada'!AA:AA,Tabla1[[#This Row],[Cliente]],'[1]Base Instalada'!Z:Z,"ESTERILIZACIÓN")</f>
        <v>0</v>
      </c>
      <c r="P208" s="45">
        <f>+COUNTIFS('[1]Base Instalada'!AA:AA,Tabla1[[#This Row],[Cliente]],'[1]Base Instalada'!Z:Z,"DENTAL")</f>
        <v>9</v>
      </c>
      <c r="Q208" s="45">
        <f>+COUNTIFS('[1]Base Instalada'!AA:AA,Tabla1[[#This Row],[Cliente]],'[1]Base Instalada'!Z:Z,"ENDOSCOPÍA")</f>
        <v>0</v>
      </c>
      <c r="R208" s="45">
        <f>+COUNTIFS('[1]Base Instalada'!AA:AA,Tabla1[[#This Row],[Cliente]],'[1]Base Instalada'!Z:Z,"INCARDIA")</f>
        <v>1</v>
      </c>
      <c r="S208" s="45">
        <f>+COUNTIFS('[1]Base Instalada'!AA:AA,Tabla1[[#This Row],[Cliente]],'[1]Base Instalada'!Z:Z,"MMQ")</f>
        <v>0</v>
      </c>
      <c r="T208" s="45">
        <f>+COUNTIFS('[1]Base Instalada'!AA:AA,Tabla1[[#This Row],[Cliente]],'[1]Base Instalada'!Z:Z,"REAS")</f>
        <v>0</v>
      </c>
      <c r="U208" s="46">
        <f>+COUNTIFS('[1]Base Instalada'!AA:AA,Tabla1[[#This Row],[Cliente]],'[1]Base Instalada'!Z:Z,"MOBILIARIO CLINICO")</f>
        <v>14</v>
      </c>
      <c r="V208" s="29">
        <f>+COUNTIFS('[1]Base Instalada'!AA:AA,Tabla1[[#This Row],[Cliente]],'[1]Base Instalada'!Z:Z,"OTRO")</f>
        <v>0</v>
      </c>
      <c r="W208" s="61" t="str">
        <f t="shared" si="6"/>
        <v>Región Metropolitana</v>
      </c>
      <c r="X208" s="61" t="str">
        <f t="shared" si="7"/>
        <v>Independencia</v>
      </c>
      <c r="Y208" s="62" t="s">
        <v>450</v>
      </c>
      <c r="Z208" s="33">
        <f>+COUNTIFS('[1]Pipeline TS'!$F:$F,Tabla1[[#This Row],[Cliente]])</f>
        <v>0</v>
      </c>
      <c r="AA208" s="63">
        <f>SUMIFS('[1]Pipeline Esterilización'!M:M,'[1]Pipeline Esterilización'!E:E,Tabla1[[#This Row],[Cliente]],'[1]Pipeline Esterilización'!B:B,"2026",'[1]Pipeline Esterilización'!L:L,"&gt;0")</f>
        <v>0</v>
      </c>
      <c r="AB208" s="33">
        <f>+SUMIFS('[1]Pipeline Endoscopía'!K:K,'[1]Pipeline Endoscopía'!E:E,Tabla1[[#This Row],[Cliente]],'[1]Pipeline Endoscopía'!B:B,"2026",'[1]Pipeline Endoscopía'!J:J,"&gt;0")</f>
        <v>502373434</v>
      </c>
      <c r="AC208" s="63">
        <f>+SUMIFS('[1]Pipeline Dental'!K:K,'[1]Pipeline Dental'!E:E,Tabla1[[#This Row],[Cliente]],'[1]Pipeline Dental'!B:B,"2026",'[1]Pipeline Dental'!J:J,"&gt;0")</f>
        <v>0</v>
      </c>
      <c r="AD208" s="64">
        <f>+SUMIFS('[1]Pipeline TS'!$AB:$AB,'[1]Pipeline TS'!$F:$F,Tabla1[[#This Row],[Cliente]])</f>
        <v>0</v>
      </c>
      <c r="AE208" s="65">
        <f>+SUM(Tabla1[[#This Row],[Pipeline 2026 $MM ESTERILIZACIÓN]:[Pipeline 2026 $MM TECSERVICE]])</f>
        <v>502373434</v>
      </c>
      <c r="AF208" s="43">
        <v>-33.415666888226902</v>
      </c>
      <c r="AG208" s="58">
        <v>-70.654719102679607</v>
      </c>
      <c r="AH208" s="57" t="str">
        <f>+IF(Tabla1[[#This Row],['# Contratos Vigentes ]]&gt;0,"SI","NO")</f>
        <v>NO</v>
      </c>
      <c r="AI208" s="66"/>
      <c r="AJ208" s="67">
        <f>+Tabla1[[#This Row],[Ingreso 2025 - 2026]]*Tabla1[[#This Row],[% Costo Serv. Directo]]</f>
        <v>0</v>
      </c>
      <c r="AK208" s="68"/>
      <c r="AL20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30142406.039999999</v>
      </c>
      <c r="AM20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5391900</v>
      </c>
      <c r="AN208" s="42">
        <f>+Tabla1[[#This Row],[Potencial Equipos]]+Tabla1[[#This Row],[Potencial Pipeline]]</f>
        <v>35534306.039999999</v>
      </c>
    </row>
    <row r="209" spans="1:40" ht="15.75" x14ac:dyDescent="0.25">
      <c r="A209" s="47" t="s">
        <v>451</v>
      </c>
      <c r="B209" t="str">
        <f>+VLOOKUP(Tabla1[[#This Row],[Cliente]],'[1]Público Privado'!$A$1:$B$325,2,FALSE)</f>
        <v>Público</v>
      </c>
      <c r="C209" s="23">
        <f>+SUMIFS('[1]Facturacion a Fecha'!$T:$T,'[1]Facturacion a Fecha'!$AY:$AY,Tabla1[[#This Row],[Cliente]])</f>
        <v>0</v>
      </c>
      <c r="D209" s="24">
        <f>+SUMIFS('[1]Facturacion a Fecha'!$T:$T,'[1]Facturacion a Fecha'!$AY:$AY,Tabla1[[#This Row],[Cliente]],'[1]Facturacion a Fecha'!$AX:$AX,"Correctivo")</f>
        <v>0</v>
      </c>
      <c r="E209" s="25">
        <f>+COUNTIFS('[1]Facturacion a Fecha'!AY:AY,Tabla1[[#This Row],[Cliente]],'[1]Facturacion a Fecha'!AX:AX,"Correctivo")</f>
        <v>0</v>
      </c>
      <c r="F209" s="25">
        <f>+SUMIFS('[1]Facturacion a Fecha'!$T:$T,'[1]Facturacion a Fecha'!$AY:$AY,Tabla1[[#This Row],[Cliente]],'[1]Facturacion a Fecha'!$AX:$AX,"Preventivo")</f>
        <v>0</v>
      </c>
      <c r="G209" s="25">
        <f>+COUNTIFS('[1]Facturacion a Fecha'!AY:AY,Tabla1[[#This Row],[Cliente]],'[1]Facturacion a Fecha'!AX:AX,"Preventivo")</f>
        <v>0</v>
      </c>
      <c r="H209" s="26">
        <f>+Tabla1[[#This Row],['# Preventivo]]+Tabla1[[#This Row],['# Correctivo]]</f>
        <v>0</v>
      </c>
      <c r="I209" s="23">
        <f>+IFERROR(Tabla1[[#This Row],[Ingreso 2025 - 2026 Correctivo]]/Tabla1[[#This Row],[Ingreso 2025 - 2026 Preventivo]],0)</f>
        <v>0</v>
      </c>
      <c r="J209" s="59">
        <f>+IFERROR(Tabla1[[#This Row],['# Correctivo]]/Tabla1[[#This Row],['# Preventivo]],0)</f>
        <v>0</v>
      </c>
      <c r="K209" s="60">
        <f>+IFERROR(Tabla1[[#This Row],[Ingreso 2025 - 2026 Preventivo]]/(Tabla1[[#This Row],[Ingreso 2025 - 2026 Correctivo]]+Tabla1[[#This Row],[Ingreso 2025 - 2026 Preventivo]]),0)</f>
        <v>0</v>
      </c>
      <c r="L209" s="60">
        <f>1-Tabla1[[#This Row],[% Preventivo $]]</f>
        <v>1</v>
      </c>
      <c r="M209" s="45">
        <f>+COUNTIFS('[1]Base Instalada'!AA:AA,Tabla1[[#This Row],[Cliente]])</f>
        <v>7</v>
      </c>
      <c r="N20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09" s="45">
        <f>+COUNTIFS('[1]Base Instalada'!AA:AA,Tabla1[[#This Row],[Cliente]],'[1]Base Instalada'!Z:Z,"ESTERILIZACIÓN")</f>
        <v>0</v>
      </c>
      <c r="P209" s="45">
        <f>+COUNTIFS('[1]Base Instalada'!AA:AA,Tabla1[[#This Row],[Cliente]],'[1]Base Instalada'!Z:Z,"DENTAL")</f>
        <v>4</v>
      </c>
      <c r="Q209" s="45">
        <f>+COUNTIFS('[1]Base Instalada'!AA:AA,Tabla1[[#This Row],[Cliente]],'[1]Base Instalada'!Z:Z,"ENDOSCOPÍA")</f>
        <v>0</v>
      </c>
      <c r="R209" s="45">
        <f>+COUNTIFS('[1]Base Instalada'!AA:AA,Tabla1[[#This Row],[Cliente]],'[1]Base Instalada'!Z:Z,"INCARDIA")</f>
        <v>3</v>
      </c>
      <c r="S209" s="45">
        <f>+COUNTIFS('[1]Base Instalada'!AA:AA,Tabla1[[#This Row],[Cliente]],'[1]Base Instalada'!Z:Z,"MMQ")</f>
        <v>0</v>
      </c>
      <c r="T209" s="45">
        <f>+COUNTIFS('[1]Base Instalada'!AA:AA,Tabla1[[#This Row],[Cliente]],'[1]Base Instalada'!Z:Z,"REAS")</f>
        <v>0</v>
      </c>
      <c r="U209" s="46">
        <f>+COUNTIFS('[1]Base Instalada'!AA:AA,Tabla1[[#This Row],[Cliente]],'[1]Base Instalada'!Z:Z,"MOBILIARIO CLINICO")</f>
        <v>0</v>
      </c>
      <c r="V209" s="29">
        <f>+COUNTIFS('[1]Base Instalada'!AA:AA,Tabla1[[#This Row],[Cliente]],'[1]Base Instalada'!Z:Z,"OTRO")</f>
        <v>0</v>
      </c>
      <c r="W209" s="61" t="str">
        <f t="shared" si="6"/>
        <v>Región Metropolitana</v>
      </c>
      <c r="X209" s="61" t="str">
        <f t="shared" si="7"/>
        <v>San Bernardo</v>
      </c>
      <c r="Y209" s="62" t="s">
        <v>452</v>
      </c>
      <c r="Z209" s="33">
        <f>+COUNTIFS('[1]Pipeline TS'!$F:$F,Tabla1[[#This Row],[Cliente]])</f>
        <v>0</v>
      </c>
      <c r="AA209" s="63">
        <f>SUMIFS('[1]Pipeline Esterilización'!M:M,'[1]Pipeline Esterilización'!E:E,Tabla1[[#This Row],[Cliente]],'[1]Pipeline Esterilización'!B:B,"2026",'[1]Pipeline Esterilización'!L:L,"&gt;0")</f>
        <v>0</v>
      </c>
      <c r="AB209" s="33">
        <f>+SUMIFS('[1]Pipeline Endoscopía'!K:K,'[1]Pipeline Endoscopía'!E:E,Tabla1[[#This Row],[Cliente]],'[1]Pipeline Endoscopía'!B:B,"2026",'[1]Pipeline Endoscopía'!J:J,"&gt;0")</f>
        <v>0</v>
      </c>
      <c r="AC209" s="63">
        <f>+SUMIFS('[1]Pipeline Dental'!K:K,'[1]Pipeline Dental'!E:E,Tabla1[[#This Row],[Cliente]],'[1]Pipeline Dental'!B:B,"2026",'[1]Pipeline Dental'!J:J,"&gt;0")</f>
        <v>0</v>
      </c>
      <c r="AD209" s="64">
        <f>+SUMIFS('[1]Pipeline TS'!$AB:$AB,'[1]Pipeline TS'!$F:$F,Tabla1[[#This Row],[Cliente]])</f>
        <v>0</v>
      </c>
      <c r="AE209" s="65">
        <f>+SUM(Tabla1[[#This Row],[Pipeline 2026 $MM ESTERILIZACIÓN]:[Pipeline 2026 $MM TECSERVICE]])</f>
        <v>0</v>
      </c>
      <c r="AF209" s="43">
        <v>-33.598700918476901</v>
      </c>
      <c r="AG209" s="58">
        <v>-70.680419448693698</v>
      </c>
      <c r="AH209" s="57" t="str">
        <f>+IF(Tabla1[[#This Row],['# Contratos Vigentes ]]&gt;0,"SI","NO")</f>
        <v>NO</v>
      </c>
      <c r="AI209" s="66"/>
      <c r="AJ209" s="67">
        <f>+Tabla1[[#This Row],[Ingreso 2025 - 2026]]*Tabla1[[#This Row],[% Costo Serv. Directo]]</f>
        <v>0</v>
      </c>
      <c r="AK209" s="68"/>
      <c r="AL20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0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2396400</v>
      </c>
      <c r="AN209" s="42">
        <f>+Tabla1[[#This Row],[Potencial Equipos]]+Tabla1[[#This Row],[Potencial Pipeline]]</f>
        <v>2396400</v>
      </c>
    </row>
    <row r="210" spans="1:40" ht="15.75" x14ac:dyDescent="0.25">
      <c r="A210" s="47" t="s">
        <v>453</v>
      </c>
      <c r="B210" t="str">
        <f>+VLOOKUP(Tabla1[[#This Row],[Cliente]],'[1]Público Privado'!$A$1:$B$325,2,FALSE)</f>
        <v>Privado</v>
      </c>
      <c r="C210" s="23">
        <f>+SUMIFS('[1]Facturacion a Fecha'!$T:$T,'[1]Facturacion a Fecha'!$AY:$AY,Tabla1[[#This Row],[Cliente]])</f>
        <v>0</v>
      </c>
      <c r="D210" s="24">
        <f>+SUMIFS('[1]Facturacion a Fecha'!$T:$T,'[1]Facturacion a Fecha'!$AY:$AY,Tabla1[[#This Row],[Cliente]],'[1]Facturacion a Fecha'!$AX:$AX,"Correctivo")</f>
        <v>0</v>
      </c>
      <c r="E210" s="25">
        <f>+COUNTIFS('[1]Facturacion a Fecha'!AY:AY,Tabla1[[#This Row],[Cliente]],'[1]Facturacion a Fecha'!AX:AX,"Correctivo")</f>
        <v>0</v>
      </c>
      <c r="F210" s="25">
        <f>+SUMIFS('[1]Facturacion a Fecha'!$T:$T,'[1]Facturacion a Fecha'!$AY:$AY,Tabla1[[#This Row],[Cliente]],'[1]Facturacion a Fecha'!$AX:$AX,"Preventivo")</f>
        <v>0</v>
      </c>
      <c r="G210" s="25">
        <f>+COUNTIFS('[1]Facturacion a Fecha'!AY:AY,Tabla1[[#This Row],[Cliente]],'[1]Facturacion a Fecha'!AX:AX,"Preventivo")</f>
        <v>0</v>
      </c>
      <c r="H210" s="26">
        <f>+Tabla1[[#This Row],['# Preventivo]]+Tabla1[[#This Row],['# Correctivo]]</f>
        <v>0</v>
      </c>
      <c r="I210" s="23">
        <f>+IFERROR(Tabla1[[#This Row],[Ingreso 2025 - 2026 Correctivo]]/Tabla1[[#This Row],[Ingreso 2025 - 2026 Preventivo]],0)</f>
        <v>0</v>
      </c>
      <c r="J210" s="59">
        <f>+IFERROR(Tabla1[[#This Row],['# Correctivo]]/Tabla1[[#This Row],['# Preventivo]],0)</f>
        <v>0</v>
      </c>
      <c r="K210" s="60">
        <f>+IFERROR(Tabla1[[#This Row],[Ingreso 2025 - 2026 Preventivo]]/(Tabla1[[#This Row],[Ingreso 2025 - 2026 Correctivo]]+Tabla1[[#This Row],[Ingreso 2025 - 2026 Preventivo]]),0)</f>
        <v>0</v>
      </c>
      <c r="L210" s="60">
        <f>1-Tabla1[[#This Row],[% Preventivo $]]</f>
        <v>1</v>
      </c>
      <c r="M210" s="45">
        <f>+COUNTIFS('[1]Base Instalada'!AA:AA,Tabla1[[#This Row],[Cliente]])</f>
        <v>194</v>
      </c>
      <c r="N21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0" s="45">
        <f>+COUNTIFS('[1]Base Instalada'!AA:AA,Tabla1[[#This Row],[Cliente]],'[1]Base Instalada'!Z:Z,"ESTERILIZACIÓN")</f>
        <v>0</v>
      </c>
      <c r="P210" s="45">
        <f>+COUNTIFS('[1]Base Instalada'!AA:AA,Tabla1[[#This Row],[Cliente]],'[1]Base Instalada'!Z:Z,"DENTAL")</f>
        <v>1</v>
      </c>
      <c r="Q210" s="45">
        <f>+COUNTIFS('[1]Base Instalada'!AA:AA,Tabla1[[#This Row],[Cliente]],'[1]Base Instalada'!Z:Z,"ENDOSCOPÍA")</f>
        <v>4</v>
      </c>
      <c r="R210" s="45">
        <f>+COUNTIFS('[1]Base Instalada'!AA:AA,Tabla1[[#This Row],[Cliente]],'[1]Base Instalada'!Z:Z,"INCARDIA")</f>
        <v>0</v>
      </c>
      <c r="S210" s="45">
        <f>+COUNTIFS('[1]Base Instalada'!AA:AA,Tabla1[[#This Row],[Cliente]],'[1]Base Instalada'!Z:Z,"MMQ")</f>
        <v>0</v>
      </c>
      <c r="T210" s="45">
        <f>+COUNTIFS('[1]Base Instalada'!AA:AA,Tabla1[[#This Row],[Cliente]],'[1]Base Instalada'!Z:Z,"REAS")</f>
        <v>0</v>
      </c>
      <c r="U210" s="46">
        <f>+COUNTIFS('[1]Base Instalada'!AA:AA,Tabla1[[#This Row],[Cliente]],'[1]Base Instalada'!Z:Z,"MOBILIARIO CLINICO")</f>
        <v>189</v>
      </c>
      <c r="V210" s="29">
        <f>+COUNTIFS('[1]Base Instalada'!AA:AA,Tabla1[[#This Row],[Cliente]],'[1]Base Instalada'!Z:Z,"OTRO")</f>
        <v>0</v>
      </c>
      <c r="W210" s="61" t="str">
        <f t="shared" si="6"/>
        <v>Región Metropolitana</v>
      </c>
      <c r="X210" s="61" t="str">
        <f t="shared" si="7"/>
        <v>Santiago</v>
      </c>
      <c r="Y210" s="62" t="s">
        <v>454</v>
      </c>
      <c r="Z210" s="33">
        <f>+COUNTIFS('[1]Pipeline TS'!$F:$F,Tabla1[[#This Row],[Cliente]])</f>
        <v>0</v>
      </c>
      <c r="AA210" s="63">
        <f>SUMIFS('[1]Pipeline Esterilización'!M:M,'[1]Pipeline Esterilización'!E:E,Tabla1[[#This Row],[Cliente]],'[1]Pipeline Esterilización'!B:B,"2026",'[1]Pipeline Esterilización'!L:L,"&gt;0")</f>
        <v>0</v>
      </c>
      <c r="AB210" s="33">
        <f>+SUMIFS('[1]Pipeline Endoscopía'!K:K,'[1]Pipeline Endoscopía'!E:E,Tabla1[[#This Row],[Cliente]],'[1]Pipeline Endoscopía'!B:B,"2026",'[1]Pipeline Endoscopía'!J:J,"&gt;0")</f>
        <v>0</v>
      </c>
      <c r="AC210" s="63">
        <f>+SUMIFS('[1]Pipeline Dental'!K:K,'[1]Pipeline Dental'!E:E,Tabla1[[#This Row],[Cliente]],'[1]Pipeline Dental'!B:B,"2026",'[1]Pipeline Dental'!J:J,"&gt;0")</f>
        <v>0</v>
      </c>
      <c r="AD210" s="64">
        <f>+SUMIFS('[1]Pipeline TS'!$AB:$AB,'[1]Pipeline TS'!$F:$F,Tabla1[[#This Row],[Cliente]])</f>
        <v>0</v>
      </c>
      <c r="AE210" s="65">
        <f>+SUM(Tabla1[[#This Row],[Pipeline 2026 $MM ESTERILIZACIÓN]:[Pipeline 2026 $MM TECSERVICE]])</f>
        <v>0</v>
      </c>
      <c r="AF210" s="43">
        <v>-33.437552780154597</v>
      </c>
      <c r="AG210" s="58">
        <v>-70.640645404792195</v>
      </c>
      <c r="AH210" s="57" t="str">
        <f>+IF(Tabla1[[#This Row],['# Contratos Vigentes ]]&gt;0,"SI","NO")</f>
        <v>NO</v>
      </c>
      <c r="AI210" s="66"/>
      <c r="AJ210" s="67">
        <f>+Tabla1[[#This Row],[Ingreso 2025 - 2026]]*Tabla1[[#This Row],[% Costo Serv. Directo]]</f>
        <v>0</v>
      </c>
      <c r="AK210" s="68"/>
      <c r="AL21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4040084.6153846155</v>
      </c>
      <c r="AN210" s="42">
        <f>+Tabla1[[#This Row],[Potencial Equipos]]+Tabla1[[#This Row],[Potencial Pipeline]]</f>
        <v>4040084.6153846155</v>
      </c>
    </row>
    <row r="211" spans="1:40" ht="15.75" x14ac:dyDescent="0.25">
      <c r="A211" s="47" t="s">
        <v>455</v>
      </c>
      <c r="B211" t="str">
        <f>+VLOOKUP(Tabla1[[#This Row],[Cliente]],'[1]Público Privado'!$A$1:$B$325,2,FALSE)</f>
        <v>Público</v>
      </c>
      <c r="C211" s="23">
        <f>+SUMIFS('[1]Facturacion a Fecha'!$T:$T,'[1]Facturacion a Fecha'!$AY:$AY,Tabla1[[#This Row],[Cliente]])</f>
        <v>0</v>
      </c>
      <c r="D211" s="24">
        <f>+SUMIFS('[1]Facturacion a Fecha'!$T:$T,'[1]Facturacion a Fecha'!$AY:$AY,Tabla1[[#This Row],[Cliente]],'[1]Facturacion a Fecha'!$AX:$AX,"Correctivo")</f>
        <v>0</v>
      </c>
      <c r="E211" s="25">
        <f>+COUNTIFS('[1]Facturacion a Fecha'!AY:AY,Tabla1[[#This Row],[Cliente]],'[1]Facturacion a Fecha'!AX:AX,"Correctivo")</f>
        <v>0</v>
      </c>
      <c r="F211" s="25">
        <f>+SUMIFS('[1]Facturacion a Fecha'!$T:$T,'[1]Facturacion a Fecha'!$AY:$AY,Tabla1[[#This Row],[Cliente]],'[1]Facturacion a Fecha'!$AX:$AX,"Preventivo")</f>
        <v>0</v>
      </c>
      <c r="G211" s="25">
        <f>+COUNTIFS('[1]Facturacion a Fecha'!AY:AY,Tabla1[[#This Row],[Cliente]],'[1]Facturacion a Fecha'!AX:AX,"Preventivo")</f>
        <v>0</v>
      </c>
      <c r="H211" s="26">
        <f>+Tabla1[[#This Row],['# Preventivo]]+Tabla1[[#This Row],['# Correctivo]]</f>
        <v>0</v>
      </c>
      <c r="I211" s="23">
        <f>+IFERROR(Tabla1[[#This Row],[Ingreso 2025 - 2026 Correctivo]]/Tabla1[[#This Row],[Ingreso 2025 - 2026 Preventivo]],0)</f>
        <v>0</v>
      </c>
      <c r="J211" s="59">
        <f>+IFERROR(Tabla1[[#This Row],['# Correctivo]]/Tabla1[[#This Row],['# Preventivo]],0)</f>
        <v>0</v>
      </c>
      <c r="K211" s="60">
        <f>+IFERROR(Tabla1[[#This Row],[Ingreso 2025 - 2026 Preventivo]]/(Tabla1[[#This Row],[Ingreso 2025 - 2026 Correctivo]]+Tabla1[[#This Row],[Ingreso 2025 - 2026 Preventivo]]),0)</f>
        <v>0</v>
      </c>
      <c r="L211" s="60">
        <f>1-Tabla1[[#This Row],[% Preventivo $]]</f>
        <v>1</v>
      </c>
      <c r="M211" s="45">
        <f>+COUNTIFS('[1]Base Instalada'!AA:AA,Tabla1[[#This Row],[Cliente]])</f>
        <v>25</v>
      </c>
      <c r="N21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1" s="45">
        <f>+COUNTIFS('[1]Base Instalada'!AA:AA,Tabla1[[#This Row],[Cliente]],'[1]Base Instalada'!Z:Z,"ESTERILIZACIÓN")</f>
        <v>1</v>
      </c>
      <c r="P211" s="45">
        <f>+COUNTIFS('[1]Base Instalada'!AA:AA,Tabla1[[#This Row],[Cliente]],'[1]Base Instalada'!Z:Z,"DENTAL")</f>
        <v>0</v>
      </c>
      <c r="Q211" s="45">
        <f>+COUNTIFS('[1]Base Instalada'!AA:AA,Tabla1[[#This Row],[Cliente]],'[1]Base Instalada'!Z:Z,"ENDOSCOPÍA")</f>
        <v>0</v>
      </c>
      <c r="R211" s="45">
        <f>+COUNTIFS('[1]Base Instalada'!AA:AA,Tabla1[[#This Row],[Cliente]],'[1]Base Instalada'!Z:Z,"INCARDIA")</f>
        <v>22</v>
      </c>
      <c r="S211" s="45">
        <f>+COUNTIFS('[1]Base Instalada'!AA:AA,Tabla1[[#This Row],[Cliente]],'[1]Base Instalada'!Z:Z,"MMQ")</f>
        <v>0</v>
      </c>
      <c r="T211" s="45">
        <f>+COUNTIFS('[1]Base Instalada'!AA:AA,Tabla1[[#This Row],[Cliente]],'[1]Base Instalada'!Z:Z,"REAS")</f>
        <v>0</v>
      </c>
      <c r="U211" s="46">
        <f>+COUNTIFS('[1]Base Instalada'!AA:AA,Tabla1[[#This Row],[Cliente]],'[1]Base Instalada'!Z:Z,"MOBILIARIO CLINICO")</f>
        <v>2</v>
      </c>
      <c r="V211" s="29">
        <f>+COUNTIFS('[1]Base Instalada'!AA:AA,Tabla1[[#This Row],[Cliente]],'[1]Base Instalada'!Z:Z,"OTRO")</f>
        <v>0</v>
      </c>
      <c r="W211" s="61" t="str">
        <f t="shared" si="6"/>
        <v>Región Metropolitana</v>
      </c>
      <c r="X211" s="61" t="str">
        <f t="shared" si="7"/>
        <v>San José de Maipo</v>
      </c>
      <c r="Y211" s="62" t="s">
        <v>456</v>
      </c>
      <c r="Z211" s="33">
        <f>+COUNTIFS('[1]Pipeline TS'!$F:$F,Tabla1[[#This Row],[Cliente]])</f>
        <v>0</v>
      </c>
      <c r="AA211" s="63">
        <f>SUMIFS('[1]Pipeline Esterilización'!M:M,'[1]Pipeline Esterilización'!E:E,Tabla1[[#This Row],[Cliente]],'[1]Pipeline Esterilización'!B:B,"2026",'[1]Pipeline Esterilización'!L:L,"&gt;0")</f>
        <v>0</v>
      </c>
      <c r="AB211" s="33">
        <f>+SUMIFS('[1]Pipeline Endoscopía'!K:K,'[1]Pipeline Endoscopía'!E:E,Tabla1[[#This Row],[Cliente]],'[1]Pipeline Endoscopía'!B:B,"2026",'[1]Pipeline Endoscopía'!J:J,"&gt;0")</f>
        <v>0</v>
      </c>
      <c r="AC211" s="63">
        <f>+SUMIFS('[1]Pipeline Dental'!K:K,'[1]Pipeline Dental'!E:E,Tabla1[[#This Row],[Cliente]],'[1]Pipeline Dental'!B:B,"2026",'[1]Pipeline Dental'!J:J,"&gt;0")</f>
        <v>0</v>
      </c>
      <c r="AD211" s="64">
        <f>+SUMIFS('[1]Pipeline TS'!$AB:$AB,'[1]Pipeline TS'!$F:$F,Tabla1[[#This Row],[Cliente]])</f>
        <v>0</v>
      </c>
      <c r="AE211" s="65">
        <f>+SUM(Tabla1[[#This Row],[Pipeline 2026 $MM ESTERILIZACIÓN]:[Pipeline 2026 $MM TECSERVICE]])</f>
        <v>0</v>
      </c>
      <c r="AF211" s="43">
        <v>-33.640978871619097</v>
      </c>
      <c r="AG211" s="58">
        <v>-70.352257685257598</v>
      </c>
      <c r="AH211" s="57" t="str">
        <f>+IF(Tabla1[[#This Row],['# Contratos Vigentes ]]&gt;0,"SI","NO")</f>
        <v>NO</v>
      </c>
      <c r="AI211" s="66"/>
      <c r="AJ211" s="67">
        <f>+Tabla1[[#This Row],[Ingreso 2025 - 2026]]*Tabla1[[#This Row],[% Costo Serv. Directo]]</f>
        <v>0</v>
      </c>
      <c r="AK211" s="68"/>
      <c r="AL21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1997000</v>
      </c>
      <c r="AN211" s="42">
        <f>+Tabla1[[#This Row],[Potencial Equipos]]+Tabla1[[#This Row],[Potencial Pipeline]]</f>
        <v>1997000</v>
      </c>
    </row>
    <row r="212" spans="1:40" ht="15.75" x14ac:dyDescent="0.25">
      <c r="A212" s="47" t="s">
        <v>457</v>
      </c>
      <c r="B212" t="str">
        <f>+VLOOKUP(Tabla1[[#This Row],[Cliente]],'[1]Público Privado'!$A$1:$B$325,2,FALSE)</f>
        <v>Público</v>
      </c>
      <c r="C212" s="23">
        <f>+SUMIFS('[1]Facturacion a Fecha'!$T:$T,'[1]Facturacion a Fecha'!$AY:$AY,Tabla1[[#This Row],[Cliente]])</f>
        <v>0</v>
      </c>
      <c r="D212" s="24">
        <f>+SUMIFS('[1]Facturacion a Fecha'!$T:$T,'[1]Facturacion a Fecha'!$AY:$AY,Tabla1[[#This Row],[Cliente]],'[1]Facturacion a Fecha'!$AX:$AX,"Correctivo")</f>
        <v>0</v>
      </c>
      <c r="E212" s="25">
        <f>+COUNTIFS('[1]Facturacion a Fecha'!AY:AY,Tabla1[[#This Row],[Cliente]],'[1]Facturacion a Fecha'!AX:AX,"Correctivo")</f>
        <v>0</v>
      </c>
      <c r="F212" s="25">
        <f>+SUMIFS('[1]Facturacion a Fecha'!$T:$T,'[1]Facturacion a Fecha'!$AY:$AY,Tabla1[[#This Row],[Cliente]],'[1]Facturacion a Fecha'!$AX:$AX,"Preventivo")</f>
        <v>0</v>
      </c>
      <c r="G212" s="25">
        <f>+COUNTIFS('[1]Facturacion a Fecha'!AY:AY,Tabla1[[#This Row],[Cliente]],'[1]Facturacion a Fecha'!AX:AX,"Preventivo")</f>
        <v>0</v>
      </c>
      <c r="H212" s="26">
        <f>+Tabla1[[#This Row],['# Preventivo]]+Tabla1[[#This Row],['# Correctivo]]</f>
        <v>0</v>
      </c>
      <c r="I212" s="23">
        <f>+IFERROR(Tabla1[[#This Row],[Ingreso 2025 - 2026 Correctivo]]/Tabla1[[#This Row],[Ingreso 2025 - 2026 Preventivo]],0)</f>
        <v>0</v>
      </c>
      <c r="J212" s="59">
        <f>+IFERROR(Tabla1[[#This Row],['# Correctivo]]/Tabla1[[#This Row],['# Preventivo]],0)</f>
        <v>0</v>
      </c>
      <c r="K212" s="60">
        <f>+IFERROR(Tabla1[[#This Row],[Ingreso 2025 - 2026 Preventivo]]/(Tabla1[[#This Row],[Ingreso 2025 - 2026 Correctivo]]+Tabla1[[#This Row],[Ingreso 2025 - 2026 Preventivo]]),0)</f>
        <v>0</v>
      </c>
      <c r="L212" s="60">
        <f>1-Tabla1[[#This Row],[% Preventivo $]]</f>
        <v>1</v>
      </c>
      <c r="M212" s="45">
        <f>+COUNTIFS('[1]Base Instalada'!AA:AA,Tabla1[[#This Row],[Cliente]])</f>
        <v>10</v>
      </c>
      <c r="N21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2" s="45">
        <f>+COUNTIFS('[1]Base Instalada'!AA:AA,Tabla1[[#This Row],[Cliente]],'[1]Base Instalada'!Z:Z,"ESTERILIZACIÓN")</f>
        <v>0</v>
      </c>
      <c r="P212" s="45">
        <f>+COUNTIFS('[1]Base Instalada'!AA:AA,Tabla1[[#This Row],[Cliente]],'[1]Base Instalada'!Z:Z,"DENTAL")</f>
        <v>10</v>
      </c>
      <c r="Q212" s="45">
        <f>+COUNTIFS('[1]Base Instalada'!AA:AA,Tabla1[[#This Row],[Cliente]],'[1]Base Instalada'!Z:Z,"ENDOSCOPÍA")</f>
        <v>0</v>
      </c>
      <c r="R212" s="45">
        <f>+COUNTIFS('[1]Base Instalada'!AA:AA,Tabla1[[#This Row],[Cliente]],'[1]Base Instalada'!Z:Z,"INCARDIA")</f>
        <v>0</v>
      </c>
      <c r="S212" s="45">
        <f>+COUNTIFS('[1]Base Instalada'!AA:AA,Tabla1[[#This Row],[Cliente]],'[1]Base Instalada'!Z:Z,"MMQ")</f>
        <v>0</v>
      </c>
      <c r="T212" s="45">
        <f>+COUNTIFS('[1]Base Instalada'!AA:AA,Tabla1[[#This Row],[Cliente]],'[1]Base Instalada'!Z:Z,"REAS")</f>
        <v>0</v>
      </c>
      <c r="U212" s="46">
        <f>+COUNTIFS('[1]Base Instalada'!AA:AA,Tabla1[[#This Row],[Cliente]],'[1]Base Instalada'!Z:Z,"MOBILIARIO CLINICO")</f>
        <v>0</v>
      </c>
      <c r="V212" s="29">
        <f>+COUNTIFS('[1]Base Instalada'!AA:AA,Tabla1[[#This Row],[Cliente]],'[1]Base Instalada'!Z:Z,"OTRO")</f>
        <v>0</v>
      </c>
      <c r="W212" s="61" t="str">
        <f t="shared" si="6"/>
        <v>Región Metropolitana</v>
      </c>
      <c r="X212" s="61" t="str">
        <f t="shared" si="7"/>
        <v>Lo Barnechea</v>
      </c>
      <c r="Y212" s="62" t="s">
        <v>458</v>
      </c>
      <c r="Z212" s="33">
        <f>+COUNTIFS('[1]Pipeline TS'!$F:$F,Tabla1[[#This Row],[Cliente]])</f>
        <v>0</v>
      </c>
      <c r="AA212" s="63">
        <f>SUMIFS('[1]Pipeline Esterilización'!M:M,'[1]Pipeline Esterilización'!E:E,Tabla1[[#This Row],[Cliente]],'[1]Pipeline Esterilización'!B:B,"2026",'[1]Pipeline Esterilización'!L:L,"&gt;0")</f>
        <v>0</v>
      </c>
      <c r="AB212" s="33">
        <f>+SUMIFS('[1]Pipeline Endoscopía'!K:K,'[1]Pipeline Endoscopía'!E:E,Tabla1[[#This Row],[Cliente]],'[1]Pipeline Endoscopía'!B:B,"2026",'[1]Pipeline Endoscopía'!J:J,"&gt;0")</f>
        <v>0</v>
      </c>
      <c r="AC212" s="63">
        <f>+SUMIFS('[1]Pipeline Dental'!K:K,'[1]Pipeline Dental'!E:E,Tabla1[[#This Row],[Cliente]],'[1]Pipeline Dental'!B:B,"2026",'[1]Pipeline Dental'!J:J,"&gt;0")</f>
        <v>0</v>
      </c>
      <c r="AD212" s="64">
        <f>+SUMIFS('[1]Pipeline TS'!$AB:$AB,'[1]Pipeline TS'!$F:$F,Tabla1[[#This Row],[Cliente]])</f>
        <v>0</v>
      </c>
      <c r="AE212" s="65">
        <f>+SUM(Tabla1[[#This Row],[Pipeline 2026 $MM ESTERILIZACIÓN]:[Pipeline 2026 $MM TECSERVICE]])</f>
        <v>0</v>
      </c>
      <c r="AF212" s="43">
        <v>-33.353257291423901</v>
      </c>
      <c r="AG212" s="58">
        <v>-70.520024975695193</v>
      </c>
      <c r="AH212" s="57" t="str">
        <f>+IF(Tabla1[[#This Row],['# Contratos Vigentes ]]&gt;0,"SI","NO")</f>
        <v>NO</v>
      </c>
      <c r="AI212" s="66"/>
      <c r="AJ212" s="67">
        <f>+Tabla1[[#This Row],[Ingreso 2025 - 2026]]*Tabla1[[#This Row],[% Costo Serv. Directo]]</f>
        <v>0</v>
      </c>
      <c r="AK212" s="68"/>
      <c r="AL21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5991000</v>
      </c>
      <c r="AN212" s="42">
        <f>+Tabla1[[#This Row],[Potencial Equipos]]+Tabla1[[#This Row],[Potencial Pipeline]]</f>
        <v>5991000</v>
      </c>
    </row>
    <row r="213" spans="1:40" ht="15.75" x14ac:dyDescent="0.25">
      <c r="A213" s="47" t="s">
        <v>459</v>
      </c>
      <c r="B213" t="str">
        <f>+VLOOKUP(Tabla1[[#This Row],[Cliente]],'[1]Público Privado'!$A$1:$B$325,2,FALSE)</f>
        <v>Público</v>
      </c>
      <c r="C213" s="23">
        <f>+SUMIFS('[1]Facturacion a Fecha'!$T:$T,'[1]Facturacion a Fecha'!$AY:$AY,Tabla1[[#This Row],[Cliente]])</f>
        <v>0</v>
      </c>
      <c r="D213" s="24">
        <f>+SUMIFS('[1]Facturacion a Fecha'!$T:$T,'[1]Facturacion a Fecha'!$AY:$AY,Tabla1[[#This Row],[Cliente]],'[1]Facturacion a Fecha'!$AX:$AX,"Correctivo")</f>
        <v>0</v>
      </c>
      <c r="E213" s="25">
        <f>+COUNTIFS('[1]Facturacion a Fecha'!AY:AY,Tabla1[[#This Row],[Cliente]],'[1]Facturacion a Fecha'!AX:AX,"Correctivo")</f>
        <v>0</v>
      </c>
      <c r="F213" s="25">
        <f>+SUMIFS('[1]Facturacion a Fecha'!$T:$T,'[1]Facturacion a Fecha'!$AY:$AY,Tabla1[[#This Row],[Cliente]],'[1]Facturacion a Fecha'!$AX:$AX,"Preventivo")</f>
        <v>0</v>
      </c>
      <c r="G213" s="25">
        <f>+COUNTIFS('[1]Facturacion a Fecha'!AY:AY,Tabla1[[#This Row],[Cliente]],'[1]Facturacion a Fecha'!AX:AX,"Preventivo")</f>
        <v>0</v>
      </c>
      <c r="H213" s="26">
        <f>+Tabla1[[#This Row],['# Preventivo]]+Tabla1[[#This Row],['# Correctivo]]</f>
        <v>0</v>
      </c>
      <c r="I213" s="23">
        <f>+IFERROR(Tabla1[[#This Row],[Ingreso 2025 - 2026 Correctivo]]/Tabla1[[#This Row],[Ingreso 2025 - 2026 Preventivo]],0)</f>
        <v>0</v>
      </c>
      <c r="J213" s="59">
        <f>+IFERROR(Tabla1[[#This Row],['# Correctivo]]/Tabla1[[#This Row],['# Preventivo]],0)</f>
        <v>0</v>
      </c>
      <c r="K213" s="60">
        <f>+IFERROR(Tabla1[[#This Row],[Ingreso 2025 - 2026 Preventivo]]/(Tabla1[[#This Row],[Ingreso 2025 - 2026 Correctivo]]+Tabla1[[#This Row],[Ingreso 2025 - 2026 Preventivo]]),0)</f>
        <v>0</v>
      </c>
      <c r="L213" s="60">
        <f>1-Tabla1[[#This Row],[% Preventivo $]]</f>
        <v>1</v>
      </c>
      <c r="M213" s="45">
        <f>+COUNTIFS('[1]Base Instalada'!AA:AA,Tabla1[[#This Row],[Cliente]])</f>
        <v>477</v>
      </c>
      <c r="N21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3" s="45">
        <f>+COUNTIFS('[1]Base Instalada'!AA:AA,Tabla1[[#This Row],[Cliente]],'[1]Base Instalada'!Z:Z,"ESTERILIZACIÓN")</f>
        <v>0</v>
      </c>
      <c r="P213" s="45">
        <f>+COUNTIFS('[1]Base Instalada'!AA:AA,Tabla1[[#This Row],[Cliente]],'[1]Base Instalada'!Z:Z,"DENTAL")</f>
        <v>20</v>
      </c>
      <c r="Q213" s="45">
        <f>+COUNTIFS('[1]Base Instalada'!AA:AA,Tabla1[[#This Row],[Cliente]],'[1]Base Instalada'!Z:Z,"ENDOSCOPÍA")</f>
        <v>3</v>
      </c>
      <c r="R213" s="45">
        <f>+COUNTIFS('[1]Base Instalada'!AA:AA,Tabla1[[#This Row],[Cliente]],'[1]Base Instalada'!Z:Z,"INCARDIA")</f>
        <v>26</v>
      </c>
      <c r="S213" s="45">
        <f>+COUNTIFS('[1]Base Instalada'!AA:AA,Tabla1[[#This Row],[Cliente]],'[1]Base Instalada'!Z:Z,"MMQ")</f>
        <v>0</v>
      </c>
      <c r="T213" s="45">
        <f>+COUNTIFS('[1]Base Instalada'!AA:AA,Tabla1[[#This Row],[Cliente]],'[1]Base Instalada'!Z:Z,"REAS")</f>
        <v>0</v>
      </c>
      <c r="U213" s="46">
        <f>+COUNTIFS('[1]Base Instalada'!AA:AA,Tabla1[[#This Row],[Cliente]],'[1]Base Instalada'!Z:Z,"MOBILIARIO CLINICO")</f>
        <v>428</v>
      </c>
      <c r="V213" s="29">
        <f>+COUNTIFS('[1]Base Instalada'!AA:AA,Tabla1[[#This Row],[Cliente]],'[1]Base Instalada'!Z:Z,"OTRO")</f>
        <v>0</v>
      </c>
      <c r="W213" s="61" t="str">
        <f t="shared" si="6"/>
        <v>Región Metropolitana</v>
      </c>
      <c r="X213" s="61" t="str">
        <f t="shared" si="7"/>
        <v>La Florida</v>
      </c>
      <c r="Y213" s="62" t="s">
        <v>460</v>
      </c>
      <c r="Z213" s="33">
        <f>+COUNTIFS('[1]Pipeline TS'!$F:$F,Tabla1[[#This Row],[Cliente]])</f>
        <v>0</v>
      </c>
      <c r="AA213" s="63">
        <f>SUMIFS('[1]Pipeline Esterilización'!M:M,'[1]Pipeline Esterilización'!E:E,Tabla1[[#This Row],[Cliente]],'[1]Pipeline Esterilización'!B:B,"2026",'[1]Pipeline Esterilización'!L:L,"&gt;0")</f>
        <v>0</v>
      </c>
      <c r="AB213" s="33">
        <f>+SUMIFS('[1]Pipeline Endoscopía'!K:K,'[1]Pipeline Endoscopía'!E:E,Tabla1[[#This Row],[Cliente]],'[1]Pipeline Endoscopía'!B:B,"2026",'[1]Pipeline Endoscopía'!J:J,"&gt;0")</f>
        <v>0</v>
      </c>
      <c r="AC213" s="63">
        <f>+SUMIFS('[1]Pipeline Dental'!K:K,'[1]Pipeline Dental'!E:E,Tabla1[[#This Row],[Cliente]],'[1]Pipeline Dental'!B:B,"2026",'[1]Pipeline Dental'!J:J,"&gt;0")</f>
        <v>0</v>
      </c>
      <c r="AD213" s="64">
        <f>+SUMIFS('[1]Pipeline TS'!$AB:$AB,'[1]Pipeline TS'!$F:$F,Tabla1[[#This Row],[Cliente]])</f>
        <v>0</v>
      </c>
      <c r="AE213" s="65">
        <f>+SUM(Tabla1[[#This Row],[Pipeline 2026 $MM ESTERILIZACIÓN]:[Pipeline 2026 $MM TECSERVICE]])</f>
        <v>0</v>
      </c>
      <c r="AF213" s="43">
        <v>-33.5137078338376</v>
      </c>
      <c r="AG213" s="58">
        <v>-70.6003170045216</v>
      </c>
      <c r="AH213" s="57" t="str">
        <f>+IF(Tabla1[[#This Row],['# Contratos Vigentes ]]&gt;0,"SI","NO")</f>
        <v>NO</v>
      </c>
      <c r="AI213" s="66"/>
      <c r="AJ213" s="67">
        <f>+Tabla1[[#This Row],[Ingreso 2025 - 2026]]*Tabla1[[#This Row],[% Costo Serv. Directo]]</f>
        <v>0</v>
      </c>
      <c r="AK213" s="68"/>
      <c r="AL21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14562738.461538462</v>
      </c>
      <c r="AN213" s="42">
        <f>+Tabla1[[#This Row],[Potencial Equipos]]+Tabla1[[#This Row],[Potencial Pipeline]]</f>
        <v>14562738.461538462</v>
      </c>
    </row>
    <row r="214" spans="1:40" ht="15.75" x14ac:dyDescent="0.25">
      <c r="A214" s="47" t="s">
        <v>461</v>
      </c>
      <c r="B214" t="str">
        <f>+VLOOKUP(Tabla1[[#This Row],[Cliente]],'[1]Público Privado'!$A$1:$B$325,2,FALSE)</f>
        <v>Privado</v>
      </c>
      <c r="C214" s="23">
        <f>+SUMIFS('[1]Facturacion a Fecha'!$T:$T,'[1]Facturacion a Fecha'!$AY:$AY,Tabla1[[#This Row],[Cliente]])</f>
        <v>0</v>
      </c>
      <c r="D214" s="24">
        <f>+SUMIFS('[1]Facturacion a Fecha'!$T:$T,'[1]Facturacion a Fecha'!$AY:$AY,Tabla1[[#This Row],[Cliente]],'[1]Facturacion a Fecha'!$AX:$AX,"Correctivo")</f>
        <v>0</v>
      </c>
      <c r="E214" s="25">
        <f>+COUNTIFS('[1]Facturacion a Fecha'!AY:AY,Tabla1[[#This Row],[Cliente]],'[1]Facturacion a Fecha'!AX:AX,"Correctivo")</f>
        <v>0</v>
      </c>
      <c r="F214" s="25">
        <f>+SUMIFS('[1]Facturacion a Fecha'!$T:$T,'[1]Facturacion a Fecha'!$AY:$AY,Tabla1[[#This Row],[Cliente]],'[1]Facturacion a Fecha'!$AX:$AX,"Preventivo")</f>
        <v>0</v>
      </c>
      <c r="G214" s="25">
        <f>+COUNTIFS('[1]Facturacion a Fecha'!AY:AY,Tabla1[[#This Row],[Cliente]],'[1]Facturacion a Fecha'!AX:AX,"Preventivo")</f>
        <v>0</v>
      </c>
      <c r="H214" s="26">
        <f>+Tabla1[[#This Row],['# Preventivo]]+Tabla1[[#This Row],['# Correctivo]]</f>
        <v>0</v>
      </c>
      <c r="I214" s="23">
        <f>+IFERROR(Tabla1[[#This Row],[Ingreso 2025 - 2026 Correctivo]]/Tabla1[[#This Row],[Ingreso 2025 - 2026 Preventivo]],0)</f>
        <v>0</v>
      </c>
      <c r="J214" s="59">
        <f>+IFERROR(Tabla1[[#This Row],['# Correctivo]]/Tabla1[[#This Row],['# Preventivo]],0)</f>
        <v>0</v>
      </c>
      <c r="K214" s="60">
        <f>+IFERROR(Tabla1[[#This Row],[Ingreso 2025 - 2026 Preventivo]]/(Tabla1[[#This Row],[Ingreso 2025 - 2026 Correctivo]]+Tabla1[[#This Row],[Ingreso 2025 - 2026 Preventivo]]),0)</f>
        <v>0</v>
      </c>
      <c r="L214" s="60">
        <f>1-Tabla1[[#This Row],[% Preventivo $]]</f>
        <v>1</v>
      </c>
      <c r="M214" s="45">
        <f>+COUNTIFS('[1]Base Instalada'!AA:AA,Tabla1[[#This Row],[Cliente]])</f>
        <v>56</v>
      </c>
      <c r="N21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4" s="45">
        <f>+COUNTIFS('[1]Base Instalada'!AA:AA,Tabla1[[#This Row],[Cliente]],'[1]Base Instalada'!Z:Z,"ESTERILIZACIÓN")</f>
        <v>1</v>
      </c>
      <c r="P214" s="45">
        <f>+COUNTIFS('[1]Base Instalada'!AA:AA,Tabla1[[#This Row],[Cliente]],'[1]Base Instalada'!Z:Z,"DENTAL")</f>
        <v>55</v>
      </c>
      <c r="Q214" s="45">
        <f>+COUNTIFS('[1]Base Instalada'!AA:AA,Tabla1[[#This Row],[Cliente]],'[1]Base Instalada'!Z:Z,"ENDOSCOPÍA")</f>
        <v>0</v>
      </c>
      <c r="R214" s="45">
        <f>+COUNTIFS('[1]Base Instalada'!AA:AA,Tabla1[[#This Row],[Cliente]],'[1]Base Instalada'!Z:Z,"INCARDIA")</f>
        <v>0</v>
      </c>
      <c r="S214" s="45">
        <f>+COUNTIFS('[1]Base Instalada'!AA:AA,Tabla1[[#This Row],[Cliente]],'[1]Base Instalada'!Z:Z,"MMQ")</f>
        <v>0</v>
      </c>
      <c r="T214" s="45">
        <f>+COUNTIFS('[1]Base Instalada'!AA:AA,Tabla1[[#This Row],[Cliente]],'[1]Base Instalada'!Z:Z,"REAS")</f>
        <v>0</v>
      </c>
      <c r="U214" s="46">
        <f>+COUNTIFS('[1]Base Instalada'!AA:AA,Tabla1[[#This Row],[Cliente]],'[1]Base Instalada'!Z:Z,"MOBILIARIO CLINICO")</f>
        <v>0</v>
      </c>
      <c r="V214" s="29">
        <f>+COUNTIFS('[1]Base Instalada'!AA:AA,Tabla1[[#This Row],[Cliente]],'[1]Base Instalada'!Z:Z,"OTRO")</f>
        <v>0</v>
      </c>
      <c r="W214" s="61" t="str">
        <f t="shared" si="6"/>
        <v>Región Metropolitana</v>
      </c>
      <c r="X214" s="61" t="str">
        <f t="shared" si="7"/>
        <v>Puente Alto</v>
      </c>
      <c r="Y214" s="62" t="s">
        <v>462</v>
      </c>
      <c r="Z214" s="33">
        <f>+COUNTIFS('[1]Pipeline TS'!$F:$F,Tabla1[[#This Row],[Cliente]])</f>
        <v>0</v>
      </c>
      <c r="AA214" s="63">
        <f>SUMIFS('[1]Pipeline Esterilización'!M:M,'[1]Pipeline Esterilización'!E:E,Tabla1[[#This Row],[Cliente]],'[1]Pipeline Esterilización'!B:B,"2026",'[1]Pipeline Esterilización'!L:L,"&gt;0")</f>
        <v>0</v>
      </c>
      <c r="AB214" s="33">
        <f>+SUMIFS('[1]Pipeline Endoscopía'!K:K,'[1]Pipeline Endoscopía'!E:E,Tabla1[[#This Row],[Cliente]],'[1]Pipeline Endoscopía'!B:B,"2026",'[1]Pipeline Endoscopía'!J:J,"&gt;0")</f>
        <v>0</v>
      </c>
      <c r="AC214" s="63">
        <f>+SUMIFS('[1]Pipeline Dental'!K:K,'[1]Pipeline Dental'!E:E,Tabla1[[#This Row],[Cliente]],'[1]Pipeline Dental'!B:B,"2026",'[1]Pipeline Dental'!J:J,"&gt;0")</f>
        <v>0</v>
      </c>
      <c r="AD214" s="64">
        <f>+SUMIFS('[1]Pipeline TS'!$AB:$AB,'[1]Pipeline TS'!$F:$F,Tabla1[[#This Row],[Cliente]])</f>
        <v>0</v>
      </c>
      <c r="AE214" s="65">
        <f>+SUM(Tabla1[[#This Row],[Pipeline 2026 $MM ESTERILIZACIÓN]:[Pipeline 2026 $MM TECSERVICE]])</f>
        <v>0</v>
      </c>
      <c r="AF214" s="43">
        <v>-33.568740425284901</v>
      </c>
      <c r="AG214" s="58">
        <v>-70.556885818012503</v>
      </c>
      <c r="AH214" s="57" t="str">
        <f>+IF(Tabla1[[#This Row],['# Contratos Vigentes ]]&gt;0,"SI","NO")</f>
        <v>NO</v>
      </c>
      <c r="AI214" s="66"/>
      <c r="AJ214" s="67">
        <f>+Tabla1[[#This Row],[Ingreso 2025 - 2026]]*Tabla1[[#This Row],[% Costo Serv. Directo]]</f>
        <v>0</v>
      </c>
      <c r="AK214" s="68"/>
      <c r="AL21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34947500</v>
      </c>
      <c r="AN214" s="42">
        <f>+Tabla1[[#This Row],[Potencial Equipos]]+Tabla1[[#This Row],[Potencial Pipeline]]</f>
        <v>34947500</v>
      </c>
    </row>
    <row r="215" spans="1:40" ht="15.75" x14ac:dyDescent="0.25">
      <c r="A215" s="47" t="s">
        <v>463</v>
      </c>
      <c r="B215" t="str">
        <f>+VLOOKUP(Tabla1[[#This Row],[Cliente]],'[1]Público Privado'!$A$1:$B$325,2,FALSE)</f>
        <v>Privado</v>
      </c>
      <c r="C215" s="23">
        <f>+SUMIFS('[1]Facturacion a Fecha'!$T:$T,'[1]Facturacion a Fecha'!$AY:$AY,Tabla1[[#This Row],[Cliente]])</f>
        <v>0</v>
      </c>
      <c r="D215" s="24">
        <f>+SUMIFS('[1]Facturacion a Fecha'!$T:$T,'[1]Facturacion a Fecha'!$AY:$AY,Tabla1[[#This Row],[Cliente]],'[1]Facturacion a Fecha'!$AX:$AX,"Correctivo")</f>
        <v>0</v>
      </c>
      <c r="E215" s="25">
        <f>+COUNTIFS('[1]Facturacion a Fecha'!AY:AY,Tabla1[[#This Row],[Cliente]],'[1]Facturacion a Fecha'!AX:AX,"Correctivo")</f>
        <v>0</v>
      </c>
      <c r="F215" s="25">
        <f>+SUMIFS('[1]Facturacion a Fecha'!$T:$T,'[1]Facturacion a Fecha'!$AY:$AY,Tabla1[[#This Row],[Cliente]],'[1]Facturacion a Fecha'!$AX:$AX,"Preventivo")</f>
        <v>0</v>
      </c>
      <c r="G215" s="25">
        <f>+COUNTIFS('[1]Facturacion a Fecha'!AY:AY,Tabla1[[#This Row],[Cliente]],'[1]Facturacion a Fecha'!AX:AX,"Preventivo")</f>
        <v>0</v>
      </c>
      <c r="H215" s="26">
        <f>+Tabla1[[#This Row],['# Preventivo]]+Tabla1[[#This Row],['# Correctivo]]</f>
        <v>0</v>
      </c>
      <c r="I215" s="23">
        <f>+IFERROR(Tabla1[[#This Row],[Ingreso 2025 - 2026 Correctivo]]/Tabla1[[#This Row],[Ingreso 2025 - 2026 Preventivo]],0)</f>
        <v>0</v>
      </c>
      <c r="J215" s="59">
        <f>+IFERROR(Tabla1[[#This Row],['# Correctivo]]/Tabla1[[#This Row],['# Preventivo]],0)</f>
        <v>0</v>
      </c>
      <c r="K215" s="60">
        <f>+IFERROR(Tabla1[[#This Row],[Ingreso 2025 - 2026 Preventivo]]/(Tabla1[[#This Row],[Ingreso 2025 - 2026 Correctivo]]+Tabla1[[#This Row],[Ingreso 2025 - 2026 Preventivo]]),0)</f>
        <v>0</v>
      </c>
      <c r="L215" s="60">
        <f>1-Tabla1[[#This Row],[% Preventivo $]]</f>
        <v>1</v>
      </c>
      <c r="M215" s="45">
        <f>+COUNTIFS('[1]Base Instalada'!AA:AA,Tabla1[[#This Row],[Cliente]])</f>
        <v>40</v>
      </c>
      <c r="N21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5" s="45">
        <f>+COUNTIFS('[1]Base Instalada'!AA:AA,Tabla1[[#This Row],[Cliente]],'[1]Base Instalada'!Z:Z,"ESTERILIZACIÓN")</f>
        <v>0</v>
      </c>
      <c r="P215" s="45">
        <f>+COUNTIFS('[1]Base Instalada'!AA:AA,Tabla1[[#This Row],[Cliente]],'[1]Base Instalada'!Z:Z,"DENTAL")</f>
        <v>40</v>
      </c>
      <c r="Q215" s="45">
        <f>+COUNTIFS('[1]Base Instalada'!AA:AA,Tabla1[[#This Row],[Cliente]],'[1]Base Instalada'!Z:Z,"ENDOSCOPÍA")</f>
        <v>0</v>
      </c>
      <c r="R215" s="45">
        <f>+COUNTIFS('[1]Base Instalada'!AA:AA,Tabla1[[#This Row],[Cliente]],'[1]Base Instalada'!Z:Z,"INCARDIA")</f>
        <v>0</v>
      </c>
      <c r="S215" s="45">
        <f>+COUNTIFS('[1]Base Instalada'!AA:AA,Tabla1[[#This Row],[Cliente]],'[1]Base Instalada'!Z:Z,"MMQ")</f>
        <v>0</v>
      </c>
      <c r="T215" s="45">
        <f>+COUNTIFS('[1]Base Instalada'!AA:AA,Tabla1[[#This Row],[Cliente]],'[1]Base Instalada'!Z:Z,"REAS")</f>
        <v>0</v>
      </c>
      <c r="U215" s="46">
        <f>+COUNTIFS('[1]Base Instalada'!AA:AA,Tabla1[[#This Row],[Cliente]],'[1]Base Instalada'!Z:Z,"MOBILIARIO CLINICO")</f>
        <v>0</v>
      </c>
      <c r="V215" s="29">
        <f>+COUNTIFS('[1]Base Instalada'!AA:AA,Tabla1[[#This Row],[Cliente]],'[1]Base Instalada'!Z:Z,"OTRO")</f>
        <v>0</v>
      </c>
      <c r="W215" s="61" t="str">
        <f t="shared" si="6"/>
        <v>Región Metropolitana</v>
      </c>
      <c r="X215" s="61" t="str">
        <f t="shared" si="7"/>
        <v>Las Condes</v>
      </c>
      <c r="Y215" s="62" t="s">
        <v>464</v>
      </c>
      <c r="Z215" s="33">
        <f>+COUNTIFS('[1]Pipeline TS'!$F:$F,Tabla1[[#This Row],[Cliente]])</f>
        <v>0</v>
      </c>
      <c r="AA215" s="63">
        <f>SUMIFS('[1]Pipeline Esterilización'!M:M,'[1]Pipeline Esterilización'!E:E,Tabla1[[#This Row],[Cliente]],'[1]Pipeline Esterilización'!B:B,"2026",'[1]Pipeline Esterilización'!L:L,"&gt;0")</f>
        <v>0</v>
      </c>
      <c r="AB215" s="33">
        <f>+SUMIFS('[1]Pipeline Endoscopía'!K:K,'[1]Pipeline Endoscopía'!E:E,Tabla1[[#This Row],[Cliente]],'[1]Pipeline Endoscopía'!B:B,"2026",'[1]Pipeline Endoscopía'!J:J,"&gt;0")</f>
        <v>0</v>
      </c>
      <c r="AC215" s="63">
        <f>+SUMIFS('[1]Pipeline Dental'!K:K,'[1]Pipeline Dental'!E:E,Tabla1[[#This Row],[Cliente]],'[1]Pipeline Dental'!B:B,"2026",'[1]Pipeline Dental'!J:J,"&gt;0")</f>
        <v>0</v>
      </c>
      <c r="AD215" s="64">
        <f>+SUMIFS('[1]Pipeline TS'!$AB:$AB,'[1]Pipeline TS'!$F:$F,Tabla1[[#This Row],[Cliente]])</f>
        <v>0</v>
      </c>
      <c r="AE215" s="65">
        <f>+SUM(Tabla1[[#This Row],[Pipeline 2026 $MM ESTERILIZACIÓN]:[Pipeline 2026 $MM TECSERVICE]])</f>
        <v>0</v>
      </c>
      <c r="AF215" s="43">
        <v>-33.410915124583902</v>
      </c>
      <c r="AG215" s="58">
        <v>-70.566849119868706</v>
      </c>
      <c r="AH215" s="57" t="str">
        <f>+IF(Tabla1[[#This Row],['# Contratos Vigentes ]]&gt;0,"SI","NO")</f>
        <v>NO</v>
      </c>
      <c r="AI215" s="66"/>
      <c r="AJ215" s="67">
        <f>+Tabla1[[#This Row],[Ingreso 2025 - 2026]]*Tabla1[[#This Row],[% Costo Serv. Directo]]</f>
        <v>0</v>
      </c>
      <c r="AK215" s="68"/>
      <c r="AL21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23964000</v>
      </c>
      <c r="AN215" s="42">
        <f>+Tabla1[[#This Row],[Potencial Equipos]]+Tabla1[[#This Row],[Potencial Pipeline]]</f>
        <v>23964000</v>
      </c>
    </row>
    <row r="216" spans="1:40" ht="15.75" x14ac:dyDescent="0.25">
      <c r="A216" s="47" t="s">
        <v>465</v>
      </c>
      <c r="B216" t="str">
        <f>+VLOOKUP(Tabla1[[#This Row],[Cliente]],'[1]Público Privado'!$A$1:$B$325,2,FALSE)</f>
        <v>Privado</v>
      </c>
      <c r="C216" s="23">
        <f>+SUMIFS('[1]Facturacion a Fecha'!$T:$T,'[1]Facturacion a Fecha'!$AY:$AY,Tabla1[[#This Row],[Cliente]])</f>
        <v>0</v>
      </c>
      <c r="D216" s="24">
        <f>+SUMIFS('[1]Facturacion a Fecha'!$T:$T,'[1]Facturacion a Fecha'!$AY:$AY,Tabla1[[#This Row],[Cliente]],'[1]Facturacion a Fecha'!$AX:$AX,"Correctivo")</f>
        <v>0</v>
      </c>
      <c r="E216" s="25">
        <f>+COUNTIFS('[1]Facturacion a Fecha'!AY:AY,Tabla1[[#This Row],[Cliente]],'[1]Facturacion a Fecha'!AX:AX,"Correctivo")</f>
        <v>0</v>
      </c>
      <c r="F216" s="25">
        <f>+SUMIFS('[1]Facturacion a Fecha'!$T:$T,'[1]Facturacion a Fecha'!$AY:$AY,Tabla1[[#This Row],[Cliente]],'[1]Facturacion a Fecha'!$AX:$AX,"Preventivo")</f>
        <v>0</v>
      </c>
      <c r="G216" s="25">
        <f>+COUNTIFS('[1]Facturacion a Fecha'!AY:AY,Tabla1[[#This Row],[Cliente]],'[1]Facturacion a Fecha'!AX:AX,"Preventivo")</f>
        <v>0</v>
      </c>
      <c r="H216" s="26">
        <f>+Tabla1[[#This Row],['# Preventivo]]+Tabla1[[#This Row],['# Correctivo]]</f>
        <v>0</v>
      </c>
      <c r="I216" s="23">
        <f>+IFERROR(Tabla1[[#This Row],[Ingreso 2025 - 2026 Correctivo]]/Tabla1[[#This Row],[Ingreso 2025 - 2026 Preventivo]],0)</f>
        <v>0</v>
      </c>
      <c r="J216" s="59">
        <f>+IFERROR(Tabla1[[#This Row],['# Correctivo]]/Tabla1[[#This Row],['# Preventivo]],0)</f>
        <v>0</v>
      </c>
      <c r="K216" s="60">
        <f>+IFERROR(Tabla1[[#This Row],[Ingreso 2025 - 2026 Preventivo]]/(Tabla1[[#This Row],[Ingreso 2025 - 2026 Correctivo]]+Tabla1[[#This Row],[Ingreso 2025 - 2026 Preventivo]]),0)</f>
        <v>0</v>
      </c>
      <c r="L216" s="60">
        <f>1-Tabla1[[#This Row],[% Preventivo $]]</f>
        <v>1</v>
      </c>
      <c r="M216" s="45">
        <f>+COUNTIFS('[1]Base Instalada'!AA:AA,Tabla1[[#This Row],[Cliente]])</f>
        <v>43</v>
      </c>
      <c r="N21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6" s="45">
        <f>+COUNTIFS('[1]Base Instalada'!AA:AA,Tabla1[[#This Row],[Cliente]],'[1]Base Instalada'!Z:Z,"ESTERILIZACIÓN")</f>
        <v>0</v>
      </c>
      <c r="P216" s="45">
        <f>+COUNTIFS('[1]Base Instalada'!AA:AA,Tabla1[[#This Row],[Cliente]],'[1]Base Instalada'!Z:Z,"DENTAL")</f>
        <v>43</v>
      </c>
      <c r="Q216" s="45">
        <f>+COUNTIFS('[1]Base Instalada'!AA:AA,Tabla1[[#This Row],[Cliente]],'[1]Base Instalada'!Z:Z,"ENDOSCOPÍA")</f>
        <v>0</v>
      </c>
      <c r="R216" s="45">
        <f>+COUNTIFS('[1]Base Instalada'!AA:AA,Tabla1[[#This Row],[Cliente]],'[1]Base Instalada'!Z:Z,"INCARDIA")</f>
        <v>0</v>
      </c>
      <c r="S216" s="45">
        <f>+COUNTIFS('[1]Base Instalada'!AA:AA,Tabla1[[#This Row],[Cliente]],'[1]Base Instalada'!Z:Z,"MMQ")</f>
        <v>0</v>
      </c>
      <c r="T216" s="45">
        <f>+COUNTIFS('[1]Base Instalada'!AA:AA,Tabla1[[#This Row],[Cliente]],'[1]Base Instalada'!Z:Z,"REAS")</f>
        <v>0</v>
      </c>
      <c r="U216" s="46">
        <f>+COUNTIFS('[1]Base Instalada'!AA:AA,Tabla1[[#This Row],[Cliente]],'[1]Base Instalada'!Z:Z,"MOBILIARIO CLINICO")</f>
        <v>0</v>
      </c>
      <c r="V216" s="29">
        <f>+COUNTIFS('[1]Base Instalada'!AA:AA,Tabla1[[#This Row],[Cliente]],'[1]Base Instalada'!Z:Z,"OTRO")</f>
        <v>0</v>
      </c>
      <c r="W216" s="61" t="str">
        <f t="shared" ref="W216:W279" si="8">TRIM(RIGHT(Y216,LEN(Y216)-FIND("@",SUBSTITUTE(Y216,",","@",LEN(Y216)-LEN(SUBSTITUTE(Y216,",",""))))))</f>
        <v>Región Metropolitana</v>
      </c>
      <c r="X216" s="61" t="str">
        <f t="shared" ref="X216:X279" si="9">TRIM(MID(Y216,FIND("@",SUBSTITUTE(Y216,",","@",LEN(Y216)-LEN(SUBSTITUTE(Y216,",",""))-1))+1,FIND("@",SUBSTITUTE(Y216,",","@",LEN(Y216)-LEN(SUBSTITUTE(Y216,",",""))))-FIND("@",SUBSTITUTE(Y216,",","@",LEN(Y216)-LEN(SUBSTITUTE(Y216,",",""))-1))-1))</f>
        <v>Cerrillos</v>
      </c>
      <c r="Y216" s="62" t="s">
        <v>466</v>
      </c>
      <c r="Z216" s="33">
        <f>+COUNTIFS('[1]Pipeline TS'!$F:$F,Tabla1[[#This Row],[Cliente]])</f>
        <v>0</v>
      </c>
      <c r="AA216" s="63">
        <f>SUMIFS('[1]Pipeline Esterilización'!M:M,'[1]Pipeline Esterilización'!E:E,Tabla1[[#This Row],[Cliente]],'[1]Pipeline Esterilización'!B:B,"2026",'[1]Pipeline Esterilización'!L:L,"&gt;0")</f>
        <v>0</v>
      </c>
      <c r="AB216" s="33">
        <f>+SUMIFS('[1]Pipeline Endoscopía'!K:K,'[1]Pipeline Endoscopía'!E:E,Tabla1[[#This Row],[Cliente]],'[1]Pipeline Endoscopía'!B:B,"2026",'[1]Pipeline Endoscopía'!J:J,"&gt;0")</f>
        <v>0</v>
      </c>
      <c r="AC216" s="63">
        <f>+SUMIFS('[1]Pipeline Dental'!K:K,'[1]Pipeline Dental'!E:E,Tabla1[[#This Row],[Cliente]],'[1]Pipeline Dental'!B:B,"2026",'[1]Pipeline Dental'!J:J,"&gt;0")</f>
        <v>0</v>
      </c>
      <c r="AD216" s="64">
        <f>+SUMIFS('[1]Pipeline TS'!$AB:$AB,'[1]Pipeline TS'!$F:$F,Tabla1[[#This Row],[Cliente]])</f>
        <v>0</v>
      </c>
      <c r="AE216" s="65">
        <f>+SUM(Tabla1[[#This Row],[Pipeline 2026 $MM ESTERILIZACIÓN]:[Pipeline 2026 $MM TECSERVICE]])</f>
        <v>0</v>
      </c>
      <c r="AF216" s="43">
        <v>-33.5164553343457</v>
      </c>
      <c r="AG216" s="58">
        <v>-70.718087602674004</v>
      </c>
      <c r="AH216" s="57" t="str">
        <f>+IF(Tabla1[[#This Row],['# Contratos Vigentes ]]&gt;0,"SI","NO")</f>
        <v>NO</v>
      </c>
      <c r="AI216" s="66"/>
      <c r="AJ216" s="67">
        <f>+Tabla1[[#This Row],[Ingreso 2025 - 2026]]*Tabla1[[#This Row],[% Costo Serv. Directo]]</f>
        <v>0</v>
      </c>
      <c r="AK216" s="68"/>
      <c r="AL21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25761300</v>
      </c>
      <c r="AN216" s="42">
        <f>+Tabla1[[#This Row],[Potencial Equipos]]+Tabla1[[#This Row],[Potencial Pipeline]]</f>
        <v>25761300</v>
      </c>
    </row>
    <row r="217" spans="1:40" ht="15.75" x14ac:dyDescent="0.25">
      <c r="A217" s="47" t="s">
        <v>467</v>
      </c>
      <c r="B217" t="str">
        <f>+VLOOKUP(Tabla1[[#This Row],[Cliente]],'[1]Público Privado'!$A$1:$B$325,2,FALSE)</f>
        <v>Privado</v>
      </c>
      <c r="C217" s="23">
        <f>+SUMIFS('[1]Facturacion a Fecha'!$T:$T,'[1]Facturacion a Fecha'!$AY:$AY,Tabla1[[#This Row],[Cliente]])</f>
        <v>0</v>
      </c>
      <c r="D217" s="24">
        <f>+SUMIFS('[1]Facturacion a Fecha'!$T:$T,'[1]Facturacion a Fecha'!$AY:$AY,Tabla1[[#This Row],[Cliente]],'[1]Facturacion a Fecha'!$AX:$AX,"Correctivo")</f>
        <v>0</v>
      </c>
      <c r="E217" s="25">
        <f>+COUNTIFS('[1]Facturacion a Fecha'!AY:AY,Tabla1[[#This Row],[Cliente]],'[1]Facturacion a Fecha'!AX:AX,"Correctivo")</f>
        <v>0</v>
      </c>
      <c r="F217" s="25">
        <f>+SUMIFS('[1]Facturacion a Fecha'!$T:$T,'[1]Facturacion a Fecha'!$AY:$AY,Tabla1[[#This Row],[Cliente]],'[1]Facturacion a Fecha'!$AX:$AX,"Preventivo")</f>
        <v>0</v>
      </c>
      <c r="G217" s="25">
        <f>+COUNTIFS('[1]Facturacion a Fecha'!AY:AY,Tabla1[[#This Row],[Cliente]],'[1]Facturacion a Fecha'!AX:AX,"Preventivo")</f>
        <v>0</v>
      </c>
      <c r="H217" s="26">
        <f>+Tabla1[[#This Row],['# Preventivo]]+Tabla1[[#This Row],['# Correctivo]]</f>
        <v>0</v>
      </c>
      <c r="I217" s="23">
        <f>+IFERROR(Tabla1[[#This Row],[Ingreso 2025 - 2026 Correctivo]]/Tabla1[[#This Row],[Ingreso 2025 - 2026 Preventivo]],0)</f>
        <v>0</v>
      </c>
      <c r="J217" s="59">
        <f>+IFERROR(Tabla1[[#This Row],['# Correctivo]]/Tabla1[[#This Row],['# Preventivo]],0)</f>
        <v>0</v>
      </c>
      <c r="K217" s="60">
        <f>+IFERROR(Tabla1[[#This Row],[Ingreso 2025 - 2026 Preventivo]]/(Tabla1[[#This Row],[Ingreso 2025 - 2026 Correctivo]]+Tabla1[[#This Row],[Ingreso 2025 - 2026 Preventivo]]),0)</f>
        <v>0</v>
      </c>
      <c r="L217" s="60">
        <f>1-Tabla1[[#This Row],[% Preventivo $]]</f>
        <v>1</v>
      </c>
      <c r="M217" s="45">
        <f>+COUNTIFS('[1]Base Instalada'!AA:AA,Tabla1[[#This Row],[Cliente]])</f>
        <v>17</v>
      </c>
      <c r="N21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7" s="45">
        <f>+COUNTIFS('[1]Base Instalada'!AA:AA,Tabla1[[#This Row],[Cliente]],'[1]Base Instalada'!Z:Z,"ESTERILIZACIÓN")</f>
        <v>0</v>
      </c>
      <c r="P217" s="45">
        <f>+COUNTIFS('[1]Base Instalada'!AA:AA,Tabla1[[#This Row],[Cliente]],'[1]Base Instalada'!Z:Z,"DENTAL")</f>
        <v>17</v>
      </c>
      <c r="Q217" s="45">
        <f>+COUNTIFS('[1]Base Instalada'!AA:AA,Tabla1[[#This Row],[Cliente]],'[1]Base Instalada'!Z:Z,"ENDOSCOPÍA")</f>
        <v>0</v>
      </c>
      <c r="R217" s="45">
        <f>+COUNTIFS('[1]Base Instalada'!AA:AA,Tabla1[[#This Row],[Cliente]],'[1]Base Instalada'!Z:Z,"INCARDIA")</f>
        <v>0</v>
      </c>
      <c r="S217" s="45">
        <f>+COUNTIFS('[1]Base Instalada'!AA:AA,Tabla1[[#This Row],[Cliente]],'[1]Base Instalada'!Z:Z,"MMQ")</f>
        <v>0</v>
      </c>
      <c r="T217" s="45">
        <f>+COUNTIFS('[1]Base Instalada'!AA:AA,Tabla1[[#This Row],[Cliente]],'[1]Base Instalada'!Z:Z,"REAS")</f>
        <v>0</v>
      </c>
      <c r="U217" s="46">
        <f>+COUNTIFS('[1]Base Instalada'!AA:AA,Tabla1[[#This Row],[Cliente]],'[1]Base Instalada'!Z:Z,"MOBILIARIO CLINICO")</f>
        <v>0</v>
      </c>
      <c r="V217" s="29">
        <f>+COUNTIFS('[1]Base Instalada'!AA:AA,Tabla1[[#This Row],[Cliente]],'[1]Base Instalada'!Z:Z,"OTRO")</f>
        <v>0</v>
      </c>
      <c r="W217" s="61" t="str">
        <f t="shared" si="8"/>
        <v>Región Metropolitana</v>
      </c>
      <c r="X217" s="61" t="str">
        <f t="shared" si="9"/>
        <v>San Miguel</v>
      </c>
      <c r="Y217" s="62" t="s">
        <v>468</v>
      </c>
      <c r="Z217" s="33">
        <f>+COUNTIFS('[1]Pipeline TS'!$F:$F,Tabla1[[#This Row],[Cliente]])</f>
        <v>0</v>
      </c>
      <c r="AA217" s="63">
        <f>SUMIFS('[1]Pipeline Esterilización'!M:M,'[1]Pipeline Esterilización'!E:E,Tabla1[[#This Row],[Cliente]],'[1]Pipeline Esterilización'!B:B,"2026",'[1]Pipeline Esterilización'!L:L,"&gt;0")</f>
        <v>0</v>
      </c>
      <c r="AB217" s="33">
        <f>+SUMIFS('[1]Pipeline Endoscopía'!K:K,'[1]Pipeline Endoscopía'!E:E,Tabla1[[#This Row],[Cliente]],'[1]Pipeline Endoscopía'!B:B,"2026",'[1]Pipeline Endoscopía'!J:J,"&gt;0")</f>
        <v>0</v>
      </c>
      <c r="AC217" s="63">
        <f>+SUMIFS('[1]Pipeline Dental'!K:K,'[1]Pipeline Dental'!E:E,Tabla1[[#This Row],[Cliente]],'[1]Pipeline Dental'!B:B,"2026",'[1]Pipeline Dental'!J:J,"&gt;0")</f>
        <v>0</v>
      </c>
      <c r="AD217" s="64">
        <f>+SUMIFS('[1]Pipeline TS'!$AB:$AB,'[1]Pipeline TS'!$F:$F,Tabla1[[#This Row],[Cliente]])</f>
        <v>0</v>
      </c>
      <c r="AE217" s="65">
        <f>+SUM(Tabla1[[#This Row],[Pipeline 2026 $MM ESTERILIZACIÓN]:[Pipeline 2026 $MM TECSERVICE]])</f>
        <v>0</v>
      </c>
      <c r="AF217" s="43">
        <v>-33.489715038494403</v>
      </c>
      <c r="AG217" s="58">
        <v>-70.6520147486996</v>
      </c>
      <c r="AH217" s="57" t="str">
        <f>+IF(Tabla1[[#This Row],['# Contratos Vigentes ]]&gt;0,"SI","NO")</f>
        <v>NO</v>
      </c>
      <c r="AI217" s="66"/>
      <c r="AJ217" s="67">
        <f>+Tabla1[[#This Row],[Ingreso 2025 - 2026]]*Tabla1[[#This Row],[% Costo Serv. Directo]]</f>
        <v>0</v>
      </c>
      <c r="AK217" s="68"/>
      <c r="AL21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10184700</v>
      </c>
      <c r="AN217" s="42">
        <f>+Tabla1[[#This Row],[Potencial Equipos]]+Tabla1[[#This Row],[Potencial Pipeline]]</f>
        <v>10184700</v>
      </c>
    </row>
    <row r="218" spans="1:40" ht="15.75" x14ac:dyDescent="0.25">
      <c r="A218" s="47" t="s">
        <v>469</v>
      </c>
      <c r="B218" t="str">
        <f>+VLOOKUP(Tabla1[[#This Row],[Cliente]],'[1]Público Privado'!$A$1:$B$325,2,FALSE)</f>
        <v>Privado</v>
      </c>
      <c r="C218" s="23">
        <f>+SUMIFS('[1]Facturacion a Fecha'!$T:$T,'[1]Facturacion a Fecha'!$AY:$AY,Tabla1[[#This Row],[Cliente]])</f>
        <v>0</v>
      </c>
      <c r="D218" s="24">
        <f>+SUMIFS('[1]Facturacion a Fecha'!$T:$T,'[1]Facturacion a Fecha'!$AY:$AY,Tabla1[[#This Row],[Cliente]],'[1]Facturacion a Fecha'!$AX:$AX,"Correctivo")</f>
        <v>0</v>
      </c>
      <c r="E218" s="25">
        <f>+COUNTIFS('[1]Facturacion a Fecha'!AY:AY,Tabla1[[#This Row],[Cliente]],'[1]Facturacion a Fecha'!AX:AX,"Correctivo")</f>
        <v>0</v>
      </c>
      <c r="F218" s="25">
        <f>+SUMIFS('[1]Facturacion a Fecha'!$T:$T,'[1]Facturacion a Fecha'!$AY:$AY,Tabla1[[#This Row],[Cliente]],'[1]Facturacion a Fecha'!$AX:$AX,"Preventivo")</f>
        <v>0</v>
      </c>
      <c r="G218" s="25">
        <f>+COUNTIFS('[1]Facturacion a Fecha'!AY:AY,Tabla1[[#This Row],[Cliente]],'[1]Facturacion a Fecha'!AX:AX,"Preventivo")</f>
        <v>0</v>
      </c>
      <c r="H218" s="26">
        <f>+Tabla1[[#This Row],['# Preventivo]]+Tabla1[[#This Row],['# Correctivo]]</f>
        <v>0</v>
      </c>
      <c r="I218" s="23">
        <f>+IFERROR(Tabla1[[#This Row],[Ingreso 2025 - 2026 Correctivo]]/Tabla1[[#This Row],[Ingreso 2025 - 2026 Preventivo]],0)</f>
        <v>0</v>
      </c>
      <c r="J218" s="59">
        <f>+IFERROR(Tabla1[[#This Row],['# Correctivo]]/Tabla1[[#This Row],['# Preventivo]],0)</f>
        <v>0</v>
      </c>
      <c r="K218" s="60">
        <f>+IFERROR(Tabla1[[#This Row],[Ingreso 2025 - 2026 Preventivo]]/(Tabla1[[#This Row],[Ingreso 2025 - 2026 Correctivo]]+Tabla1[[#This Row],[Ingreso 2025 - 2026 Preventivo]]),0)</f>
        <v>0</v>
      </c>
      <c r="L218" s="60">
        <f>1-Tabla1[[#This Row],[% Preventivo $]]</f>
        <v>1</v>
      </c>
      <c r="M218" s="45">
        <f>+COUNTIFS('[1]Base Instalada'!AA:AA,Tabla1[[#This Row],[Cliente]])</f>
        <v>9</v>
      </c>
      <c r="N21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8" s="45">
        <f>+COUNTIFS('[1]Base Instalada'!AA:AA,Tabla1[[#This Row],[Cliente]],'[1]Base Instalada'!Z:Z,"ESTERILIZACIÓN")</f>
        <v>0</v>
      </c>
      <c r="P218" s="45">
        <f>+COUNTIFS('[1]Base Instalada'!AA:AA,Tabla1[[#This Row],[Cliente]],'[1]Base Instalada'!Z:Z,"DENTAL")</f>
        <v>9</v>
      </c>
      <c r="Q218" s="45">
        <f>+COUNTIFS('[1]Base Instalada'!AA:AA,Tabla1[[#This Row],[Cliente]],'[1]Base Instalada'!Z:Z,"ENDOSCOPÍA")</f>
        <v>0</v>
      </c>
      <c r="R218" s="45">
        <f>+COUNTIFS('[1]Base Instalada'!AA:AA,Tabla1[[#This Row],[Cliente]],'[1]Base Instalada'!Z:Z,"INCARDIA")</f>
        <v>0</v>
      </c>
      <c r="S218" s="45">
        <f>+COUNTIFS('[1]Base Instalada'!AA:AA,Tabla1[[#This Row],[Cliente]],'[1]Base Instalada'!Z:Z,"MMQ")</f>
        <v>0</v>
      </c>
      <c r="T218" s="45">
        <f>+COUNTIFS('[1]Base Instalada'!AA:AA,Tabla1[[#This Row],[Cliente]],'[1]Base Instalada'!Z:Z,"REAS")</f>
        <v>0</v>
      </c>
      <c r="U218" s="46">
        <f>+COUNTIFS('[1]Base Instalada'!AA:AA,Tabla1[[#This Row],[Cliente]],'[1]Base Instalada'!Z:Z,"MOBILIARIO CLINICO")</f>
        <v>0</v>
      </c>
      <c r="V218" s="29">
        <f>+COUNTIFS('[1]Base Instalada'!AA:AA,Tabla1[[#This Row],[Cliente]],'[1]Base Instalada'!Z:Z,"OTRO")</f>
        <v>0</v>
      </c>
      <c r="W218" s="61" t="str">
        <f t="shared" si="8"/>
        <v>Región O'Higgins</v>
      </c>
      <c r="X218" s="61" t="str">
        <f t="shared" si="9"/>
        <v>Rancagua</v>
      </c>
      <c r="Y218" s="62" t="s">
        <v>470</v>
      </c>
      <c r="Z218" s="33">
        <f>+COUNTIFS('[1]Pipeline TS'!$F:$F,Tabla1[[#This Row],[Cliente]])</f>
        <v>0</v>
      </c>
      <c r="AA218" s="63">
        <f>SUMIFS('[1]Pipeline Esterilización'!M:M,'[1]Pipeline Esterilización'!E:E,Tabla1[[#This Row],[Cliente]],'[1]Pipeline Esterilización'!B:B,"2026",'[1]Pipeline Esterilización'!L:L,"&gt;0")</f>
        <v>0</v>
      </c>
      <c r="AB218" s="33">
        <f>+SUMIFS('[1]Pipeline Endoscopía'!K:K,'[1]Pipeline Endoscopía'!E:E,Tabla1[[#This Row],[Cliente]],'[1]Pipeline Endoscopía'!B:B,"2026",'[1]Pipeline Endoscopía'!J:J,"&gt;0")</f>
        <v>0</v>
      </c>
      <c r="AC218" s="63">
        <f>+SUMIFS('[1]Pipeline Dental'!K:K,'[1]Pipeline Dental'!E:E,Tabla1[[#This Row],[Cliente]],'[1]Pipeline Dental'!B:B,"2026",'[1]Pipeline Dental'!J:J,"&gt;0")</f>
        <v>0</v>
      </c>
      <c r="AD218" s="64">
        <f>+SUMIFS('[1]Pipeline TS'!$AB:$AB,'[1]Pipeline TS'!$F:$F,Tabla1[[#This Row],[Cliente]])</f>
        <v>0</v>
      </c>
      <c r="AE218" s="65">
        <f>+SUM(Tabla1[[#This Row],[Pipeline 2026 $MM ESTERILIZACIÓN]:[Pipeline 2026 $MM TECSERVICE]])</f>
        <v>0</v>
      </c>
      <c r="AF218" s="43">
        <v>-34.168274942033598</v>
      </c>
      <c r="AG218" s="58">
        <v>-70.740918317978995</v>
      </c>
      <c r="AH218" s="57" t="str">
        <f>+IF(Tabla1[[#This Row],['# Contratos Vigentes ]]&gt;0,"SI","NO")</f>
        <v>NO</v>
      </c>
      <c r="AI218" s="66"/>
      <c r="AJ218" s="67">
        <f>+Tabla1[[#This Row],[Ingreso 2025 - 2026]]*Tabla1[[#This Row],[% Costo Serv. Directo]]</f>
        <v>0</v>
      </c>
      <c r="AK218" s="68"/>
      <c r="AL21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5391900</v>
      </c>
      <c r="AN218" s="42">
        <f>+Tabla1[[#This Row],[Potencial Equipos]]+Tabla1[[#This Row],[Potencial Pipeline]]</f>
        <v>5391900</v>
      </c>
    </row>
    <row r="219" spans="1:40" ht="15.75" x14ac:dyDescent="0.25">
      <c r="A219" s="47" t="s">
        <v>471</v>
      </c>
      <c r="B219" t="str">
        <f>+VLOOKUP(Tabla1[[#This Row],[Cliente]],'[1]Público Privado'!$A$1:$B$325,2,FALSE)</f>
        <v>Privado</v>
      </c>
      <c r="C219" s="23">
        <f>+SUMIFS('[1]Facturacion a Fecha'!$T:$T,'[1]Facturacion a Fecha'!$AY:$AY,Tabla1[[#This Row],[Cliente]])</f>
        <v>0</v>
      </c>
      <c r="D219" s="24">
        <f>+SUMIFS('[1]Facturacion a Fecha'!$T:$T,'[1]Facturacion a Fecha'!$AY:$AY,Tabla1[[#This Row],[Cliente]],'[1]Facturacion a Fecha'!$AX:$AX,"Correctivo")</f>
        <v>0</v>
      </c>
      <c r="E219" s="25">
        <f>+COUNTIFS('[1]Facturacion a Fecha'!AY:AY,Tabla1[[#This Row],[Cliente]],'[1]Facturacion a Fecha'!AX:AX,"Correctivo")</f>
        <v>0</v>
      </c>
      <c r="F219" s="25">
        <f>+SUMIFS('[1]Facturacion a Fecha'!$T:$T,'[1]Facturacion a Fecha'!$AY:$AY,Tabla1[[#This Row],[Cliente]],'[1]Facturacion a Fecha'!$AX:$AX,"Preventivo")</f>
        <v>0</v>
      </c>
      <c r="G219" s="25">
        <f>+COUNTIFS('[1]Facturacion a Fecha'!AY:AY,Tabla1[[#This Row],[Cliente]],'[1]Facturacion a Fecha'!AX:AX,"Preventivo")</f>
        <v>0</v>
      </c>
      <c r="H219" s="26">
        <f>+Tabla1[[#This Row],['# Preventivo]]+Tabla1[[#This Row],['# Correctivo]]</f>
        <v>0</v>
      </c>
      <c r="I219" s="23">
        <f>+IFERROR(Tabla1[[#This Row],[Ingreso 2025 - 2026 Correctivo]]/Tabla1[[#This Row],[Ingreso 2025 - 2026 Preventivo]],0)</f>
        <v>0</v>
      </c>
      <c r="J219" s="59">
        <f>+IFERROR(Tabla1[[#This Row],['# Correctivo]]/Tabla1[[#This Row],['# Preventivo]],0)</f>
        <v>0</v>
      </c>
      <c r="K219" s="60">
        <f>+IFERROR(Tabla1[[#This Row],[Ingreso 2025 - 2026 Preventivo]]/(Tabla1[[#This Row],[Ingreso 2025 - 2026 Correctivo]]+Tabla1[[#This Row],[Ingreso 2025 - 2026 Preventivo]]),0)</f>
        <v>0</v>
      </c>
      <c r="L219" s="60">
        <f>1-Tabla1[[#This Row],[% Preventivo $]]</f>
        <v>1</v>
      </c>
      <c r="M219" s="45">
        <f>+COUNTIFS('[1]Base Instalada'!AA:AA,Tabla1[[#This Row],[Cliente]])</f>
        <v>27</v>
      </c>
      <c r="N21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19" s="45">
        <f>+COUNTIFS('[1]Base Instalada'!AA:AA,Tabla1[[#This Row],[Cliente]],'[1]Base Instalada'!Z:Z,"ESTERILIZACIÓN")</f>
        <v>0</v>
      </c>
      <c r="P219" s="45">
        <f>+COUNTIFS('[1]Base Instalada'!AA:AA,Tabla1[[#This Row],[Cliente]],'[1]Base Instalada'!Z:Z,"DENTAL")</f>
        <v>27</v>
      </c>
      <c r="Q219" s="45">
        <f>+COUNTIFS('[1]Base Instalada'!AA:AA,Tabla1[[#This Row],[Cliente]],'[1]Base Instalada'!Z:Z,"ENDOSCOPÍA")</f>
        <v>0</v>
      </c>
      <c r="R219" s="45">
        <f>+COUNTIFS('[1]Base Instalada'!AA:AA,Tabla1[[#This Row],[Cliente]],'[1]Base Instalada'!Z:Z,"INCARDIA")</f>
        <v>0</v>
      </c>
      <c r="S219" s="45">
        <f>+COUNTIFS('[1]Base Instalada'!AA:AA,Tabla1[[#This Row],[Cliente]],'[1]Base Instalada'!Z:Z,"MMQ")</f>
        <v>0</v>
      </c>
      <c r="T219" s="45">
        <f>+COUNTIFS('[1]Base Instalada'!AA:AA,Tabla1[[#This Row],[Cliente]],'[1]Base Instalada'!Z:Z,"REAS")</f>
        <v>0</v>
      </c>
      <c r="U219" s="46">
        <f>+COUNTIFS('[1]Base Instalada'!AA:AA,Tabla1[[#This Row],[Cliente]],'[1]Base Instalada'!Z:Z,"MOBILIARIO CLINICO")</f>
        <v>0</v>
      </c>
      <c r="V219" s="29">
        <f>+COUNTIFS('[1]Base Instalada'!AA:AA,Tabla1[[#This Row],[Cliente]],'[1]Base Instalada'!Z:Z,"OTRO")</f>
        <v>0</v>
      </c>
      <c r="W219" s="61" t="str">
        <f t="shared" si="8"/>
        <v>Región Metropolitana</v>
      </c>
      <c r="X219" s="61" t="str">
        <f t="shared" si="9"/>
        <v>Maipú</v>
      </c>
      <c r="Y219" s="62" t="s">
        <v>472</v>
      </c>
      <c r="Z219" s="33">
        <f>+COUNTIFS('[1]Pipeline TS'!$F:$F,Tabla1[[#This Row],[Cliente]])</f>
        <v>0</v>
      </c>
      <c r="AA219" s="63">
        <f>SUMIFS('[1]Pipeline Esterilización'!M:M,'[1]Pipeline Esterilización'!E:E,Tabla1[[#This Row],[Cliente]],'[1]Pipeline Esterilización'!B:B,"2026",'[1]Pipeline Esterilización'!L:L,"&gt;0")</f>
        <v>0</v>
      </c>
      <c r="AB219" s="33">
        <f>+SUMIFS('[1]Pipeline Endoscopía'!K:K,'[1]Pipeline Endoscopía'!E:E,Tabla1[[#This Row],[Cliente]],'[1]Pipeline Endoscopía'!B:B,"2026",'[1]Pipeline Endoscopía'!J:J,"&gt;0")</f>
        <v>0</v>
      </c>
      <c r="AC219" s="63">
        <f>+SUMIFS('[1]Pipeline Dental'!K:K,'[1]Pipeline Dental'!E:E,Tabla1[[#This Row],[Cliente]],'[1]Pipeline Dental'!B:B,"2026",'[1]Pipeline Dental'!J:J,"&gt;0")</f>
        <v>0</v>
      </c>
      <c r="AD219" s="64">
        <f>+SUMIFS('[1]Pipeline TS'!$AB:$AB,'[1]Pipeline TS'!$F:$F,Tabla1[[#This Row],[Cliente]])</f>
        <v>0</v>
      </c>
      <c r="AE219" s="65">
        <f>+SUM(Tabla1[[#This Row],[Pipeline 2026 $MM ESTERILIZACIÓN]:[Pipeline 2026 $MM TECSERVICE]])</f>
        <v>0</v>
      </c>
      <c r="AF219" s="43">
        <v>-33.510905890753698</v>
      </c>
      <c r="AG219" s="58">
        <v>-70.757587346850997</v>
      </c>
      <c r="AH219" s="57" t="str">
        <f>+IF(Tabla1[[#This Row],['# Contratos Vigentes ]]&gt;0,"SI","NO")</f>
        <v>NO</v>
      </c>
      <c r="AI219" s="66"/>
      <c r="AJ219" s="67">
        <f>+Tabla1[[#This Row],[Ingreso 2025 - 2026]]*Tabla1[[#This Row],[% Costo Serv. Directo]]</f>
        <v>0</v>
      </c>
      <c r="AK219" s="68"/>
      <c r="AL21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1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16175700</v>
      </c>
      <c r="AN219" s="42">
        <f>+Tabla1[[#This Row],[Potencial Equipos]]+Tabla1[[#This Row],[Potencial Pipeline]]</f>
        <v>16175700</v>
      </c>
    </row>
    <row r="220" spans="1:40" ht="15.75" x14ac:dyDescent="0.25">
      <c r="A220" s="47" t="s">
        <v>473</v>
      </c>
      <c r="B220" t="str">
        <f>+VLOOKUP(Tabla1[[#This Row],[Cliente]],'[1]Público Privado'!$A$1:$B$325,2,FALSE)</f>
        <v>Privado</v>
      </c>
      <c r="C220" s="23">
        <f>+SUMIFS('[1]Facturacion a Fecha'!$T:$T,'[1]Facturacion a Fecha'!$AY:$AY,Tabla1[[#This Row],[Cliente]])</f>
        <v>0</v>
      </c>
      <c r="D220" s="24">
        <f>+SUMIFS('[1]Facturacion a Fecha'!$T:$T,'[1]Facturacion a Fecha'!$AY:$AY,Tabla1[[#This Row],[Cliente]],'[1]Facturacion a Fecha'!$AX:$AX,"Correctivo")</f>
        <v>0</v>
      </c>
      <c r="E220" s="25">
        <f>+COUNTIFS('[1]Facturacion a Fecha'!AY:AY,Tabla1[[#This Row],[Cliente]],'[1]Facturacion a Fecha'!AX:AX,"Correctivo")</f>
        <v>0</v>
      </c>
      <c r="F220" s="25">
        <f>+SUMIFS('[1]Facturacion a Fecha'!$T:$T,'[1]Facturacion a Fecha'!$AY:$AY,Tabla1[[#This Row],[Cliente]],'[1]Facturacion a Fecha'!$AX:$AX,"Preventivo")</f>
        <v>0</v>
      </c>
      <c r="G220" s="25">
        <f>+COUNTIFS('[1]Facturacion a Fecha'!AY:AY,Tabla1[[#This Row],[Cliente]],'[1]Facturacion a Fecha'!AX:AX,"Preventivo")</f>
        <v>0</v>
      </c>
      <c r="H220" s="26">
        <f>+Tabla1[[#This Row],['# Preventivo]]+Tabla1[[#This Row],['# Correctivo]]</f>
        <v>0</v>
      </c>
      <c r="I220" s="23">
        <f>+IFERROR(Tabla1[[#This Row],[Ingreso 2025 - 2026 Correctivo]]/Tabla1[[#This Row],[Ingreso 2025 - 2026 Preventivo]],0)</f>
        <v>0</v>
      </c>
      <c r="J220" s="59">
        <f>+IFERROR(Tabla1[[#This Row],['# Correctivo]]/Tabla1[[#This Row],['# Preventivo]],0)</f>
        <v>0</v>
      </c>
      <c r="K220" s="60">
        <f>+IFERROR(Tabla1[[#This Row],[Ingreso 2025 - 2026 Preventivo]]/(Tabla1[[#This Row],[Ingreso 2025 - 2026 Correctivo]]+Tabla1[[#This Row],[Ingreso 2025 - 2026 Preventivo]]),0)</f>
        <v>0</v>
      </c>
      <c r="L220" s="60">
        <f>1-Tabla1[[#This Row],[% Preventivo $]]</f>
        <v>1</v>
      </c>
      <c r="M220" s="45">
        <f>+COUNTIFS('[1]Base Instalada'!AA:AA,Tabla1[[#This Row],[Cliente]])</f>
        <v>29</v>
      </c>
      <c r="N22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0" s="45">
        <f>+COUNTIFS('[1]Base Instalada'!AA:AA,Tabla1[[#This Row],[Cliente]],'[1]Base Instalada'!Z:Z,"ESTERILIZACIÓN")</f>
        <v>0</v>
      </c>
      <c r="P220" s="45">
        <f>+COUNTIFS('[1]Base Instalada'!AA:AA,Tabla1[[#This Row],[Cliente]],'[1]Base Instalada'!Z:Z,"DENTAL")</f>
        <v>29</v>
      </c>
      <c r="Q220" s="45">
        <f>+COUNTIFS('[1]Base Instalada'!AA:AA,Tabla1[[#This Row],[Cliente]],'[1]Base Instalada'!Z:Z,"ENDOSCOPÍA")</f>
        <v>0</v>
      </c>
      <c r="R220" s="45">
        <f>+COUNTIFS('[1]Base Instalada'!AA:AA,Tabla1[[#This Row],[Cliente]],'[1]Base Instalada'!Z:Z,"INCARDIA")</f>
        <v>0</v>
      </c>
      <c r="S220" s="45">
        <f>+COUNTIFS('[1]Base Instalada'!AA:AA,Tabla1[[#This Row],[Cliente]],'[1]Base Instalada'!Z:Z,"MMQ")</f>
        <v>0</v>
      </c>
      <c r="T220" s="45">
        <f>+COUNTIFS('[1]Base Instalada'!AA:AA,Tabla1[[#This Row],[Cliente]],'[1]Base Instalada'!Z:Z,"REAS")</f>
        <v>0</v>
      </c>
      <c r="U220" s="46">
        <f>+COUNTIFS('[1]Base Instalada'!AA:AA,Tabla1[[#This Row],[Cliente]],'[1]Base Instalada'!Z:Z,"MOBILIARIO CLINICO")</f>
        <v>0</v>
      </c>
      <c r="V220" s="29">
        <f>+COUNTIFS('[1]Base Instalada'!AA:AA,Tabla1[[#This Row],[Cliente]],'[1]Base Instalada'!Z:Z,"OTRO")</f>
        <v>0</v>
      </c>
      <c r="W220" s="61" t="str">
        <f t="shared" si="8"/>
        <v>Región Metropolitana</v>
      </c>
      <c r="X220" s="61" t="str">
        <f t="shared" si="9"/>
        <v>Santiago</v>
      </c>
      <c r="Y220" s="62" t="s">
        <v>474</v>
      </c>
      <c r="Z220" s="33">
        <f>+COUNTIFS('[1]Pipeline TS'!$F:$F,Tabla1[[#This Row],[Cliente]])</f>
        <v>0</v>
      </c>
      <c r="AA220" s="63">
        <f>SUMIFS('[1]Pipeline Esterilización'!M:M,'[1]Pipeline Esterilización'!E:E,Tabla1[[#This Row],[Cliente]],'[1]Pipeline Esterilización'!B:B,"2026",'[1]Pipeline Esterilización'!L:L,"&gt;0")</f>
        <v>0</v>
      </c>
      <c r="AB220" s="33">
        <f>+SUMIFS('[1]Pipeline Endoscopía'!K:K,'[1]Pipeline Endoscopía'!E:E,Tabla1[[#This Row],[Cliente]],'[1]Pipeline Endoscopía'!B:B,"2026",'[1]Pipeline Endoscopía'!J:J,"&gt;0")</f>
        <v>0</v>
      </c>
      <c r="AC220" s="63">
        <f>+SUMIFS('[1]Pipeline Dental'!K:K,'[1]Pipeline Dental'!E:E,Tabla1[[#This Row],[Cliente]],'[1]Pipeline Dental'!B:B,"2026",'[1]Pipeline Dental'!J:J,"&gt;0")</f>
        <v>0</v>
      </c>
      <c r="AD220" s="64">
        <f>+SUMIFS('[1]Pipeline TS'!$AB:$AB,'[1]Pipeline TS'!$F:$F,Tabla1[[#This Row],[Cliente]])</f>
        <v>0</v>
      </c>
      <c r="AE220" s="65">
        <f>+SUM(Tabla1[[#This Row],[Pipeline 2026 $MM ESTERILIZACIÓN]:[Pipeline 2026 $MM TECSERVICE]])</f>
        <v>0</v>
      </c>
      <c r="AF220" s="43">
        <v>-33.442817175488699</v>
      </c>
      <c r="AG220" s="58">
        <v>-70.645529477537494</v>
      </c>
      <c r="AH220" s="57" t="str">
        <f>+IF(Tabla1[[#This Row],['# Contratos Vigentes ]]&gt;0,"SI","NO")</f>
        <v>NO</v>
      </c>
      <c r="AI220" s="66"/>
      <c r="AJ220" s="67">
        <f>+Tabla1[[#This Row],[Ingreso 2025 - 2026]]*Tabla1[[#This Row],[% Costo Serv. Directo]]</f>
        <v>0</v>
      </c>
      <c r="AK220" s="68"/>
      <c r="AL22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17373900</v>
      </c>
      <c r="AN220" s="42">
        <f>+Tabla1[[#This Row],[Potencial Equipos]]+Tabla1[[#This Row],[Potencial Pipeline]]</f>
        <v>17373900</v>
      </c>
    </row>
    <row r="221" spans="1:40" ht="15.75" x14ac:dyDescent="0.25">
      <c r="A221" s="47" t="s">
        <v>475</v>
      </c>
      <c r="B221" t="str">
        <f>+VLOOKUP(Tabla1[[#This Row],[Cliente]],'[1]Público Privado'!$A$1:$B$325,2,FALSE)</f>
        <v>Privado</v>
      </c>
      <c r="C221" s="23">
        <f>+SUMIFS('[1]Facturacion a Fecha'!$T:$T,'[1]Facturacion a Fecha'!$AY:$AY,Tabla1[[#This Row],[Cliente]])</f>
        <v>0</v>
      </c>
      <c r="D221" s="24">
        <f>+SUMIFS('[1]Facturacion a Fecha'!$T:$T,'[1]Facturacion a Fecha'!$AY:$AY,Tabla1[[#This Row],[Cliente]],'[1]Facturacion a Fecha'!$AX:$AX,"Correctivo")</f>
        <v>0</v>
      </c>
      <c r="E221" s="25">
        <f>+COUNTIFS('[1]Facturacion a Fecha'!AY:AY,Tabla1[[#This Row],[Cliente]],'[1]Facturacion a Fecha'!AX:AX,"Correctivo")</f>
        <v>0</v>
      </c>
      <c r="F221" s="25">
        <f>+SUMIFS('[1]Facturacion a Fecha'!$T:$T,'[1]Facturacion a Fecha'!$AY:$AY,Tabla1[[#This Row],[Cliente]],'[1]Facturacion a Fecha'!$AX:$AX,"Preventivo")</f>
        <v>0</v>
      </c>
      <c r="G221" s="25">
        <f>+COUNTIFS('[1]Facturacion a Fecha'!AY:AY,Tabla1[[#This Row],[Cliente]],'[1]Facturacion a Fecha'!AX:AX,"Preventivo")</f>
        <v>0</v>
      </c>
      <c r="H221" s="26">
        <f>+Tabla1[[#This Row],['# Preventivo]]+Tabla1[[#This Row],['# Correctivo]]</f>
        <v>0</v>
      </c>
      <c r="I221" s="23">
        <f>+IFERROR(Tabla1[[#This Row],[Ingreso 2025 - 2026 Correctivo]]/Tabla1[[#This Row],[Ingreso 2025 - 2026 Preventivo]],0)</f>
        <v>0</v>
      </c>
      <c r="J221" s="59">
        <f>+IFERROR(Tabla1[[#This Row],['# Correctivo]]/Tabla1[[#This Row],['# Preventivo]],0)</f>
        <v>0</v>
      </c>
      <c r="K221" s="60">
        <f>+IFERROR(Tabla1[[#This Row],[Ingreso 2025 - 2026 Preventivo]]/(Tabla1[[#This Row],[Ingreso 2025 - 2026 Correctivo]]+Tabla1[[#This Row],[Ingreso 2025 - 2026 Preventivo]]),0)</f>
        <v>0</v>
      </c>
      <c r="L221" s="60">
        <f>1-Tabla1[[#This Row],[% Preventivo $]]</f>
        <v>1</v>
      </c>
      <c r="M221" s="45">
        <f>+COUNTIFS('[1]Base Instalada'!AA:AA,Tabla1[[#This Row],[Cliente]])</f>
        <v>17</v>
      </c>
      <c r="N22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1" s="45">
        <f>+COUNTIFS('[1]Base Instalada'!AA:AA,Tabla1[[#This Row],[Cliente]],'[1]Base Instalada'!Z:Z,"ESTERILIZACIÓN")</f>
        <v>0</v>
      </c>
      <c r="P221" s="45">
        <f>+COUNTIFS('[1]Base Instalada'!AA:AA,Tabla1[[#This Row],[Cliente]],'[1]Base Instalada'!Z:Z,"DENTAL")</f>
        <v>17</v>
      </c>
      <c r="Q221" s="45">
        <f>+COUNTIFS('[1]Base Instalada'!AA:AA,Tabla1[[#This Row],[Cliente]],'[1]Base Instalada'!Z:Z,"ENDOSCOPÍA")</f>
        <v>0</v>
      </c>
      <c r="R221" s="45">
        <f>+COUNTIFS('[1]Base Instalada'!AA:AA,Tabla1[[#This Row],[Cliente]],'[1]Base Instalada'!Z:Z,"INCARDIA")</f>
        <v>0</v>
      </c>
      <c r="S221" s="45">
        <f>+COUNTIFS('[1]Base Instalada'!AA:AA,Tabla1[[#This Row],[Cliente]],'[1]Base Instalada'!Z:Z,"MMQ")</f>
        <v>0</v>
      </c>
      <c r="T221" s="45">
        <f>+COUNTIFS('[1]Base Instalada'!AA:AA,Tabla1[[#This Row],[Cliente]],'[1]Base Instalada'!Z:Z,"REAS")</f>
        <v>0</v>
      </c>
      <c r="U221" s="46">
        <f>+COUNTIFS('[1]Base Instalada'!AA:AA,Tabla1[[#This Row],[Cliente]],'[1]Base Instalada'!Z:Z,"MOBILIARIO CLINICO")</f>
        <v>0</v>
      </c>
      <c r="V221" s="29">
        <f>+COUNTIFS('[1]Base Instalada'!AA:AA,Tabla1[[#This Row],[Cliente]],'[1]Base Instalada'!Z:Z,"OTRO")</f>
        <v>0</v>
      </c>
      <c r="W221" s="61" t="str">
        <f t="shared" si="8"/>
        <v>Región Metropolitana</v>
      </c>
      <c r="X221" s="61" t="str">
        <f t="shared" si="9"/>
        <v>Puente Alto</v>
      </c>
      <c r="Y221" s="62" t="s">
        <v>476</v>
      </c>
      <c r="Z221" s="33">
        <f>+COUNTIFS('[1]Pipeline TS'!$F:$F,Tabla1[[#This Row],[Cliente]])</f>
        <v>0</v>
      </c>
      <c r="AA221" s="63">
        <f>SUMIFS('[1]Pipeline Esterilización'!M:M,'[1]Pipeline Esterilización'!E:E,Tabla1[[#This Row],[Cliente]],'[1]Pipeline Esterilización'!B:B,"2026",'[1]Pipeline Esterilización'!L:L,"&gt;0")</f>
        <v>0</v>
      </c>
      <c r="AB221" s="33">
        <f>+SUMIFS('[1]Pipeline Endoscopía'!K:K,'[1]Pipeline Endoscopía'!E:E,Tabla1[[#This Row],[Cliente]],'[1]Pipeline Endoscopía'!B:B,"2026",'[1]Pipeline Endoscopía'!J:J,"&gt;0")</f>
        <v>0</v>
      </c>
      <c r="AC221" s="63">
        <f>+SUMIFS('[1]Pipeline Dental'!K:K,'[1]Pipeline Dental'!E:E,Tabla1[[#This Row],[Cliente]],'[1]Pipeline Dental'!B:B,"2026",'[1]Pipeline Dental'!J:J,"&gt;0")</f>
        <v>0</v>
      </c>
      <c r="AD221" s="64">
        <f>+SUMIFS('[1]Pipeline TS'!$AB:$AB,'[1]Pipeline TS'!$F:$F,Tabla1[[#This Row],[Cliente]])</f>
        <v>0</v>
      </c>
      <c r="AE221" s="65">
        <f>+SUM(Tabla1[[#This Row],[Pipeline 2026 $MM ESTERILIZACIÓN]:[Pipeline 2026 $MM TECSERVICE]])</f>
        <v>0</v>
      </c>
      <c r="AF221" s="43">
        <v>-33.610206275022001</v>
      </c>
      <c r="AG221" s="58">
        <v>-70.576319066157694</v>
      </c>
      <c r="AH221" s="57" t="str">
        <f>+IF(Tabla1[[#This Row],['# Contratos Vigentes ]]&gt;0,"SI","NO")</f>
        <v>NO</v>
      </c>
      <c r="AI221" s="66"/>
      <c r="AJ221" s="67">
        <f>+Tabla1[[#This Row],[Ingreso 2025 - 2026]]*Tabla1[[#This Row],[% Costo Serv. Directo]]</f>
        <v>0</v>
      </c>
      <c r="AK221" s="68"/>
      <c r="AL22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10184700</v>
      </c>
      <c r="AN221" s="42">
        <f>+Tabla1[[#This Row],[Potencial Equipos]]+Tabla1[[#This Row],[Potencial Pipeline]]</f>
        <v>10184700</v>
      </c>
    </row>
    <row r="222" spans="1:40" ht="15.75" x14ac:dyDescent="0.25">
      <c r="A222" s="47" t="s">
        <v>477</v>
      </c>
      <c r="B222" t="str">
        <f>+VLOOKUP(Tabla1[[#This Row],[Cliente]],'[1]Público Privado'!$A$1:$B$325,2,FALSE)</f>
        <v>Privado</v>
      </c>
      <c r="C222" s="23">
        <f>+SUMIFS('[1]Facturacion a Fecha'!$T:$T,'[1]Facturacion a Fecha'!$AY:$AY,Tabla1[[#This Row],[Cliente]])</f>
        <v>0</v>
      </c>
      <c r="D222" s="24">
        <f>+SUMIFS('[1]Facturacion a Fecha'!$T:$T,'[1]Facturacion a Fecha'!$AY:$AY,Tabla1[[#This Row],[Cliente]],'[1]Facturacion a Fecha'!$AX:$AX,"Correctivo")</f>
        <v>0</v>
      </c>
      <c r="E222" s="25">
        <f>+COUNTIFS('[1]Facturacion a Fecha'!AY:AY,Tabla1[[#This Row],[Cliente]],'[1]Facturacion a Fecha'!AX:AX,"Correctivo")</f>
        <v>0</v>
      </c>
      <c r="F222" s="25">
        <f>+SUMIFS('[1]Facturacion a Fecha'!$T:$T,'[1]Facturacion a Fecha'!$AY:$AY,Tabla1[[#This Row],[Cliente]],'[1]Facturacion a Fecha'!$AX:$AX,"Preventivo")</f>
        <v>0</v>
      </c>
      <c r="G222" s="25">
        <f>+COUNTIFS('[1]Facturacion a Fecha'!AY:AY,Tabla1[[#This Row],[Cliente]],'[1]Facturacion a Fecha'!AX:AX,"Preventivo")</f>
        <v>0</v>
      </c>
      <c r="H222" s="26">
        <f>+Tabla1[[#This Row],['# Preventivo]]+Tabla1[[#This Row],['# Correctivo]]</f>
        <v>0</v>
      </c>
      <c r="I222" s="23">
        <f>+IFERROR(Tabla1[[#This Row],[Ingreso 2025 - 2026 Correctivo]]/Tabla1[[#This Row],[Ingreso 2025 - 2026 Preventivo]],0)</f>
        <v>0</v>
      </c>
      <c r="J222" s="59">
        <f>+IFERROR(Tabla1[[#This Row],['# Correctivo]]/Tabla1[[#This Row],['# Preventivo]],0)</f>
        <v>0</v>
      </c>
      <c r="K222" s="60">
        <f>+IFERROR(Tabla1[[#This Row],[Ingreso 2025 - 2026 Preventivo]]/(Tabla1[[#This Row],[Ingreso 2025 - 2026 Correctivo]]+Tabla1[[#This Row],[Ingreso 2025 - 2026 Preventivo]]),0)</f>
        <v>0</v>
      </c>
      <c r="L222" s="60">
        <f>1-Tabla1[[#This Row],[% Preventivo $]]</f>
        <v>1</v>
      </c>
      <c r="M222" s="45">
        <f>+COUNTIFS('[1]Base Instalada'!AA:AA,Tabla1[[#This Row],[Cliente]])</f>
        <v>27</v>
      </c>
      <c r="N22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2" s="45">
        <f>+COUNTIFS('[1]Base Instalada'!AA:AA,Tabla1[[#This Row],[Cliente]],'[1]Base Instalada'!Z:Z,"ESTERILIZACIÓN")</f>
        <v>0</v>
      </c>
      <c r="P222" s="45">
        <f>+COUNTIFS('[1]Base Instalada'!AA:AA,Tabla1[[#This Row],[Cliente]],'[1]Base Instalada'!Z:Z,"DENTAL")</f>
        <v>27</v>
      </c>
      <c r="Q222" s="45">
        <f>+COUNTIFS('[1]Base Instalada'!AA:AA,Tabla1[[#This Row],[Cliente]],'[1]Base Instalada'!Z:Z,"ENDOSCOPÍA")</f>
        <v>0</v>
      </c>
      <c r="R222" s="45">
        <f>+COUNTIFS('[1]Base Instalada'!AA:AA,Tabla1[[#This Row],[Cliente]],'[1]Base Instalada'!Z:Z,"INCARDIA")</f>
        <v>0</v>
      </c>
      <c r="S222" s="45">
        <f>+COUNTIFS('[1]Base Instalada'!AA:AA,Tabla1[[#This Row],[Cliente]],'[1]Base Instalada'!Z:Z,"MMQ")</f>
        <v>0</v>
      </c>
      <c r="T222" s="45">
        <f>+COUNTIFS('[1]Base Instalada'!AA:AA,Tabla1[[#This Row],[Cliente]],'[1]Base Instalada'!Z:Z,"REAS")</f>
        <v>0</v>
      </c>
      <c r="U222" s="46">
        <f>+COUNTIFS('[1]Base Instalada'!AA:AA,Tabla1[[#This Row],[Cliente]],'[1]Base Instalada'!Z:Z,"MOBILIARIO CLINICO")</f>
        <v>0</v>
      </c>
      <c r="V222" s="29">
        <f>+COUNTIFS('[1]Base Instalada'!AA:AA,Tabla1[[#This Row],[Cliente]],'[1]Base Instalada'!Z:Z,"OTRO")</f>
        <v>0</v>
      </c>
      <c r="W222" s="61" t="str">
        <f t="shared" si="8"/>
        <v>Región Metropolitana</v>
      </c>
      <c r="X222" s="61" t="str">
        <f t="shared" si="9"/>
        <v>Santiago</v>
      </c>
      <c r="Y222" s="62" t="s">
        <v>478</v>
      </c>
      <c r="Z222" s="33">
        <f>+COUNTIFS('[1]Pipeline TS'!$F:$F,Tabla1[[#This Row],[Cliente]])</f>
        <v>0</v>
      </c>
      <c r="AA222" s="63">
        <f>SUMIFS('[1]Pipeline Esterilización'!M:M,'[1]Pipeline Esterilización'!E:E,Tabla1[[#This Row],[Cliente]],'[1]Pipeline Esterilización'!B:B,"2026",'[1]Pipeline Esterilización'!L:L,"&gt;0")</f>
        <v>0</v>
      </c>
      <c r="AB222" s="33">
        <f>+SUMIFS('[1]Pipeline Endoscopía'!K:K,'[1]Pipeline Endoscopía'!E:E,Tabla1[[#This Row],[Cliente]],'[1]Pipeline Endoscopía'!B:B,"2026",'[1]Pipeline Endoscopía'!J:J,"&gt;0")</f>
        <v>0</v>
      </c>
      <c r="AC222" s="63">
        <f>+SUMIFS('[1]Pipeline Dental'!K:K,'[1]Pipeline Dental'!E:E,Tabla1[[#This Row],[Cliente]],'[1]Pipeline Dental'!B:B,"2026",'[1]Pipeline Dental'!J:J,"&gt;0")</f>
        <v>0</v>
      </c>
      <c r="AD222" s="64">
        <f>+SUMIFS('[1]Pipeline TS'!$AB:$AB,'[1]Pipeline TS'!$F:$F,Tabla1[[#This Row],[Cliente]])</f>
        <v>0</v>
      </c>
      <c r="AE222" s="65">
        <f>+SUM(Tabla1[[#This Row],[Pipeline 2026 $MM ESTERILIZACIÓN]:[Pipeline 2026 $MM TECSERVICE]])</f>
        <v>0</v>
      </c>
      <c r="AF222" s="43">
        <v>-33.441092108668201</v>
      </c>
      <c r="AG222" s="58">
        <v>-70.652175273842801</v>
      </c>
      <c r="AH222" s="57" t="str">
        <f>+IF(Tabla1[[#This Row],['# Contratos Vigentes ]]&gt;0,"SI","NO")</f>
        <v>NO</v>
      </c>
      <c r="AI222" s="66"/>
      <c r="AJ222" s="67">
        <f>+Tabla1[[#This Row],[Ingreso 2025 - 2026]]*Tabla1[[#This Row],[% Costo Serv. Directo]]</f>
        <v>0</v>
      </c>
      <c r="AK222" s="68"/>
      <c r="AL22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16175700</v>
      </c>
      <c r="AN222" s="42">
        <f>+Tabla1[[#This Row],[Potencial Equipos]]+Tabla1[[#This Row],[Potencial Pipeline]]</f>
        <v>16175700</v>
      </c>
    </row>
    <row r="223" spans="1:40" ht="15.75" x14ac:dyDescent="0.25">
      <c r="A223" s="47" t="s">
        <v>479</v>
      </c>
      <c r="B223" t="str">
        <f>+VLOOKUP(Tabla1[[#This Row],[Cliente]],'[1]Público Privado'!$A$1:$B$325,2,FALSE)</f>
        <v>Privado</v>
      </c>
      <c r="C223" s="23">
        <f>+SUMIFS('[1]Facturacion a Fecha'!$T:$T,'[1]Facturacion a Fecha'!$AY:$AY,Tabla1[[#This Row],[Cliente]])</f>
        <v>0</v>
      </c>
      <c r="D223" s="24">
        <f>+SUMIFS('[1]Facturacion a Fecha'!$T:$T,'[1]Facturacion a Fecha'!$AY:$AY,Tabla1[[#This Row],[Cliente]],'[1]Facturacion a Fecha'!$AX:$AX,"Correctivo")</f>
        <v>0</v>
      </c>
      <c r="E223" s="25">
        <f>+COUNTIFS('[1]Facturacion a Fecha'!AY:AY,Tabla1[[#This Row],[Cliente]],'[1]Facturacion a Fecha'!AX:AX,"Correctivo")</f>
        <v>0</v>
      </c>
      <c r="F223" s="25">
        <f>+SUMIFS('[1]Facturacion a Fecha'!$T:$T,'[1]Facturacion a Fecha'!$AY:$AY,Tabla1[[#This Row],[Cliente]],'[1]Facturacion a Fecha'!$AX:$AX,"Preventivo")</f>
        <v>0</v>
      </c>
      <c r="G223" s="25">
        <f>+COUNTIFS('[1]Facturacion a Fecha'!AY:AY,Tabla1[[#This Row],[Cliente]],'[1]Facturacion a Fecha'!AX:AX,"Preventivo")</f>
        <v>0</v>
      </c>
      <c r="H223" s="26">
        <f>+Tabla1[[#This Row],['# Preventivo]]+Tabla1[[#This Row],['# Correctivo]]</f>
        <v>0</v>
      </c>
      <c r="I223" s="23">
        <f>+IFERROR(Tabla1[[#This Row],[Ingreso 2025 - 2026 Correctivo]]/Tabla1[[#This Row],[Ingreso 2025 - 2026 Preventivo]],0)</f>
        <v>0</v>
      </c>
      <c r="J223" s="59">
        <f>+IFERROR(Tabla1[[#This Row],['# Correctivo]]/Tabla1[[#This Row],['# Preventivo]],0)</f>
        <v>0</v>
      </c>
      <c r="K223" s="60">
        <f>+IFERROR(Tabla1[[#This Row],[Ingreso 2025 - 2026 Preventivo]]/(Tabla1[[#This Row],[Ingreso 2025 - 2026 Correctivo]]+Tabla1[[#This Row],[Ingreso 2025 - 2026 Preventivo]]),0)</f>
        <v>0</v>
      </c>
      <c r="L223" s="60">
        <f>1-Tabla1[[#This Row],[% Preventivo $]]</f>
        <v>1</v>
      </c>
      <c r="M223" s="45">
        <f>+COUNTIFS('[1]Base Instalada'!AA:AA,Tabla1[[#This Row],[Cliente]])</f>
        <v>17</v>
      </c>
      <c r="N22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3" s="45">
        <f>+COUNTIFS('[1]Base Instalada'!AA:AA,Tabla1[[#This Row],[Cliente]],'[1]Base Instalada'!Z:Z,"ESTERILIZACIÓN")</f>
        <v>0</v>
      </c>
      <c r="P223" s="45">
        <f>+COUNTIFS('[1]Base Instalada'!AA:AA,Tabla1[[#This Row],[Cliente]],'[1]Base Instalada'!Z:Z,"DENTAL")</f>
        <v>17</v>
      </c>
      <c r="Q223" s="45">
        <f>+COUNTIFS('[1]Base Instalada'!AA:AA,Tabla1[[#This Row],[Cliente]],'[1]Base Instalada'!Z:Z,"ENDOSCOPÍA")</f>
        <v>0</v>
      </c>
      <c r="R223" s="45">
        <f>+COUNTIFS('[1]Base Instalada'!AA:AA,Tabla1[[#This Row],[Cliente]],'[1]Base Instalada'!Z:Z,"INCARDIA")</f>
        <v>0</v>
      </c>
      <c r="S223" s="45">
        <f>+COUNTIFS('[1]Base Instalada'!AA:AA,Tabla1[[#This Row],[Cliente]],'[1]Base Instalada'!Z:Z,"MMQ")</f>
        <v>0</v>
      </c>
      <c r="T223" s="45">
        <f>+COUNTIFS('[1]Base Instalada'!AA:AA,Tabla1[[#This Row],[Cliente]],'[1]Base Instalada'!Z:Z,"REAS")</f>
        <v>0</v>
      </c>
      <c r="U223" s="46">
        <f>+COUNTIFS('[1]Base Instalada'!AA:AA,Tabla1[[#This Row],[Cliente]],'[1]Base Instalada'!Z:Z,"MOBILIARIO CLINICO")</f>
        <v>0</v>
      </c>
      <c r="V223" s="29">
        <f>+COUNTIFS('[1]Base Instalada'!AA:AA,Tabla1[[#This Row],[Cliente]],'[1]Base Instalada'!Z:Z,"OTRO")</f>
        <v>0</v>
      </c>
      <c r="W223" s="61" t="str">
        <f t="shared" si="8"/>
        <v>Región Metropolitana</v>
      </c>
      <c r="X223" s="61" t="str">
        <f t="shared" si="9"/>
        <v>San Bernardo</v>
      </c>
      <c r="Y223" s="62" t="s">
        <v>480</v>
      </c>
      <c r="Z223" s="33">
        <f>+COUNTIFS('[1]Pipeline TS'!$F:$F,Tabla1[[#This Row],[Cliente]])</f>
        <v>0</v>
      </c>
      <c r="AA223" s="63">
        <f>SUMIFS('[1]Pipeline Esterilización'!M:M,'[1]Pipeline Esterilización'!E:E,Tabla1[[#This Row],[Cliente]],'[1]Pipeline Esterilización'!B:B,"2026",'[1]Pipeline Esterilización'!L:L,"&gt;0")</f>
        <v>0</v>
      </c>
      <c r="AB223" s="33">
        <f>+SUMIFS('[1]Pipeline Endoscopía'!K:K,'[1]Pipeline Endoscopía'!E:E,Tabla1[[#This Row],[Cliente]],'[1]Pipeline Endoscopía'!B:B,"2026",'[1]Pipeline Endoscopía'!J:J,"&gt;0")</f>
        <v>0</v>
      </c>
      <c r="AC223" s="63">
        <f>+SUMIFS('[1]Pipeline Dental'!K:K,'[1]Pipeline Dental'!E:E,Tabla1[[#This Row],[Cliente]],'[1]Pipeline Dental'!B:B,"2026",'[1]Pipeline Dental'!J:J,"&gt;0")</f>
        <v>0</v>
      </c>
      <c r="AD223" s="64">
        <f>+SUMIFS('[1]Pipeline TS'!$AB:$AB,'[1]Pipeline TS'!$F:$F,Tabla1[[#This Row],[Cliente]])</f>
        <v>0</v>
      </c>
      <c r="AE223" s="65">
        <f>+SUM(Tabla1[[#This Row],[Pipeline 2026 $MM ESTERILIZACIÓN]:[Pipeline 2026 $MM TECSERVICE]])</f>
        <v>0</v>
      </c>
      <c r="AF223" s="43">
        <v>-33.631458314231899</v>
      </c>
      <c r="AG223" s="58">
        <v>-70.710329118009</v>
      </c>
      <c r="AH223" s="57" t="str">
        <f>+IF(Tabla1[[#This Row],['# Contratos Vigentes ]]&gt;0,"SI","NO")</f>
        <v>NO</v>
      </c>
      <c r="AI223" s="66"/>
      <c r="AJ223" s="67">
        <f>+Tabla1[[#This Row],[Ingreso 2025 - 2026]]*Tabla1[[#This Row],[% Costo Serv. Directo]]</f>
        <v>0</v>
      </c>
      <c r="AK223" s="68"/>
      <c r="AL22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10184700</v>
      </c>
      <c r="AN223" s="42">
        <f>+Tabla1[[#This Row],[Potencial Equipos]]+Tabla1[[#This Row],[Potencial Pipeline]]</f>
        <v>10184700</v>
      </c>
    </row>
    <row r="224" spans="1:40" ht="15.75" x14ac:dyDescent="0.25">
      <c r="A224" s="47" t="s">
        <v>481</v>
      </c>
      <c r="B224" t="str">
        <f>+VLOOKUP(Tabla1[[#This Row],[Cliente]],'[1]Público Privado'!$A$1:$B$325,2,FALSE)</f>
        <v>Privado</v>
      </c>
      <c r="C224" s="23">
        <f>+SUMIFS('[1]Facturacion a Fecha'!$T:$T,'[1]Facturacion a Fecha'!$AY:$AY,Tabla1[[#This Row],[Cliente]])</f>
        <v>0</v>
      </c>
      <c r="D224" s="24">
        <f>+SUMIFS('[1]Facturacion a Fecha'!$T:$T,'[1]Facturacion a Fecha'!$AY:$AY,Tabla1[[#This Row],[Cliente]],'[1]Facturacion a Fecha'!$AX:$AX,"Correctivo")</f>
        <v>0</v>
      </c>
      <c r="E224" s="25">
        <f>+COUNTIFS('[1]Facturacion a Fecha'!AY:AY,Tabla1[[#This Row],[Cliente]],'[1]Facturacion a Fecha'!AX:AX,"Correctivo")</f>
        <v>0</v>
      </c>
      <c r="F224" s="25">
        <f>+SUMIFS('[1]Facturacion a Fecha'!$T:$T,'[1]Facturacion a Fecha'!$AY:$AY,Tabla1[[#This Row],[Cliente]],'[1]Facturacion a Fecha'!$AX:$AX,"Preventivo")</f>
        <v>0</v>
      </c>
      <c r="G224" s="25">
        <f>+COUNTIFS('[1]Facturacion a Fecha'!AY:AY,Tabla1[[#This Row],[Cliente]],'[1]Facturacion a Fecha'!AX:AX,"Preventivo")</f>
        <v>0</v>
      </c>
      <c r="H224" s="26">
        <f>+Tabla1[[#This Row],['# Preventivo]]+Tabla1[[#This Row],['# Correctivo]]</f>
        <v>0</v>
      </c>
      <c r="I224" s="23">
        <f>+IFERROR(Tabla1[[#This Row],[Ingreso 2025 - 2026 Correctivo]]/Tabla1[[#This Row],[Ingreso 2025 - 2026 Preventivo]],0)</f>
        <v>0</v>
      </c>
      <c r="J224" s="59">
        <f>+IFERROR(Tabla1[[#This Row],['# Correctivo]]/Tabla1[[#This Row],['# Preventivo]],0)</f>
        <v>0</v>
      </c>
      <c r="K224" s="60">
        <f>+IFERROR(Tabla1[[#This Row],[Ingreso 2025 - 2026 Preventivo]]/(Tabla1[[#This Row],[Ingreso 2025 - 2026 Correctivo]]+Tabla1[[#This Row],[Ingreso 2025 - 2026 Preventivo]]),0)</f>
        <v>0</v>
      </c>
      <c r="L224" s="60">
        <f>1-Tabla1[[#This Row],[% Preventivo $]]</f>
        <v>1</v>
      </c>
      <c r="M224" s="45">
        <f>+COUNTIFS('[1]Base Instalada'!AA:AA,Tabla1[[#This Row],[Cliente]])</f>
        <v>25</v>
      </c>
      <c r="N22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4" s="45">
        <f>+COUNTIFS('[1]Base Instalada'!AA:AA,Tabla1[[#This Row],[Cliente]],'[1]Base Instalada'!Z:Z,"ESTERILIZACIÓN")</f>
        <v>0</v>
      </c>
      <c r="P224" s="45">
        <f>+COUNTIFS('[1]Base Instalada'!AA:AA,Tabla1[[#This Row],[Cliente]],'[1]Base Instalada'!Z:Z,"DENTAL")</f>
        <v>25</v>
      </c>
      <c r="Q224" s="45">
        <f>+COUNTIFS('[1]Base Instalada'!AA:AA,Tabla1[[#This Row],[Cliente]],'[1]Base Instalada'!Z:Z,"ENDOSCOPÍA")</f>
        <v>0</v>
      </c>
      <c r="R224" s="45">
        <f>+COUNTIFS('[1]Base Instalada'!AA:AA,Tabla1[[#This Row],[Cliente]],'[1]Base Instalada'!Z:Z,"INCARDIA")</f>
        <v>0</v>
      </c>
      <c r="S224" s="45">
        <f>+COUNTIFS('[1]Base Instalada'!AA:AA,Tabla1[[#This Row],[Cliente]],'[1]Base Instalada'!Z:Z,"MMQ")</f>
        <v>0</v>
      </c>
      <c r="T224" s="45">
        <f>+COUNTIFS('[1]Base Instalada'!AA:AA,Tabla1[[#This Row],[Cliente]],'[1]Base Instalada'!Z:Z,"REAS")</f>
        <v>0</v>
      </c>
      <c r="U224" s="46">
        <f>+COUNTIFS('[1]Base Instalada'!AA:AA,Tabla1[[#This Row],[Cliente]],'[1]Base Instalada'!Z:Z,"MOBILIARIO CLINICO")</f>
        <v>0</v>
      </c>
      <c r="V224" s="29">
        <f>+COUNTIFS('[1]Base Instalada'!AA:AA,Tabla1[[#This Row],[Cliente]],'[1]Base Instalada'!Z:Z,"OTRO")</f>
        <v>0</v>
      </c>
      <c r="W224" s="61" t="str">
        <f t="shared" si="8"/>
        <v>Región Metropolitana</v>
      </c>
      <c r="X224" s="61" t="str">
        <f t="shared" si="9"/>
        <v>San Bernardo</v>
      </c>
      <c r="Y224" s="62" t="s">
        <v>482</v>
      </c>
      <c r="Z224" s="33">
        <f>+COUNTIFS('[1]Pipeline TS'!$F:$F,Tabla1[[#This Row],[Cliente]])</f>
        <v>0</v>
      </c>
      <c r="AA224" s="63">
        <f>SUMIFS('[1]Pipeline Esterilización'!M:M,'[1]Pipeline Esterilización'!E:E,Tabla1[[#This Row],[Cliente]],'[1]Pipeline Esterilización'!B:B,"2026",'[1]Pipeline Esterilización'!L:L,"&gt;0")</f>
        <v>0</v>
      </c>
      <c r="AB224" s="33">
        <f>+SUMIFS('[1]Pipeline Endoscopía'!K:K,'[1]Pipeline Endoscopía'!E:E,Tabla1[[#This Row],[Cliente]],'[1]Pipeline Endoscopía'!B:B,"2026",'[1]Pipeline Endoscopía'!J:J,"&gt;0")</f>
        <v>0</v>
      </c>
      <c r="AC224" s="63">
        <f>+SUMIFS('[1]Pipeline Dental'!K:K,'[1]Pipeline Dental'!E:E,Tabla1[[#This Row],[Cliente]],'[1]Pipeline Dental'!B:B,"2026",'[1]Pipeline Dental'!J:J,"&gt;0")</f>
        <v>0</v>
      </c>
      <c r="AD224" s="64">
        <f>+SUMIFS('[1]Pipeline TS'!$AB:$AB,'[1]Pipeline TS'!$F:$F,Tabla1[[#This Row],[Cliente]])</f>
        <v>0</v>
      </c>
      <c r="AE224" s="65">
        <f>+SUM(Tabla1[[#This Row],[Pipeline 2026 $MM ESTERILIZACIÓN]:[Pipeline 2026 $MM TECSERVICE]])</f>
        <v>0</v>
      </c>
      <c r="AF224" s="43">
        <v>-33.592133668776803</v>
      </c>
      <c r="AG224" s="58">
        <v>-70.702196846846505</v>
      </c>
      <c r="AH224" s="57" t="str">
        <f>+IF(Tabla1[[#This Row],['# Contratos Vigentes ]]&gt;0,"SI","NO")</f>
        <v>NO</v>
      </c>
      <c r="AI224" s="66"/>
      <c r="AJ224" s="67">
        <f>+Tabla1[[#This Row],[Ingreso 2025 - 2026]]*Tabla1[[#This Row],[% Costo Serv. Directo]]</f>
        <v>0</v>
      </c>
      <c r="AK224" s="68"/>
      <c r="AL22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14977500</v>
      </c>
      <c r="AN224" s="42">
        <f>+Tabla1[[#This Row],[Potencial Equipos]]+Tabla1[[#This Row],[Potencial Pipeline]]</f>
        <v>14977500</v>
      </c>
    </row>
    <row r="225" spans="1:40" ht="15.75" x14ac:dyDescent="0.25">
      <c r="A225" s="47" t="s">
        <v>483</v>
      </c>
      <c r="B225" t="str">
        <f>+VLOOKUP(Tabla1[[#This Row],[Cliente]],'[1]Público Privado'!$A$1:$B$325,2,FALSE)</f>
        <v>Privado</v>
      </c>
      <c r="C225" s="23">
        <f>+SUMIFS('[1]Facturacion a Fecha'!$T:$T,'[1]Facturacion a Fecha'!$AY:$AY,Tabla1[[#This Row],[Cliente]])</f>
        <v>0</v>
      </c>
      <c r="D225" s="24">
        <f>+SUMIFS('[1]Facturacion a Fecha'!$T:$T,'[1]Facturacion a Fecha'!$AY:$AY,Tabla1[[#This Row],[Cliente]],'[1]Facturacion a Fecha'!$AX:$AX,"Correctivo")</f>
        <v>0</v>
      </c>
      <c r="E225" s="25">
        <f>+COUNTIFS('[1]Facturacion a Fecha'!AY:AY,Tabla1[[#This Row],[Cliente]],'[1]Facturacion a Fecha'!AX:AX,"Correctivo")</f>
        <v>0</v>
      </c>
      <c r="F225" s="25">
        <f>+SUMIFS('[1]Facturacion a Fecha'!$T:$T,'[1]Facturacion a Fecha'!$AY:$AY,Tabla1[[#This Row],[Cliente]],'[1]Facturacion a Fecha'!$AX:$AX,"Preventivo")</f>
        <v>0</v>
      </c>
      <c r="G225" s="25">
        <f>+COUNTIFS('[1]Facturacion a Fecha'!AY:AY,Tabla1[[#This Row],[Cliente]],'[1]Facturacion a Fecha'!AX:AX,"Preventivo")</f>
        <v>0</v>
      </c>
      <c r="H225" s="26">
        <f>+Tabla1[[#This Row],['# Preventivo]]+Tabla1[[#This Row],['# Correctivo]]</f>
        <v>0</v>
      </c>
      <c r="I225" s="23">
        <f>+IFERROR(Tabla1[[#This Row],[Ingreso 2025 - 2026 Correctivo]]/Tabla1[[#This Row],[Ingreso 2025 - 2026 Preventivo]],0)</f>
        <v>0</v>
      </c>
      <c r="J225" s="59">
        <f>+IFERROR(Tabla1[[#This Row],['# Correctivo]]/Tabla1[[#This Row],['# Preventivo]],0)</f>
        <v>0</v>
      </c>
      <c r="K225" s="60">
        <f>+IFERROR(Tabla1[[#This Row],[Ingreso 2025 - 2026 Preventivo]]/(Tabla1[[#This Row],[Ingreso 2025 - 2026 Correctivo]]+Tabla1[[#This Row],[Ingreso 2025 - 2026 Preventivo]]),0)</f>
        <v>0</v>
      </c>
      <c r="L225" s="60">
        <f>1-Tabla1[[#This Row],[% Preventivo $]]</f>
        <v>1</v>
      </c>
      <c r="M225" s="45">
        <f>+COUNTIFS('[1]Base Instalada'!AA:AA,Tabla1[[#This Row],[Cliente]])</f>
        <v>41</v>
      </c>
      <c r="N22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5" s="45">
        <f>+COUNTIFS('[1]Base Instalada'!AA:AA,Tabla1[[#This Row],[Cliente]],'[1]Base Instalada'!Z:Z,"ESTERILIZACIÓN")</f>
        <v>0</v>
      </c>
      <c r="P225" s="45">
        <f>+COUNTIFS('[1]Base Instalada'!AA:AA,Tabla1[[#This Row],[Cliente]],'[1]Base Instalada'!Z:Z,"DENTAL")</f>
        <v>41</v>
      </c>
      <c r="Q225" s="45">
        <f>+COUNTIFS('[1]Base Instalada'!AA:AA,Tabla1[[#This Row],[Cliente]],'[1]Base Instalada'!Z:Z,"ENDOSCOPÍA")</f>
        <v>0</v>
      </c>
      <c r="R225" s="45">
        <f>+COUNTIFS('[1]Base Instalada'!AA:AA,Tabla1[[#This Row],[Cliente]],'[1]Base Instalada'!Z:Z,"INCARDIA")</f>
        <v>0</v>
      </c>
      <c r="S225" s="45">
        <f>+COUNTIFS('[1]Base Instalada'!AA:AA,Tabla1[[#This Row],[Cliente]],'[1]Base Instalada'!Z:Z,"MMQ")</f>
        <v>0</v>
      </c>
      <c r="T225" s="45">
        <f>+COUNTIFS('[1]Base Instalada'!AA:AA,Tabla1[[#This Row],[Cliente]],'[1]Base Instalada'!Z:Z,"REAS")</f>
        <v>0</v>
      </c>
      <c r="U225" s="46">
        <f>+COUNTIFS('[1]Base Instalada'!AA:AA,Tabla1[[#This Row],[Cliente]],'[1]Base Instalada'!Z:Z,"MOBILIARIO CLINICO")</f>
        <v>0</v>
      </c>
      <c r="V225" s="29">
        <f>+COUNTIFS('[1]Base Instalada'!AA:AA,Tabla1[[#This Row],[Cliente]],'[1]Base Instalada'!Z:Z,"OTRO")</f>
        <v>0</v>
      </c>
      <c r="W225" s="61" t="str">
        <f t="shared" si="8"/>
        <v>Región Antofagasta</v>
      </c>
      <c r="X225" s="61" t="str">
        <f t="shared" si="9"/>
        <v>Antofagasta</v>
      </c>
      <c r="Y225" s="62" t="s">
        <v>484</v>
      </c>
      <c r="Z225" s="33">
        <f>+COUNTIFS('[1]Pipeline TS'!$F:$F,Tabla1[[#This Row],[Cliente]])</f>
        <v>0</v>
      </c>
      <c r="AA225" s="63">
        <f>SUMIFS('[1]Pipeline Esterilización'!M:M,'[1]Pipeline Esterilización'!E:E,Tabla1[[#This Row],[Cliente]],'[1]Pipeline Esterilización'!B:B,"2026",'[1]Pipeline Esterilización'!L:L,"&gt;0")</f>
        <v>0</v>
      </c>
      <c r="AB225" s="33">
        <f>+SUMIFS('[1]Pipeline Endoscopía'!K:K,'[1]Pipeline Endoscopía'!E:E,Tabla1[[#This Row],[Cliente]],'[1]Pipeline Endoscopía'!B:B,"2026",'[1]Pipeline Endoscopía'!J:J,"&gt;0")</f>
        <v>0</v>
      </c>
      <c r="AC225" s="63">
        <f>+SUMIFS('[1]Pipeline Dental'!K:K,'[1]Pipeline Dental'!E:E,Tabla1[[#This Row],[Cliente]],'[1]Pipeline Dental'!B:B,"2026",'[1]Pipeline Dental'!J:J,"&gt;0")</f>
        <v>0</v>
      </c>
      <c r="AD225" s="64">
        <f>+SUMIFS('[1]Pipeline TS'!$AB:$AB,'[1]Pipeline TS'!$F:$F,Tabla1[[#This Row],[Cliente]])</f>
        <v>0</v>
      </c>
      <c r="AE225" s="65">
        <f>+SUM(Tabla1[[#This Row],[Pipeline 2026 $MM ESTERILIZACIÓN]:[Pipeline 2026 $MM TECSERVICE]])</f>
        <v>0</v>
      </c>
      <c r="AF225" s="43">
        <v>-23.263697256416702</v>
      </c>
      <c r="AG225" s="58">
        <v>-70.393754190135198</v>
      </c>
      <c r="AH225" s="57" t="str">
        <f>+IF(Tabla1[[#This Row],['# Contratos Vigentes ]]&gt;0,"SI","NO")</f>
        <v>NO</v>
      </c>
      <c r="AI225" s="66"/>
      <c r="AJ225" s="67">
        <f>+Tabla1[[#This Row],[Ingreso 2025 - 2026]]*Tabla1[[#This Row],[% Costo Serv. Directo]]</f>
        <v>0</v>
      </c>
      <c r="AK225" s="68"/>
      <c r="AL22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24563100</v>
      </c>
      <c r="AN225" s="42">
        <f>+Tabla1[[#This Row],[Potencial Equipos]]+Tabla1[[#This Row],[Potencial Pipeline]]</f>
        <v>24563100</v>
      </c>
    </row>
    <row r="226" spans="1:40" ht="15.75" x14ac:dyDescent="0.25">
      <c r="A226" s="47" t="s">
        <v>485</v>
      </c>
      <c r="B226" t="str">
        <f>+VLOOKUP(Tabla1[[#This Row],[Cliente]],'[1]Público Privado'!$A$1:$B$325,2,FALSE)</f>
        <v>Privado</v>
      </c>
      <c r="C226" s="23">
        <f>+SUMIFS('[1]Facturacion a Fecha'!$T:$T,'[1]Facturacion a Fecha'!$AY:$AY,Tabla1[[#This Row],[Cliente]])</f>
        <v>0</v>
      </c>
      <c r="D226" s="24">
        <f>+SUMIFS('[1]Facturacion a Fecha'!$T:$T,'[1]Facturacion a Fecha'!$AY:$AY,Tabla1[[#This Row],[Cliente]],'[1]Facturacion a Fecha'!$AX:$AX,"Correctivo")</f>
        <v>0</v>
      </c>
      <c r="E226" s="25">
        <f>+COUNTIFS('[1]Facturacion a Fecha'!AY:AY,Tabla1[[#This Row],[Cliente]],'[1]Facturacion a Fecha'!AX:AX,"Correctivo")</f>
        <v>0</v>
      </c>
      <c r="F226" s="25">
        <f>+SUMIFS('[1]Facturacion a Fecha'!$T:$T,'[1]Facturacion a Fecha'!$AY:$AY,Tabla1[[#This Row],[Cliente]],'[1]Facturacion a Fecha'!$AX:$AX,"Preventivo")</f>
        <v>0</v>
      </c>
      <c r="G226" s="25">
        <f>+COUNTIFS('[1]Facturacion a Fecha'!AY:AY,Tabla1[[#This Row],[Cliente]],'[1]Facturacion a Fecha'!AX:AX,"Preventivo")</f>
        <v>0</v>
      </c>
      <c r="H226" s="26">
        <f>+Tabla1[[#This Row],['# Preventivo]]+Tabla1[[#This Row],['# Correctivo]]</f>
        <v>0</v>
      </c>
      <c r="I226" s="23">
        <f>+IFERROR(Tabla1[[#This Row],[Ingreso 2025 - 2026 Correctivo]]/Tabla1[[#This Row],[Ingreso 2025 - 2026 Preventivo]],0)</f>
        <v>0</v>
      </c>
      <c r="J226" s="59">
        <f>+IFERROR(Tabla1[[#This Row],['# Correctivo]]/Tabla1[[#This Row],['# Preventivo]],0)</f>
        <v>0</v>
      </c>
      <c r="K226" s="60">
        <f>+IFERROR(Tabla1[[#This Row],[Ingreso 2025 - 2026 Preventivo]]/(Tabla1[[#This Row],[Ingreso 2025 - 2026 Correctivo]]+Tabla1[[#This Row],[Ingreso 2025 - 2026 Preventivo]]),0)</f>
        <v>0</v>
      </c>
      <c r="L226" s="60">
        <f>1-Tabla1[[#This Row],[% Preventivo $]]</f>
        <v>1</v>
      </c>
      <c r="M226" s="45">
        <f>+COUNTIFS('[1]Base Instalada'!AA:AA,Tabla1[[#This Row],[Cliente]])</f>
        <v>9</v>
      </c>
      <c r="N22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6" s="45">
        <f>+COUNTIFS('[1]Base Instalada'!AA:AA,Tabla1[[#This Row],[Cliente]],'[1]Base Instalada'!Z:Z,"ESTERILIZACIÓN")</f>
        <v>0</v>
      </c>
      <c r="P226" s="45">
        <f>+COUNTIFS('[1]Base Instalada'!AA:AA,Tabla1[[#This Row],[Cliente]],'[1]Base Instalada'!Z:Z,"DENTAL")</f>
        <v>9</v>
      </c>
      <c r="Q226" s="45">
        <f>+COUNTIFS('[1]Base Instalada'!AA:AA,Tabla1[[#This Row],[Cliente]],'[1]Base Instalada'!Z:Z,"ENDOSCOPÍA")</f>
        <v>0</v>
      </c>
      <c r="R226" s="45">
        <f>+COUNTIFS('[1]Base Instalada'!AA:AA,Tabla1[[#This Row],[Cliente]],'[1]Base Instalada'!Z:Z,"INCARDIA")</f>
        <v>0</v>
      </c>
      <c r="S226" s="45">
        <f>+COUNTIFS('[1]Base Instalada'!AA:AA,Tabla1[[#This Row],[Cliente]],'[1]Base Instalada'!Z:Z,"MMQ")</f>
        <v>0</v>
      </c>
      <c r="T226" s="45">
        <f>+COUNTIFS('[1]Base Instalada'!AA:AA,Tabla1[[#This Row],[Cliente]],'[1]Base Instalada'!Z:Z,"REAS")</f>
        <v>0</v>
      </c>
      <c r="U226" s="46">
        <f>+COUNTIFS('[1]Base Instalada'!AA:AA,Tabla1[[#This Row],[Cliente]],'[1]Base Instalada'!Z:Z,"MOBILIARIO CLINICO")</f>
        <v>0</v>
      </c>
      <c r="V226" s="29">
        <f>+COUNTIFS('[1]Base Instalada'!AA:AA,Tabla1[[#This Row],[Cliente]],'[1]Base Instalada'!Z:Z,"OTRO")</f>
        <v>0</v>
      </c>
      <c r="W226" s="61" t="str">
        <f t="shared" si="8"/>
        <v>Región Los Lagos</v>
      </c>
      <c r="X226" s="61" t="str">
        <f t="shared" si="9"/>
        <v>Puerto Montt</v>
      </c>
      <c r="Y226" s="62" t="s">
        <v>486</v>
      </c>
      <c r="Z226" s="33">
        <f>+COUNTIFS('[1]Pipeline TS'!$F:$F,Tabla1[[#This Row],[Cliente]])</f>
        <v>0</v>
      </c>
      <c r="AA226" s="63">
        <f>SUMIFS('[1]Pipeline Esterilización'!M:M,'[1]Pipeline Esterilización'!E:E,Tabla1[[#This Row],[Cliente]],'[1]Pipeline Esterilización'!B:B,"2026",'[1]Pipeline Esterilización'!L:L,"&gt;0")</f>
        <v>0</v>
      </c>
      <c r="AB226" s="33">
        <f>+SUMIFS('[1]Pipeline Endoscopía'!K:K,'[1]Pipeline Endoscopía'!E:E,Tabla1[[#This Row],[Cliente]],'[1]Pipeline Endoscopía'!B:B,"2026",'[1]Pipeline Endoscopía'!J:J,"&gt;0")</f>
        <v>0</v>
      </c>
      <c r="AC226" s="63">
        <f>+SUMIFS('[1]Pipeline Dental'!K:K,'[1]Pipeline Dental'!E:E,Tabla1[[#This Row],[Cliente]],'[1]Pipeline Dental'!B:B,"2026",'[1]Pipeline Dental'!J:J,"&gt;0")</f>
        <v>0</v>
      </c>
      <c r="AD226" s="64">
        <f>+SUMIFS('[1]Pipeline TS'!$AB:$AB,'[1]Pipeline TS'!$F:$F,Tabla1[[#This Row],[Cliente]])</f>
        <v>0</v>
      </c>
      <c r="AE226" s="65">
        <f>+SUM(Tabla1[[#This Row],[Pipeline 2026 $MM ESTERILIZACIÓN]:[Pipeline 2026 $MM TECSERVICE]])</f>
        <v>0</v>
      </c>
      <c r="AF226" s="43">
        <v>-41.472780827016102</v>
      </c>
      <c r="AG226" s="58">
        <v>-72.942353591502794</v>
      </c>
      <c r="AH226" s="57" t="str">
        <f>+IF(Tabla1[[#This Row],['# Contratos Vigentes ]]&gt;0,"SI","NO")</f>
        <v>NO</v>
      </c>
      <c r="AI226" s="66"/>
      <c r="AJ226" s="67">
        <f>+Tabla1[[#This Row],[Ingreso 2025 - 2026]]*Tabla1[[#This Row],[% Costo Serv. Directo]]</f>
        <v>0</v>
      </c>
      <c r="AK226" s="68"/>
      <c r="AL22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5391900</v>
      </c>
      <c r="AN226" s="42">
        <f>+Tabla1[[#This Row],[Potencial Equipos]]+Tabla1[[#This Row],[Potencial Pipeline]]</f>
        <v>5391900</v>
      </c>
    </row>
    <row r="227" spans="1:40" ht="15.75" x14ac:dyDescent="0.25">
      <c r="A227" s="47" t="s">
        <v>487</v>
      </c>
      <c r="B227" t="str">
        <f>+VLOOKUP(Tabla1[[#This Row],[Cliente]],'[1]Público Privado'!$A$1:$B$325,2,FALSE)</f>
        <v>Público</v>
      </c>
      <c r="C227" s="23">
        <f>+SUMIFS('[1]Facturacion a Fecha'!$T:$T,'[1]Facturacion a Fecha'!$AY:$AY,Tabla1[[#This Row],[Cliente]])</f>
        <v>0</v>
      </c>
      <c r="D227" s="24">
        <f>+SUMIFS('[1]Facturacion a Fecha'!$T:$T,'[1]Facturacion a Fecha'!$AY:$AY,Tabla1[[#This Row],[Cliente]],'[1]Facturacion a Fecha'!$AX:$AX,"Correctivo")</f>
        <v>0</v>
      </c>
      <c r="E227" s="25">
        <f>+COUNTIFS('[1]Facturacion a Fecha'!AY:AY,Tabla1[[#This Row],[Cliente]],'[1]Facturacion a Fecha'!AX:AX,"Correctivo")</f>
        <v>0</v>
      </c>
      <c r="F227" s="25">
        <f>+SUMIFS('[1]Facturacion a Fecha'!$T:$T,'[1]Facturacion a Fecha'!$AY:$AY,Tabla1[[#This Row],[Cliente]],'[1]Facturacion a Fecha'!$AX:$AX,"Preventivo")</f>
        <v>0</v>
      </c>
      <c r="G227" s="25">
        <f>+COUNTIFS('[1]Facturacion a Fecha'!AY:AY,Tabla1[[#This Row],[Cliente]],'[1]Facturacion a Fecha'!AX:AX,"Preventivo")</f>
        <v>0</v>
      </c>
      <c r="H227" s="26">
        <f>+Tabla1[[#This Row],['# Preventivo]]+Tabla1[[#This Row],['# Correctivo]]</f>
        <v>0</v>
      </c>
      <c r="I227" s="23">
        <f>+IFERROR(Tabla1[[#This Row],[Ingreso 2025 - 2026 Correctivo]]/Tabla1[[#This Row],[Ingreso 2025 - 2026 Preventivo]],0)</f>
        <v>0</v>
      </c>
      <c r="J227" s="59">
        <f>+IFERROR(Tabla1[[#This Row],['# Correctivo]]/Tabla1[[#This Row],['# Preventivo]],0)</f>
        <v>0</v>
      </c>
      <c r="K227" s="60">
        <f>+IFERROR(Tabla1[[#This Row],[Ingreso 2025 - 2026 Preventivo]]/(Tabla1[[#This Row],[Ingreso 2025 - 2026 Correctivo]]+Tabla1[[#This Row],[Ingreso 2025 - 2026 Preventivo]]),0)</f>
        <v>0</v>
      </c>
      <c r="L227" s="60">
        <f>1-Tabla1[[#This Row],[% Preventivo $]]</f>
        <v>1</v>
      </c>
      <c r="M227" s="45">
        <f>+COUNTIFS('[1]Base Instalada'!AA:AA,Tabla1[[#This Row],[Cliente]])</f>
        <v>8</v>
      </c>
      <c r="N22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7" s="45">
        <f>+COUNTIFS('[1]Base Instalada'!AA:AA,Tabla1[[#This Row],[Cliente]],'[1]Base Instalada'!Z:Z,"ESTERILIZACIÓN")</f>
        <v>0</v>
      </c>
      <c r="P227" s="45">
        <f>+COUNTIFS('[1]Base Instalada'!AA:AA,Tabla1[[#This Row],[Cliente]],'[1]Base Instalada'!Z:Z,"DENTAL")</f>
        <v>8</v>
      </c>
      <c r="Q227" s="45">
        <f>+COUNTIFS('[1]Base Instalada'!AA:AA,Tabla1[[#This Row],[Cliente]],'[1]Base Instalada'!Z:Z,"ENDOSCOPÍA")</f>
        <v>0</v>
      </c>
      <c r="R227" s="45">
        <f>+COUNTIFS('[1]Base Instalada'!AA:AA,Tabla1[[#This Row],[Cliente]],'[1]Base Instalada'!Z:Z,"INCARDIA")</f>
        <v>0</v>
      </c>
      <c r="S227" s="45">
        <f>+COUNTIFS('[1]Base Instalada'!AA:AA,Tabla1[[#This Row],[Cliente]],'[1]Base Instalada'!Z:Z,"MMQ")</f>
        <v>0</v>
      </c>
      <c r="T227" s="45">
        <f>+COUNTIFS('[1]Base Instalada'!AA:AA,Tabla1[[#This Row],[Cliente]],'[1]Base Instalada'!Z:Z,"REAS")</f>
        <v>0</v>
      </c>
      <c r="U227" s="46">
        <f>+COUNTIFS('[1]Base Instalada'!AA:AA,Tabla1[[#This Row],[Cliente]],'[1]Base Instalada'!Z:Z,"MOBILIARIO CLINICO")</f>
        <v>0</v>
      </c>
      <c r="V227" s="29">
        <f>+COUNTIFS('[1]Base Instalada'!AA:AA,Tabla1[[#This Row],[Cliente]],'[1]Base Instalada'!Z:Z,"OTRO")</f>
        <v>0</v>
      </c>
      <c r="W227" s="61" t="str">
        <f t="shared" si="8"/>
        <v>Región Coquimbo</v>
      </c>
      <c r="X227" s="61" t="str">
        <f t="shared" si="9"/>
        <v>Illapel</v>
      </c>
      <c r="Y227" s="62" t="s">
        <v>488</v>
      </c>
      <c r="Z227" s="33">
        <f>+COUNTIFS('[1]Pipeline TS'!$F:$F,Tabla1[[#This Row],[Cliente]])</f>
        <v>0</v>
      </c>
      <c r="AA227" s="63">
        <f>SUMIFS('[1]Pipeline Esterilización'!M:M,'[1]Pipeline Esterilización'!E:E,Tabla1[[#This Row],[Cliente]],'[1]Pipeline Esterilización'!B:B,"2026",'[1]Pipeline Esterilización'!L:L,"&gt;0")</f>
        <v>0</v>
      </c>
      <c r="AB227" s="33">
        <f>+SUMIFS('[1]Pipeline Endoscopía'!K:K,'[1]Pipeline Endoscopía'!E:E,Tabla1[[#This Row],[Cliente]],'[1]Pipeline Endoscopía'!B:B,"2026",'[1]Pipeline Endoscopía'!J:J,"&gt;0")</f>
        <v>0</v>
      </c>
      <c r="AC227" s="63">
        <f>+SUMIFS('[1]Pipeline Dental'!K:K,'[1]Pipeline Dental'!E:E,Tabla1[[#This Row],[Cliente]],'[1]Pipeline Dental'!B:B,"2026",'[1]Pipeline Dental'!J:J,"&gt;0")</f>
        <v>0</v>
      </c>
      <c r="AD227" s="64">
        <f>+SUMIFS('[1]Pipeline TS'!$AB:$AB,'[1]Pipeline TS'!$F:$F,Tabla1[[#This Row],[Cliente]])</f>
        <v>0</v>
      </c>
      <c r="AE227" s="65">
        <f>+SUM(Tabla1[[#This Row],[Pipeline 2026 $MM ESTERILIZACIÓN]:[Pipeline 2026 $MM TECSERVICE]])</f>
        <v>0</v>
      </c>
      <c r="AF227" s="43">
        <v>-31.637943273727899</v>
      </c>
      <c r="AG227" s="58">
        <v>-71.177634275787696</v>
      </c>
      <c r="AH227" s="57" t="str">
        <f>+IF(Tabla1[[#This Row],['# Contratos Vigentes ]]&gt;0,"SI","NO")</f>
        <v>NO</v>
      </c>
      <c r="AI227" s="66"/>
      <c r="AJ227" s="67">
        <f>+Tabla1[[#This Row],[Ingreso 2025 - 2026]]*Tabla1[[#This Row],[% Costo Serv. Directo]]</f>
        <v>0</v>
      </c>
      <c r="AK227" s="68"/>
      <c r="AL22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4792800</v>
      </c>
      <c r="AN227" s="42">
        <f>+Tabla1[[#This Row],[Potencial Equipos]]+Tabla1[[#This Row],[Potencial Pipeline]]</f>
        <v>4792800</v>
      </c>
    </row>
    <row r="228" spans="1:40" ht="15.75" x14ac:dyDescent="0.25">
      <c r="A228" s="47" t="s">
        <v>489</v>
      </c>
      <c r="B228" t="str">
        <f>+VLOOKUP(Tabla1[[#This Row],[Cliente]],'[1]Público Privado'!$A$1:$B$325,2,FALSE)</f>
        <v>Privado</v>
      </c>
      <c r="C228" s="23">
        <f>+SUMIFS('[1]Facturacion a Fecha'!$T:$T,'[1]Facturacion a Fecha'!$AY:$AY,Tabla1[[#This Row],[Cliente]])</f>
        <v>0</v>
      </c>
      <c r="D228" s="24">
        <f>+SUMIFS('[1]Facturacion a Fecha'!$T:$T,'[1]Facturacion a Fecha'!$AY:$AY,Tabla1[[#This Row],[Cliente]],'[1]Facturacion a Fecha'!$AX:$AX,"Correctivo")</f>
        <v>0</v>
      </c>
      <c r="E228" s="25">
        <f>+COUNTIFS('[1]Facturacion a Fecha'!AY:AY,Tabla1[[#This Row],[Cliente]],'[1]Facturacion a Fecha'!AX:AX,"Correctivo")</f>
        <v>0</v>
      </c>
      <c r="F228" s="25">
        <f>+SUMIFS('[1]Facturacion a Fecha'!$T:$T,'[1]Facturacion a Fecha'!$AY:$AY,Tabla1[[#This Row],[Cliente]],'[1]Facturacion a Fecha'!$AX:$AX,"Preventivo")</f>
        <v>0</v>
      </c>
      <c r="G228" s="25">
        <f>+COUNTIFS('[1]Facturacion a Fecha'!AY:AY,Tabla1[[#This Row],[Cliente]],'[1]Facturacion a Fecha'!AX:AX,"Preventivo")</f>
        <v>0</v>
      </c>
      <c r="H228" s="26">
        <f>+Tabla1[[#This Row],['# Preventivo]]+Tabla1[[#This Row],['# Correctivo]]</f>
        <v>0</v>
      </c>
      <c r="I228" s="23">
        <f>+IFERROR(Tabla1[[#This Row],[Ingreso 2025 - 2026 Correctivo]]/Tabla1[[#This Row],[Ingreso 2025 - 2026 Preventivo]],0)</f>
        <v>0</v>
      </c>
      <c r="J228" s="59">
        <f>+IFERROR(Tabla1[[#This Row],['# Correctivo]]/Tabla1[[#This Row],['# Preventivo]],0)</f>
        <v>0</v>
      </c>
      <c r="K228" s="60">
        <f>+IFERROR(Tabla1[[#This Row],[Ingreso 2025 - 2026 Preventivo]]/(Tabla1[[#This Row],[Ingreso 2025 - 2026 Correctivo]]+Tabla1[[#This Row],[Ingreso 2025 - 2026 Preventivo]]),0)</f>
        <v>0</v>
      </c>
      <c r="L228" s="60">
        <f>1-Tabla1[[#This Row],[% Preventivo $]]</f>
        <v>1</v>
      </c>
      <c r="M228" s="45">
        <f>+COUNTIFS('[1]Base Instalada'!AA:AA,Tabla1[[#This Row],[Cliente]])</f>
        <v>6</v>
      </c>
      <c r="N22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8" s="45">
        <f>+COUNTIFS('[1]Base Instalada'!AA:AA,Tabla1[[#This Row],[Cliente]],'[1]Base Instalada'!Z:Z,"ESTERILIZACIÓN")</f>
        <v>0</v>
      </c>
      <c r="P228" s="45">
        <f>+COUNTIFS('[1]Base Instalada'!AA:AA,Tabla1[[#This Row],[Cliente]],'[1]Base Instalada'!Z:Z,"DENTAL")</f>
        <v>5</v>
      </c>
      <c r="Q228" s="45">
        <f>+COUNTIFS('[1]Base Instalada'!AA:AA,Tabla1[[#This Row],[Cliente]],'[1]Base Instalada'!Z:Z,"ENDOSCOPÍA")</f>
        <v>1</v>
      </c>
      <c r="R228" s="45">
        <f>+COUNTIFS('[1]Base Instalada'!AA:AA,Tabla1[[#This Row],[Cliente]],'[1]Base Instalada'!Z:Z,"INCARDIA")</f>
        <v>0</v>
      </c>
      <c r="S228" s="45">
        <f>+COUNTIFS('[1]Base Instalada'!AA:AA,Tabla1[[#This Row],[Cliente]],'[1]Base Instalada'!Z:Z,"MMQ")</f>
        <v>0</v>
      </c>
      <c r="T228" s="45">
        <f>+COUNTIFS('[1]Base Instalada'!AA:AA,Tabla1[[#This Row],[Cliente]],'[1]Base Instalada'!Z:Z,"REAS")</f>
        <v>0</v>
      </c>
      <c r="U228" s="46">
        <f>+COUNTIFS('[1]Base Instalada'!AA:AA,Tabla1[[#This Row],[Cliente]],'[1]Base Instalada'!Z:Z,"MOBILIARIO CLINICO")</f>
        <v>0</v>
      </c>
      <c r="V228" s="29">
        <f>+COUNTIFS('[1]Base Instalada'!AA:AA,Tabla1[[#This Row],[Cliente]],'[1]Base Instalada'!Z:Z,"OTRO")</f>
        <v>0</v>
      </c>
      <c r="W228" s="61" t="str">
        <f t="shared" si="8"/>
        <v>Región Metropolitana</v>
      </c>
      <c r="X228" s="61" t="str">
        <f t="shared" si="9"/>
        <v>Providencia</v>
      </c>
      <c r="Y228" s="62" t="s">
        <v>490</v>
      </c>
      <c r="Z228" s="33">
        <f>+COUNTIFS('[1]Pipeline TS'!$F:$F,Tabla1[[#This Row],[Cliente]])</f>
        <v>0</v>
      </c>
      <c r="AA228" s="63">
        <f>SUMIFS('[1]Pipeline Esterilización'!M:M,'[1]Pipeline Esterilización'!E:E,Tabla1[[#This Row],[Cliente]],'[1]Pipeline Esterilización'!B:B,"2026",'[1]Pipeline Esterilización'!L:L,"&gt;0")</f>
        <v>0</v>
      </c>
      <c r="AB228" s="33">
        <f>+SUMIFS('[1]Pipeline Endoscopía'!K:K,'[1]Pipeline Endoscopía'!E:E,Tabla1[[#This Row],[Cliente]],'[1]Pipeline Endoscopía'!B:B,"2026",'[1]Pipeline Endoscopía'!J:J,"&gt;0")</f>
        <v>0</v>
      </c>
      <c r="AC228" s="63">
        <f>+SUMIFS('[1]Pipeline Dental'!K:K,'[1]Pipeline Dental'!E:E,Tabla1[[#This Row],[Cliente]],'[1]Pipeline Dental'!B:B,"2026",'[1]Pipeline Dental'!J:J,"&gt;0")</f>
        <v>0</v>
      </c>
      <c r="AD228" s="64">
        <f>+SUMIFS('[1]Pipeline TS'!$AB:$AB,'[1]Pipeline TS'!$F:$F,Tabla1[[#This Row],[Cliente]])</f>
        <v>0</v>
      </c>
      <c r="AE228" s="65">
        <f>+SUM(Tabla1[[#This Row],[Pipeline 2026 $MM ESTERILIZACIÓN]:[Pipeline 2026 $MM TECSERVICE]])</f>
        <v>0</v>
      </c>
      <c r="AF228" s="43">
        <v>-33.424650094270497</v>
      </c>
      <c r="AG228" s="58">
        <v>-70.610692377538498</v>
      </c>
      <c r="AH228" s="57" t="str">
        <f>+IF(Tabla1[[#This Row],['# Contratos Vigentes ]]&gt;0,"SI","NO")</f>
        <v>NO</v>
      </c>
      <c r="AI228" s="66"/>
      <c r="AJ228" s="67">
        <f>+Tabla1[[#This Row],[Ingreso 2025 - 2026]]*Tabla1[[#This Row],[% Costo Serv. Directo]]</f>
        <v>0</v>
      </c>
      <c r="AK228" s="68"/>
      <c r="AL22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3855746.153846154</v>
      </c>
      <c r="AN228" s="42">
        <f>+Tabla1[[#This Row],[Potencial Equipos]]+Tabla1[[#This Row],[Potencial Pipeline]]</f>
        <v>3855746.153846154</v>
      </c>
    </row>
    <row r="229" spans="1:40" ht="15.75" x14ac:dyDescent="0.25">
      <c r="A229" s="47" t="s">
        <v>491</v>
      </c>
      <c r="B229" t="str">
        <f>+VLOOKUP(Tabla1[[#This Row],[Cliente]],'[1]Público Privado'!$A$1:$B$325,2,FALSE)</f>
        <v>Público</v>
      </c>
      <c r="C229" s="23">
        <f>+SUMIFS('[1]Facturacion a Fecha'!$T:$T,'[1]Facturacion a Fecha'!$AY:$AY,Tabla1[[#This Row],[Cliente]])</f>
        <v>0</v>
      </c>
      <c r="D229" s="24">
        <f>+SUMIFS('[1]Facturacion a Fecha'!$T:$T,'[1]Facturacion a Fecha'!$AY:$AY,Tabla1[[#This Row],[Cliente]],'[1]Facturacion a Fecha'!$AX:$AX,"Correctivo")</f>
        <v>0</v>
      </c>
      <c r="E229" s="25">
        <f>+COUNTIFS('[1]Facturacion a Fecha'!AY:AY,Tabla1[[#This Row],[Cliente]],'[1]Facturacion a Fecha'!AX:AX,"Correctivo")</f>
        <v>0</v>
      </c>
      <c r="F229" s="25">
        <f>+SUMIFS('[1]Facturacion a Fecha'!$T:$T,'[1]Facturacion a Fecha'!$AY:$AY,Tabla1[[#This Row],[Cliente]],'[1]Facturacion a Fecha'!$AX:$AX,"Preventivo")</f>
        <v>0</v>
      </c>
      <c r="G229" s="25">
        <f>+COUNTIFS('[1]Facturacion a Fecha'!AY:AY,Tabla1[[#This Row],[Cliente]],'[1]Facturacion a Fecha'!AX:AX,"Preventivo")</f>
        <v>0</v>
      </c>
      <c r="H229" s="26">
        <f>+Tabla1[[#This Row],['# Preventivo]]+Tabla1[[#This Row],['# Correctivo]]</f>
        <v>0</v>
      </c>
      <c r="I229" s="23">
        <f>+IFERROR(Tabla1[[#This Row],[Ingreso 2025 - 2026 Correctivo]]/Tabla1[[#This Row],[Ingreso 2025 - 2026 Preventivo]],0)</f>
        <v>0</v>
      </c>
      <c r="J229" s="59">
        <f>+IFERROR(Tabla1[[#This Row],['# Correctivo]]/Tabla1[[#This Row],['# Preventivo]],0)</f>
        <v>0</v>
      </c>
      <c r="K229" s="60">
        <f>+IFERROR(Tabla1[[#This Row],[Ingreso 2025 - 2026 Preventivo]]/(Tabla1[[#This Row],[Ingreso 2025 - 2026 Correctivo]]+Tabla1[[#This Row],[Ingreso 2025 - 2026 Preventivo]]),0)</f>
        <v>0</v>
      </c>
      <c r="L229" s="60">
        <f>1-Tabla1[[#This Row],[% Preventivo $]]</f>
        <v>1</v>
      </c>
      <c r="M229" s="45">
        <f>+COUNTIFS('[1]Base Instalada'!AA:AA,Tabla1[[#This Row],[Cliente]])</f>
        <v>5</v>
      </c>
      <c r="N22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29" s="45">
        <f>+COUNTIFS('[1]Base Instalada'!AA:AA,Tabla1[[#This Row],[Cliente]],'[1]Base Instalada'!Z:Z,"ESTERILIZACIÓN")</f>
        <v>0</v>
      </c>
      <c r="P229" s="45">
        <f>+COUNTIFS('[1]Base Instalada'!AA:AA,Tabla1[[#This Row],[Cliente]],'[1]Base Instalada'!Z:Z,"DENTAL")</f>
        <v>5</v>
      </c>
      <c r="Q229" s="45">
        <f>+COUNTIFS('[1]Base Instalada'!AA:AA,Tabla1[[#This Row],[Cliente]],'[1]Base Instalada'!Z:Z,"ENDOSCOPÍA")</f>
        <v>0</v>
      </c>
      <c r="R229" s="45">
        <f>+COUNTIFS('[1]Base Instalada'!AA:AA,Tabla1[[#This Row],[Cliente]],'[1]Base Instalada'!Z:Z,"INCARDIA")</f>
        <v>0</v>
      </c>
      <c r="S229" s="45">
        <f>+COUNTIFS('[1]Base Instalada'!AA:AA,Tabla1[[#This Row],[Cliente]],'[1]Base Instalada'!Z:Z,"MMQ")</f>
        <v>0</v>
      </c>
      <c r="T229" s="45">
        <f>+COUNTIFS('[1]Base Instalada'!AA:AA,Tabla1[[#This Row],[Cliente]],'[1]Base Instalada'!Z:Z,"REAS")</f>
        <v>0</v>
      </c>
      <c r="U229" s="46">
        <f>+COUNTIFS('[1]Base Instalada'!AA:AA,Tabla1[[#This Row],[Cliente]],'[1]Base Instalada'!Z:Z,"MOBILIARIO CLINICO")</f>
        <v>0</v>
      </c>
      <c r="V229" s="29">
        <f>+COUNTIFS('[1]Base Instalada'!AA:AA,Tabla1[[#This Row],[Cliente]],'[1]Base Instalada'!Z:Z,"OTRO")</f>
        <v>0</v>
      </c>
      <c r="W229" s="61" t="str">
        <f t="shared" si="8"/>
        <v>Región Bío Bío</v>
      </c>
      <c r="X229" s="61" t="str">
        <f t="shared" si="9"/>
        <v>Tomé</v>
      </c>
      <c r="Y229" s="62" t="s">
        <v>492</v>
      </c>
      <c r="Z229" s="33">
        <f>+COUNTIFS('[1]Pipeline TS'!$F:$F,Tabla1[[#This Row],[Cliente]])</f>
        <v>0</v>
      </c>
      <c r="AA229" s="63">
        <f>SUMIFS('[1]Pipeline Esterilización'!M:M,'[1]Pipeline Esterilización'!E:E,Tabla1[[#This Row],[Cliente]],'[1]Pipeline Esterilización'!B:B,"2026",'[1]Pipeline Esterilización'!L:L,"&gt;0")</f>
        <v>0</v>
      </c>
      <c r="AB229" s="33">
        <f>+SUMIFS('[1]Pipeline Endoscopía'!K:K,'[1]Pipeline Endoscopía'!E:E,Tabla1[[#This Row],[Cliente]],'[1]Pipeline Endoscopía'!B:B,"2026",'[1]Pipeline Endoscopía'!J:J,"&gt;0")</f>
        <v>0</v>
      </c>
      <c r="AC229" s="63">
        <f>+SUMIFS('[1]Pipeline Dental'!K:K,'[1]Pipeline Dental'!E:E,Tabla1[[#This Row],[Cliente]],'[1]Pipeline Dental'!B:B,"2026",'[1]Pipeline Dental'!J:J,"&gt;0")</f>
        <v>0</v>
      </c>
      <c r="AD229" s="64">
        <f>+SUMIFS('[1]Pipeline TS'!$AB:$AB,'[1]Pipeline TS'!$F:$F,Tabla1[[#This Row],[Cliente]])</f>
        <v>0</v>
      </c>
      <c r="AE229" s="65">
        <f>+SUM(Tabla1[[#This Row],[Pipeline 2026 $MM ESTERILIZACIÓN]:[Pipeline 2026 $MM TECSERVICE]])</f>
        <v>0</v>
      </c>
      <c r="AF229" s="43">
        <v>-36.6095115377694</v>
      </c>
      <c r="AG229" s="58">
        <v>-72.9456319485206</v>
      </c>
      <c r="AH229" s="57" t="str">
        <f>+IF(Tabla1[[#This Row],['# Contratos Vigentes ]]&gt;0,"SI","NO")</f>
        <v>NO</v>
      </c>
      <c r="AI229" s="66"/>
      <c r="AJ229" s="67">
        <f>+Tabla1[[#This Row],[Ingreso 2025 - 2026]]*Tabla1[[#This Row],[% Costo Serv. Directo]]</f>
        <v>0</v>
      </c>
      <c r="AK229" s="68"/>
      <c r="AL22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2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29" s="42">
        <f>+Tabla1[[#This Row],[Potencial Equipos]]+Tabla1[[#This Row],[Potencial Pipeline]]</f>
        <v>2995500</v>
      </c>
    </row>
    <row r="230" spans="1:40" ht="15.75" x14ac:dyDescent="0.25">
      <c r="A230" s="47" t="s">
        <v>493</v>
      </c>
      <c r="B230" t="str">
        <f>+VLOOKUP(Tabla1[[#This Row],[Cliente]],'[1]Público Privado'!$A$1:$B$325,2,FALSE)</f>
        <v>Público</v>
      </c>
      <c r="C230" s="23">
        <f>+SUMIFS('[1]Facturacion a Fecha'!$T:$T,'[1]Facturacion a Fecha'!$AY:$AY,Tabla1[[#This Row],[Cliente]])</f>
        <v>0</v>
      </c>
      <c r="D230" s="24">
        <f>+SUMIFS('[1]Facturacion a Fecha'!$T:$T,'[1]Facturacion a Fecha'!$AY:$AY,Tabla1[[#This Row],[Cliente]],'[1]Facturacion a Fecha'!$AX:$AX,"Correctivo")</f>
        <v>0</v>
      </c>
      <c r="E230" s="25">
        <f>+COUNTIFS('[1]Facturacion a Fecha'!AY:AY,Tabla1[[#This Row],[Cliente]],'[1]Facturacion a Fecha'!AX:AX,"Correctivo")</f>
        <v>0</v>
      </c>
      <c r="F230" s="25">
        <f>+SUMIFS('[1]Facturacion a Fecha'!$T:$T,'[1]Facturacion a Fecha'!$AY:$AY,Tabla1[[#This Row],[Cliente]],'[1]Facturacion a Fecha'!$AX:$AX,"Preventivo")</f>
        <v>0</v>
      </c>
      <c r="G230" s="25">
        <f>+COUNTIFS('[1]Facturacion a Fecha'!AY:AY,Tabla1[[#This Row],[Cliente]],'[1]Facturacion a Fecha'!AX:AX,"Preventivo")</f>
        <v>0</v>
      </c>
      <c r="H230" s="26">
        <f>+Tabla1[[#This Row],['# Preventivo]]+Tabla1[[#This Row],['# Correctivo]]</f>
        <v>0</v>
      </c>
      <c r="I230" s="23">
        <f>+IFERROR(Tabla1[[#This Row],[Ingreso 2025 - 2026 Correctivo]]/Tabla1[[#This Row],[Ingreso 2025 - 2026 Preventivo]],0)</f>
        <v>0</v>
      </c>
      <c r="J230" s="59">
        <f>+IFERROR(Tabla1[[#This Row],['# Correctivo]]/Tabla1[[#This Row],['# Preventivo]],0)</f>
        <v>0</v>
      </c>
      <c r="K230" s="60">
        <f>+IFERROR(Tabla1[[#This Row],[Ingreso 2025 - 2026 Preventivo]]/(Tabla1[[#This Row],[Ingreso 2025 - 2026 Correctivo]]+Tabla1[[#This Row],[Ingreso 2025 - 2026 Preventivo]]),0)</f>
        <v>0</v>
      </c>
      <c r="L230" s="60">
        <f>1-Tabla1[[#This Row],[% Preventivo $]]</f>
        <v>1</v>
      </c>
      <c r="M230" s="45">
        <f>+COUNTIFS('[1]Base Instalada'!AA:AA,Tabla1[[#This Row],[Cliente]])</f>
        <v>5</v>
      </c>
      <c r="N23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0" s="45">
        <f>+COUNTIFS('[1]Base Instalada'!AA:AA,Tabla1[[#This Row],[Cliente]],'[1]Base Instalada'!Z:Z,"ESTERILIZACIÓN")</f>
        <v>2</v>
      </c>
      <c r="P230" s="45">
        <f>+COUNTIFS('[1]Base Instalada'!AA:AA,Tabla1[[#This Row],[Cliente]],'[1]Base Instalada'!Z:Z,"DENTAL")</f>
        <v>3</v>
      </c>
      <c r="Q230" s="45">
        <f>+COUNTIFS('[1]Base Instalada'!AA:AA,Tabla1[[#This Row],[Cliente]],'[1]Base Instalada'!Z:Z,"ENDOSCOPÍA")</f>
        <v>0</v>
      </c>
      <c r="R230" s="45">
        <f>+COUNTIFS('[1]Base Instalada'!AA:AA,Tabla1[[#This Row],[Cliente]],'[1]Base Instalada'!Z:Z,"INCARDIA")</f>
        <v>0</v>
      </c>
      <c r="S230" s="45">
        <f>+COUNTIFS('[1]Base Instalada'!AA:AA,Tabla1[[#This Row],[Cliente]],'[1]Base Instalada'!Z:Z,"MMQ")</f>
        <v>0</v>
      </c>
      <c r="T230" s="45">
        <f>+COUNTIFS('[1]Base Instalada'!AA:AA,Tabla1[[#This Row],[Cliente]],'[1]Base Instalada'!Z:Z,"REAS")</f>
        <v>0</v>
      </c>
      <c r="U230" s="46">
        <f>+COUNTIFS('[1]Base Instalada'!AA:AA,Tabla1[[#This Row],[Cliente]],'[1]Base Instalada'!Z:Z,"MOBILIARIO CLINICO")</f>
        <v>0</v>
      </c>
      <c r="V230" s="29">
        <f>+COUNTIFS('[1]Base Instalada'!AA:AA,Tabla1[[#This Row],[Cliente]],'[1]Base Instalada'!Z:Z,"OTRO")</f>
        <v>0</v>
      </c>
      <c r="W230" s="61" t="str">
        <f t="shared" si="8"/>
        <v>Región O'Higgins</v>
      </c>
      <c r="X230" s="61" t="str">
        <f t="shared" si="9"/>
        <v>Navidad</v>
      </c>
      <c r="Y230" s="62" t="s">
        <v>494</v>
      </c>
      <c r="Z230" s="33">
        <f>+COUNTIFS('[1]Pipeline TS'!$F:$F,Tabla1[[#This Row],[Cliente]])</f>
        <v>0</v>
      </c>
      <c r="AA230" s="63">
        <f>SUMIFS('[1]Pipeline Esterilización'!M:M,'[1]Pipeline Esterilización'!E:E,Tabla1[[#This Row],[Cliente]],'[1]Pipeline Esterilización'!B:B,"2026",'[1]Pipeline Esterilización'!L:L,"&gt;0")</f>
        <v>0</v>
      </c>
      <c r="AB230" s="33">
        <f>+SUMIFS('[1]Pipeline Endoscopía'!K:K,'[1]Pipeline Endoscopía'!E:E,Tabla1[[#This Row],[Cliente]],'[1]Pipeline Endoscopía'!B:B,"2026",'[1]Pipeline Endoscopía'!J:J,"&gt;0")</f>
        <v>0</v>
      </c>
      <c r="AC230" s="63">
        <f>+SUMIFS('[1]Pipeline Dental'!K:K,'[1]Pipeline Dental'!E:E,Tabla1[[#This Row],[Cliente]],'[1]Pipeline Dental'!B:B,"2026",'[1]Pipeline Dental'!J:J,"&gt;0")</f>
        <v>0</v>
      </c>
      <c r="AD230" s="64">
        <f>+SUMIFS('[1]Pipeline TS'!$AB:$AB,'[1]Pipeline TS'!$F:$F,Tabla1[[#This Row],[Cliente]])</f>
        <v>0</v>
      </c>
      <c r="AE230" s="65">
        <f>+SUM(Tabla1[[#This Row],[Pipeline 2026 $MM ESTERILIZACIÓN]:[Pipeline 2026 $MM TECSERVICE]])</f>
        <v>0</v>
      </c>
      <c r="AF230" s="43">
        <v>-33.953503885536399</v>
      </c>
      <c r="AG230" s="58">
        <v>-71.830296748673803</v>
      </c>
      <c r="AH230" s="57" t="str">
        <f>+IF(Tabla1[[#This Row],['# Contratos Vigentes ]]&gt;0,"SI","NO")</f>
        <v>NO</v>
      </c>
      <c r="AI230" s="66"/>
      <c r="AJ230" s="67">
        <f>+Tabla1[[#This Row],[Ingreso 2025 - 2026]]*Tabla1[[#This Row],[% Costo Serv. Directo]]</f>
        <v>0</v>
      </c>
      <c r="AK230" s="68"/>
      <c r="AL23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3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5791300</v>
      </c>
      <c r="AN230" s="42">
        <f>+Tabla1[[#This Row],[Potencial Equipos]]+Tabla1[[#This Row],[Potencial Pipeline]]</f>
        <v>5791300</v>
      </c>
    </row>
    <row r="231" spans="1:40" ht="15.75" x14ac:dyDescent="0.25">
      <c r="A231" s="47" t="s">
        <v>495</v>
      </c>
      <c r="B231" t="str">
        <f>+VLOOKUP(Tabla1[[#This Row],[Cliente]],'[1]Público Privado'!$A$1:$B$325,2,FALSE)</f>
        <v>Público</v>
      </c>
      <c r="C231" s="23">
        <f>+SUMIFS('[1]Facturacion a Fecha'!$T:$T,'[1]Facturacion a Fecha'!$AY:$AY,Tabla1[[#This Row],[Cliente]])</f>
        <v>0</v>
      </c>
      <c r="D231" s="24">
        <f>+SUMIFS('[1]Facturacion a Fecha'!$T:$T,'[1]Facturacion a Fecha'!$AY:$AY,Tabla1[[#This Row],[Cliente]],'[1]Facturacion a Fecha'!$AX:$AX,"Correctivo")</f>
        <v>0</v>
      </c>
      <c r="E231" s="25">
        <f>+COUNTIFS('[1]Facturacion a Fecha'!AY:AY,Tabla1[[#This Row],[Cliente]],'[1]Facturacion a Fecha'!AX:AX,"Correctivo")</f>
        <v>0</v>
      </c>
      <c r="F231" s="25">
        <f>+SUMIFS('[1]Facturacion a Fecha'!$T:$T,'[1]Facturacion a Fecha'!$AY:$AY,Tabla1[[#This Row],[Cliente]],'[1]Facturacion a Fecha'!$AX:$AX,"Preventivo")</f>
        <v>0</v>
      </c>
      <c r="G231" s="25">
        <f>+COUNTIFS('[1]Facturacion a Fecha'!AY:AY,Tabla1[[#This Row],[Cliente]],'[1]Facturacion a Fecha'!AX:AX,"Preventivo")</f>
        <v>0</v>
      </c>
      <c r="H231" s="26">
        <f>+Tabla1[[#This Row],['# Preventivo]]+Tabla1[[#This Row],['# Correctivo]]</f>
        <v>0</v>
      </c>
      <c r="I231" s="23">
        <f>+IFERROR(Tabla1[[#This Row],[Ingreso 2025 - 2026 Correctivo]]/Tabla1[[#This Row],[Ingreso 2025 - 2026 Preventivo]],0)</f>
        <v>0</v>
      </c>
      <c r="J231" s="59">
        <f>+IFERROR(Tabla1[[#This Row],['# Correctivo]]/Tabla1[[#This Row],['# Preventivo]],0)</f>
        <v>0</v>
      </c>
      <c r="K231" s="60">
        <f>+IFERROR(Tabla1[[#This Row],[Ingreso 2025 - 2026 Preventivo]]/(Tabla1[[#This Row],[Ingreso 2025 - 2026 Correctivo]]+Tabla1[[#This Row],[Ingreso 2025 - 2026 Preventivo]]),0)</f>
        <v>0</v>
      </c>
      <c r="L231" s="60">
        <f>1-Tabla1[[#This Row],[% Preventivo $]]</f>
        <v>1</v>
      </c>
      <c r="M231" s="45">
        <f>+COUNTIFS('[1]Base Instalada'!AA:AA,Tabla1[[#This Row],[Cliente]])</f>
        <v>8</v>
      </c>
      <c r="N23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1" s="45">
        <f>+COUNTIFS('[1]Base Instalada'!AA:AA,Tabla1[[#This Row],[Cliente]],'[1]Base Instalada'!Z:Z,"ESTERILIZACIÓN")</f>
        <v>0</v>
      </c>
      <c r="P231" s="45">
        <f>+COUNTIFS('[1]Base Instalada'!AA:AA,Tabla1[[#This Row],[Cliente]],'[1]Base Instalada'!Z:Z,"DENTAL")</f>
        <v>4</v>
      </c>
      <c r="Q231" s="45">
        <f>+COUNTIFS('[1]Base Instalada'!AA:AA,Tabla1[[#This Row],[Cliente]],'[1]Base Instalada'!Z:Z,"ENDOSCOPÍA")</f>
        <v>0</v>
      </c>
      <c r="R231" s="45">
        <f>+COUNTIFS('[1]Base Instalada'!AA:AA,Tabla1[[#This Row],[Cliente]],'[1]Base Instalada'!Z:Z,"INCARDIA")</f>
        <v>4</v>
      </c>
      <c r="S231" s="45">
        <f>+COUNTIFS('[1]Base Instalada'!AA:AA,Tabla1[[#This Row],[Cliente]],'[1]Base Instalada'!Z:Z,"MMQ")</f>
        <v>0</v>
      </c>
      <c r="T231" s="45">
        <f>+COUNTIFS('[1]Base Instalada'!AA:AA,Tabla1[[#This Row],[Cliente]],'[1]Base Instalada'!Z:Z,"REAS")</f>
        <v>0</v>
      </c>
      <c r="U231" s="46">
        <f>+COUNTIFS('[1]Base Instalada'!AA:AA,Tabla1[[#This Row],[Cliente]],'[1]Base Instalada'!Z:Z,"MOBILIARIO CLINICO")</f>
        <v>0</v>
      </c>
      <c r="V231" s="29">
        <f>+COUNTIFS('[1]Base Instalada'!AA:AA,Tabla1[[#This Row],[Cliente]],'[1]Base Instalada'!Z:Z,"OTRO")</f>
        <v>0</v>
      </c>
      <c r="W231" s="61" t="str">
        <f t="shared" si="8"/>
        <v>Región Coquimbo</v>
      </c>
      <c r="X231" s="61" t="str">
        <f t="shared" si="9"/>
        <v>Canela</v>
      </c>
      <c r="Y231" s="62" t="s">
        <v>496</v>
      </c>
      <c r="Z231" s="33">
        <f>+COUNTIFS('[1]Pipeline TS'!$F:$F,Tabla1[[#This Row],[Cliente]])</f>
        <v>0</v>
      </c>
      <c r="AA231" s="63">
        <f>SUMIFS('[1]Pipeline Esterilización'!M:M,'[1]Pipeline Esterilización'!E:E,Tabla1[[#This Row],[Cliente]],'[1]Pipeline Esterilización'!B:B,"2026",'[1]Pipeline Esterilización'!L:L,"&gt;0")</f>
        <v>0</v>
      </c>
      <c r="AB231" s="33">
        <f>+SUMIFS('[1]Pipeline Endoscopía'!K:K,'[1]Pipeline Endoscopía'!E:E,Tabla1[[#This Row],[Cliente]],'[1]Pipeline Endoscopía'!B:B,"2026",'[1]Pipeline Endoscopía'!J:J,"&gt;0")</f>
        <v>0</v>
      </c>
      <c r="AC231" s="63">
        <f>+SUMIFS('[1]Pipeline Dental'!K:K,'[1]Pipeline Dental'!E:E,Tabla1[[#This Row],[Cliente]],'[1]Pipeline Dental'!B:B,"2026",'[1]Pipeline Dental'!J:J,"&gt;0")</f>
        <v>0</v>
      </c>
      <c r="AD231" s="64">
        <f>+SUMIFS('[1]Pipeline TS'!$AB:$AB,'[1]Pipeline TS'!$F:$F,Tabla1[[#This Row],[Cliente]])</f>
        <v>0</v>
      </c>
      <c r="AE231" s="65">
        <f>+SUM(Tabla1[[#This Row],[Pipeline 2026 $MM ESTERILIZACIÓN]:[Pipeline 2026 $MM TECSERVICE]])</f>
        <v>0</v>
      </c>
      <c r="AF231" s="43">
        <v>-31.399826433957099</v>
      </c>
      <c r="AG231" s="58">
        <v>-71.458771189294197</v>
      </c>
      <c r="AH231" s="57" t="str">
        <f>+IF(Tabla1[[#This Row],['# Contratos Vigentes ]]&gt;0,"SI","NO")</f>
        <v>NO</v>
      </c>
      <c r="AI231" s="66"/>
      <c r="AJ231" s="67">
        <f>+Tabla1[[#This Row],[Ingreso 2025 - 2026]]*Tabla1[[#This Row],[% Costo Serv. Directo]]</f>
        <v>0</v>
      </c>
      <c r="AK231" s="68"/>
      <c r="AL23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3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2396400</v>
      </c>
      <c r="AN231" s="42">
        <f>+Tabla1[[#This Row],[Potencial Equipos]]+Tabla1[[#This Row],[Potencial Pipeline]]</f>
        <v>2396400</v>
      </c>
    </row>
    <row r="232" spans="1:40" ht="15.75" x14ac:dyDescent="0.25">
      <c r="A232" s="47" t="s">
        <v>497</v>
      </c>
      <c r="B232" t="str">
        <f>+VLOOKUP(Tabla1[[#This Row],[Cliente]],'[1]Público Privado'!$A$1:$B$325,2,FALSE)</f>
        <v>Privado</v>
      </c>
      <c r="C232" s="23">
        <f>+SUMIFS('[1]Facturacion a Fecha'!$T:$T,'[1]Facturacion a Fecha'!$AY:$AY,Tabla1[[#This Row],[Cliente]])</f>
        <v>0</v>
      </c>
      <c r="D232" s="24">
        <f>+SUMIFS('[1]Facturacion a Fecha'!$T:$T,'[1]Facturacion a Fecha'!$AY:$AY,Tabla1[[#This Row],[Cliente]],'[1]Facturacion a Fecha'!$AX:$AX,"Correctivo")</f>
        <v>0</v>
      </c>
      <c r="E232" s="25">
        <f>+COUNTIFS('[1]Facturacion a Fecha'!AY:AY,Tabla1[[#This Row],[Cliente]],'[1]Facturacion a Fecha'!AX:AX,"Correctivo")</f>
        <v>0</v>
      </c>
      <c r="F232" s="25">
        <f>+SUMIFS('[1]Facturacion a Fecha'!$T:$T,'[1]Facturacion a Fecha'!$AY:$AY,Tabla1[[#This Row],[Cliente]],'[1]Facturacion a Fecha'!$AX:$AX,"Preventivo")</f>
        <v>0</v>
      </c>
      <c r="G232" s="25">
        <f>+COUNTIFS('[1]Facturacion a Fecha'!AY:AY,Tabla1[[#This Row],[Cliente]],'[1]Facturacion a Fecha'!AX:AX,"Preventivo")</f>
        <v>0</v>
      </c>
      <c r="H232" s="26">
        <f>+Tabla1[[#This Row],['# Preventivo]]+Tabla1[[#This Row],['# Correctivo]]</f>
        <v>0</v>
      </c>
      <c r="I232" s="23">
        <f>+IFERROR(Tabla1[[#This Row],[Ingreso 2025 - 2026 Correctivo]]/Tabla1[[#This Row],[Ingreso 2025 - 2026 Preventivo]],0)</f>
        <v>0</v>
      </c>
      <c r="J232" s="59">
        <f>+IFERROR(Tabla1[[#This Row],['# Correctivo]]/Tabla1[[#This Row],['# Preventivo]],0)</f>
        <v>0</v>
      </c>
      <c r="K232" s="60">
        <f>+IFERROR(Tabla1[[#This Row],[Ingreso 2025 - 2026 Preventivo]]/(Tabla1[[#This Row],[Ingreso 2025 - 2026 Correctivo]]+Tabla1[[#This Row],[Ingreso 2025 - 2026 Preventivo]]),0)</f>
        <v>0</v>
      </c>
      <c r="L232" s="60">
        <f>1-Tabla1[[#This Row],[% Preventivo $]]</f>
        <v>1</v>
      </c>
      <c r="M232" s="45">
        <f>+COUNTIFS('[1]Base Instalada'!AA:AA,Tabla1[[#This Row],[Cliente]])</f>
        <v>7</v>
      </c>
      <c r="N23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2" s="45">
        <f>+COUNTIFS('[1]Base Instalada'!AA:AA,Tabla1[[#This Row],[Cliente]],'[1]Base Instalada'!Z:Z,"ESTERILIZACIÓN")</f>
        <v>0</v>
      </c>
      <c r="P232" s="45">
        <f>+COUNTIFS('[1]Base Instalada'!AA:AA,Tabla1[[#This Row],[Cliente]],'[1]Base Instalada'!Z:Z,"DENTAL")</f>
        <v>7</v>
      </c>
      <c r="Q232" s="45">
        <f>+COUNTIFS('[1]Base Instalada'!AA:AA,Tabla1[[#This Row],[Cliente]],'[1]Base Instalada'!Z:Z,"ENDOSCOPÍA")</f>
        <v>0</v>
      </c>
      <c r="R232" s="45">
        <f>+COUNTIFS('[1]Base Instalada'!AA:AA,Tabla1[[#This Row],[Cliente]],'[1]Base Instalada'!Z:Z,"INCARDIA")</f>
        <v>0</v>
      </c>
      <c r="S232" s="45">
        <f>+COUNTIFS('[1]Base Instalada'!AA:AA,Tabla1[[#This Row],[Cliente]],'[1]Base Instalada'!Z:Z,"MMQ")</f>
        <v>0</v>
      </c>
      <c r="T232" s="45">
        <f>+COUNTIFS('[1]Base Instalada'!AA:AA,Tabla1[[#This Row],[Cliente]],'[1]Base Instalada'!Z:Z,"REAS")</f>
        <v>0</v>
      </c>
      <c r="U232" s="46">
        <f>+COUNTIFS('[1]Base Instalada'!AA:AA,Tabla1[[#This Row],[Cliente]],'[1]Base Instalada'!Z:Z,"MOBILIARIO CLINICO")</f>
        <v>0</v>
      </c>
      <c r="V232" s="29">
        <f>+COUNTIFS('[1]Base Instalada'!AA:AA,Tabla1[[#This Row],[Cliente]],'[1]Base Instalada'!Z:Z,"OTRO")</f>
        <v>0</v>
      </c>
      <c r="W232" s="61" t="str">
        <f t="shared" si="8"/>
        <v>Región Metropolitana</v>
      </c>
      <c r="X232" s="61" t="str">
        <f t="shared" si="9"/>
        <v>Vitacura</v>
      </c>
      <c r="Y232" s="62" t="s">
        <v>498</v>
      </c>
      <c r="Z232" s="33">
        <f>+COUNTIFS('[1]Pipeline TS'!$F:$F,Tabla1[[#This Row],[Cliente]])</f>
        <v>0</v>
      </c>
      <c r="AA232" s="63">
        <f>SUMIFS('[1]Pipeline Esterilización'!M:M,'[1]Pipeline Esterilización'!E:E,Tabla1[[#This Row],[Cliente]],'[1]Pipeline Esterilización'!B:B,"2026",'[1]Pipeline Esterilización'!L:L,"&gt;0")</f>
        <v>0</v>
      </c>
      <c r="AB232" s="33">
        <f>+SUMIFS('[1]Pipeline Endoscopía'!K:K,'[1]Pipeline Endoscopía'!E:E,Tabla1[[#This Row],[Cliente]],'[1]Pipeline Endoscopía'!B:B,"2026",'[1]Pipeline Endoscopía'!J:J,"&gt;0")</f>
        <v>0</v>
      </c>
      <c r="AC232" s="63">
        <f>+SUMIFS('[1]Pipeline Dental'!K:K,'[1]Pipeline Dental'!E:E,Tabla1[[#This Row],[Cliente]],'[1]Pipeline Dental'!B:B,"2026",'[1]Pipeline Dental'!J:J,"&gt;0")</f>
        <v>0</v>
      </c>
      <c r="AD232" s="64">
        <f>+SUMIFS('[1]Pipeline TS'!$AB:$AB,'[1]Pipeline TS'!$F:$F,Tabla1[[#This Row],[Cliente]])</f>
        <v>0</v>
      </c>
      <c r="AE232" s="65">
        <f>+SUM(Tabla1[[#This Row],[Pipeline 2026 $MM ESTERILIZACIÓN]:[Pipeline 2026 $MM TECSERVICE]])</f>
        <v>0</v>
      </c>
      <c r="AF232" s="43">
        <v>-33.386412333440703</v>
      </c>
      <c r="AG232" s="58">
        <v>-70.575106191437499</v>
      </c>
      <c r="AH232" s="57" t="str">
        <f>+IF(Tabla1[[#This Row],['# Contratos Vigentes ]]&gt;0,"SI","NO")</f>
        <v>NO</v>
      </c>
      <c r="AI232" s="66"/>
      <c r="AJ232" s="67">
        <f>+Tabla1[[#This Row],[Ingreso 2025 - 2026]]*Tabla1[[#This Row],[% Costo Serv. Directo]]</f>
        <v>0</v>
      </c>
      <c r="AK232" s="68"/>
      <c r="AL23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3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232" s="42">
        <f>+Tabla1[[#This Row],[Potencial Equipos]]+Tabla1[[#This Row],[Potencial Pipeline]]</f>
        <v>4193700</v>
      </c>
    </row>
    <row r="233" spans="1:40" ht="15.75" x14ac:dyDescent="0.25">
      <c r="A233" s="47" t="s">
        <v>499</v>
      </c>
      <c r="B233" t="str">
        <f>+VLOOKUP(Tabla1[[#This Row],[Cliente]],'[1]Público Privado'!$A$1:$B$325,2,FALSE)</f>
        <v>Público</v>
      </c>
      <c r="C233" s="23">
        <f>+SUMIFS('[1]Facturacion a Fecha'!$T:$T,'[1]Facturacion a Fecha'!$AY:$AY,Tabla1[[#This Row],[Cliente]])</f>
        <v>0</v>
      </c>
      <c r="D233" s="24">
        <f>+SUMIFS('[1]Facturacion a Fecha'!$T:$T,'[1]Facturacion a Fecha'!$AY:$AY,Tabla1[[#This Row],[Cliente]],'[1]Facturacion a Fecha'!$AX:$AX,"Correctivo")</f>
        <v>0</v>
      </c>
      <c r="E233" s="25">
        <f>+COUNTIFS('[1]Facturacion a Fecha'!AY:AY,Tabla1[[#This Row],[Cliente]],'[1]Facturacion a Fecha'!AX:AX,"Correctivo")</f>
        <v>0</v>
      </c>
      <c r="F233" s="25">
        <f>+SUMIFS('[1]Facturacion a Fecha'!$T:$T,'[1]Facturacion a Fecha'!$AY:$AY,Tabla1[[#This Row],[Cliente]],'[1]Facturacion a Fecha'!$AX:$AX,"Preventivo")</f>
        <v>0</v>
      </c>
      <c r="G233" s="25">
        <f>+COUNTIFS('[1]Facturacion a Fecha'!AY:AY,Tabla1[[#This Row],[Cliente]],'[1]Facturacion a Fecha'!AX:AX,"Preventivo")</f>
        <v>0</v>
      </c>
      <c r="H233" s="26">
        <f>+Tabla1[[#This Row],['# Preventivo]]+Tabla1[[#This Row],['# Correctivo]]</f>
        <v>0</v>
      </c>
      <c r="I233" s="23">
        <f>+IFERROR(Tabla1[[#This Row],[Ingreso 2025 - 2026 Correctivo]]/Tabla1[[#This Row],[Ingreso 2025 - 2026 Preventivo]],0)</f>
        <v>0</v>
      </c>
      <c r="J233" s="59">
        <f>+IFERROR(Tabla1[[#This Row],['# Correctivo]]/Tabla1[[#This Row],['# Preventivo]],0)</f>
        <v>0</v>
      </c>
      <c r="K233" s="60">
        <f>+IFERROR(Tabla1[[#This Row],[Ingreso 2025 - 2026 Preventivo]]/(Tabla1[[#This Row],[Ingreso 2025 - 2026 Correctivo]]+Tabla1[[#This Row],[Ingreso 2025 - 2026 Preventivo]]),0)</f>
        <v>0</v>
      </c>
      <c r="L233" s="60">
        <f>1-Tabla1[[#This Row],[% Preventivo $]]</f>
        <v>1</v>
      </c>
      <c r="M233" s="45">
        <f>+COUNTIFS('[1]Base Instalada'!AA:AA,Tabla1[[#This Row],[Cliente]])</f>
        <v>8</v>
      </c>
      <c r="N23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3" s="45">
        <f>+COUNTIFS('[1]Base Instalada'!AA:AA,Tabla1[[#This Row],[Cliente]],'[1]Base Instalada'!Z:Z,"ESTERILIZACIÓN")</f>
        <v>2</v>
      </c>
      <c r="P233" s="45">
        <f>+COUNTIFS('[1]Base Instalada'!AA:AA,Tabla1[[#This Row],[Cliente]],'[1]Base Instalada'!Z:Z,"DENTAL")</f>
        <v>6</v>
      </c>
      <c r="Q233" s="45">
        <f>+COUNTIFS('[1]Base Instalada'!AA:AA,Tabla1[[#This Row],[Cliente]],'[1]Base Instalada'!Z:Z,"ENDOSCOPÍA")</f>
        <v>0</v>
      </c>
      <c r="R233" s="45">
        <f>+COUNTIFS('[1]Base Instalada'!AA:AA,Tabla1[[#This Row],[Cliente]],'[1]Base Instalada'!Z:Z,"INCARDIA")</f>
        <v>0</v>
      </c>
      <c r="S233" s="45">
        <f>+COUNTIFS('[1]Base Instalada'!AA:AA,Tabla1[[#This Row],[Cliente]],'[1]Base Instalada'!Z:Z,"MMQ")</f>
        <v>0</v>
      </c>
      <c r="T233" s="45">
        <f>+COUNTIFS('[1]Base Instalada'!AA:AA,Tabla1[[#This Row],[Cliente]],'[1]Base Instalada'!Z:Z,"REAS")</f>
        <v>0</v>
      </c>
      <c r="U233" s="46">
        <f>+COUNTIFS('[1]Base Instalada'!AA:AA,Tabla1[[#This Row],[Cliente]],'[1]Base Instalada'!Z:Z,"MOBILIARIO CLINICO")</f>
        <v>0</v>
      </c>
      <c r="V233" s="29">
        <f>+COUNTIFS('[1]Base Instalada'!AA:AA,Tabla1[[#This Row],[Cliente]],'[1]Base Instalada'!Z:Z,"OTRO")</f>
        <v>0</v>
      </c>
      <c r="W233" s="61" t="str">
        <f t="shared" si="8"/>
        <v>Región Maule</v>
      </c>
      <c r="X233" s="61" t="str">
        <f t="shared" si="9"/>
        <v>Colbún</v>
      </c>
      <c r="Y233" s="62" t="s">
        <v>500</v>
      </c>
      <c r="Z233" s="33">
        <f>+COUNTIFS('[1]Pipeline TS'!$F:$F,Tabla1[[#This Row],[Cliente]])</f>
        <v>0</v>
      </c>
      <c r="AA233" s="63">
        <f>SUMIFS('[1]Pipeline Esterilización'!M:M,'[1]Pipeline Esterilización'!E:E,Tabla1[[#This Row],[Cliente]],'[1]Pipeline Esterilización'!B:B,"2026",'[1]Pipeline Esterilización'!L:L,"&gt;0")</f>
        <v>0</v>
      </c>
      <c r="AB233" s="33">
        <f>+SUMIFS('[1]Pipeline Endoscopía'!K:K,'[1]Pipeline Endoscopía'!E:E,Tabla1[[#This Row],[Cliente]],'[1]Pipeline Endoscopía'!B:B,"2026",'[1]Pipeline Endoscopía'!J:J,"&gt;0")</f>
        <v>0</v>
      </c>
      <c r="AC233" s="63">
        <f>+SUMIFS('[1]Pipeline Dental'!K:K,'[1]Pipeline Dental'!E:E,Tabla1[[#This Row],[Cliente]],'[1]Pipeline Dental'!B:B,"2026",'[1]Pipeline Dental'!J:J,"&gt;0")</f>
        <v>0</v>
      </c>
      <c r="AD233" s="64">
        <f>+SUMIFS('[1]Pipeline TS'!$AB:$AB,'[1]Pipeline TS'!$F:$F,Tabla1[[#This Row],[Cliente]])</f>
        <v>0</v>
      </c>
      <c r="AE233" s="65">
        <f>+SUM(Tabla1[[#This Row],[Pipeline 2026 $MM ESTERILIZACIÓN]:[Pipeline 2026 $MM TECSERVICE]])</f>
        <v>0</v>
      </c>
      <c r="AF233" s="43">
        <v>-35.696837677119298</v>
      </c>
      <c r="AG233" s="58">
        <v>-71.402981233232893</v>
      </c>
      <c r="AH233" s="57" t="str">
        <f>+IF(Tabla1[[#This Row],['# Contratos Vigentes ]]&gt;0,"SI","NO")</f>
        <v>NO</v>
      </c>
      <c r="AI233" s="66"/>
      <c r="AJ233" s="67">
        <f>+Tabla1[[#This Row],[Ingreso 2025 - 2026]]*Tabla1[[#This Row],[% Costo Serv. Directo]]</f>
        <v>0</v>
      </c>
      <c r="AK233" s="68"/>
      <c r="AL23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3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7588600</v>
      </c>
      <c r="AN233" s="42">
        <f>+Tabla1[[#This Row],[Potencial Equipos]]+Tabla1[[#This Row],[Potencial Pipeline]]</f>
        <v>7588600</v>
      </c>
    </row>
    <row r="234" spans="1:40" ht="15.75" x14ac:dyDescent="0.25">
      <c r="A234" s="47" t="s">
        <v>501</v>
      </c>
      <c r="B234" t="str">
        <f>+VLOOKUP(Tabla1[[#This Row],[Cliente]],'[1]Público Privado'!$A$1:$B$325,2,FALSE)</f>
        <v>Privado</v>
      </c>
      <c r="C234" s="23">
        <f>+SUMIFS('[1]Facturacion a Fecha'!$T:$T,'[1]Facturacion a Fecha'!$AY:$AY,Tabla1[[#This Row],[Cliente]])</f>
        <v>0</v>
      </c>
      <c r="D234" s="24">
        <f>+SUMIFS('[1]Facturacion a Fecha'!$T:$T,'[1]Facturacion a Fecha'!$AY:$AY,Tabla1[[#This Row],[Cliente]],'[1]Facturacion a Fecha'!$AX:$AX,"Correctivo")</f>
        <v>0</v>
      </c>
      <c r="E234" s="25">
        <f>+COUNTIFS('[1]Facturacion a Fecha'!AY:AY,Tabla1[[#This Row],[Cliente]],'[1]Facturacion a Fecha'!AX:AX,"Correctivo")</f>
        <v>0</v>
      </c>
      <c r="F234" s="25">
        <f>+SUMIFS('[1]Facturacion a Fecha'!$T:$T,'[1]Facturacion a Fecha'!$AY:$AY,Tabla1[[#This Row],[Cliente]],'[1]Facturacion a Fecha'!$AX:$AX,"Preventivo")</f>
        <v>0</v>
      </c>
      <c r="G234" s="25">
        <f>+COUNTIFS('[1]Facturacion a Fecha'!AY:AY,Tabla1[[#This Row],[Cliente]],'[1]Facturacion a Fecha'!AX:AX,"Preventivo")</f>
        <v>0</v>
      </c>
      <c r="H234" s="26">
        <f>+Tabla1[[#This Row],['# Preventivo]]+Tabla1[[#This Row],['# Correctivo]]</f>
        <v>0</v>
      </c>
      <c r="I234" s="23">
        <f>+IFERROR(Tabla1[[#This Row],[Ingreso 2025 - 2026 Correctivo]]/Tabla1[[#This Row],[Ingreso 2025 - 2026 Preventivo]],0)</f>
        <v>0</v>
      </c>
      <c r="J234" s="59">
        <f>+IFERROR(Tabla1[[#This Row],['# Correctivo]]/Tabla1[[#This Row],['# Preventivo]],0)</f>
        <v>0</v>
      </c>
      <c r="K234" s="60">
        <f>+IFERROR(Tabla1[[#This Row],[Ingreso 2025 - 2026 Preventivo]]/(Tabla1[[#This Row],[Ingreso 2025 - 2026 Correctivo]]+Tabla1[[#This Row],[Ingreso 2025 - 2026 Preventivo]]),0)</f>
        <v>0</v>
      </c>
      <c r="L234" s="60">
        <f>1-Tabla1[[#This Row],[% Preventivo $]]</f>
        <v>1</v>
      </c>
      <c r="M234" s="45">
        <f>+COUNTIFS('[1]Base Instalada'!AA:AA,Tabla1[[#This Row],[Cliente]])</f>
        <v>18</v>
      </c>
      <c r="N23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4" s="45">
        <f>+COUNTIFS('[1]Base Instalada'!AA:AA,Tabla1[[#This Row],[Cliente]],'[1]Base Instalada'!Z:Z,"ESTERILIZACIÓN")</f>
        <v>0</v>
      </c>
      <c r="P234" s="45">
        <f>+COUNTIFS('[1]Base Instalada'!AA:AA,Tabla1[[#This Row],[Cliente]],'[1]Base Instalada'!Z:Z,"DENTAL")</f>
        <v>18</v>
      </c>
      <c r="Q234" s="45">
        <f>+COUNTIFS('[1]Base Instalada'!AA:AA,Tabla1[[#This Row],[Cliente]],'[1]Base Instalada'!Z:Z,"ENDOSCOPÍA")</f>
        <v>0</v>
      </c>
      <c r="R234" s="45">
        <f>+COUNTIFS('[1]Base Instalada'!AA:AA,Tabla1[[#This Row],[Cliente]],'[1]Base Instalada'!Z:Z,"INCARDIA")</f>
        <v>0</v>
      </c>
      <c r="S234" s="45">
        <f>+COUNTIFS('[1]Base Instalada'!AA:AA,Tabla1[[#This Row],[Cliente]],'[1]Base Instalada'!Z:Z,"MMQ")</f>
        <v>0</v>
      </c>
      <c r="T234" s="45">
        <f>+COUNTIFS('[1]Base Instalada'!AA:AA,Tabla1[[#This Row],[Cliente]],'[1]Base Instalada'!Z:Z,"REAS")</f>
        <v>0</v>
      </c>
      <c r="U234" s="46">
        <f>+COUNTIFS('[1]Base Instalada'!AA:AA,Tabla1[[#This Row],[Cliente]],'[1]Base Instalada'!Z:Z,"MOBILIARIO CLINICO")</f>
        <v>0</v>
      </c>
      <c r="V234" s="29">
        <f>+COUNTIFS('[1]Base Instalada'!AA:AA,Tabla1[[#This Row],[Cliente]],'[1]Base Instalada'!Z:Z,"OTRO")</f>
        <v>0</v>
      </c>
      <c r="W234" s="61" t="str">
        <f t="shared" si="8"/>
        <v>Región Metropolitana</v>
      </c>
      <c r="X234" s="61" t="str">
        <f t="shared" si="9"/>
        <v>Independencia</v>
      </c>
      <c r="Y234" s="62" t="s">
        <v>502</v>
      </c>
      <c r="Z234" s="33">
        <f>+COUNTIFS('[1]Pipeline TS'!$F:$F,Tabla1[[#This Row],[Cliente]])</f>
        <v>0</v>
      </c>
      <c r="AA234" s="63">
        <f>SUMIFS('[1]Pipeline Esterilización'!M:M,'[1]Pipeline Esterilización'!E:E,Tabla1[[#This Row],[Cliente]],'[1]Pipeline Esterilización'!B:B,"2026",'[1]Pipeline Esterilización'!L:L,"&gt;0")</f>
        <v>0</v>
      </c>
      <c r="AB234" s="33">
        <f>+SUMIFS('[1]Pipeline Endoscopía'!K:K,'[1]Pipeline Endoscopía'!E:E,Tabla1[[#This Row],[Cliente]],'[1]Pipeline Endoscopía'!B:B,"2026",'[1]Pipeline Endoscopía'!J:J,"&gt;0")</f>
        <v>0</v>
      </c>
      <c r="AC234" s="63">
        <f>+SUMIFS('[1]Pipeline Dental'!K:K,'[1]Pipeline Dental'!E:E,Tabla1[[#This Row],[Cliente]],'[1]Pipeline Dental'!B:B,"2026",'[1]Pipeline Dental'!J:J,"&gt;0")</f>
        <v>274362245</v>
      </c>
      <c r="AD234" s="64">
        <f>+SUMIFS('[1]Pipeline TS'!$AB:$AB,'[1]Pipeline TS'!$F:$F,Tabla1[[#This Row],[Cliente]])</f>
        <v>0</v>
      </c>
      <c r="AE234" s="65">
        <f>+SUM(Tabla1[[#This Row],[Pipeline 2026 $MM ESTERILIZACIÓN]:[Pipeline 2026 $MM TECSERVICE]])</f>
        <v>274362245</v>
      </c>
      <c r="AF234" s="43">
        <v>-33.405986143073697</v>
      </c>
      <c r="AG234" s="58">
        <v>-70.681048388297697</v>
      </c>
      <c r="AH234" s="57" t="str">
        <f>+IF(Tabla1[[#This Row],['# Contratos Vigentes ]]&gt;0,"SI","NO")</f>
        <v>NO</v>
      </c>
      <c r="AI234" s="66"/>
      <c r="AJ234" s="67">
        <f>+Tabla1[[#This Row],[Ingreso 2025 - 2026]]*Tabla1[[#This Row],[% Costo Serv. Directo]]</f>
        <v>0</v>
      </c>
      <c r="AK234" s="68"/>
      <c r="AL23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16461734.699999999</v>
      </c>
      <c r="AM23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10783800</v>
      </c>
      <c r="AN234" s="42">
        <f>+Tabla1[[#This Row],[Potencial Equipos]]+Tabla1[[#This Row],[Potencial Pipeline]]</f>
        <v>27245534.699999999</v>
      </c>
    </row>
    <row r="235" spans="1:40" ht="15.75" x14ac:dyDescent="0.25">
      <c r="A235" s="47" t="s">
        <v>503</v>
      </c>
      <c r="B235" t="str">
        <f>+VLOOKUP(Tabla1[[#This Row],[Cliente]],'[1]Público Privado'!$A$1:$B$325,2,FALSE)</f>
        <v>Público</v>
      </c>
      <c r="C235" s="23">
        <f>+SUMIFS('[1]Facturacion a Fecha'!$T:$T,'[1]Facturacion a Fecha'!$AY:$AY,Tabla1[[#This Row],[Cliente]])</f>
        <v>0</v>
      </c>
      <c r="D235" s="24">
        <f>+SUMIFS('[1]Facturacion a Fecha'!$T:$T,'[1]Facturacion a Fecha'!$AY:$AY,Tabla1[[#This Row],[Cliente]],'[1]Facturacion a Fecha'!$AX:$AX,"Correctivo")</f>
        <v>0</v>
      </c>
      <c r="E235" s="25">
        <f>+COUNTIFS('[1]Facturacion a Fecha'!AY:AY,Tabla1[[#This Row],[Cliente]],'[1]Facturacion a Fecha'!AX:AX,"Correctivo")</f>
        <v>0</v>
      </c>
      <c r="F235" s="25">
        <f>+SUMIFS('[1]Facturacion a Fecha'!$T:$T,'[1]Facturacion a Fecha'!$AY:$AY,Tabla1[[#This Row],[Cliente]],'[1]Facturacion a Fecha'!$AX:$AX,"Preventivo")</f>
        <v>0</v>
      </c>
      <c r="G235" s="25">
        <f>+COUNTIFS('[1]Facturacion a Fecha'!AY:AY,Tabla1[[#This Row],[Cliente]],'[1]Facturacion a Fecha'!AX:AX,"Preventivo")</f>
        <v>0</v>
      </c>
      <c r="H235" s="26">
        <f>+Tabla1[[#This Row],['# Preventivo]]+Tabla1[[#This Row],['# Correctivo]]</f>
        <v>0</v>
      </c>
      <c r="I235" s="23">
        <f>+IFERROR(Tabla1[[#This Row],[Ingreso 2025 - 2026 Correctivo]]/Tabla1[[#This Row],[Ingreso 2025 - 2026 Preventivo]],0)</f>
        <v>0</v>
      </c>
      <c r="J235" s="59">
        <f>+IFERROR(Tabla1[[#This Row],['# Correctivo]]/Tabla1[[#This Row],['# Preventivo]],0)</f>
        <v>0</v>
      </c>
      <c r="K235" s="60">
        <f>+IFERROR(Tabla1[[#This Row],[Ingreso 2025 - 2026 Preventivo]]/(Tabla1[[#This Row],[Ingreso 2025 - 2026 Correctivo]]+Tabla1[[#This Row],[Ingreso 2025 - 2026 Preventivo]]),0)</f>
        <v>0</v>
      </c>
      <c r="L235" s="60">
        <f>1-Tabla1[[#This Row],[% Preventivo $]]</f>
        <v>1</v>
      </c>
      <c r="M235" s="45">
        <f>+COUNTIFS('[1]Base Instalada'!AA:AA,Tabla1[[#This Row],[Cliente]])</f>
        <v>6</v>
      </c>
      <c r="N23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5" s="45">
        <f>+COUNTIFS('[1]Base Instalada'!AA:AA,Tabla1[[#This Row],[Cliente]],'[1]Base Instalada'!Z:Z,"ESTERILIZACIÓN")</f>
        <v>0</v>
      </c>
      <c r="P235" s="45">
        <f>+COUNTIFS('[1]Base Instalada'!AA:AA,Tabla1[[#This Row],[Cliente]],'[1]Base Instalada'!Z:Z,"DENTAL")</f>
        <v>5</v>
      </c>
      <c r="Q235" s="45">
        <f>+COUNTIFS('[1]Base Instalada'!AA:AA,Tabla1[[#This Row],[Cliente]],'[1]Base Instalada'!Z:Z,"ENDOSCOPÍA")</f>
        <v>0</v>
      </c>
      <c r="R235" s="45">
        <f>+COUNTIFS('[1]Base Instalada'!AA:AA,Tabla1[[#This Row],[Cliente]],'[1]Base Instalada'!Z:Z,"INCARDIA")</f>
        <v>0</v>
      </c>
      <c r="S235" s="45">
        <f>+COUNTIFS('[1]Base Instalada'!AA:AA,Tabla1[[#This Row],[Cliente]],'[1]Base Instalada'!Z:Z,"MMQ")</f>
        <v>0</v>
      </c>
      <c r="T235" s="45">
        <f>+COUNTIFS('[1]Base Instalada'!AA:AA,Tabla1[[#This Row],[Cliente]],'[1]Base Instalada'!Z:Z,"REAS")</f>
        <v>0</v>
      </c>
      <c r="U235" s="46">
        <f>+COUNTIFS('[1]Base Instalada'!AA:AA,Tabla1[[#This Row],[Cliente]],'[1]Base Instalada'!Z:Z,"MOBILIARIO CLINICO")</f>
        <v>0</v>
      </c>
      <c r="V235" s="29">
        <f>+COUNTIFS('[1]Base Instalada'!AA:AA,Tabla1[[#This Row],[Cliente]],'[1]Base Instalada'!Z:Z,"OTRO")</f>
        <v>1</v>
      </c>
      <c r="W235" s="61" t="str">
        <f t="shared" si="8"/>
        <v>Región Metropolitana</v>
      </c>
      <c r="X235" s="61" t="str">
        <f t="shared" si="9"/>
        <v>Santiago</v>
      </c>
      <c r="Y235" s="62" t="s">
        <v>504</v>
      </c>
      <c r="Z235" s="33">
        <f>+COUNTIFS('[1]Pipeline TS'!$F:$F,Tabla1[[#This Row],[Cliente]])</f>
        <v>0</v>
      </c>
      <c r="AA235" s="63">
        <f>SUMIFS('[1]Pipeline Esterilización'!M:M,'[1]Pipeline Esterilización'!E:E,Tabla1[[#This Row],[Cliente]],'[1]Pipeline Esterilización'!B:B,"2026",'[1]Pipeline Esterilización'!L:L,"&gt;0")</f>
        <v>0</v>
      </c>
      <c r="AB235" s="33">
        <f>+SUMIFS('[1]Pipeline Endoscopía'!K:K,'[1]Pipeline Endoscopía'!E:E,Tabla1[[#This Row],[Cliente]],'[1]Pipeline Endoscopía'!B:B,"2026",'[1]Pipeline Endoscopía'!J:J,"&gt;0")</f>
        <v>0</v>
      </c>
      <c r="AC235" s="63">
        <f>+SUMIFS('[1]Pipeline Dental'!K:K,'[1]Pipeline Dental'!E:E,Tabla1[[#This Row],[Cliente]],'[1]Pipeline Dental'!B:B,"2026",'[1]Pipeline Dental'!J:J,"&gt;0")</f>
        <v>0</v>
      </c>
      <c r="AD235" s="64">
        <f>+SUMIFS('[1]Pipeline TS'!$AB:$AB,'[1]Pipeline TS'!$F:$F,Tabla1[[#This Row],[Cliente]])</f>
        <v>0</v>
      </c>
      <c r="AE235" s="65">
        <f>+SUM(Tabla1[[#This Row],[Pipeline 2026 $MM ESTERILIZACIÓN]:[Pipeline 2026 $MM TECSERVICE]])</f>
        <v>0</v>
      </c>
      <c r="AF235" s="43">
        <v>-33.486236332392899</v>
      </c>
      <c r="AG235" s="58">
        <v>-70.641288204523093</v>
      </c>
      <c r="AH235" s="57" t="str">
        <f>+IF(Tabla1[[#This Row],['# Contratos Vigentes ]]&gt;0,"SI","NO")</f>
        <v>NO</v>
      </c>
      <c r="AI235" s="66"/>
      <c r="AJ235" s="67">
        <f>+Tabla1[[#This Row],[Ingreso 2025 - 2026]]*Tabla1[[#This Row],[% Costo Serv. Directo]]</f>
        <v>0</v>
      </c>
      <c r="AK235" s="68"/>
      <c r="AL23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3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3075380</v>
      </c>
      <c r="AN235" s="42">
        <f>+Tabla1[[#This Row],[Potencial Equipos]]+Tabla1[[#This Row],[Potencial Pipeline]]</f>
        <v>3075380</v>
      </c>
    </row>
    <row r="236" spans="1:40" ht="15.75" x14ac:dyDescent="0.25">
      <c r="A236" s="47" t="s">
        <v>505</v>
      </c>
      <c r="B236" t="str">
        <f>+VLOOKUP(Tabla1[[#This Row],[Cliente]],'[1]Público Privado'!$A$1:$B$325,2,FALSE)</f>
        <v>Público</v>
      </c>
      <c r="C236" s="23">
        <f>+SUMIFS('[1]Facturacion a Fecha'!$T:$T,'[1]Facturacion a Fecha'!$AY:$AY,Tabla1[[#This Row],[Cliente]])</f>
        <v>0</v>
      </c>
      <c r="D236" s="24">
        <f>+SUMIFS('[1]Facturacion a Fecha'!$T:$T,'[1]Facturacion a Fecha'!$AY:$AY,Tabla1[[#This Row],[Cliente]],'[1]Facturacion a Fecha'!$AX:$AX,"Correctivo")</f>
        <v>0</v>
      </c>
      <c r="E236" s="25">
        <f>+COUNTIFS('[1]Facturacion a Fecha'!AY:AY,Tabla1[[#This Row],[Cliente]],'[1]Facturacion a Fecha'!AX:AX,"Correctivo")</f>
        <v>0</v>
      </c>
      <c r="F236" s="25">
        <f>+SUMIFS('[1]Facturacion a Fecha'!$T:$T,'[1]Facturacion a Fecha'!$AY:$AY,Tabla1[[#This Row],[Cliente]],'[1]Facturacion a Fecha'!$AX:$AX,"Preventivo")</f>
        <v>0</v>
      </c>
      <c r="G236" s="25">
        <f>+COUNTIFS('[1]Facturacion a Fecha'!AY:AY,Tabla1[[#This Row],[Cliente]],'[1]Facturacion a Fecha'!AX:AX,"Preventivo")</f>
        <v>0</v>
      </c>
      <c r="H236" s="26">
        <f>+Tabla1[[#This Row],['# Preventivo]]+Tabla1[[#This Row],['# Correctivo]]</f>
        <v>0</v>
      </c>
      <c r="I236" s="23">
        <f>+IFERROR(Tabla1[[#This Row],[Ingreso 2025 - 2026 Correctivo]]/Tabla1[[#This Row],[Ingreso 2025 - 2026 Preventivo]],0)</f>
        <v>0</v>
      </c>
      <c r="J236" s="59">
        <f>+IFERROR(Tabla1[[#This Row],['# Correctivo]]/Tabla1[[#This Row],['# Preventivo]],0)</f>
        <v>0</v>
      </c>
      <c r="K236" s="60">
        <f>+IFERROR(Tabla1[[#This Row],[Ingreso 2025 - 2026 Preventivo]]/(Tabla1[[#This Row],[Ingreso 2025 - 2026 Correctivo]]+Tabla1[[#This Row],[Ingreso 2025 - 2026 Preventivo]]),0)</f>
        <v>0</v>
      </c>
      <c r="L236" s="60">
        <f>1-Tabla1[[#This Row],[% Preventivo $]]</f>
        <v>1</v>
      </c>
      <c r="M236" s="45">
        <f>+COUNTIFS('[1]Base Instalada'!AA:AA,Tabla1[[#This Row],[Cliente]])</f>
        <v>24</v>
      </c>
      <c r="N23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6" s="45">
        <f>+COUNTIFS('[1]Base Instalada'!AA:AA,Tabla1[[#This Row],[Cliente]],'[1]Base Instalada'!Z:Z,"ESTERILIZACIÓN")</f>
        <v>0</v>
      </c>
      <c r="P236" s="45">
        <f>+COUNTIFS('[1]Base Instalada'!AA:AA,Tabla1[[#This Row],[Cliente]],'[1]Base Instalada'!Z:Z,"DENTAL")</f>
        <v>23</v>
      </c>
      <c r="Q236" s="45">
        <f>+COUNTIFS('[1]Base Instalada'!AA:AA,Tabla1[[#This Row],[Cliente]],'[1]Base Instalada'!Z:Z,"ENDOSCOPÍA")</f>
        <v>0</v>
      </c>
      <c r="R236" s="45">
        <f>+COUNTIFS('[1]Base Instalada'!AA:AA,Tabla1[[#This Row],[Cliente]],'[1]Base Instalada'!Z:Z,"INCARDIA")</f>
        <v>1</v>
      </c>
      <c r="S236" s="45">
        <f>+COUNTIFS('[1]Base Instalada'!AA:AA,Tabla1[[#This Row],[Cliente]],'[1]Base Instalada'!Z:Z,"MMQ")</f>
        <v>0</v>
      </c>
      <c r="T236" s="45">
        <f>+COUNTIFS('[1]Base Instalada'!AA:AA,Tabla1[[#This Row],[Cliente]],'[1]Base Instalada'!Z:Z,"REAS")</f>
        <v>0</v>
      </c>
      <c r="U236" s="46">
        <f>+COUNTIFS('[1]Base Instalada'!AA:AA,Tabla1[[#This Row],[Cliente]],'[1]Base Instalada'!Z:Z,"MOBILIARIO CLINICO")</f>
        <v>0</v>
      </c>
      <c r="V236" s="29">
        <f>+COUNTIFS('[1]Base Instalada'!AA:AA,Tabla1[[#This Row],[Cliente]],'[1]Base Instalada'!Z:Z,"OTRO")</f>
        <v>0</v>
      </c>
      <c r="W236" s="61" t="str">
        <f t="shared" si="8"/>
        <v>Región Metropolitana</v>
      </c>
      <c r="X236" s="61" t="str">
        <f t="shared" si="9"/>
        <v>Peñalolén</v>
      </c>
      <c r="Y236" s="62" t="s">
        <v>506</v>
      </c>
      <c r="Z236" s="33">
        <f>+COUNTIFS('[1]Pipeline TS'!$F:$F,Tabla1[[#This Row],[Cliente]])</f>
        <v>0</v>
      </c>
      <c r="AA236" s="63">
        <f>SUMIFS('[1]Pipeline Esterilización'!M:M,'[1]Pipeline Esterilización'!E:E,Tabla1[[#This Row],[Cliente]],'[1]Pipeline Esterilización'!B:B,"2026",'[1]Pipeline Esterilización'!L:L,"&gt;0")</f>
        <v>0</v>
      </c>
      <c r="AB236" s="33">
        <f>+SUMIFS('[1]Pipeline Endoscopía'!K:K,'[1]Pipeline Endoscopía'!E:E,Tabla1[[#This Row],[Cliente]],'[1]Pipeline Endoscopía'!B:B,"2026",'[1]Pipeline Endoscopía'!J:J,"&gt;0")</f>
        <v>0</v>
      </c>
      <c r="AC236" s="63">
        <f>+SUMIFS('[1]Pipeline Dental'!K:K,'[1]Pipeline Dental'!E:E,Tabla1[[#This Row],[Cliente]],'[1]Pipeline Dental'!B:B,"2026",'[1]Pipeline Dental'!J:J,"&gt;0")</f>
        <v>0</v>
      </c>
      <c r="AD236" s="64">
        <f>+SUMIFS('[1]Pipeline TS'!$AB:$AB,'[1]Pipeline TS'!$F:$F,Tabla1[[#This Row],[Cliente]])</f>
        <v>0</v>
      </c>
      <c r="AE236" s="65">
        <f>+SUM(Tabla1[[#This Row],[Pipeline 2026 $MM ESTERILIZACIÓN]:[Pipeline 2026 $MM TECSERVICE]])</f>
        <v>0</v>
      </c>
      <c r="AF236" s="43">
        <v>-33.501030036193903</v>
      </c>
      <c r="AG236" s="58">
        <v>-70.579457660345597</v>
      </c>
      <c r="AH236" s="57" t="str">
        <f>+IF(Tabla1[[#This Row],['# Contratos Vigentes ]]&gt;0,"SI","NO")</f>
        <v>NO</v>
      </c>
      <c r="AI236" s="66"/>
      <c r="AJ236" s="67">
        <f>+Tabla1[[#This Row],[Ingreso 2025 - 2026]]*Tabla1[[#This Row],[% Costo Serv. Directo]]</f>
        <v>0</v>
      </c>
      <c r="AK236" s="68"/>
      <c r="AL23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3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13779300</v>
      </c>
      <c r="AN236" s="42">
        <f>+Tabla1[[#This Row],[Potencial Equipos]]+Tabla1[[#This Row],[Potencial Pipeline]]</f>
        <v>13779300</v>
      </c>
    </row>
    <row r="237" spans="1:40" ht="15.75" x14ac:dyDescent="0.25">
      <c r="A237" s="47" t="s">
        <v>507</v>
      </c>
      <c r="B237" t="str">
        <f>+VLOOKUP(Tabla1[[#This Row],[Cliente]],'[1]Público Privado'!$A$1:$B$325,2,FALSE)</f>
        <v>Público</v>
      </c>
      <c r="C237" s="23">
        <f>+SUMIFS('[1]Facturacion a Fecha'!$T:$T,'[1]Facturacion a Fecha'!$AY:$AY,Tabla1[[#This Row],[Cliente]])</f>
        <v>0</v>
      </c>
      <c r="D237" s="24">
        <f>+SUMIFS('[1]Facturacion a Fecha'!$T:$T,'[1]Facturacion a Fecha'!$AY:$AY,Tabla1[[#This Row],[Cliente]],'[1]Facturacion a Fecha'!$AX:$AX,"Correctivo")</f>
        <v>0</v>
      </c>
      <c r="E237" s="25">
        <f>+COUNTIFS('[1]Facturacion a Fecha'!AY:AY,Tabla1[[#This Row],[Cliente]],'[1]Facturacion a Fecha'!AX:AX,"Correctivo")</f>
        <v>0</v>
      </c>
      <c r="F237" s="25">
        <f>+SUMIFS('[1]Facturacion a Fecha'!$T:$T,'[1]Facturacion a Fecha'!$AY:$AY,Tabla1[[#This Row],[Cliente]],'[1]Facturacion a Fecha'!$AX:$AX,"Preventivo")</f>
        <v>0</v>
      </c>
      <c r="G237" s="25">
        <f>+COUNTIFS('[1]Facturacion a Fecha'!AY:AY,Tabla1[[#This Row],[Cliente]],'[1]Facturacion a Fecha'!AX:AX,"Preventivo")</f>
        <v>0</v>
      </c>
      <c r="H237" s="26">
        <f>+Tabla1[[#This Row],['# Preventivo]]+Tabla1[[#This Row],['# Correctivo]]</f>
        <v>0</v>
      </c>
      <c r="I237" s="23">
        <f>+IFERROR(Tabla1[[#This Row],[Ingreso 2025 - 2026 Correctivo]]/Tabla1[[#This Row],[Ingreso 2025 - 2026 Preventivo]],0)</f>
        <v>0</v>
      </c>
      <c r="J237" s="59">
        <f>+IFERROR(Tabla1[[#This Row],['# Correctivo]]/Tabla1[[#This Row],['# Preventivo]],0)</f>
        <v>0</v>
      </c>
      <c r="K237" s="60">
        <f>+IFERROR(Tabla1[[#This Row],[Ingreso 2025 - 2026 Preventivo]]/(Tabla1[[#This Row],[Ingreso 2025 - 2026 Correctivo]]+Tabla1[[#This Row],[Ingreso 2025 - 2026 Preventivo]]),0)</f>
        <v>0</v>
      </c>
      <c r="L237" s="60">
        <f>1-Tabla1[[#This Row],[% Preventivo $]]</f>
        <v>1</v>
      </c>
      <c r="M237" s="45">
        <f>+COUNTIFS('[1]Base Instalada'!AA:AA,Tabla1[[#This Row],[Cliente]])</f>
        <v>6</v>
      </c>
      <c r="N23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7" s="45">
        <f>+COUNTIFS('[1]Base Instalada'!AA:AA,Tabla1[[#This Row],[Cliente]],'[1]Base Instalada'!Z:Z,"ESTERILIZACIÓN")</f>
        <v>0</v>
      </c>
      <c r="P237" s="45">
        <f>+COUNTIFS('[1]Base Instalada'!AA:AA,Tabla1[[#This Row],[Cliente]],'[1]Base Instalada'!Z:Z,"DENTAL")</f>
        <v>6</v>
      </c>
      <c r="Q237" s="45">
        <f>+COUNTIFS('[1]Base Instalada'!AA:AA,Tabla1[[#This Row],[Cliente]],'[1]Base Instalada'!Z:Z,"ENDOSCOPÍA")</f>
        <v>0</v>
      </c>
      <c r="R237" s="45">
        <f>+COUNTIFS('[1]Base Instalada'!AA:AA,Tabla1[[#This Row],[Cliente]],'[1]Base Instalada'!Z:Z,"INCARDIA")</f>
        <v>0</v>
      </c>
      <c r="S237" s="45">
        <f>+COUNTIFS('[1]Base Instalada'!AA:AA,Tabla1[[#This Row],[Cliente]],'[1]Base Instalada'!Z:Z,"MMQ")</f>
        <v>0</v>
      </c>
      <c r="T237" s="45">
        <f>+COUNTIFS('[1]Base Instalada'!AA:AA,Tabla1[[#This Row],[Cliente]],'[1]Base Instalada'!Z:Z,"REAS")</f>
        <v>0</v>
      </c>
      <c r="U237" s="46">
        <f>+COUNTIFS('[1]Base Instalada'!AA:AA,Tabla1[[#This Row],[Cliente]],'[1]Base Instalada'!Z:Z,"MOBILIARIO CLINICO")</f>
        <v>0</v>
      </c>
      <c r="V237" s="29">
        <f>+COUNTIFS('[1]Base Instalada'!AA:AA,Tabla1[[#This Row],[Cliente]],'[1]Base Instalada'!Z:Z,"OTRO")</f>
        <v>0</v>
      </c>
      <c r="W237" s="61" t="str">
        <f t="shared" si="8"/>
        <v>Región O'Higgins</v>
      </c>
      <c r="X237" s="61" t="str">
        <f t="shared" si="9"/>
        <v>Machalí</v>
      </c>
      <c r="Y237" s="62" t="s">
        <v>508</v>
      </c>
      <c r="Z237" s="33">
        <f>+COUNTIFS('[1]Pipeline TS'!$F:$F,Tabla1[[#This Row],[Cliente]])</f>
        <v>0</v>
      </c>
      <c r="AA237" s="63">
        <f>SUMIFS('[1]Pipeline Esterilización'!M:M,'[1]Pipeline Esterilización'!E:E,Tabla1[[#This Row],[Cliente]],'[1]Pipeline Esterilización'!B:B,"2026",'[1]Pipeline Esterilización'!L:L,"&gt;0")</f>
        <v>0</v>
      </c>
      <c r="AB237" s="33">
        <f>+SUMIFS('[1]Pipeline Endoscopía'!K:K,'[1]Pipeline Endoscopía'!E:E,Tabla1[[#This Row],[Cliente]],'[1]Pipeline Endoscopía'!B:B,"2026",'[1]Pipeline Endoscopía'!J:J,"&gt;0")</f>
        <v>0</v>
      </c>
      <c r="AC237" s="63">
        <f>+SUMIFS('[1]Pipeline Dental'!K:K,'[1]Pipeline Dental'!E:E,Tabla1[[#This Row],[Cliente]],'[1]Pipeline Dental'!B:B,"2026",'[1]Pipeline Dental'!J:J,"&gt;0")</f>
        <v>0</v>
      </c>
      <c r="AD237" s="64">
        <f>+SUMIFS('[1]Pipeline TS'!$AB:$AB,'[1]Pipeline TS'!$F:$F,Tabla1[[#This Row],[Cliente]])</f>
        <v>0</v>
      </c>
      <c r="AE237" s="65">
        <f>+SUM(Tabla1[[#This Row],[Pipeline 2026 $MM ESTERILIZACIÓN]:[Pipeline 2026 $MM TECSERVICE]])</f>
        <v>0</v>
      </c>
      <c r="AF237" s="43">
        <v>-34.1796303037843</v>
      </c>
      <c r="AG237" s="58">
        <v>-70.651159362155099</v>
      </c>
      <c r="AH237" s="57" t="str">
        <f>+IF(Tabla1[[#This Row],['# Contratos Vigentes ]]&gt;0,"SI","NO")</f>
        <v>NO</v>
      </c>
      <c r="AI237" s="66"/>
      <c r="AJ237" s="67">
        <f>+Tabla1[[#This Row],[Ingreso 2025 - 2026]]*Tabla1[[#This Row],[% Costo Serv. Directo]]</f>
        <v>0</v>
      </c>
      <c r="AK237" s="68"/>
      <c r="AL23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3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37" s="42">
        <f>+Tabla1[[#This Row],[Potencial Equipos]]+Tabla1[[#This Row],[Potencial Pipeline]]</f>
        <v>3594600</v>
      </c>
    </row>
    <row r="238" spans="1:40" ht="15.75" x14ac:dyDescent="0.25">
      <c r="A238" s="47" t="s">
        <v>509</v>
      </c>
      <c r="B238" t="str">
        <f>+VLOOKUP(Tabla1[[#This Row],[Cliente]],'[1]Público Privado'!$A$1:$B$325,2,FALSE)</f>
        <v>Público</v>
      </c>
      <c r="C238" s="23">
        <f>+SUMIFS('[1]Facturacion a Fecha'!$T:$T,'[1]Facturacion a Fecha'!$AY:$AY,Tabla1[[#This Row],[Cliente]])</f>
        <v>0</v>
      </c>
      <c r="D238" s="24">
        <f>+SUMIFS('[1]Facturacion a Fecha'!$T:$T,'[1]Facturacion a Fecha'!$AY:$AY,Tabla1[[#This Row],[Cliente]],'[1]Facturacion a Fecha'!$AX:$AX,"Correctivo")</f>
        <v>0</v>
      </c>
      <c r="E238" s="25">
        <f>+COUNTIFS('[1]Facturacion a Fecha'!AY:AY,Tabla1[[#This Row],[Cliente]],'[1]Facturacion a Fecha'!AX:AX,"Correctivo")</f>
        <v>0</v>
      </c>
      <c r="F238" s="25">
        <f>+SUMIFS('[1]Facturacion a Fecha'!$T:$T,'[1]Facturacion a Fecha'!$AY:$AY,Tabla1[[#This Row],[Cliente]],'[1]Facturacion a Fecha'!$AX:$AX,"Preventivo")</f>
        <v>0</v>
      </c>
      <c r="G238" s="25">
        <f>+COUNTIFS('[1]Facturacion a Fecha'!AY:AY,Tabla1[[#This Row],[Cliente]],'[1]Facturacion a Fecha'!AX:AX,"Preventivo")</f>
        <v>0</v>
      </c>
      <c r="H238" s="26">
        <f>+Tabla1[[#This Row],['# Preventivo]]+Tabla1[[#This Row],['# Correctivo]]</f>
        <v>0</v>
      </c>
      <c r="I238" s="23">
        <f>+IFERROR(Tabla1[[#This Row],[Ingreso 2025 - 2026 Correctivo]]/Tabla1[[#This Row],[Ingreso 2025 - 2026 Preventivo]],0)</f>
        <v>0</v>
      </c>
      <c r="J238" s="59">
        <f>+IFERROR(Tabla1[[#This Row],['# Correctivo]]/Tabla1[[#This Row],['# Preventivo]],0)</f>
        <v>0</v>
      </c>
      <c r="K238" s="60">
        <f>+IFERROR(Tabla1[[#This Row],[Ingreso 2025 - 2026 Preventivo]]/(Tabla1[[#This Row],[Ingreso 2025 - 2026 Correctivo]]+Tabla1[[#This Row],[Ingreso 2025 - 2026 Preventivo]]),0)</f>
        <v>0</v>
      </c>
      <c r="L238" s="60">
        <f>1-Tabla1[[#This Row],[% Preventivo $]]</f>
        <v>1</v>
      </c>
      <c r="M238" s="45">
        <f>+COUNTIFS('[1]Base Instalada'!AA:AA,Tabla1[[#This Row],[Cliente]])</f>
        <v>6</v>
      </c>
      <c r="N23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8" s="45">
        <f>+COUNTIFS('[1]Base Instalada'!AA:AA,Tabla1[[#This Row],[Cliente]],'[1]Base Instalada'!Z:Z,"ESTERILIZACIÓN")</f>
        <v>0</v>
      </c>
      <c r="P238" s="45">
        <f>+COUNTIFS('[1]Base Instalada'!AA:AA,Tabla1[[#This Row],[Cliente]],'[1]Base Instalada'!Z:Z,"DENTAL")</f>
        <v>6</v>
      </c>
      <c r="Q238" s="45">
        <f>+COUNTIFS('[1]Base Instalada'!AA:AA,Tabla1[[#This Row],[Cliente]],'[1]Base Instalada'!Z:Z,"ENDOSCOPÍA")</f>
        <v>0</v>
      </c>
      <c r="R238" s="45">
        <f>+COUNTIFS('[1]Base Instalada'!AA:AA,Tabla1[[#This Row],[Cliente]],'[1]Base Instalada'!Z:Z,"INCARDIA")</f>
        <v>0</v>
      </c>
      <c r="S238" s="45">
        <f>+COUNTIFS('[1]Base Instalada'!AA:AA,Tabla1[[#This Row],[Cliente]],'[1]Base Instalada'!Z:Z,"MMQ")</f>
        <v>0</v>
      </c>
      <c r="T238" s="45">
        <f>+COUNTIFS('[1]Base Instalada'!AA:AA,Tabla1[[#This Row],[Cliente]],'[1]Base Instalada'!Z:Z,"REAS")</f>
        <v>0</v>
      </c>
      <c r="U238" s="46">
        <f>+COUNTIFS('[1]Base Instalada'!AA:AA,Tabla1[[#This Row],[Cliente]],'[1]Base Instalada'!Z:Z,"MOBILIARIO CLINICO")</f>
        <v>0</v>
      </c>
      <c r="V238" s="29">
        <f>+COUNTIFS('[1]Base Instalada'!AA:AA,Tabla1[[#This Row],[Cliente]],'[1]Base Instalada'!Z:Z,"OTRO")</f>
        <v>0</v>
      </c>
      <c r="W238" s="61" t="str">
        <f t="shared" si="8"/>
        <v>Región O'Higgins</v>
      </c>
      <c r="X238" s="61" t="str">
        <f t="shared" si="9"/>
        <v>Pichilemu</v>
      </c>
      <c r="Y238" s="62" t="s">
        <v>510</v>
      </c>
      <c r="Z238" s="33">
        <f>+COUNTIFS('[1]Pipeline TS'!$F:$F,Tabla1[[#This Row],[Cliente]])</f>
        <v>0</v>
      </c>
      <c r="AA238" s="63">
        <f>SUMIFS('[1]Pipeline Esterilización'!M:M,'[1]Pipeline Esterilización'!E:E,Tabla1[[#This Row],[Cliente]],'[1]Pipeline Esterilización'!B:B,"2026",'[1]Pipeline Esterilización'!L:L,"&gt;0")</f>
        <v>0</v>
      </c>
      <c r="AB238" s="33">
        <f>+SUMIFS('[1]Pipeline Endoscopía'!K:K,'[1]Pipeline Endoscopía'!E:E,Tabla1[[#This Row],[Cliente]],'[1]Pipeline Endoscopía'!B:B,"2026",'[1]Pipeline Endoscopía'!J:J,"&gt;0")</f>
        <v>0</v>
      </c>
      <c r="AC238" s="63">
        <f>+SUMIFS('[1]Pipeline Dental'!K:K,'[1]Pipeline Dental'!E:E,Tabla1[[#This Row],[Cliente]],'[1]Pipeline Dental'!B:B,"2026",'[1]Pipeline Dental'!J:J,"&gt;0")</f>
        <v>0</v>
      </c>
      <c r="AD238" s="64">
        <f>+SUMIFS('[1]Pipeline TS'!$AB:$AB,'[1]Pipeline TS'!$F:$F,Tabla1[[#This Row],[Cliente]])</f>
        <v>0</v>
      </c>
      <c r="AE238" s="65">
        <f>+SUM(Tabla1[[#This Row],[Pipeline 2026 $MM ESTERILIZACIÓN]:[Pipeline 2026 $MM TECSERVICE]])</f>
        <v>0</v>
      </c>
      <c r="AF238" s="43">
        <v>-34.3865917868903</v>
      </c>
      <c r="AG238" s="58">
        <v>-72.013231235155402</v>
      </c>
      <c r="AH238" s="57" t="str">
        <f>+IF(Tabla1[[#This Row],['# Contratos Vigentes ]]&gt;0,"SI","NO")</f>
        <v>NO</v>
      </c>
      <c r="AI238" s="66"/>
      <c r="AJ238" s="67">
        <f>+Tabla1[[#This Row],[Ingreso 2025 - 2026]]*Tabla1[[#This Row],[% Costo Serv. Directo]]</f>
        <v>0</v>
      </c>
      <c r="AK238" s="68"/>
      <c r="AL23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3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38" s="42">
        <f>+Tabla1[[#This Row],[Potencial Equipos]]+Tabla1[[#This Row],[Potencial Pipeline]]</f>
        <v>3594600</v>
      </c>
    </row>
    <row r="239" spans="1:40" ht="15.75" x14ac:dyDescent="0.25">
      <c r="A239" s="47" t="s">
        <v>511</v>
      </c>
      <c r="B239" t="str">
        <f>+VLOOKUP(Tabla1[[#This Row],[Cliente]],'[1]Público Privado'!$A$1:$B$325,2,FALSE)</f>
        <v>Público</v>
      </c>
      <c r="C239" s="23">
        <f>+SUMIFS('[1]Facturacion a Fecha'!$T:$T,'[1]Facturacion a Fecha'!$AY:$AY,Tabla1[[#This Row],[Cliente]])</f>
        <v>0</v>
      </c>
      <c r="D239" s="24">
        <f>+SUMIFS('[1]Facturacion a Fecha'!$T:$T,'[1]Facturacion a Fecha'!$AY:$AY,Tabla1[[#This Row],[Cliente]],'[1]Facturacion a Fecha'!$AX:$AX,"Correctivo")</f>
        <v>0</v>
      </c>
      <c r="E239" s="25">
        <f>+COUNTIFS('[1]Facturacion a Fecha'!AY:AY,Tabla1[[#This Row],[Cliente]],'[1]Facturacion a Fecha'!AX:AX,"Correctivo")</f>
        <v>0</v>
      </c>
      <c r="F239" s="25">
        <f>+SUMIFS('[1]Facturacion a Fecha'!$T:$T,'[1]Facturacion a Fecha'!$AY:$AY,Tabla1[[#This Row],[Cliente]],'[1]Facturacion a Fecha'!$AX:$AX,"Preventivo")</f>
        <v>0</v>
      </c>
      <c r="G239" s="25">
        <f>+COUNTIFS('[1]Facturacion a Fecha'!AY:AY,Tabla1[[#This Row],[Cliente]],'[1]Facturacion a Fecha'!AX:AX,"Preventivo")</f>
        <v>0</v>
      </c>
      <c r="H239" s="26">
        <f>+Tabla1[[#This Row],['# Preventivo]]+Tabla1[[#This Row],['# Correctivo]]</f>
        <v>0</v>
      </c>
      <c r="I239" s="23">
        <f>+IFERROR(Tabla1[[#This Row],[Ingreso 2025 - 2026 Correctivo]]/Tabla1[[#This Row],[Ingreso 2025 - 2026 Preventivo]],0)</f>
        <v>0</v>
      </c>
      <c r="J239" s="59">
        <f>+IFERROR(Tabla1[[#This Row],['# Correctivo]]/Tabla1[[#This Row],['# Preventivo]],0)</f>
        <v>0</v>
      </c>
      <c r="K239" s="60">
        <f>+IFERROR(Tabla1[[#This Row],[Ingreso 2025 - 2026 Preventivo]]/(Tabla1[[#This Row],[Ingreso 2025 - 2026 Correctivo]]+Tabla1[[#This Row],[Ingreso 2025 - 2026 Preventivo]]),0)</f>
        <v>0</v>
      </c>
      <c r="L239" s="60">
        <f>1-Tabla1[[#This Row],[% Preventivo $]]</f>
        <v>1</v>
      </c>
      <c r="M239" s="45">
        <f>+COUNTIFS('[1]Base Instalada'!AA:AA,Tabla1[[#This Row],[Cliente]])</f>
        <v>19</v>
      </c>
      <c r="N23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39" s="45">
        <f>+COUNTIFS('[1]Base Instalada'!AA:AA,Tabla1[[#This Row],[Cliente]],'[1]Base Instalada'!Z:Z,"ESTERILIZACIÓN")</f>
        <v>0</v>
      </c>
      <c r="P239" s="45">
        <f>+COUNTIFS('[1]Base Instalada'!AA:AA,Tabla1[[#This Row],[Cliente]],'[1]Base Instalada'!Z:Z,"DENTAL")</f>
        <v>12</v>
      </c>
      <c r="Q239" s="45">
        <f>+COUNTIFS('[1]Base Instalada'!AA:AA,Tabla1[[#This Row],[Cliente]],'[1]Base Instalada'!Z:Z,"ENDOSCOPÍA")</f>
        <v>0</v>
      </c>
      <c r="R239" s="45">
        <f>+COUNTIFS('[1]Base Instalada'!AA:AA,Tabla1[[#This Row],[Cliente]],'[1]Base Instalada'!Z:Z,"INCARDIA")</f>
        <v>7</v>
      </c>
      <c r="S239" s="45">
        <f>+COUNTIFS('[1]Base Instalada'!AA:AA,Tabla1[[#This Row],[Cliente]],'[1]Base Instalada'!Z:Z,"MMQ")</f>
        <v>0</v>
      </c>
      <c r="T239" s="45">
        <f>+COUNTIFS('[1]Base Instalada'!AA:AA,Tabla1[[#This Row],[Cliente]],'[1]Base Instalada'!Z:Z,"REAS")</f>
        <v>0</v>
      </c>
      <c r="U239" s="46">
        <f>+COUNTIFS('[1]Base Instalada'!AA:AA,Tabla1[[#This Row],[Cliente]],'[1]Base Instalada'!Z:Z,"MOBILIARIO CLINICO")</f>
        <v>0</v>
      </c>
      <c r="V239" s="29">
        <f>+COUNTIFS('[1]Base Instalada'!AA:AA,Tabla1[[#This Row],[Cliente]],'[1]Base Instalada'!Z:Z,"OTRO")</f>
        <v>0</v>
      </c>
      <c r="W239" s="61" t="str">
        <f t="shared" si="8"/>
        <v>Región Bío Bío</v>
      </c>
      <c r="X239" s="61" t="str">
        <f t="shared" si="9"/>
        <v>Talcahuano</v>
      </c>
      <c r="Y239" s="62" t="s">
        <v>512</v>
      </c>
      <c r="Z239" s="33">
        <f>+COUNTIFS('[1]Pipeline TS'!$F:$F,Tabla1[[#This Row],[Cliente]])</f>
        <v>0</v>
      </c>
      <c r="AA239" s="63">
        <f>SUMIFS('[1]Pipeline Esterilización'!M:M,'[1]Pipeline Esterilización'!E:E,Tabla1[[#This Row],[Cliente]],'[1]Pipeline Esterilización'!B:B,"2026",'[1]Pipeline Esterilización'!L:L,"&gt;0")</f>
        <v>0</v>
      </c>
      <c r="AB239" s="33">
        <f>+SUMIFS('[1]Pipeline Endoscopía'!K:K,'[1]Pipeline Endoscopía'!E:E,Tabla1[[#This Row],[Cliente]],'[1]Pipeline Endoscopía'!B:B,"2026",'[1]Pipeline Endoscopía'!J:J,"&gt;0")</f>
        <v>0</v>
      </c>
      <c r="AC239" s="63">
        <f>+SUMIFS('[1]Pipeline Dental'!K:K,'[1]Pipeline Dental'!E:E,Tabla1[[#This Row],[Cliente]],'[1]Pipeline Dental'!B:B,"2026",'[1]Pipeline Dental'!J:J,"&gt;0")</f>
        <v>0</v>
      </c>
      <c r="AD239" s="64">
        <f>+SUMIFS('[1]Pipeline TS'!$AB:$AB,'[1]Pipeline TS'!$F:$F,Tabla1[[#This Row],[Cliente]])</f>
        <v>0</v>
      </c>
      <c r="AE239" s="65">
        <f>+SUM(Tabla1[[#This Row],[Pipeline 2026 $MM ESTERILIZACIÓN]:[Pipeline 2026 $MM TECSERVICE]])</f>
        <v>0</v>
      </c>
      <c r="AF239" s="43">
        <v>-36.7393149721036</v>
      </c>
      <c r="AG239" s="58">
        <v>-73.100491529715697</v>
      </c>
      <c r="AH239" s="57" t="str">
        <f>+IF(Tabla1[[#This Row],['# Contratos Vigentes ]]&gt;0,"SI","NO")</f>
        <v>NO</v>
      </c>
      <c r="AI239" s="66"/>
      <c r="AJ239" s="67">
        <f>+Tabla1[[#This Row],[Ingreso 2025 - 2026]]*Tabla1[[#This Row],[% Costo Serv. Directo]]</f>
        <v>0</v>
      </c>
      <c r="AK239" s="68"/>
      <c r="AL23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3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7189200</v>
      </c>
      <c r="AN239" s="42">
        <f>+Tabla1[[#This Row],[Potencial Equipos]]+Tabla1[[#This Row],[Potencial Pipeline]]</f>
        <v>7189200</v>
      </c>
    </row>
    <row r="240" spans="1:40" ht="15.75" x14ac:dyDescent="0.25">
      <c r="A240" s="47" t="s">
        <v>513</v>
      </c>
      <c r="B240" t="str">
        <f>+VLOOKUP(Tabla1[[#This Row],[Cliente]],'[1]Público Privado'!$A$1:$B$325,2,FALSE)</f>
        <v>Público</v>
      </c>
      <c r="C240" s="23">
        <f>+SUMIFS('[1]Facturacion a Fecha'!$T:$T,'[1]Facturacion a Fecha'!$AY:$AY,Tabla1[[#This Row],[Cliente]])</f>
        <v>0</v>
      </c>
      <c r="D240" s="24">
        <f>+SUMIFS('[1]Facturacion a Fecha'!$T:$T,'[1]Facturacion a Fecha'!$AY:$AY,Tabla1[[#This Row],[Cliente]],'[1]Facturacion a Fecha'!$AX:$AX,"Correctivo")</f>
        <v>0</v>
      </c>
      <c r="E240" s="25">
        <f>+COUNTIFS('[1]Facturacion a Fecha'!AY:AY,Tabla1[[#This Row],[Cliente]],'[1]Facturacion a Fecha'!AX:AX,"Correctivo")</f>
        <v>0</v>
      </c>
      <c r="F240" s="25">
        <f>+SUMIFS('[1]Facturacion a Fecha'!$T:$T,'[1]Facturacion a Fecha'!$AY:$AY,Tabla1[[#This Row],[Cliente]],'[1]Facturacion a Fecha'!$AX:$AX,"Preventivo")</f>
        <v>0</v>
      </c>
      <c r="G240" s="25">
        <f>+COUNTIFS('[1]Facturacion a Fecha'!AY:AY,Tabla1[[#This Row],[Cliente]],'[1]Facturacion a Fecha'!AX:AX,"Preventivo")</f>
        <v>0</v>
      </c>
      <c r="H240" s="26">
        <f>+Tabla1[[#This Row],['# Preventivo]]+Tabla1[[#This Row],['# Correctivo]]</f>
        <v>0</v>
      </c>
      <c r="I240" s="23">
        <f>+IFERROR(Tabla1[[#This Row],[Ingreso 2025 - 2026 Correctivo]]/Tabla1[[#This Row],[Ingreso 2025 - 2026 Preventivo]],0)</f>
        <v>0</v>
      </c>
      <c r="J240" s="59">
        <f>+IFERROR(Tabla1[[#This Row],['# Correctivo]]/Tabla1[[#This Row],['# Preventivo]],0)</f>
        <v>0</v>
      </c>
      <c r="K240" s="60">
        <f>+IFERROR(Tabla1[[#This Row],[Ingreso 2025 - 2026 Preventivo]]/(Tabla1[[#This Row],[Ingreso 2025 - 2026 Correctivo]]+Tabla1[[#This Row],[Ingreso 2025 - 2026 Preventivo]]),0)</f>
        <v>0</v>
      </c>
      <c r="L240" s="60">
        <f>1-Tabla1[[#This Row],[% Preventivo $]]</f>
        <v>1</v>
      </c>
      <c r="M240" s="45">
        <f>+COUNTIFS('[1]Base Instalada'!AA:AA,Tabla1[[#This Row],[Cliente]])</f>
        <v>7</v>
      </c>
      <c r="N24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0" s="45">
        <f>+COUNTIFS('[1]Base Instalada'!AA:AA,Tabla1[[#This Row],[Cliente]],'[1]Base Instalada'!Z:Z,"ESTERILIZACIÓN")</f>
        <v>0</v>
      </c>
      <c r="P240" s="45">
        <f>+COUNTIFS('[1]Base Instalada'!AA:AA,Tabla1[[#This Row],[Cliente]],'[1]Base Instalada'!Z:Z,"DENTAL")</f>
        <v>7</v>
      </c>
      <c r="Q240" s="45">
        <f>+COUNTIFS('[1]Base Instalada'!AA:AA,Tabla1[[#This Row],[Cliente]],'[1]Base Instalada'!Z:Z,"ENDOSCOPÍA")</f>
        <v>0</v>
      </c>
      <c r="R240" s="45">
        <f>+COUNTIFS('[1]Base Instalada'!AA:AA,Tabla1[[#This Row],[Cliente]],'[1]Base Instalada'!Z:Z,"INCARDIA")</f>
        <v>0</v>
      </c>
      <c r="S240" s="45">
        <f>+COUNTIFS('[1]Base Instalada'!AA:AA,Tabla1[[#This Row],[Cliente]],'[1]Base Instalada'!Z:Z,"MMQ")</f>
        <v>0</v>
      </c>
      <c r="T240" s="45">
        <f>+COUNTIFS('[1]Base Instalada'!AA:AA,Tabla1[[#This Row],[Cliente]],'[1]Base Instalada'!Z:Z,"REAS")</f>
        <v>0</v>
      </c>
      <c r="U240" s="46">
        <f>+COUNTIFS('[1]Base Instalada'!AA:AA,Tabla1[[#This Row],[Cliente]],'[1]Base Instalada'!Z:Z,"MOBILIARIO CLINICO")</f>
        <v>0</v>
      </c>
      <c r="V240" s="29">
        <f>+COUNTIFS('[1]Base Instalada'!AA:AA,Tabla1[[#This Row],[Cliente]],'[1]Base Instalada'!Z:Z,"OTRO")</f>
        <v>0</v>
      </c>
      <c r="W240" s="61" t="str">
        <f t="shared" si="8"/>
        <v>Región Maule</v>
      </c>
      <c r="X240" s="61" t="str">
        <f t="shared" si="9"/>
        <v>Romeral</v>
      </c>
      <c r="Y240" s="62" t="s">
        <v>514</v>
      </c>
      <c r="Z240" s="33">
        <f>+COUNTIFS('[1]Pipeline TS'!$F:$F,Tabla1[[#This Row],[Cliente]])</f>
        <v>0</v>
      </c>
      <c r="AA240" s="63">
        <f>SUMIFS('[1]Pipeline Esterilización'!M:M,'[1]Pipeline Esterilización'!E:E,Tabla1[[#This Row],[Cliente]],'[1]Pipeline Esterilización'!B:B,"2026",'[1]Pipeline Esterilización'!L:L,"&gt;0")</f>
        <v>0</v>
      </c>
      <c r="AB240" s="33">
        <f>+SUMIFS('[1]Pipeline Endoscopía'!K:K,'[1]Pipeline Endoscopía'!E:E,Tabla1[[#This Row],[Cliente]],'[1]Pipeline Endoscopía'!B:B,"2026",'[1]Pipeline Endoscopía'!J:J,"&gt;0")</f>
        <v>0</v>
      </c>
      <c r="AC240" s="63">
        <f>+SUMIFS('[1]Pipeline Dental'!K:K,'[1]Pipeline Dental'!E:E,Tabla1[[#This Row],[Cliente]],'[1]Pipeline Dental'!B:B,"2026",'[1]Pipeline Dental'!J:J,"&gt;0")</f>
        <v>0</v>
      </c>
      <c r="AD240" s="64">
        <f>+SUMIFS('[1]Pipeline TS'!$AB:$AB,'[1]Pipeline TS'!$F:$F,Tabla1[[#This Row],[Cliente]])</f>
        <v>0</v>
      </c>
      <c r="AE240" s="65">
        <f>+SUM(Tabla1[[#This Row],[Pipeline 2026 $MM ESTERILIZACIÓN]:[Pipeline 2026 $MM TECSERVICE]])</f>
        <v>0</v>
      </c>
      <c r="AF240" s="43">
        <v>-34.952084880212702</v>
      </c>
      <c r="AG240" s="58">
        <v>-71.122843948617302</v>
      </c>
      <c r="AH240" s="57" t="str">
        <f>+IF(Tabla1[[#This Row],['# Contratos Vigentes ]]&gt;0,"SI","NO")</f>
        <v>NO</v>
      </c>
      <c r="AI240" s="66"/>
      <c r="AJ240" s="67">
        <f>+Tabla1[[#This Row],[Ingreso 2025 - 2026]]*Tabla1[[#This Row],[% Costo Serv. Directo]]</f>
        <v>0</v>
      </c>
      <c r="AK240" s="68"/>
      <c r="AL24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4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240" s="42">
        <f>+Tabla1[[#This Row],[Potencial Equipos]]+Tabla1[[#This Row],[Potencial Pipeline]]</f>
        <v>4193700</v>
      </c>
    </row>
    <row r="241" spans="1:40" ht="15.75" x14ac:dyDescent="0.25">
      <c r="A241" s="47" t="s">
        <v>515</v>
      </c>
      <c r="B241" t="str">
        <f>+VLOOKUP(Tabla1[[#This Row],[Cliente]],'[1]Público Privado'!$A$1:$B$325,2,FALSE)</f>
        <v>Privado</v>
      </c>
      <c r="C241" s="23">
        <f>+SUMIFS('[1]Facturacion a Fecha'!$T:$T,'[1]Facturacion a Fecha'!$AY:$AY,Tabla1[[#This Row],[Cliente]])</f>
        <v>487450</v>
      </c>
      <c r="D241" s="24">
        <f>+SUMIFS('[1]Facturacion a Fecha'!$T:$T,'[1]Facturacion a Fecha'!$AY:$AY,Tabla1[[#This Row],[Cliente]],'[1]Facturacion a Fecha'!$AX:$AX,"Correctivo")</f>
        <v>487450</v>
      </c>
      <c r="E241" s="25">
        <f>+COUNTIFS('[1]Facturacion a Fecha'!AY:AY,Tabla1[[#This Row],[Cliente]],'[1]Facturacion a Fecha'!AX:AX,"Correctivo")</f>
        <v>1</v>
      </c>
      <c r="F241" s="25">
        <f>+SUMIFS('[1]Facturacion a Fecha'!$T:$T,'[1]Facturacion a Fecha'!$AY:$AY,Tabla1[[#This Row],[Cliente]],'[1]Facturacion a Fecha'!$AX:$AX,"Preventivo")</f>
        <v>0</v>
      </c>
      <c r="G241" s="25">
        <f>+COUNTIFS('[1]Facturacion a Fecha'!AY:AY,Tabla1[[#This Row],[Cliente]],'[1]Facturacion a Fecha'!AX:AX,"Preventivo")</f>
        <v>0</v>
      </c>
      <c r="H241" s="26">
        <f>+Tabla1[[#This Row],['# Preventivo]]+Tabla1[[#This Row],['# Correctivo]]</f>
        <v>1</v>
      </c>
      <c r="I241" s="23">
        <f>+IFERROR(Tabla1[[#This Row],[Ingreso 2025 - 2026 Correctivo]]/Tabla1[[#This Row],[Ingreso 2025 - 2026 Preventivo]],0)</f>
        <v>0</v>
      </c>
      <c r="J241" s="59">
        <f>+IFERROR(Tabla1[[#This Row],['# Correctivo]]/Tabla1[[#This Row],['# Preventivo]],0)</f>
        <v>0</v>
      </c>
      <c r="K241" s="60">
        <f>+IFERROR(Tabla1[[#This Row],[Ingreso 2025 - 2026 Preventivo]]/(Tabla1[[#This Row],[Ingreso 2025 - 2026 Correctivo]]+Tabla1[[#This Row],[Ingreso 2025 - 2026 Preventivo]]),0)</f>
        <v>0</v>
      </c>
      <c r="L241" s="60">
        <f>1-Tabla1[[#This Row],[% Preventivo $]]</f>
        <v>1</v>
      </c>
      <c r="M241" s="45">
        <f>+COUNTIFS('[1]Base Instalada'!AA:AA,Tabla1[[#This Row],[Cliente]])</f>
        <v>5</v>
      </c>
      <c r="N24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1" s="45">
        <f>+COUNTIFS('[1]Base Instalada'!AA:AA,Tabla1[[#This Row],[Cliente]],'[1]Base Instalada'!Z:Z,"ESTERILIZACIÓN")</f>
        <v>0</v>
      </c>
      <c r="P241" s="45">
        <f>+COUNTIFS('[1]Base Instalada'!AA:AA,Tabla1[[#This Row],[Cliente]],'[1]Base Instalada'!Z:Z,"DENTAL")</f>
        <v>5</v>
      </c>
      <c r="Q241" s="45">
        <f>+COUNTIFS('[1]Base Instalada'!AA:AA,Tabla1[[#This Row],[Cliente]],'[1]Base Instalada'!Z:Z,"ENDOSCOPÍA")</f>
        <v>0</v>
      </c>
      <c r="R241" s="45">
        <f>+COUNTIFS('[1]Base Instalada'!AA:AA,Tabla1[[#This Row],[Cliente]],'[1]Base Instalada'!Z:Z,"INCARDIA")</f>
        <v>0</v>
      </c>
      <c r="S241" s="45">
        <f>+COUNTIFS('[1]Base Instalada'!AA:AA,Tabla1[[#This Row],[Cliente]],'[1]Base Instalada'!Z:Z,"MMQ")</f>
        <v>0</v>
      </c>
      <c r="T241" s="45">
        <f>+COUNTIFS('[1]Base Instalada'!AA:AA,Tabla1[[#This Row],[Cliente]],'[1]Base Instalada'!Z:Z,"REAS")</f>
        <v>0</v>
      </c>
      <c r="U241" s="46">
        <f>+COUNTIFS('[1]Base Instalada'!AA:AA,Tabla1[[#This Row],[Cliente]],'[1]Base Instalada'!Z:Z,"MOBILIARIO CLINICO")</f>
        <v>0</v>
      </c>
      <c r="V241" s="29">
        <f>+COUNTIFS('[1]Base Instalada'!AA:AA,Tabla1[[#This Row],[Cliente]],'[1]Base Instalada'!Z:Z,"OTRO")</f>
        <v>0</v>
      </c>
      <c r="W241" s="61" t="str">
        <f t="shared" si="8"/>
        <v>Región Metropolitana</v>
      </c>
      <c r="X241" s="61" t="str">
        <f t="shared" si="9"/>
        <v>Las Condes</v>
      </c>
      <c r="Y241" s="62" t="s">
        <v>516</v>
      </c>
      <c r="Z241" s="33">
        <f>+COUNTIFS('[1]Pipeline TS'!$F:$F,Tabla1[[#This Row],[Cliente]])</f>
        <v>0</v>
      </c>
      <c r="AA241" s="63">
        <f>SUMIFS('[1]Pipeline Esterilización'!M:M,'[1]Pipeline Esterilización'!E:E,Tabla1[[#This Row],[Cliente]],'[1]Pipeline Esterilización'!B:B,"2026",'[1]Pipeline Esterilización'!L:L,"&gt;0")</f>
        <v>0</v>
      </c>
      <c r="AB241" s="33">
        <f>+SUMIFS('[1]Pipeline Endoscopía'!K:K,'[1]Pipeline Endoscopía'!E:E,Tabla1[[#This Row],[Cliente]],'[1]Pipeline Endoscopía'!B:B,"2026",'[1]Pipeline Endoscopía'!J:J,"&gt;0")</f>
        <v>0</v>
      </c>
      <c r="AC241" s="63">
        <f>+SUMIFS('[1]Pipeline Dental'!K:K,'[1]Pipeline Dental'!E:E,Tabla1[[#This Row],[Cliente]],'[1]Pipeline Dental'!B:B,"2026",'[1]Pipeline Dental'!J:J,"&gt;0")</f>
        <v>0</v>
      </c>
      <c r="AD241" s="64">
        <f>+SUMIFS('[1]Pipeline TS'!$AB:$AB,'[1]Pipeline TS'!$F:$F,Tabla1[[#This Row],[Cliente]])</f>
        <v>0</v>
      </c>
      <c r="AE241" s="65">
        <f>+SUM(Tabla1[[#This Row],[Pipeline 2026 $MM ESTERILIZACIÓN]:[Pipeline 2026 $MM TECSERVICE]])</f>
        <v>0</v>
      </c>
      <c r="AF241" s="43">
        <v>-33.453236010012297</v>
      </c>
      <c r="AG241" s="58">
        <v>-70.646650382061097</v>
      </c>
      <c r="AH241" s="57" t="str">
        <f>+IF(Tabla1[[#This Row],['# Contratos Vigentes ]]&gt;0,"SI","NO")</f>
        <v>NO</v>
      </c>
      <c r="AI241" s="66"/>
      <c r="AJ241" s="67">
        <f>+Tabla1[[#This Row],[Ingreso 2025 - 2026]]*Tabla1[[#This Row],[% Costo Serv. Directo]]</f>
        <v>0</v>
      </c>
      <c r="AK241" s="68"/>
      <c r="AL24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4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41" s="42">
        <f>+Tabla1[[#This Row],[Potencial Equipos]]+Tabla1[[#This Row],[Potencial Pipeline]]</f>
        <v>2995500</v>
      </c>
    </row>
    <row r="242" spans="1:40" ht="15.75" x14ac:dyDescent="0.25">
      <c r="A242" s="47" t="s">
        <v>517</v>
      </c>
      <c r="B242" t="str">
        <f>+VLOOKUP(Tabla1[[#This Row],[Cliente]],'[1]Público Privado'!$A$1:$B$325,2,FALSE)</f>
        <v>Público</v>
      </c>
      <c r="C242" s="23">
        <f>+SUMIFS('[1]Facturacion a Fecha'!$T:$T,'[1]Facturacion a Fecha'!$AY:$AY,Tabla1[[#This Row],[Cliente]])</f>
        <v>0</v>
      </c>
      <c r="D242" s="24">
        <f>+SUMIFS('[1]Facturacion a Fecha'!$T:$T,'[1]Facturacion a Fecha'!$AY:$AY,Tabla1[[#This Row],[Cliente]],'[1]Facturacion a Fecha'!$AX:$AX,"Correctivo")</f>
        <v>0</v>
      </c>
      <c r="E242" s="25">
        <f>+COUNTIFS('[1]Facturacion a Fecha'!AY:AY,Tabla1[[#This Row],[Cliente]],'[1]Facturacion a Fecha'!AX:AX,"Correctivo")</f>
        <v>0</v>
      </c>
      <c r="F242" s="25">
        <f>+SUMIFS('[1]Facturacion a Fecha'!$T:$T,'[1]Facturacion a Fecha'!$AY:$AY,Tabla1[[#This Row],[Cliente]],'[1]Facturacion a Fecha'!$AX:$AX,"Preventivo")</f>
        <v>0</v>
      </c>
      <c r="G242" s="25">
        <f>+COUNTIFS('[1]Facturacion a Fecha'!AY:AY,Tabla1[[#This Row],[Cliente]],'[1]Facturacion a Fecha'!AX:AX,"Preventivo")</f>
        <v>0</v>
      </c>
      <c r="H242" s="26">
        <f>+Tabla1[[#This Row],['# Preventivo]]+Tabla1[[#This Row],['# Correctivo]]</f>
        <v>0</v>
      </c>
      <c r="I242" s="23">
        <f>+IFERROR(Tabla1[[#This Row],[Ingreso 2025 - 2026 Correctivo]]/Tabla1[[#This Row],[Ingreso 2025 - 2026 Preventivo]],0)</f>
        <v>0</v>
      </c>
      <c r="J242" s="59">
        <f>+IFERROR(Tabla1[[#This Row],['# Correctivo]]/Tabla1[[#This Row],['# Preventivo]],0)</f>
        <v>0</v>
      </c>
      <c r="K242" s="60">
        <f>+IFERROR(Tabla1[[#This Row],[Ingreso 2025 - 2026 Preventivo]]/(Tabla1[[#This Row],[Ingreso 2025 - 2026 Correctivo]]+Tabla1[[#This Row],[Ingreso 2025 - 2026 Preventivo]]),0)</f>
        <v>0</v>
      </c>
      <c r="L242" s="60">
        <f>1-Tabla1[[#This Row],[% Preventivo $]]</f>
        <v>1</v>
      </c>
      <c r="M242" s="45">
        <f>+COUNTIFS('[1]Base Instalada'!AA:AA,Tabla1[[#This Row],[Cliente]])</f>
        <v>6</v>
      </c>
      <c r="N24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2" s="45">
        <f>+COUNTIFS('[1]Base Instalada'!AA:AA,Tabla1[[#This Row],[Cliente]],'[1]Base Instalada'!Z:Z,"ESTERILIZACIÓN")</f>
        <v>1</v>
      </c>
      <c r="P242" s="45">
        <f>+COUNTIFS('[1]Base Instalada'!AA:AA,Tabla1[[#This Row],[Cliente]],'[1]Base Instalada'!Z:Z,"DENTAL")</f>
        <v>5</v>
      </c>
      <c r="Q242" s="45">
        <f>+COUNTIFS('[1]Base Instalada'!AA:AA,Tabla1[[#This Row],[Cliente]],'[1]Base Instalada'!Z:Z,"ENDOSCOPÍA")</f>
        <v>0</v>
      </c>
      <c r="R242" s="45">
        <f>+COUNTIFS('[1]Base Instalada'!AA:AA,Tabla1[[#This Row],[Cliente]],'[1]Base Instalada'!Z:Z,"INCARDIA")</f>
        <v>0</v>
      </c>
      <c r="S242" s="45">
        <f>+COUNTIFS('[1]Base Instalada'!AA:AA,Tabla1[[#This Row],[Cliente]],'[1]Base Instalada'!Z:Z,"MMQ")</f>
        <v>0</v>
      </c>
      <c r="T242" s="45">
        <f>+COUNTIFS('[1]Base Instalada'!AA:AA,Tabla1[[#This Row],[Cliente]],'[1]Base Instalada'!Z:Z,"REAS")</f>
        <v>0</v>
      </c>
      <c r="U242" s="46">
        <f>+COUNTIFS('[1]Base Instalada'!AA:AA,Tabla1[[#This Row],[Cliente]],'[1]Base Instalada'!Z:Z,"MOBILIARIO CLINICO")</f>
        <v>0</v>
      </c>
      <c r="V242" s="29">
        <f>+COUNTIFS('[1]Base Instalada'!AA:AA,Tabla1[[#This Row],[Cliente]],'[1]Base Instalada'!Z:Z,"OTRO")</f>
        <v>0</v>
      </c>
      <c r="W242" s="61" t="str">
        <f t="shared" si="8"/>
        <v>Región Bío Bío</v>
      </c>
      <c r="X242" s="61" t="str">
        <f t="shared" si="9"/>
        <v>Tomé</v>
      </c>
      <c r="Y242" s="62" t="s">
        <v>518</v>
      </c>
      <c r="Z242" s="33">
        <f>+COUNTIFS('[1]Pipeline TS'!$F:$F,Tabla1[[#This Row],[Cliente]])</f>
        <v>0</v>
      </c>
      <c r="AA242" s="63">
        <f>SUMIFS('[1]Pipeline Esterilización'!M:M,'[1]Pipeline Esterilización'!E:E,Tabla1[[#This Row],[Cliente]],'[1]Pipeline Esterilización'!B:B,"2026",'[1]Pipeline Esterilización'!L:L,"&gt;0")</f>
        <v>0</v>
      </c>
      <c r="AB242" s="33">
        <f>+SUMIFS('[1]Pipeline Endoscopía'!K:K,'[1]Pipeline Endoscopía'!E:E,Tabla1[[#This Row],[Cliente]],'[1]Pipeline Endoscopía'!B:B,"2026",'[1]Pipeline Endoscopía'!J:J,"&gt;0")</f>
        <v>0</v>
      </c>
      <c r="AC242" s="63">
        <f>+SUMIFS('[1]Pipeline Dental'!K:K,'[1]Pipeline Dental'!E:E,Tabla1[[#This Row],[Cliente]],'[1]Pipeline Dental'!B:B,"2026",'[1]Pipeline Dental'!J:J,"&gt;0")</f>
        <v>0</v>
      </c>
      <c r="AD242" s="64">
        <f>+SUMIFS('[1]Pipeline TS'!$AB:$AB,'[1]Pipeline TS'!$F:$F,Tabla1[[#This Row],[Cliente]])</f>
        <v>0</v>
      </c>
      <c r="AE242" s="65">
        <f>+SUM(Tabla1[[#This Row],[Pipeline 2026 $MM ESTERILIZACIÓN]:[Pipeline 2026 $MM TECSERVICE]])</f>
        <v>0</v>
      </c>
      <c r="AF242" s="43">
        <v>-36.5539341133492</v>
      </c>
      <c r="AG242" s="58">
        <v>-72.939039800692797</v>
      </c>
      <c r="AH242" s="57" t="str">
        <f>+IF(Tabla1[[#This Row],['# Contratos Vigentes ]]&gt;0,"SI","NO")</f>
        <v>NO</v>
      </c>
      <c r="AI242" s="66"/>
      <c r="AJ242" s="67">
        <f>+Tabla1[[#This Row],[Ingreso 2025 - 2026]]*Tabla1[[#This Row],[% Costo Serv. Directo]]</f>
        <v>0</v>
      </c>
      <c r="AK242" s="68"/>
      <c r="AL24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4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4992500</v>
      </c>
      <c r="AN242" s="42">
        <f>+Tabla1[[#This Row],[Potencial Equipos]]+Tabla1[[#This Row],[Potencial Pipeline]]</f>
        <v>4992500</v>
      </c>
    </row>
    <row r="243" spans="1:40" ht="15.75" x14ac:dyDescent="0.25">
      <c r="A243" s="47" t="s">
        <v>519</v>
      </c>
      <c r="B243" t="str">
        <f>+VLOOKUP(Tabla1[[#This Row],[Cliente]],'[1]Público Privado'!$A$1:$B$325,2,FALSE)</f>
        <v>Público</v>
      </c>
      <c r="C243" s="23">
        <f>+SUMIFS('[1]Facturacion a Fecha'!$T:$T,'[1]Facturacion a Fecha'!$AY:$AY,Tabla1[[#This Row],[Cliente]])</f>
        <v>0</v>
      </c>
      <c r="D243" s="24">
        <f>+SUMIFS('[1]Facturacion a Fecha'!$T:$T,'[1]Facturacion a Fecha'!$AY:$AY,Tabla1[[#This Row],[Cliente]],'[1]Facturacion a Fecha'!$AX:$AX,"Correctivo")</f>
        <v>0</v>
      </c>
      <c r="E243" s="25">
        <f>+COUNTIFS('[1]Facturacion a Fecha'!AY:AY,Tabla1[[#This Row],[Cliente]],'[1]Facturacion a Fecha'!AX:AX,"Correctivo")</f>
        <v>0</v>
      </c>
      <c r="F243" s="25">
        <f>+SUMIFS('[1]Facturacion a Fecha'!$T:$T,'[1]Facturacion a Fecha'!$AY:$AY,Tabla1[[#This Row],[Cliente]],'[1]Facturacion a Fecha'!$AX:$AX,"Preventivo")</f>
        <v>0</v>
      </c>
      <c r="G243" s="25">
        <f>+COUNTIFS('[1]Facturacion a Fecha'!AY:AY,Tabla1[[#This Row],[Cliente]],'[1]Facturacion a Fecha'!AX:AX,"Preventivo")</f>
        <v>0</v>
      </c>
      <c r="H243" s="26">
        <f>+Tabla1[[#This Row],['# Preventivo]]+Tabla1[[#This Row],['# Correctivo]]</f>
        <v>0</v>
      </c>
      <c r="I243" s="23">
        <f>+IFERROR(Tabla1[[#This Row],[Ingreso 2025 - 2026 Correctivo]]/Tabla1[[#This Row],[Ingreso 2025 - 2026 Preventivo]],0)</f>
        <v>0</v>
      </c>
      <c r="J243" s="59">
        <f>+IFERROR(Tabla1[[#This Row],['# Correctivo]]/Tabla1[[#This Row],['# Preventivo]],0)</f>
        <v>0</v>
      </c>
      <c r="K243" s="60">
        <f>+IFERROR(Tabla1[[#This Row],[Ingreso 2025 - 2026 Preventivo]]/(Tabla1[[#This Row],[Ingreso 2025 - 2026 Correctivo]]+Tabla1[[#This Row],[Ingreso 2025 - 2026 Preventivo]]),0)</f>
        <v>0</v>
      </c>
      <c r="L243" s="60">
        <f>1-Tabla1[[#This Row],[% Preventivo $]]</f>
        <v>1</v>
      </c>
      <c r="M243" s="45">
        <f>+COUNTIFS('[1]Base Instalada'!AA:AA,Tabla1[[#This Row],[Cliente]])</f>
        <v>10</v>
      </c>
      <c r="N24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3" s="45">
        <f>+COUNTIFS('[1]Base Instalada'!AA:AA,Tabla1[[#This Row],[Cliente]],'[1]Base Instalada'!Z:Z,"ESTERILIZACIÓN")</f>
        <v>1</v>
      </c>
      <c r="P243" s="45">
        <f>+COUNTIFS('[1]Base Instalada'!AA:AA,Tabla1[[#This Row],[Cliente]],'[1]Base Instalada'!Z:Z,"DENTAL")</f>
        <v>9</v>
      </c>
      <c r="Q243" s="45">
        <f>+COUNTIFS('[1]Base Instalada'!AA:AA,Tabla1[[#This Row],[Cliente]],'[1]Base Instalada'!Z:Z,"ENDOSCOPÍA")</f>
        <v>0</v>
      </c>
      <c r="R243" s="45">
        <f>+COUNTIFS('[1]Base Instalada'!AA:AA,Tabla1[[#This Row],[Cliente]],'[1]Base Instalada'!Z:Z,"INCARDIA")</f>
        <v>0</v>
      </c>
      <c r="S243" s="45">
        <f>+COUNTIFS('[1]Base Instalada'!AA:AA,Tabla1[[#This Row],[Cliente]],'[1]Base Instalada'!Z:Z,"MMQ")</f>
        <v>0</v>
      </c>
      <c r="T243" s="45">
        <f>+COUNTIFS('[1]Base Instalada'!AA:AA,Tabla1[[#This Row],[Cliente]],'[1]Base Instalada'!Z:Z,"REAS")</f>
        <v>0</v>
      </c>
      <c r="U243" s="46">
        <f>+COUNTIFS('[1]Base Instalada'!AA:AA,Tabla1[[#This Row],[Cliente]],'[1]Base Instalada'!Z:Z,"MOBILIARIO CLINICO")</f>
        <v>0</v>
      </c>
      <c r="V243" s="29">
        <f>+COUNTIFS('[1]Base Instalada'!AA:AA,Tabla1[[#This Row],[Cliente]],'[1]Base Instalada'!Z:Z,"OTRO")</f>
        <v>0</v>
      </c>
      <c r="W243" s="61" t="str">
        <f t="shared" si="8"/>
        <v>Región O'Higgins</v>
      </c>
      <c r="X243" s="61" t="str">
        <f t="shared" si="9"/>
        <v>Rancagua</v>
      </c>
      <c r="Y243" s="62" t="s">
        <v>520</v>
      </c>
      <c r="Z243" s="33">
        <f>+COUNTIFS('[1]Pipeline TS'!$F:$F,Tabla1[[#This Row],[Cliente]])</f>
        <v>0</v>
      </c>
      <c r="AA243" s="63">
        <f>SUMIFS('[1]Pipeline Esterilización'!M:M,'[1]Pipeline Esterilización'!E:E,Tabla1[[#This Row],[Cliente]],'[1]Pipeline Esterilización'!B:B,"2026",'[1]Pipeline Esterilización'!L:L,"&gt;0")</f>
        <v>0</v>
      </c>
      <c r="AB243" s="33">
        <f>+SUMIFS('[1]Pipeline Endoscopía'!K:K,'[1]Pipeline Endoscopía'!E:E,Tabla1[[#This Row],[Cliente]],'[1]Pipeline Endoscopía'!B:B,"2026",'[1]Pipeline Endoscopía'!J:J,"&gt;0")</f>
        <v>14000000</v>
      </c>
      <c r="AC243" s="63">
        <f>+SUMIFS('[1]Pipeline Dental'!K:K,'[1]Pipeline Dental'!E:E,Tabla1[[#This Row],[Cliente]],'[1]Pipeline Dental'!B:B,"2026",'[1]Pipeline Dental'!J:J,"&gt;0")</f>
        <v>0</v>
      </c>
      <c r="AD243" s="64">
        <f>+SUMIFS('[1]Pipeline TS'!$AB:$AB,'[1]Pipeline TS'!$F:$F,Tabla1[[#This Row],[Cliente]])</f>
        <v>0</v>
      </c>
      <c r="AE243" s="65">
        <f>+SUM(Tabla1[[#This Row],[Pipeline 2026 $MM ESTERILIZACIÓN]:[Pipeline 2026 $MM TECSERVICE]])</f>
        <v>14000000</v>
      </c>
      <c r="AF243" s="43">
        <v>-34.114282400849397</v>
      </c>
      <c r="AG243" s="58">
        <v>-70.748360150681407</v>
      </c>
      <c r="AH243" s="57" t="str">
        <f>+IF(Tabla1[[#This Row],['# Contratos Vigentes ]]&gt;0,"SI","NO")</f>
        <v>NO</v>
      </c>
      <c r="AI243" s="66"/>
      <c r="AJ243" s="67">
        <f>+Tabla1[[#This Row],[Ingreso 2025 - 2026]]*Tabla1[[#This Row],[% Costo Serv. Directo]]</f>
        <v>0</v>
      </c>
      <c r="AK243" s="68"/>
      <c r="AL24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840000</v>
      </c>
      <c r="AM24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7388900</v>
      </c>
      <c r="AN243" s="42">
        <f>+Tabla1[[#This Row],[Potencial Equipos]]+Tabla1[[#This Row],[Potencial Pipeline]]</f>
        <v>8228900</v>
      </c>
    </row>
    <row r="244" spans="1:40" ht="15.75" x14ac:dyDescent="0.25">
      <c r="A244" s="47" t="s">
        <v>521</v>
      </c>
      <c r="B244" t="str">
        <f>+VLOOKUP(Tabla1[[#This Row],[Cliente]],'[1]Público Privado'!$A$1:$B$325,2,FALSE)</f>
        <v>Público</v>
      </c>
      <c r="C244" s="23">
        <f>+SUMIFS('[1]Facturacion a Fecha'!$T:$T,'[1]Facturacion a Fecha'!$AY:$AY,Tabla1[[#This Row],[Cliente]])</f>
        <v>0</v>
      </c>
      <c r="D244" s="24">
        <f>+SUMIFS('[1]Facturacion a Fecha'!$T:$T,'[1]Facturacion a Fecha'!$AY:$AY,Tabla1[[#This Row],[Cliente]],'[1]Facturacion a Fecha'!$AX:$AX,"Correctivo")</f>
        <v>0</v>
      </c>
      <c r="E244" s="25">
        <f>+COUNTIFS('[1]Facturacion a Fecha'!AY:AY,Tabla1[[#This Row],[Cliente]],'[1]Facturacion a Fecha'!AX:AX,"Correctivo")</f>
        <v>0</v>
      </c>
      <c r="F244" s="25">
        <f>+SUMIFS('[1]Facturacion a Fecha'!$T:$T,'[1]Facturacion a Fecha'!$AY:$AY,Tabla1[[#This Row],[Cliente]],'[1]Facturacion a Fecha'!$AX:$AX,"Preventivo")</f>
        <v>0</v>
      </c>
      <c r="G244" s="25">
        <f>+COUNTIFS('[1]Facturacion a Fecha'!AY:AY,Tabla1[[#This Row],[Cliente]],'[1]Facturacion a Fecha'!AX:AX,"Preventivo")</f>
        <v>0</v>
      </c>
      <c r="H244" s="26">
        <f>+Tabla1[[#This Row],['# Preventivo]]+Tabla1[[#This Row],['# Correctivo]]</f>
        <v>0</v>
      </c>
      <c r="I244" s="23">
        <f>+IFERROR(Tabla1[[#This Row],[Ingreso 2025 - 2026 Correctivo]]/Tabla1[[#This Row],[Ingreso 2025 - 2026 Preventivo]],0)</f>
        <v>0</v>
      </c>
      <c r="J244" s="59">
        <f>+IFERROR(Tabla1[[#This Row],['# Correctivo]]/Tabla1[[#This Row],['# Preventivo]],0)</f>
        <v>0</v>
      </c>
      <c r="K244" s="60">
        <f>+IFERROR(Tabla1[[#This Row],[Ingreso 2025 - 2026 Preventivo]]/(Tabla1[[#This Row],[Ingreso 2025 - 2026 Correctivo]]+Tabla1[[#This Row],[Ingreso 2025 - 2026 Preventivo]]),0)</f>
        <v>0</v>
      </c>
      <c r="L244" s="60">
        <f>1-Tabla1[[#This Row],[% Preventivo $]]</f>
        <v>1</v>
      </c>
      <c r="M244" s="45">
        <f>+COUNTIFS('[1]Base Instalada'!AA:AA,Tabla1[[#This Row],[Cliente]])</f>
        <v>5</v>
      </c>
      <c r="N24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4" s="45">
        <f>+COUNTIFS('[1]Base Instalada'!AA:AA,Tabla1[[#This Row],[Cliente]],'[1]Base Instalada'!Z:Z,"ESTERILIZACIÓN")</f>
        <v>0</v>
      </c>
      <c r="P244" s="45">
        <f>+COUNTIFS('[1]Base Instalada'!AA:AA,Tabla1[[#This Row],[Cliente]],'[1]Base Instalada'!Z:Z,"DENTAL")</f>
        <v>5</v>
      </c>
      <c r="Q244" s="45">
        <f>+COUNTIFS('[1]Base Instalada'!AA:AA,Tabla1[[#This Row],[Cliente]],'[1]Base Instalada'!Z:Z,"ENDOSCOPÍA")</f>
        <v>0</v>
      </c>
      <c r="R244" s="45">
        <f>+COUNTIFS('[1]Base Instalada'!AA:AA,Tabla1[[#This Row],[Cliente]],'[1]Base Instalada'!Z:Z,"INCARDIA")</f>
        <v>0</v>
      </c>
      <c r="S244" s="45">
        <f>+COUNTIFS('[1]Base Instalada'!AA:AA,Tabla1[[#This Row],[Cliente]],'[1]Base Instalada'!Z:Z,"MMQ")</f>
        <v>0</v>
      </c>
      <c r="T244" s="45">
        <f>+COUNTIFS('[1]Base Instalada'!AA:AA,Tabla1[[#This Row],[Cliente]],'[1]Base Instalada'!Z:Z,"REAS")</f>
        <v>0</v>
      </c>
      <c r="U244" s="46">
        <f>+COUNTIFS('[1]Base Instalada'!AA:AA,Tabla1[[#This Row],[Cliente]],'[1]Base Instalada'!Z:Z,"MOBILIARIO CLINICO")</f>
        <v>0</v>
      </c>
      <c r="V244" s="29">
        <f>+COUNTIFS('[1]Base Instalada'!AA:AA,Tabla1[[#This Row],[Cliente]],'[1]Base Instalada'!Z:Z,"OTRO")</f>
        <v>0</v>
      </c>
      <c r="W244" s="61" t="str">
        <f t="shared" si="8"/>
        <v>Región Maule</v>
      </c>
      <c r="X244" s="61" t="str">
        <f t="shared" si="9"/>
        <v>Linares</v>
      </c>
      <c r="Y244" s="62" t="s">
        <v>522</v>
      </c>
      <c r="Z244" s="33">
        <f>+COUNTIFS('[1]Pipeline TS'!$F:$F,Tabla1[[#This Row],[Cliente]])</f>
        <v>0</v>
      </c>
      <c r="AA244" s="63">
        <f>SUMIFS('[1]Pipeline Esterilización'!M:M,'[1]Pipeline Esterilización'!E:E,Tabla1[[#This Row],[Cliente]],'[1]Pipeline Esterilización'!B:B,"2026",'[1]Pipeline Esterilización'!L:L,"&gt;0")</f>
        <v>0</v>
      </c>
      <c r="AB244" s="33">
        <f>+SUMIFS('[1]Pipeline Endoscopía'!K:K,'[1]Pipeline Endoscopía'!E:E,Tabla1[[#This Row],[Cliente]],'[1]Pipeline Endoscopía'!B:B,"2026",'[1]Pipeline Endoscopía'!J:J,"&gt;0")</f>
        <v>0</v>
      </c>
      <c r="AC244" s="63">
        <f>+SUMIFS('[1]Pipeline Dental'!K:K,'[1]Pipeline Dental'!E:E,Tabla1[[#This Row],[Cliente]],'[1]Pipeline Dental'!B:B,"2026",'[1]Pipeline Dental'!J:J,"&gt;0")</f>
        <v>0</v>
      </c>
      <c r="AD244" s="64">
        <f>+SUMIFS('[1]Pipeline TS'!$AB:$AB,'[1]Pipeline TS'!$F:$F,Tabla1[[#This Row],[Cliente]])</f>
        <v>0</v>
      </c>
      <c r="AE244" s="65">
        <f>+SUM(Tabla1[[#This Row],[Pipeline 2026 $MM ESTERILIZACIÓN]:[Pipeline 2026 $MM TECSERVICE]])</f>
        <v>0</v>
      </c>
      <c r="AF244" s="43">
        <v>-35.844732910179097</v>
      </c>
      <c r="AG244" s="58">
        <v>-71.597058173706102</v>
      </c>
      <c r="AH244" s="57" t="str">
        <f>+IF(Tabla1[[#This Row],['# Contratos Vigentes ]]&gt;0,"SI","NO")</f>
        <v>NO</v>
      </c>
      <c r="AI244" s="66"/>
      <c r="AJ244" s="67">
        <f>+Tabla1[[#This Row],[Ingreso 2025 - 2026]]*Tabla1[[#This Row],[% Costo Serv. Directo]]</f>
        <v>0</v>
      </c>
      <c r="AK244" s="68"/>
      <c r="AL24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4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44" s="42">
        <f>+Tabla1[[#This Row],[Potencial Equipos]]+Tabla1[[#This Row],[Potencial Pipeline]]</f>
        <v>2995500</v>
      </c>
    </row>
    <row r="245" spans="1:40" ht="15.75" x14ac:dyDescent="0.25">
      <c r="A245" s="47" t="s">
        <v>523</v>
      </c>
      <c r="B245" t="str">
        <f>+VLOOKUP(Tabla1[[#This Row],[Cliente]],'[1]Público Privado'!$A$1:$B$325,2,FALSE)</f>
        <v>Privado</v>
      </c>
      <c r="C245" s="23">
        <f>+SUMIFS('[1]Facturacion a Fecha'!$T:$T,'[1]Facturacion a Fecha'!$AY:$AY,Tabla1[[#This Row],[Cliente]])</f>
        <v>0</v>
      </c>
      <c r="D245" s="24">
        <f>+SUMIFS('[1]Facturacion a Fecha'!$T:$T,'[1]Facturacion a Fecha'!$AY:$AY,Tabla1[[#This Row],[Cliente]],'[1]Facturacion a Fecha'!$AX:$AX,"Correctivo")</f>
        <v>0</v>
      </c>
      <c r="E245" s="25">
        <f>+COUNTIFS('[1]Facturacion a Fecha'!AY:AY,Tabla1[[#This Row],[Cliente]],'[1]Facturacion a Fecha'!AX:AX,"Correctivo")</f>
        <v>0</v>
      </c>
      <c r="F245" s="25">
        <f>+SUMIFS('[1]Facturacion a Fecha'!$T:$T,'[1]Facturacion a Fecha'!$AY:$AY,Tabla1[[#This Row],[Cliente]],'[1]Facturacion a Fecha'!$AX:$AX,"Preventivo")</f>
        <v>0</v>
      </c>
      <c r="G245" s="25">
        <f>+COUNTIFS('[1]Facturacion a Fecha'!AY:AY,Tabla1[[#This Row],[Cliente]],'[1]Facturacion a Fecha'!AX:AX,"Preventivo")</f>
        <v>0</v>
      </c>
      <c r="H245" s="26">
        <f>+Tabla1[[#This Row],['# Preventivo]]+Tabla1[[#This Row],['# Correctivo]]</f>
        <v>0</v>
      </c>
      <c r="I245" s="23">
        <f>+IFERROR(Tabla1[[#This Row],[Ingreso 2025 - 2026 Correctivo]]/Tabla1[[#This Row],[Ingreso 2025 - 2026 Preventivo]],0)</f>
        <v>0</v>
      </c>
      <c r="J245" s="59">
        <f>+IFERROR(Tabla1[[#This Row],['# Correctivo]]/Tabla1[[#This Row],['# Preventivo]],0)</f>
        <v>0</v>
      </c>
      <c r="K245" s="60">
        <f>+IFERROR(Tabla1[[#This Row],[Ingreso 2025 - 2026 Preventivo]]/(Tabla1[[#This Row],[Ingreso 2025 - 2026 Correctivo]]+Tabla1[[#This Row],[Ingreso 2025 - 2026 Preventivo]]),0)</f>
        <v>0</v>
      </c>
      <c r="L245" s="60">
        <f>1-Tabla1[[#This Row],[% Preventivo $]]</f>
        <v>1</v>
      </c>
      <c r="M245" s="45">
        <f>+COUNTIFS('[1]Base Instalada'!AA:AA,Tabla1[[#This Row],[Cliente]])</f>
        <v>18</v>
      </c>
      <c r="N24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5" s="45">
        <f>+COUNTIFS('[1]Base Instalada'!AA:AA,Tabla1[[#This Row],[Cliente]],'[1]Base Instalada'!Z:Z,"ESTERILIZACIÓN")</f>
        <v>0</v>
      </c>
      <c r="P245" s="45">
        <f>+COUNTIFS('[1]Base Instalada'!AA:AA,Tabla1[[#This Row],[Cliente]],'[1]Base Instalada'!Z:Z,"DENTAL")</f>
        <v>18</v>
      </c>
      <c r="Q245" s="45">
        <f>+COUNTIFS('[1]Base Instalada'!AA:AA,Tabla1[[#This Row],[Cliente]],'[1]Base Instalada'!Z:Z,"ENDOSCOPÍA")</f>
        <v>0</v>
      </c>
      <c r="R245" s="45">
        <f>+COUNTIFS('[1]Base Instalada'!AA:AA,Tabla1[[#This Row],[Cliente]],'[1]Base Instalada'!Z:Z,"INCARDIA")</f>
        <v>0</v>
      </c>
      <c r="S245" s="45">
        <f>+COUNTIFS('[1]Base Instalada'!AA:AA,Tabla1[[#This Row],[Cliente]],'[1]Base Instalada'!Z:Z,"MMQ")</f>
        <v>0</v>
      </c>
      <c r="T245" s="45">
        <f>+COUNTIFS('[1]Base Instalada'!AA:AA,Tabla1[[#This Row],[Cliente]],'[1]Base Instalada'!Z:Z,"REAS")</f>
        <v>0</v>
      </c>
      <c r="U245" s="46">
        <f>+COUNTIFS('[1]Base Instalada'!AA:AA,Tabla1[[#This Row],[Cliente]],'[1]Base Instalada'!Z:Z,"MOBILIARIO CLINICO")</f>
        <v>0</v>
      </c>
      <c r="V245" s="29">
        <f>+COUNTIFS('[1]Base Instalada'!AA:AA,Tabla1[[#This Row],[Cliente]],'[1]Base Instalada'!Z:Z,"OTRO")</f>
        <v>0</v>
      </c>
      <c r="W245" s="61" t="str">
        <f t="shared" si="8"/>
        <v>Región Antofagasta</v>
      </c>
      <c r="X245" s="61" t="str">
        <f t="shared" si="9"/>
        <v>Antonio José de Sucre</v>
      </c>
      <c r="Y245" s="62" t="s">
        <v>524</v>
      </c>
      <c r="Z245" s="33">
        <f>+COUNTIFS('[1]Pipeline TS'!$F:$F,Tabla1[[#This Row],[Cliente]])</f>
        <v>0</v>
      </c>
      <c r="AA245" s="63">
        <f>SUMIFS('[1]Pipeline Esterilización'!M:M,'[1]Pipeline Esterilización'!E:E,Tabla1[[#This Row],[Cliente]],'[1]Pipeline Esterilización'!B:B,"2026",'[1]Pipeline Esterilización'!L:L,"&gt;0")</f>
        <v>0</v>
      </c>
      <c r="AB245" s="33">
        <f>+SUMIFS('[1]Pipeline Endoscopía'!K:K,'[1]Pipeline Endoscopía'!E:E,Tabla1[[#This Row],[Cliente]],'[1]Pipeline Endoscopía'!B:B,"2026",'[1]Pipeline Endoscopía'!J:J,"&gt;0")</f>
        <v>0</v>
      </c>
      <c r="AC245" s="63">
        <f>+SUMIFS('[1]Pipeline Dental'!K:K,'[1]Pipeline Dental'!E:E,Tabla1[[#This Row],[Cliente]],'[1]Pipeline Dental'!B:B,"2026",'[1]Pipeline Dental'!J:J,"&gt;0")</f>
        <v>0</v>
      </c>
      <c r="AD245" s="64">
        <f>+SUMIFS('[1]Pipeline TS'!$AB:$AB,'[1]Pipeline TS'!$F:$F,Tabla1[[#This Row],[Cliente]])</f>
        <v>0</v>
      </c>
      <c r="AE245" s="65">
        <f>+SUM(Tabla1[[#This Row],[Pipeline 2026 $MM ESTERILIZACIÓN]:[Pipeline 2026 $MM TECSERVICE]])</f>
        <v>0</v>
      </c>
      <c r="AF245" s="43">
        <v>-23.637168836389101</v>
      </c>
      <c r="AG245" s="58">
        <v>-70.399568394814906</v>
      </c>
      <c r="AH245" s="57" t="str">
        <f>+IF(Tabla1[[#This Row],['# Contratos Vigentes ]]&gt;0,"SI","NO")</f>
        <v>NO</v>
      </c>
      <c r="AI245" s="66"/>
      <c r="AJ245" s="67">
        <f>+Tabla1[[#This Row],[Ingreso 2025 - 2026]]*Tabla1[[#This Row],[% Costo Serv. Directo]]</f>
        <v>0</v>
      </c>
      <c r="AK245" s="68"/>
      <c r="AL24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4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10783800</v>
      </c>
      <c r="AN245" s="42">
        <f>+Tabla1[[#This Row],[Potencial Equipos]]+Tabla1[[#This Row],[Potencial Pipeline]]</f>
        <v>10783800</v>
      </c>
    </row>
    <row r="246" spans="1:40" ht="15.75" x14ac:dyDescent="0.25">
      <c r="A246" s="47" t="s">
        <v>525</v>
      </c>
      <c r="B246" t="str">
        <f>+VLOOKUP(Tabla1[[#This Row],[Cliente]],'[1]Público Privado'!$A$1:$B$325,2,FALSE)</f>
        <v>Público</v>
      </c>
      <c r="C246" s="23">
        <f>+SUMIFS('[1]Facturacion a Fecha'!$T:$T,'[1]Facturacion a Fecha'!$AY:$AY,Tabla1[[#This Row],[Cliente]])</f>
        <v>0</v>
      </c>
      <c r="D246" s="24">
        <f>+SUMIFS('[1]Facturacion a Fecha'!$T:$T,'[1]Facturacion a Fecha'!$AY:$AY,Tabla1[[#This Row],[Cliente]],'[1]Facturacion a Fecha'!$AX:$AX,"Correctivo")</f>
        <v>0</v>
      </c>
      <c r="E246" s="25">
        <f>+COUNTIFS('[1]Facturacion a Fecha'!AY:AY,Tabla1[[#This Row],[Cliente]],'[1]Facturacion a Fecha'!AX:AX,"Correctivo")</f>
        <v>0</v>
      </c>
      <c r="F246" s="25">
        <f>+SUMIFS('[1]Facturacion a Fecha'!$T:$T,'[1]Facturacion a Fecha'!$AY:$AY,Tabla1[[#This Row],[Cliente]],'[1]Facturacion a Fecha'!$AX:$AX,"Preventivo")</f>
        <v>0</v>
      </c>
      <c r="G246" s="25">
        <f>+COUNTIFS('[1]Facturacion a Fecha'!AY:AY,Tabla1[[#This Row],[Cliente]],'[1]Facturacion a Fecha'!AX:AX,"Preventivo")</f>
        <v>0</v>
      </c>
      <c r="H246" s="26">
        <f>+Tabla1[[#This Row],['# Preventivo]]+Tabla1[[#This Row],['# Correctivo]]</f>
        <v>0</v>
      </c>
      <c r="I246" s="23">
        <f>+IFERROR(Tabla1[[#This Row],[Ingreso 2025 - 2026 Correctivo]]/Tabla1[[#This Row],[Ingreso 2025 - 2026 Preventivo]],0)</f>
        <v>0</v>
      </c>
      <c r="J246" s="59">
        <f>+IFERROR(Tabla1[[#This Row],['# Correctivo]]/Tabla1[[#This Row],['# Preventivo]],0)</f>
        <v>0</v>
      </c>
      <c r="K246" s="60">
        <f>+IFERROR(Tabla1[[#This Row],[Ingreso 2025 - 2026 Preventivo]]/(Tabla1[[#This Row],[Ingreso 2025 - 2026 Correctivo]]+Tabla1[[#This Row],[Ingreso 2025 - 2026 Preventivo]]),0)</f>
        <v>0</v>
      </c>
      <c r="L246" s="60">
        <f>1-Tabla1[[#This Row],[% Preventivo $]]</f>
        <v>1</v>
      </c>
      <c r="M246" s="45">
        <f>+COUNTIFS('[1]Base Instalada'!AA:AA,Tabla1[[#This Row],[Cliente]])</f>
        <v>11</v>
      </c>
      <c r="N24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6" s="45">
        <f>+COUNTIFS('[1]Base Instalada'!AA:AA,Tabla1[[#This Row],[Cliente]],'[1]Base Instalada'!Z:Z,"ESTERILIZACIÓN")</f>
        <v>1</v>
      </c>
      <c r="P246" s="45">
        <f>+COUNTIFS('[1]Base Instalada'!AA:AA,Tabla1[[#This Row],[Cliente]],'[1]Base Instalada'!Z:Z,"DENTAL")</f>
        <v>10</v>
      </c>
      <c r="Q246" s="45">
        <f>+COUNTIFS('[1]Base Instalada'!AA:AA,Tabla1[[#This Row],[Cliente]],'[1]Base Instalada'!Z:Z,"ENDOSCOPÍA")</f>
        <v>0</v>
      </c>
      <c r="R246" s="45">
        <f>+COUNTIFS('[1]Base Instalada'!AA:AA,Tabla1[[#This Row],[Cliente]],'[1]Base Instalada'!Z:Z,"INCARDIA")</f>
        <v>0</v>
      </c>
      <c r="S246" s="45">
        <f>+COUNTIFS('[1]Base Instalada'!AA:AA,Tabla1[[#This Row],[Cliente]],'[1]Base Instalada'!Z:Z,"MMQ")</f>
        <v>0</v>
      </c>
      <c r="T246" s="45">
        <f>+COUNTIFS('[1]Base Instalada'!AA:AA,Tabla1[[#This Row],[Cliente]],'[1]Base Instalada'!Z:Z,"REAS")</f>
        <v>0</v>
      </c>
      <c r="U246" s="46">
        <f>+COUNTIFS('[1]Base Instalada'!AA:AA,Tabla1[[#This Row],[Cliente]],'[1]Base Instalada'!Z:Z,"MOBILIARIO CLINICO")</f>
        <v>0</v>
      </c>
      <c r="V246" s="29">
        <f>+COUNTIFS('[1]Base Instalada'!AA:AA,Tabla1[[#This Row],[Cliente]],'[1]Base Instalada'!Z:Z,"OTRO")</f>
        <v>0</v>
      </c>
      <c r="W246" s="61" t="str">
        <f t="shared" si="8"/>
        <v>Región Valparaíso</v>
      </c>
      <c r="X246" s="61" t="str">
        <f t="shared" si="9"/>
        <v>Quintero</v>
      </c>
      <c r="Y246" s="62" t="s">
        <v>526</v>
      </c>
      <c r="Z246" s="33">
        <f>+COUNTIFS('[1]Pipeline TS'!$F:$F,Tabla1[[#This Row],[Cliente]])</f>
        <v>0</v>
      </c>
      <c r="AA246" s="63">
        <f>SUMIFS('[1]Pipeline Esterilización'!M:M,'[1]Pipeline Esterilización'!E:E,Tabla1[[#This Row],[Cliente]],'[1]Pipeline Esterilización'!B:B,"2026",'[1]Pipeline Esterilización'!L:L,"&gt;0")</f>
        <v>0</v>
      </c>
      <c r="AB246" s="33">
        <f>+SUMIFS('[1]Pipeline Endoscopía'!K:K,'[1]Pipeline Endoscopía'!E:E,Tabla1[[#This Row],[Cliente]],'[1]Pipeline Endoscopía'!B:B,"2026",'[1]Pipeline Endoscopía'!J:J,"&gt;0")</f>
        <v>0</v>
      </c>
      <c r="AC246" s="63">
        <f>+SUMIFS('[1]Pipeline Dental'!K:K,'[1]Pipeline Dental'!E:E,Tabla1[[#This Row],[Cliente]],'[1]Pipeline Dental'!B:B,"2026",'[1]Pipeline Dental'!J:J,"&gt;0")</f>
        <v>0</v>
      </c>
      <c r="AD246" s="64">
        <f>+SUMIFS('[1]Pipeline TS'!$AB:$AB,'[1]Pipeline TS'!$F:$F,Tabla1[[#This Row],[Cliente]])</f>
        <v>0</v>
      </c>
      <c r="AE246" s="65">
        <f>+SUM(Tabla1[[#This Row],[Pipeline 2026 $MM ESTERILIZACIÓN]:[Pipeline 2026 $MM TECSERVICE]])</f>
        <v>0</v>
      </c>
      <c r="AF246" s="43">
        <v>-32.779071226588201</v>
      </c>
      <c r="AG246" s="58">
        <v>-71.5310641603851</v>
      </c>
      <c r="AH246" s="57" t="str">
        <f>+IF(Tabla1[[#This Row],['# Contratos Vigentes ]]&gt;0,"SI","NO")</f>
        <v>NO</v>
      </c>
      <c r="AI246" s="66"/>
      <c r="AJ246" s="67">
        <f>+Tabla1[[#This Row],[Ingreso 2025 - 2026]]*Tabla1[[#This Row],[% Costo Serv. Directo]]</f>
        <v>0</v>
      </c>
      <c r="AK246" s="68"/>
      <c r="AL24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4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7988000</v>
      </c>
      <c r="AN246" s="42">
        <f>+Tabla1[[#This Row],[Potencial Equipos]]+Tabla1[[#This Row],[Potencial Pipeline]]</f>
        <v>7988000</v>
      </c>
    </row>
    <row r="247" spans="1:40" ht="15.75" x14ac:dyDescent="0.25">
      <c r="A247" s="47" t="s">
        <v>527</v>
      </c>
      <c r="B247" t="str">
        <f>+VLOOKUP(Tabla1[[#This Row],[Cliente]],'[1]Público Privado'!$A$1:$B$325,2,FALSE)</f>
        <v>Público</v>
      </c>
      <c r="C247" s="23">
        <f>+SUMIFS('[1]Facturacion a Fecha'!$T:$T,'[1]Facturacion a Fecha'!$AY:$AY,Tabla1[[#This Row],[Cliente]])</f>
        <v>0</v>
      </c>
      <c r="D247" s="24">
        <f>+SUMIFS('[1]Facturacion a Fecha'!$T:$T,'[1]Facturacion a Fecha'!$AY:$AY,Tabla1[[#This Row],[Cliente]],'[1]Facturacion a Fecha'!$AX:$AX,"Correctivo")</f>
        <v>0</v>
      </c>
      <c r="E247" s="25">
        <f>+COUNTIFS('[1]Facturacion a Fecha'!AY:AY,Tabla1[[#This Row],[Cliente]],'[1]Facturacion a Fecha'!AX:AX,"Correctivo")</f>
        <v>0</v>
      </c>
      <c r="F247" s="25">
        <f>+SUMIFS('[1]Facturacion a Fecha'!$T:$T,'[1]Facturacion a Fecha'!$AY:$AY,Tabla1[[#This Row],[Cliente]],'[1]Facturacion a Fecha'!$AX:$AX,"Preventivo")</f>
        <v>0</v>
      </c>
      <c r="G247" s="25">
        <f>+COUNTIFS('[1]Facturacion a Fecha'!AY:AY,Tabla1[[#This Row],[Cliente]],'[1]Facturacion a Fecha'!AX:AX,"Preventivo")</f>
        <v>0</v>
      </c>
      <c r="H247" s="26">
        <f>+Tabla1[[#This Row],['# Preventivo]]+Tabla1[[#This Row],['# Correctivo]]</f>
        <v>0</v>
      </c>
      <c r="I247" s="23">
        <f>+IFERROR(Tabla1[[#This Row],[Ingreso 2025 - 2026 Correctivo]]/Tabla1[[#This Row],[Ingreso 2025 - 2026 Preventivo]],0)</f>
        <v>0</v>
      </c>
      <c r="J247" s="59">
        <f>+IFERROR(Tabla1[[#This Row],['# Correctivo]]/Tabla1[[#This Row],['# Preventivo]],0)</f>
        <v>0</v>
      </c>
      <c r="K247" s="60">
        <f>+IFERROR(Tabla1[[#This Row],[Ingreso 2025 - 2026 Preventivo]]/(Tabla1[[#This Row],[Ingreso 2025 - 2026 Correctivo]]+Tabla1[[#This Row],[Ingreso 2025 - 2026 Preventivo]]),0)</f>
        <v>0</v>
      </c>
      <c r="L247" s="60">
        <f>1-Tabla1[[#This Row],[% Preventivo $]]</f>
        <v>1</v>
      </c>
      <c r="M247" s="45">
        <f>+COUNTIFS('[1]Base Instalada'!AA:AA,Tabla1[[#This Row],[Cliente]])</f>
        <v>5</v>
      </c>
      <c r="N24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7" s="45">
        <f>+COUNTIFS('[1]Base Instalada'!AA:AA,Tabla1[[#This Row],[Cliente]],'[1]Base Instalada'!Z:Z,"ESTERILIZACIÓN")</f>
        <v>0</v>
      </c>
      <c r="P247" s="45">
        <f>+COUNTIFS('[1]Base Instalada'!AA:AA,Tabla1[[#This Row],[Cliente]],'[1]Base Instalada'!Z:Z,"DENTAL")</f>
        <v>5</v>
      </c>
      <c r="Q247" s="45">
        <f>+COUNTIFS('[1]Base Instalada'!AA:AA,Tabla1[[#This Row],[Cliente]],'[1]Base Instalada'!Z:Z,"ENDOSCOPÍA")</f>
        <v>0</v>
      </c>
      <c r="R247" s="45">
        <f>+COUNTIFS('[1]Base Instalada'!AA:AA,Tabla1[[#This Row],[Cliente]],'[1]Base Instalada'!Z:Z,"INCARDIA")</f>
        <v>0</v>
      </c>
      <c r="S247" s="45">
        <f>+COUNTIFS('[1]Base Instalada'!AA:AA,Tabla1[[#This Row],[Cliente]],'[1]Base Instalada'!Z:Z,"MMQ")</f>
        <v>0</v>
      </c>
      <c r="T247" s="45">
        <f>+COUNTIFS('[1]Base Instalada'!AA:AA,Tabla1[[#This Row],[Cliente]],'[1]Base Instalada'!Z:Z,"REAS")</f>
        <v>0</v>
      </c>
      <c r="U247" s="46">
        <f>+COUNTIFS('[1]Base Instalada'!AA:AA,Tabla1[[#This Row],[Cliente]],'[1]Base Instalada'!Z:Z,"MOBILIARIO CLINICO")</f>
        <v>0</v>
      </c>
      <c r="V247" s="29">
        <f>+COUNTIFS('[1]Base Instalada'!AA:AA,Tabla1[[#This Row],[Cliente]],'[1]Base Instalada'!Z:Z,"OTRO")</f>
        <v>0</v>
      </c>
      <c r="W247" s="61" t="str">
        <f t="shared" si="8"/>
        <v>Región O'Higgins</v>
      </c>
      <c r="X247" s="61" t="str">
        <f t="shared" si="9"/>
        <v>Requínoa</v>
      </c>
      <c r="Y247" s="62" t="s">
        <v>528</v>
      </c>
      <c r="Z247" s="33">
        <f>+COUNTIFS('[1]Pipeline TS'!$F:$F,Tabla1[[#This Row],[Cliente]])</f>
        <v>0</v>
      </c>
      <c r="AA247" s="63">
        <f>SUMIFS('[1]Pipeline Esterilización'!M:M,'[1]Pipeline Esterilización'!E:E,Tabla1[[#This Row],[Cliente]],'[1]Pipeline Esterilización'!B:B,"2026",'[1]Pipeline Esterilización'!L:L,"&gt;0")</f>
        <v>0</v>
      </c>
      <c r="AB247" s="33">
        <f>+SUMIFS('[1]Pipeline Endoscopía'!K:K,'[1]Pipeline Endoscopía'!E:E,Tabla1[[#This Row],[Cliente]],'[1]Pipeline Endoscopía'!B:B,"2026",'[1]Pipeline Endoscopía'!J:J,"&gt;0")</f>
        <v>0</v>
      </c>
      <c r="AC247" s="63">
        <f>+SUMIFS('[1]Pipeline Dental'!K:K,'[1]Pipeline Dental'!E:E,Tabla1[[#This Row],[Cliente]],'[1]Pipeline Dental'!B:B,"2026",'[1]Pipeline Dental'!J:J,"&gt;0")</f>
        <v>0</v>
      </c>
      <c r="AD247" s="64">
        <f>+SUMIFS('[1]Pipeline TS'!$AB:$AB,'[1]Pipeline TS'!$F:$F,Tabla1[[#This Row],[Cliente]])</f>
        <v>0</v>
      </c>
      <c r="AE247" s="65">
        <f>+SUM(Tabla1[[#This Row],[Pipeline 2026 $MM ESTERILIZACIÓN]:[Pipeline 2026 $MM TECSERVICE]])</f>
        <v>0</v>
      </c>
      <c r="AF247" s="43">
        <v>-34.276580631334397</v>
      </c>
      <c r="AG247" s="58">
        <v>-70.809340431466893</v>
      </c>
      <c r="AH247" s="57" t="str">
        <f>+IF(Tabla1[[#This Row],['# Contratos Vigentes ]]&gt;0,"SI","NO")</f>
        <v>NO</v>
      </c>
      <c r="AI247" s="66"/>
      <c r="AJ247" s="67">
        <f>+Tabla1[[#This Row],[Ingreso 2025 - 2026]]*Tabla1[[#This Row],[% Costo Serv. Directo]]</f>
        <v>0</v>
      </c>
      <c r="AK247" s="68"/>
      <c r="AL24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4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47" s="42">
        <f>+Tabla1[[#This Row],[Potencial Equipos]]+Tabla1[[#This Row],[Potencial Pipeline]]</f>
        <v>2995500</v>
      </c>
    </row>
    <row r="248" spans="1:40" ht="15.75" x14ac:dyDescent="0.25">
      <c r="A248" s="47" t="s">
        <v>529</v>
      </c>
      <c r="B248" t="str">
        <f>+VLOOKUP(Tabla1[[#This Row],[Cliente]],'[1]Público Privado'!$A$1:$B$325,2,FALSE)</f>
        <v>Público</v>
      </c>
      <c r="C248" s="23">
        <f>+SUMIFS('[1]Facturacion a Fecha'!$T:$T,'[1]Facturacion a Fecha'!$AY:$AY,Tabla1[[#This Row],[Cliente]])</f>
        <v>0</v>
      </c>
      <c r="D248" s="24">
        <f>+SUMIFS('[1]Facturacion a Fecha'!$T:$T,'[1]Facturacion a Fecha'!$AY:$AY,Tabla1[[#This Row],[Cliente]],'[1]Facturacion a Fecha'!$AX:$AX,"Correctivo")</f>
        <v>0</v>
      </c>
      <c r="E248" s="25">
        <f>+COUNTIFS('[1]Facturacion a Fecha'!AY:AY,Tabla1[[#This Row],[Cliente]],'[1]Facturacion a Fecha'!AX:AX,"Correctivo")</f>
        <v>0</v>
      </c>
      <c r="F248" s="25">
        <f>+SUMIFS('[1]Facturacion a Fecha'!$T:$T,'[1]Facturacion a Fecha'!$AY:$AY,Tabla1[[#This Row],[Cliente]],'[1]Facturacion a Fecha'!$AX:$AX,"Preventivo")</f>
        <v>0</v>
      </c>
      <c r="G248" s="25">
        <f>+COUNTIFS('[1]Facturacion a Fecha'!AY:AY,Tabla1[[#This Row],[Cliente]],'[1]Facturacion a Fecha'!AX:AX,"Preventivo")</f>
        <v>0</v>
      </c>
      <c r="H248" s="26">
        <f>+Tabla1[[#This Row],['# Preventivo]]+Tabla1[[#This Row],['# Correctivo]]</f>
        <v>0</v>
      </c>
      <c r="I248" s="23">
        <f>+IFERROR(Tabla1[[#This Row],[Ingreso 2025 - 2026 Correctivo]]/Tabla1[[#This Row],[Ingreso 2025 - 2026 Preventivo]],0)</f>
        <v>0</v>
      </c>
      <c r="J248" s="59">
        <f>+IFERROR(Tabla1[[#This Row],['# Correctivo]]/Tabla1[[#This Row],['# Preventivo]],0)</f>
        <v>0</v>
      </c>
      <c r="K248" s="60">
        <f>+IFERROR(Tabla1[[#This Row],[Ingreso 2025 - 2026 Preventivo]]/(Tabla1[[#This Row],[Ingreso 2025 - 2026 Correctivo]]+Tabla1[[#This Row],[Ingreso 2025 - 2026 Preventivo]]),0)</f>
        <v>0</v>
      </c>
      <c r="L248" s="60">
        <f>1-Tabla1[[#This Row],[% Preventivo $]]</f>
        <v>1</v>
      </c>
      <c r="M248" s="45">
        <f>+COUNTIFS('[1]Base Instalada'!AA:AA,Tabla1[[#This Row],[Cliente]])</f>
        <v>5</v>
      </c>
      <c r="N24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8" s="45">
        <f>+COUNTIFS('[1]Base Instalada'!AA:AA,Tabla1[[#This Row],[Cliente]],'[1]Base Instalada'!Z:Z,"ESTERILIZACIÓN")</f>
        <v>0</v>
      </c>
      <c r="P248" s="45">
        <f>+COUNTIFS('[1]Base Instalada'!AA:AA,Tabla1[[#This Row],[Cliente]],'[1]Base Instalada'!Z:Z,"DENTAL")</f>
        <v>5</v>
      </c>
      <c r="Q248" s="45">
        <f>+COUNTIFS('[1]Base Instalada'!AA:AA,Tabla1[[#This Row],[Cliente]],'[1]Base Instalada'!Z:Z,"ENDOSCOPÍA")</f>
        <v>0</v>
      </c>
      <c r="R248" s="45">
        <f>+COUNTIFS('[1]Base Instalada'!AA:AA,Tabla1[[#This Row],[Cliente]],'[1]Base Instalada'!Z:Z,"INCARDIA")</f>
        <v>0</v>
      </c>
      <c r="S248" s="45">
        <f>+COUNTIFS('[1]Base Instalada'!AA:AA,Tabla1[[#This Row],[Cliente]],'[1]Base Instalada'!Z:Z,"MMQ")</f>
        <v>0</v>
      </c>
      <c r="T248" s="45">
        <f>+COUNTIFS('[1]Base Instalada'!AA:AA,Tabla1[[#This Row],[Cliente]],'[1]Base Instalada'!Z:Z,"REAS")</f>
        <v>0</v>
      </c>
      <c r="U248" s="46">
        <f>+COUNTIFS('[1]Base Instalada'!AA:AA,Tabla1[[#This Row],[Cliente]],'[1]Base Instalada'!Z:Z,"MOBILIARIO CLINICO")</f>
        <v>0</v>
      </c>
      <c r="V248" s="29">
        <f>+COUNTIFS('[1]Base Instalada'!AA:AA,Tabla1[[#This Row],[Cliente]],'[1]Base Instalada'!Z:Z,"OTRO")</f>
        <v>0</v>
      </c>
      <c r="W248" s="61" t="str">
        <f t="shared" si="8"/>
        <v>Región Metropolitana</v>
      </c>
      <c r="X248" s="61" t="str">
        <f t="shared" si="9"/>
        <v>La Cisterna</v>
      </c>
      <c r="Y248" s="62" t="s">
        <v>530</v>
      </c>
      <c r="Z248" s="33">
        <f>+COUNTIFS('[1]Pipeline TS'!$F:$F,Tabla1[[#This Row],[Cliente]])</f>
        <v>0</v>
      </c>
      <c r="AA248" s="63">
        <f>SUMIFS('[1]Pipeline Esterilización'!M:M,'[1]Pipeline Esterilización'!E:E,Tabla1[[#This Row],[Cliente]],'[1]Pipeline Esterilización'!B:B,"2026",'[1]Pipeline Esterilización'!L:L,"&gt;0")</f>
        <v>0</v>
      </c>
      <c r="AB248" s="33">
        <f>+SUMIFS('[1]Pipeline Endoscopía'!K:K,'[1]Pipeline Endoscopía'!E:E,Tabla1[[#This Row],[Cliente]],'[1]Pipeline Endoscopía'!B:B,"2026",'[1]Pipeline Endoscopía'!J:J,"&gt;0")</f>
        <v>0</v>
      </c>
      <c r="AC248" s="63">
        <f>+SUMIFS('[1]Pipeline Dental'!K:K,'[1]Pipeline Dental'!E:E,Tabla1[[#This Row],[Cliente]],'[1]Pipeline Dental'!B:B,"2026",'[1]Pipeline Dental'!J:J,"&gt;0")</f>
        <v>0</v>
      </c>
      <c r="AD248" s="64">
        <f>+SUMIFS('[1]Pipeline TS'!$AB:$AB,'[1]Pipeline TS'!$F:$F,Tabla1[[#This Row],[Cliente]])</f>
        <v>0</v>
      </c>
      <c r="AE248" s="65">
        <f>+SUM(Tabla1[[#This Row],[Pipeline 2026 $MM ESTERILIZACIÓN]:[Pipeline 2026 $MM TECSERVICE]])</f>
        <v>0</v>
      </c>
      <c r="AF248" s="43">
        <v>-33.534224948187898</v>
      </c>
      <c r="AG248" s="58">
        <v>-70.6639269275869</v>
      </c>
      <c r="AH248" s="57" t="str">
        <f>+IF(Tabla1[[#This Row],['# Contratos Vigentes ]]&gt;0,"SI","NO")</f>
        <v>NO</v>
      </c>
      <c r="AI248" s="66"/>
      <c r="AJ248" s="67">
        <f>+Tabla1[[#This Row],[Ingreso 2025 - 2026]]*Tabla1[[#This Row],[% Costo Serv. Directo]]</f>
        <v>0</v>
      </c>
      <c r="AK248" s="68"/>
      <c r="AL24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4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48" s="42">
        <f>+Tabla1[[#This Row],[Potencial Equipos]]+Tabla1[[#This Row],[Potencial Pipeline]]</f>
        <v>2995500</v>
      </c>
    </row>
    <row r="249" spans="1:40" ht="15.75" x14ac:dyDescent="0.25">
      <c r="A249" s="47" t="s">
        <v>531</v>
      </c>
      <c r="B249" t="str">
        <f>+VLOOKUP(Tabla1[[#This Row],[Cliente]],'[1]Público Privado'!$A$1:$B$325,2,FALSE)</f>
        <v>Público</v>
      </c>
      <c r="C249" s="23">
        <f>+SUMIFS('[1]Facturacion a Fecha'!$T:$T,'[1]Facturacion a Fecha'!$AY:$AY,Tabla1[[#This Row],[Cliente]])</f>
        <v>0</v>
      </c>
      <c r="D249" s="24">
        <f>+SUMIFS('[1]Facturacion a Fecha'!$T:$T,'[1]Facturacion a Fecha'!$AY:$AY,Tabla1[[#This Row],[Cliente]],'[1]Facturacion a Fecha'!$AX:$AX,"Correctivo")</f>
        <v>0</v>
      </c>
      <c r="E249" s="25">
        <f>+COUNTIFS('[1]Facturacion a Fecha'!AY:AY,Tabla1[[#This Row],[Cliente]],'[1]Facturacion a Fecha'!AX:AX,"Correctivo")</f>
        <v>0</v>
      </c>
      <c r="F249" s="25">
        <f>+SUMIFS('[1]Facturacion a Fecha'!$T:$T,'[1]Facturacion a Fecha'!$AY:$AY,Tabla1[[#This Row],[Cliente]],'[1]Facturacion a Fecha'!$AX:$AX,"Preventivo")</f>
        <v>0</v>
      </c>
      <c r="G249" s="25">
        <f>+COUNTIFS('[1]Facturacion a Fecha'!AY:AY,Tabla1[[#This Row],[Cliente]],'[1]Facturacion a Fecha'!AX:AX,"Preventivo")</f>
        <v>0</v>
      </c>
      <c r="H249" s="26">
        <f>+Tabla1[[#This Row],['# Preventivo]]+Tabla1[[#This Row],['# Correctivo]]</f>
        <v>0</v>
      </c>
      <c r="I249" s="23">
        <f>+IFERROR(Tabla1[[#This Row],[Ingreso 2025 - 2026 Correctivo]]/Tabla1[[#This Row],[Ingreso 2025 - 2026 Preventivo]],0)</f>
        <v>0</v>
      </c>
      <c r="J249" s="59">
        <f>+IFERROR(Tabla1[[#This Row],['# Correctivo]]/Tabla1[[#This Row],['# Preventivo]],0)</f>
        <v>0</v>
      </c>
      <c r="K249" s="60">
        <f>+IFERROR(Tabla1[[#This Row],[Ingreso 2025 - 2026 Preventivo]]/(Tabla1[[#This Row],[Ingreso 2025 - 2026 Correctivo]]+Tabla1[[#This Row],[Ingreso 2025 - 2026 Preventivo]]),0)</f>
        <v>0</v>
      </c>
      <c r="L249" s="60">
        <f>1-Tabla1[[#This Row],[% Preventivo $]]</f>
        <v>1</v>
      </c>
      <c r="M249" s="45">
        <f>+COUNTIFS('[1]Base Instalada'!AA:AA,Tabla1[[#This Row],[Cliente]])</f>
        <v>11</v>
      </c>
      <c r="N24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49" s="45">
        <f>+COUNTIFS('[1]Base Instalada'!AA:AA,Tabla1[[#This Row],[Cliente]],'[1]Base Instalada'!Z:Z,"ESTERILIZACIÓN")</f>
        <v>0</v>
      </c>
      <c r="P249" s="45">
        <f>+COUNTIFS('[1]Base Instalada'!AA:AA,Tabla1[[#This Row],[Cliente]],'[1]Base Instalada'!Z:Z,"DENTAL")</f>
        <v>7</v>
      </c>
      <c r="Q249" s="45">
        <f>+COUNTIFS('[1]Base Instalada'!AA:AA,Tabla1[[#This Row],[Cliente]],'[1]Base Instalada'!Z:Z,"ENDOSCOPÍA")</f>
        <v>3</v>
      </c>
      <c r="R249" s="45">
        <f>+COUNTIFS('[1]Base Instalada'!AA:AA,Tabla1[[#This Row],[Cliente]],'[1]Base Instalada'!Z:Z,"INCARDIA")</f>
        <v>0</v>
      </c>
      <c r="S249" s="45">
        <f>+COUNTIFS('[1]Base Instalada'!AA:AA,Tabla1[[#This Row],[Cliente]],'[1]Base Instalada'!Z:Z,"MMQ")</f>
        <v>0</v>
      </c>
      <c r="T249" s="45">
        <f>+COUNTIFS('[1]Base Instalada'!AA:AA,Tabla1[[#This Row],[Cliente]],'[1]Base Instalada'!Z:Z,"REAS")</f>
        <v>0</v>
      </c>
      <c r="U249" s="46">
        <f>+COUNTIFS('[1]Base Instalada'!AA:AA,Tabla1[[#This Row],[Cliente]],'[1]Base Instalada'!Z:Z,"MOBILIARIO CLINICO")</f>
        <v>1</v>
      </c>
      <c r="V249" s="29">
        <f>+COUNTIFS('[1]Base Instalada'!AA:AA,Tabla1[[#This Row],[Cliente]],'[1]Base Instalada'!Z:Z,"OTRO")</f>
        <v>0</v>
      </c>
      <c r="W249" s="61" t="str">
        <f t="shared" si="8"/>
        <v>Región Coquimbo</v>
      </c>
      <c r="X249" s="61" t="str">
        <f t="shared" si="9"/>
        <v>Los Vilos</v>
      </c>
      <c r="Y249" s="62" t="s">
        <v>532</v>
      </c>
      <c r="Z249" s="33">
        <f>+COUNTIFS('[1]Pipeline TS'!$F:$F,Tabla1[[#This Row],[Cliente]])</f>
        <v>0</v>
      </c>
      <c r="AA249" s="63">
        <f>SUMIFS('[1]Pipeline Esterilización'!M:M,'[1]Pipeline Esterilización'!E:E,Tabla1[[#This Row],[Cliente]],'[1]Pipeline Esterilización'!B:B,"2026",'[1]Pipeline Esterilización'!L:L,"&gt;0")</f>
        <v>0</v>
      </c>
      <c r="AB249" s="33">
        <f>+SUMIFS('[1]Pipeline Endoscopía'!K:K,'[1]Pipeline Endoscopía'!E:E,Tabla1[[#This Row],[Cliente]],'[1]Pipeline Endoscopía'!B:B,"2026",'[1]Pipeline Endoscopía'!J:J,"&gt;0")</f>
        <v>0</v>
      </c>
      <c r="AC249" s="63">
        <f>+SUMIFS('[1]Pipeline Dental'!K:K,'[1]Pipeline Dental'!E:E,Tabla1[[#This Row],[Cliente]],'[1]Pipeline Dental'!B:B,"2026",'[1]Pipeline Dental'!J:J,"&gt;0")</f>
        <v>0</v>
      </c>
      <c r="AD249" s="64">
        <f>+SUMIFS('[1]Pipeline TS'!$AB:$AB,'[1]Pipeline TS'!$F:$F,Tabla1[[#This Row],[Cliente]])</f>
        <v>0</v>
      </c>
      <c r="AE249" s="65">
        <f>+SUM(Tabla1[[#This Row],[Pipeline 2026 $MM ESTERILIZACIÓN]:[Pipeline 2026 $MM TECSERVICE]])</f>
        <v>0</v>
      </c>
      <c r="AF249" s="43">
        <v>-31.9151419650562</v>
      </c>
      <c r="AG249" s="58">
        <v>-71.512718404608407</v>
      </c>
      <c r="AH249" s="57" t="str">
        <f>+IF(Tabla1[[#This Row],['# Contratos Vigentes ]]&gt;0,"SI","NO")</f>
        <v>NO</v>
      </c>
      <c r="AI249" s="66"/>
      <c r="AJ249" s="67">
        <f>+Tabla1[[#This Row],[Ingreso 2025 - 2026]]*Tabla1[[#This Row],[% Costo Serv. Directo]]</f>
        <v>0</v>
      </c>
      <c r="AK249" s="68"/>
      <c r="AL24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4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6774438.461538461</v>
      </c>
      <c r="AN249" s="42">
        <f>+Tabla1[[#This Row],[Potencial Equipos]]+Tabla1[[#This Row],[Potencial Pipeline]]</f>
        <v>6774438.461538461</v>
      </c>
    </row>
    <row r="250" spans="1:40" ht="15.75" x14ac:dyDescent="0.25">
      <c r="A250" s="47" t="s">
        <v>533</v>
      </c>
      <c r="B250" t="str">
        <f>+VLOOKUP(Tabla1[[#This Row],[Cliente]],'[1]Público Privado'!$A$1:$B$325,2,FALSE)</f>
        <v>Público</v>
      </c>
      <c r="C250" s="23">
        <f>+SUMIFS('[1]Facturacion a Fecha'!$T:$T,'[1]Facturacion a Fecha'!$AY:$AY,Tabla1[[#This Row],[Cliente]])</f>
        <v>0</v>
      </c>
      <c r="D250" s="24">
        <f>+SUMIFS('[1]Facturacion a Fecha'!$T:$T,'[1]Facturacion a Fecha'!$AY:$AY,Tabla1[[#This Row],[Cliente]],'[1]Facturacion a Fecha'!$AX:$AX,"Correctivo")</f>
        <v>0</v>
      </c>
      <c r="E250" s="25">
        <f>+COUNTIFS('[1]Facturacion a Fecha'!AY:AY,Tabla1[[#This Row],[Cliente]],'[1]Facturacion a Fecha'!AX:AX,"Correctivo")</f>
        <v>0</v>
      </c>
      <c r="F250" s="25">
        <f>+SUMIFS('[1]Facturacion a Fecha'!$T:$T,'[1]Facturacion a Fecha'!$AY:$AY,Tabla1[[#This Row],[Cliente]],'[1]Facturacion a Fecha'!$AX:$AX,"Preventivo")</f>
        <v>0</v>
      </c>
      <c r="G250" s="25">
        <f>+COUNTIFS('[1]Facturacion a Fecha'!AY:AY,Tabla1[[#This Row],[Cliente]],'[1]Facturacion a Fecha'!AX:AX,"Preventivo")</f>
        <v>0</v>
      </c>
      <c r="H250" s="26">
        <f>+Tabla1[[#This Row],['# Preventivo]]+Tabla1[[#This Row],['# Correctivo]]</f>
        <v>0</v>
      </c>
      <c r="I250" s="23">
        <f>+IFERROR(Tabla1[[#This Row],[Ingreso 2025 - 2026 Correctivo]]/Tabla1[[#This Row],[Ingreso 2025 - 2026 Preventivo]],0)</f>
        <v>0</v>
      </c>
      <c r="J250" s="59">
        <f>+IFERROR(Tabla1[[#This Row],['# Correctivo]]/Tabla1[[#This Row],['# Preventivo]],0)</f>
        <v>0</v>
      </c>
      <c r="K250" s="60">
        <f>+IFERROR(Tabla1[[#This Row],[Ingreso 2025 - 2026 Preventivo]]/(Tabla1[[#This Row],[Ingreso 2025 - 2026 Correctivo]]+Tabla1[[#This Row],[Ingreso 2025 - 2026 Preventivo]]),0)</f>
        <v>0</v>
      </c>
      <c r="L250" s="60">
        <f>1-Tabla1[[#This Row],[% Preventivo $]]</f>
        <v>1</v>
      </c>
      <c r="M250" s="45">
        <f>+COUNTIFS('[1]Base Instalada'!AA:AA,Tabla1[[#This Row],[Cliente]])</f>
        <v>11</v>
      </c>
      <c r="N25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0" s="45">
        <f>+COUNTIFS('[1]Base Instalada'!AA:AA,Tabla1[[#This Row],[Cliente]],'[1]Base Instalada'!Z:Z,"ESTERILIZACIÓN")</f>
        <v>0</v>
      </c>
      <c r="P250" s="45">
        <f>+COUNTIFS('[1]Base Instalada'!AA:AA,Tabla1[[#This Row],[Cliente]],'[1]Base Instalada'!Z:Z,"DENTAL")</f>
        <v>10</v>
      </c>
      <c r="Q250" s="45">
        <f>+COUNTIFS('[1]Base Instalada'!AA:AA,Tabla1[[#This Row],[Cliente]],'[1]Base Instalada'!Z:Z,"ENDOSCOPÍA")</f>
        <v>0</v>
      </c>
      <c r="R250" s="45">
        <f>+COUNTIFS('[1]Base Instalada'!AA:AA,Tabla1[[#This Row],[Cliente]],'[1]Base Instalada'!Z:Z,"INCARDIA")</f>
        <v>1</v>
      </c>
      <c r="S250" s="45">
        <f>+COUNTIFS('[1]Base Instalada'!AA:AA,Tabla1[[#This Row],[Cliente]],'[1]Base Instalada'!Z:Z,"MMQ")</f>
        <v>0</v>
      </c>
      <c r="T250" s="45">
        <f>+COUNTIFS('[1]Base Instalada'!AA:AA,Tabla1[[#This Row],[Cliente]],'[1]Base Instalada'!Z:Z,"REAS")</f>
        <v>0</v>
      </c>
      <c r="U250" s="46">
        <f>+COUNTIFS('[1]Base Instalada'!AA:AA,Tabla1[[#This Row],[Cliente]],'[1]Base Instalada'!Z:Z,"MOBILIARIO CLINICO")</f>
        <v>0</v>
      </c>
      <c r="V250" s="29">
        <f>+COUNTIFS('[1]Base Instalada'!AA:AA,Tabla1[[#This Row],[Cliente]],'[1]Base Instalada'!Z:Z,"OTRO")</f>
        <v>0</v>
      </c>
      <c r="W250" s="61" t="str">
        <f t="shared" si="8"/>
        <v>Región Bío Bío</v>
      </c>
      <c r="X250" s="61" t="str">
        <f t="shared" si="9"/>
        <v>Hualpén</v>
      </c>
      <c r="Y250" s="62" t="s">
        <v>534</v>
      </c>
      <c r="Z250" s="33">
        <f>+COUNTIFS('[1]Pipeline TS'!$F:$F,Tabla1[[#This Row],[Cliente]])</f>
        <v>0</v>
      </c>
      <c r="AA250" s="63">
        <f>SUMIFS('[1]Pipeline Esterilización'!M:M,'[1]Pipeline Esterilización'!E:E,Tabla1[[#This Row],[Cliente]],'[1]Pipeline Esterilización'!B:B,"2026",'[1]Pipeline Esterilización'!L:L,"&gt;0")</f>
        <v>0</v>
      </c>
      <c r="AB250" s="33">
        <f>+SUMIFS('[1]Pipeline Endoscopía'!K:K,'[1]Pipeline Endoscopía'!E:E,Tabla1[[#This Row],[Cliente]],'[1]Pipeline Endoscopía'!B:B,"2026",'[1]Pipeline Endoscopía'!J:J,"&gt;0")</f>
        <v>0</v>
      </c>
      <c r="AC250" s="63">
        <f>+SUMIFS('[1]Pipeline Dental'!K:K,'[1]Pipeline Dental'!E:E,Tabla1[[#This Row],[Cliente]],'[1]Pipeline Dental'!B:B,"2026",'[1]Pipeline Dental'!J:J,"&gt;0")</f>
        <v>0</v>
      </c>
      <c r="AD250" s="64">
        <f>+SUMIFS('[1]Pipeline TS'!$AB:$AB,'[1]Pipeline TS'!$F:$F,Tabla1[[#This Row],[Cliente]])</f>
        <v>0</v>
      </c>
      <c r="AE250" s="65">
        <f>+SUM(Tabla1[[#This Row],[Pipeline 2026 $MM ESTERILIZACIÓN]:[Pipeline 2026 $MM TECSERVICE]])</f>
        <v>0</v>
      </c>
      <c r="AF250" s="43">
        <v>-36.791703033663303</v>
      </c>
      <c r="AG250" s="58">
        <v>-73.099299535015803</v>
      </c>
      <c r="AH250" s="57" t="str">
        <f>+IF(Tabla1[[#This Row],['# Contratos Vigentes ]]&gt;0,"SI","NO")</f>
        <v>NO</v>
      </c>
      <c r="AI250" s="66"/>
      <c r="AJ250" s="67">
        <f>+Tabla1[[#This Row],[Ingreso 2025 - 2026]]*Tabla1[[#This Row],[% Costo Serv. Directo]]</f>
        <v>0</v>
      </c>
      <c r="AK250" s="68"/>
      <c r="AL25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5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5991000</v>
      </c>
      <c r="AN250" s="42">
        <f>+Tabla1[[#This Row],[Potencial Equipos]]+Tabla1[[#This Row],[Potencial Pipeline]]</f>
        <v>5991000</v>
      </c>
    </row>
    <row r="251" spans="1:40" ht="15.75" x14ac:dyDescent="0.25">
      <c r="A251" s="47" t="s">
        <v>535</v>
      </c>
      <c r="B251" t="str">
        <f>+VLOOKUP(Tabla1[[#This Row],[Cliente]],'[1]Público Privado'!$A$1:$B$325,2,FALSE)</f>
        <v>Público</v>
      </c>
      <c r="C251" s="23">
        <f>+SUMIFS('[1]Facturacion a Fecha'!$T:$T,'[1]Facturacion a Fecha'!$AY:$AY,Tabla1[[#This Row],[Cliente]])</f>
        <v>0</v>
      </c>
      <c r="D251" s="24">
        <f>+SUMIFS('[1]Facturacion a Fecha'!$T:$T,'[1]Facturacion a Fecha'!$AY:$AY,Tabla1[[#This Row],[Cliente]],'[1]Facturacion a Fecha'!$AX:$AX,"Correctivo")</f>
        <v>0</v>
      </c>
      <c r="E251" s="25">
        <f>+COUNTIFS('[1]Facturacion a Fecha'!AY:AY,Tabla1[[#This Row],[Cliente]],'[1]Facturacion a Fecha'!AX:AX,"Correctivo")</f>
        <v>0</v>
      </c>
      <c r="F251" s="25">
        <f>+SUMIFS('[1]Facturacion a Fecha'!$T:$T,'[1]Facturacion a Fecha'!$AY:$AY,Tabla1[[#This Row],[Cliente]],'[1]Facturacion a Fecha'!$AX:$AX,"Preventivo")</f>
        <v>0</v>
      </c>
      <c r="G251" s="25">
        <f>+COUNTIFS('[1]Facturacion a Fecha'!AY:AY,Tabla1[[#This Row],[Cliente]],'[1]Facturacion a Fecha'!AX:AX,"Preventivo")</f>
        <v>0</v>
      </c>
      <c r="H251" s="26">
        <f>+Tabla1[[#This Row],['# Preventivo]]+Tabla1[[#This Row],['# Correctivo]]</f>
        <v>0</v>
      </c>
      <c r="I251" s="23">
        <f>+IFERROR(Tabla1[[#This Row],[Ingreso 2025 - 2026 Correctivo]]/Tabla1[[#This Row],[Ingreso 2025 - 2026 Preventivo]],0)</f>
        <v>0</v>
      </c>
      <c r="J251" s="59">
        <f>+IFERROR(Tabla1[[#This Row],['# Correctivo]]/Tabla1[[#This Row],['# Preventivo]],0)</f>
        <v>0</v>
      </c>
      <c r="K251" s="60">
        <f>+IFERROR(Tabla1[[#This Row],[Ingreso 2025 - 2026 Preventivo]]/(Tabla1[[#This Row],[Ingreso 2025 - 2026 Correctivo]]+Tabla1[[#This Row],[Ingreso 2025 - 2026 Preventivo]]),0)</f>
        <v>0</v>
      </c>
      <c r="L251" s="60">
        <f>1-Tabla1[[#This Row],[% Preventivo $]]</f>
        <v>1</v>
      </c>
      <c r="M251" s="45">
        <f>+COUNTIFS('[1]Base Instalada'!AA:AA,Tabla1[[#This Row],[Cliente]])</f>
        <v>8</v>
      </c>
      <c r="N25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1" s="45">
        <f>+COUNTIFS('[1]Base Instalada'!AA:AA,Tabla1[[#This Row],[Cliente]],'[1]Base Instalada'!Z:Z,"ESTERILIZACIÓN")</f>
        <v>0</v>
      </c>
      <c r="P251" s="45">
        <f>+COUNTIFS('[1]Base Instalada'!AA:AA,Tabla1[[#This Row],[Cliente]],'[1]Base Instalada'!Z:Z,"DENTAL")</f>
        <v>8</v>
      </c>
      <c r="Q251" s="45">
        <f>+COUNTIFS('[1]Base Instalada'!AA:AA,Tabla1[[#This Row],[Cliente]],'[1]Base Instalada'!Z:Z,"ENDOSCOPÍA")</f>
        <v>0</v>
      </c>
      <c r="R251" s="45">
        <f>+COUNTIFS('[1]Base Instalada'!AA:AA,Tabla1[[#This Row],[Cliente]],'[1]Base Instalada'!Z:Z,"INCARDIA")</f>
        <v>0</v>
      </c>
      <c r="S251" s="45">
        <f>+COUNTIFS('[1]Base Instalada'!AA:AA,Tabla1[[#This Row],[Cliente]],'[1]Base Instalada'!Z:Z,"MMQ")</f>
        <v>0</v>
      </c>
      <c r="T251" s="45">
        <f>+COUNTIFS('[1]Base Instalada'!AA:AA,Tabla1[[#This Row],[Cliente]],'[1]Base Instalada'!Z:Z,"REAS")</f>
        <v>0</v>
      </c>
      <c r="U251" s="46">
        <f>+COUNTIFS('[1]Base Instalada'!AA:AA,Tabla1[[#This Row],[Cliente]],'[1]Base Instalada'!Z:Z,"MOBILIARIO CLINICO")</f>
        <v>0</v>
      </c>
      <c r="V251" s="29">
        <f>+COUNTIFS('[1]Base Instalada'!AA:AA,Tabla1[[#This Row],[Cliente]],'[1]Base Instalada'!Z:Z,"OTRO")</f>
        <v>0</v>
      </c>
      <c r="W251" s="61" t="str">
        <f t="shared" si="8"/>
        <v>Región Metropolitana</v>
      </c>
      <c r="X251" s="61" t="str">
        <f t="shared" si="9"/>
        <v>Peñalolén</v>
      </c>
      <c r="Y251" s="62" t="s">
        <v>536</v>
      </c>
      <c r="Z251" s="33">
        <f>+COUNTIFS('[1]Pipeline TS'!$F:$F,Tabla1[[#This Row],[Cliente]])</f>
        <v>0</v>
      </c>
      <c r="AA251" s="63">
        <f>SUMIFS('[1]Pipeline Esterilización'!M:M,'[1]Pipeline Esterilización'!E:E,Tabla1[[#This Row],[Cliente]],'[1]Pipeline Esterilización'!B:B,"2026",'[1]Pipeline Esterilización'!L:L,"&gt;0")</f>
        <v>0</v>
      </c>
      <c r="AB251" s="33">
        <f>+SUMIFS('[1]Pipeline Endoscopía'!K:K,'[1]Pipeline Endoscopía'!E:E,Tabla1[[#This Row],[Cliente]],'[1]Pipeline Endoscopía'!B:B,"2026",'[1]Pipeline Endoscopía'!J:J,"&gt;0")</f>
        <v>0</v>
      </c>
      <c r="AC251" s="63">
        <f>+SUMIFS('[1]Pipeline Dental'!K:K,'[1]Pipeline Dental'!E:E,Tabla1[[#This Row],[Cliente]],'[1]Pipeline Dental'!B:B,"2026",'[1]Pipeline Dental'!J:J,"&gt;0")</f>
        <v>0</v>
      </c>
      <c r="AD251" s="64">
        <f>+SUMIFS('[1]Pipeline TS'!$AB:$AB,'[1]Pipeline TS'!$F:$F,Tabla1[[#This Row],[Cliente]])</f>
        <v>0</v>
      </c>
      <c r="AE251" s="65">
        <f>+SUM(Tabla1[[#This Row],[Pipeline 2026 $MM ESTERILIZACIÓN]:[Pipeline 2026 $MM TECSERVICE]])</f>
        <v>0</v>
      </c>
      <c r="AF251" s="43">
        <v>-33.476730491011203</v>
      </c>
      <c r="AG251" s="58">
        <v>-70.543266854242702</v>
      </c>
      <c r="AH251" s="57" t="str">
        <f>+IF(Tabla1[[#This Row],['# Contratos Vigentes ]]&gt;0,"SI","NO")</f>
        <v>NO</v>
      </c>
      <c r="AI251" s="66"/>
      <c r="AJ251" s="67">
        <f>+Tabla1[[#This Row],[Ingreso 2025 - 2026]]*Tabla1[[#This Row],[% Costo Serv. Directo]]</f>
        <v>0</v>
      </c>
      <c r="AK251" s="68"/>
      <c r="AL25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5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4792800</v>
      </c>
      <c r="AN251" s="42">
        <f>+Tabla1[[#This Row],[Potencial Equipos]]+Tabla1[[#This Row],[Potencial Pipeline]]</f>
        <v>4792800</v>
      </c>
    </row>
    <row r="252" spans="1:40" ht="15.75" x14ac:dyDescent="0.25">
      <c r="A252" s="47" t="s">
        <v>537</v>
      </c>
      <c r="B252" t="str">
        <f>+VLOOKUP(Tabla1[[#This Row],[Cliente]],'[1]Público Privado'!$A$1:$B$325,2,FALSE)</f>
        <v>Público</v>
      </c>
      <c r="C252" s="23">
        <f>+SUMIFS('[1]Facturacion a Fecha'!$T:$T,'[1]Facturacion a Fecha'!$AY:$AY,Tabla1[[#This Row],[Cliente]])</f>
        <v>0</v>
      </c>
      <c r="D252" s="24">
        <f>+SUMIFS('[1]Facturacion a Fecha'!$T:$T,'[1]Facturacion a Fecha'!$AY:$AY,Tabla1[[#This Row],[Cliente]],'[1]Facturacion a Fecha'!$AX:$AX,"Correctivo")</f>
        <v>0</v>
      </c>
      <c r="E252" s="25">
        <f>+COUNTIFS('[1]Facturacion a Fecha'!AY:AY,Tabla1[[#This Row],[Cliente]],'[1]Facturacion a Fecha'!AX:AX,"Correctivo")</f>
        <v>0</v>
      </c>
      <c r="F252" s="25">
        <f>+SUMIFS('[1]Facturacion a Fecha'!$T:$T,'[1]Facturacion a Fecha'!$AY:$AY,Tabla1[[#This Row],[Cliente]],'[1]Facturacion a Fecha'!$AX:$AX,"Preventivo")</f>
        <v>0</v>
      </c>
      <c r="G252" s="25">
        <f>+COUNTIFS('[1]Facturacion a Fecha'!AY:AY,Tabla1[[#This Row],[Cliente]],'[1]Facturacion a Fecha'!AX:AX,"Preventivo")</f>
        <v>0</v>
      </c>
      <c r="H252" s="26">
        <f>+Tabla1[[#This Row],['# Preventivo]]+Tabla1[[#This Row],['# Correctivo]]</f>
        <v>0</v>
      </c>
      <c r="I252" s="23">
        <f>+IFERROR(Tabla1[[#This Row],[Ingreso 2025 - 2026 Correctivo]]/Tabla1[[#This Row],[Ingreso 2025 - 2026 Preventivo]],0)</f>
        <v>0</v>
      </c>
      <c r="J252" s="59">
        <f>+IFERROR(Tabla1[[#This Row],['# Correctivo]]/Tabla1[[#This Row],['# Preventivo]],0)</f>
        <v>0</v>
      </c>
      <c r="K252" s="60">
        <f>+IFERROR(Tabla1[[#This Row],[Ingreso 2025 - 2026 Preventivo]]/(Tabla1[[#This Row],[Ingreso 2025 - 2026 Correctivo]]+Tabla1[[#This Row],[Ingreso 2025 - 2026 Preventivo]]),0)</f>
        <v>0</v>
      </c>
      <c r="L252" s="60">
        <f>1-Tabla1[[#This Row],[% Preventivo $]]</f>
        <v>1</v>
      </c>
      <c r="M252" s="45">
        <f>+COUNTIFS('[1]Base Instalada'!AA:AA,Tabla1[[#This Row],[Cliente]])</f>
        <v>18</v>
      </c>
      <c r="N25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2" s="45">
        <f>+COUNTIFS('[1]Base Instalada'!AA:AA,Tabla1[[#This Row],[Cliente]],'[1]Base Instalada'!Z:Z,"ESTERILIZACIÓN")</f>
        <v>2</v>
      </c>
      <c r="P252" s="45">
        <f>+COUNTIFS('[1]Base Instalada'!AA:AA,Tabla1[[#This Row],[Cliente]],'[1]Base Instalada'!Z:Z,"DENTAL")</f>
        <v>16</v>
      </c>
      <c r="Q252" s="45">
        <f>+COUNTIFS('[1]Base Instalada'!AA:AA,Tabla1[[#This Row],[Cliente]],'[1]Base Instalada'!Z:Z,"ENDOSCOPÍA")</f>
        <v>0</v>
      </c>
      <c r="R252" s="45">
        <f>+COUNTIFS('[1]Base Instalada'!AA:AA,Tabla1[[#This Row],[Cliente]],'[1]Base Instalada'!Z:Z,"INCARDIA")</f>
        <v>0</v>
      </c>
      <c r="S252" s="45">
        <f>+COUNTIFS('[1]Base Instalada'!AA:AA,Tabla1[[#This Row],[Cliente]],'[1]Base Instalada'!Z:Z,"MMQ")</f>
        <v>0</v>
      </c>
      <c r="T252" s="45">
        <f>+COUNTIFS('[1]Base Instalada'!AA:AA,Tabla1[[#This Row],[Cliente]],'[1]Base Instalada'!Z:Z,"REAS")</f>
        <v>0</v>
      </c>
      <c r="U252" s="46">
        <f>+COUNTIFS('[1]Base Instalada'!AA:AA,Tabla1[[#This Row],[Cliente]],'[1]Base Instalada'!Z:Z,"MOBILIARIO CLINICO")</f>
        <v>0</v>
      </c>
      <c r="V252" s="29">
        <f>+COUNTIFS('[1]Base Instalada'!AA:AA,Tabla1[[#This Row],[Cliente]],'[1]Base Instalada'!Z:Z,"OTRO")</f>
        <v>0</v>
      </c>
      <c r="W252" s="61" t="str">
        <f t="shared" si="8"/>
        <v>Región O'Higgins</v>
      </c>
      <c r="X252" s="61" t="str">
        <f t="shared" si="9"/>
        <v>Rengo</v>
      </c>
      <c r="Y252" s="62" t="s">
        <v>538</v>
      </c>
      <c r="Z252" s="33">
        <f>+COUNTIFS('[1]Pipeline TS'!$F:$F,Tabla1[[#This Row],[Cliente]])</f>
        <v>0</v>
      </c>
      <c r="AA252" s="63">
        <f>SUMIFS('[1]Pipeline Esterilización'!M:M,'[1]Pipeline Esterilización'!E:E,Tabla1[[#This Row],[Cliente]],'[1]Pipeline Esterilización'!B:B,"2026",'[1]Pipeline Esterilización'!L:L,"&gt;0")</f>
        <v>0</v>
      </c>
      <c r="AB252" s="33">
        <f>+SUMIFS('[1]Pipeline Endoscopía'!K:K,'[1]Pipeline Endoscopía'!E:E,Tabla1[[#This Row],[Cliente]],'[1]Pipeline Endoscopía'!B:B,"2026",'[1]Pipeline Endoscopía'!J:J,"&gt;0")</f>
        <v>0</v>
      </c>
      <c r="AC252" s="63">
        <f>+SUMIFS('[1]Pipeline Dental'!K:K,'[1]Pipeline Dental'!E:E,Tabla1[[#This Row],[Cliente]],'[1]Pipeline Dental'!B:B,"2026",'[1]Pipeline Dental'!J:J,"&gt;0")</f>
        <v>0</v>
      </c>
      <c r="AD252" s="64">
        <f>+SUMIFS('[1]Pipeline TS'!$AB:$AB,'[1]Pipeline TS'!$F:$F,Tabla1[[#This Row],[Cliente]])</f>
        <v>0</v>
      </c>
      <c r="AE252" s="65">
        <f>+SUM(Tabla1[[#This Row],[Pipeline 2026 $MM ESTERILIZACIÓN]:[Pipeline 2026 $MM TECSERVICE]])</f>
        <v>0</v>
      </c>
      <c r="AF252" s="43">
        <v>-34.394259457823601</v>
      </c>
      <c r="AG252" s="58">
        <v>-70.850345604472196</v>
      </c>
      <c r="AH252" s="57" t="str">
        <f>+IF(Tabla1[[#This Row],['# Contratos Vigentes ]]&gt;0,"SI","NO")</f>
        <v>NO</v>
      </c>
      <c r="AI252" s="66"/>
      <c r="AJ252" s="67">
        <f>+Tabla1[[#This Row],[Ingreso 2025 - 2026]]*Tabla1[[#This Row],[% Costo Serv. Directo]]</f>
        <v>0</v>
      </c>
      <c r="AK252" s="68"/>
      <c r="AL25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5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13579600</v>
      </c>
      <c r="AN252" s="42">
        <f>+Tabla1[[#This Row],[Potencial Equipos]]+Tabla1[[#This Row],[Potencial Pipeline]]</f>
        <v>13579600</v>
      </c>
    </row>
    <row r="253" spans="1:40" ht="15.75" x14ac:dyDescent="0.25">
      <c r="A253" s="47" t="s">
        <v>539</v>
      </c>
      <c r="B253" t="str">
        <f>+VLOOKUP(Tabla1[[#This Row],[Cliente]],'[1]Público Privado'!$A$1:$B$325,2,FALSE)</f>
        <v>Público</v>
      </c>
      <c r="C253" s="23">
        <f>+SUMIFS('[1]Facturacion a Fecha'!$T:$T,'[1]Facturacion a Fecha'!$AY:$AY,Tabla1[[#This Row],[Cliente]])</f>
        <v>236376</v>
      </c>
      <c r="D253" s="24">
        <f>+SUMIFS('[1]Facturacion a Fecha'!$T:$T,'[1]Facturacion a Fecha'!$AY:$AY,Tabla1[[#This Row],[Cliente]],'[1]Facturacion a Fecha'!$AX:$AX,"Correctivo")</f>
        <v>73188</v>
      </c>
      <c r="E253" s="25">
        <f>+COUNTIFS('[1]Facturacion a Fecha'!AY:AY,Tabla1[[#This Row],[Cliente]],'[1]Facturacion a Fecha'!AX:AX,"Correctivo")</f>
        <v>3</v>
      </c>
      <c r="F253" s="25">
        <f>+SUMIFS('[1]Facturacion a Fecha'!$T:$T,'[1]Facturacion a Fecha'!$AY:$AY,Tabla1[[#This Row],[Cliente]],'[1]Facturacion a Fecha'!$AX:$AX,"Preventivo")</f>
        <v>163188</v>
      </c>
      <c r="G253" s="25">
        <f>+COUNTIFS('[1]Facturacion a Fecha'!AY:AY,Tabla1[[#This Row],[Cliente]],'[1]Facturacion a Fecha'!AX:AX,"Preventivo")</f>
        <v>1</v>
      </c>
      <c r="H253" s="26">
        <f>+Tabla1[[#This Row],['# Preventivo]]+Tabla1[[#This Row],['# Correctivo]]</f>
        <v>4</v>
      </c>
      <c r="I253" s="23">
        <f>+IFERROR(Tabla1[[#This Row],[Ingreso 2025 - 2026 Correctivo]]/Tabla1[[#This Row],[Ingreso 2025 - 2026 Preventivo]],0)</f>
        <v>0.44848885947496142</v>
      </c>
      <c r="J253" s="59">
        <f>+IFERROR(Tabla1[[#This Row],['# Correctivo]]/Tabla1[[#This Row],['# Preventivo]],0)</f>
        <v>3</v>
      </c>
      <c r="K253" s="60">
        <f>+IFERROR(Tabla1[[#This Row],[Ingreso 2025 - 2026 Preventivo]]/(Tabla1[[#This Row],[Ingreso 2025 - 2026 Correctivo]]+Tabla1[[#This Row],[Ingreso 2025 - 2026 Preventivo]]),0)</f>
        <v>0.69037465732561676</v>
      </c>
      <c r="L253" s="60">
        <f>1-Tabla1[[#This Row],[% Preventivo $]]</f>
        <v>0.30962534267438324</v>
      </c>
      <c r="M253" s="45">
        <f>+COUNTIFS('[1]Base Instalada'!AA:AA,Tabla1[[#This Row],[Cliente]])</f>
        <v>7</v>
      </c>
      <c r="N25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3" s="45">
        <f>+COUNTIFS('[1]Base Instalada'!AA:AA,Tabla1[[#This Row],[Cliente]],'[1]Base Instalada'!Z:Z,"ESTERILIZACIÓN")</f>
        <v>1</v>
      </c>
      <c r="P253" s="45">
        <f>+COUNTIFS('[1]Base Instalada'!AA:AA,Tabla1[[#This Row],[Cliente]],'[1]Base Instalada'!Z:Z,"DENTAL")</f>
        <v>5</v>
      </c>
      <c r="Q253" s="45">
        <f>+COUNTIFS('[1]Base Instalada'!AA:AA,Tabla1[[#This Row],[Cliente]],'[1]Base Instalada'!Z:Z,"ENDOSCOPÍA")</f>
        <v>0</v>
      </c>
      <c r="R253" s="45">
        <f>+COUNTIFS('[1]Base Instalada'!AA:AA,Tabla1[[#This Row],[Cliente]],'[1]Base Instalada'!Z:Z,"INCARDIA")</f>
        <v>1</v>
      </c>
      <c r="S253" s="45">
        <f>+COUNTIFS('[1]Base Instalada'!AA:AA,Tabla1[[#This Row],[Cliente]],'[1]Base Instalada'!Z:Z,"MMQ")</f>
        <v>0</v>
      </c>
      <c r="T253" s="45">
        <f>+COUNTIFS('[1]Base Instalada'!AA:AA,Tabla1[[#This Row],[Cliente]],'[1]Base Instalada'!Z:Z,"REAS")</f>
        <v>0</v>
      </c>
      <c r="U253" s="46">
        <f>+COUNTIFS('[1]Base Instalada'!AA:AA,Tabla1[[#This Row],[Cliente]],'[1]Base Instalada'!Z:Z,"MOBILIARIO CLINICO")</f>
        <v>0</v>
      </c>
      <c r="V253" s="29">
        <f>+COUNTIFS('[1]Base Instalada'!AA:AA,Tabla1[[#This Row],[Cliente]],'[1]Base Instalada'!Z:Z,"OTRO")</f>
        <v>0</v>
      </c>
      <c r="W253" s="61" t="str">
        <f t="shared" si="8"/>
        <v>Región Ñuble</v>
      </c>
      <c r="X253" s="61" t="str">
        <f t="shared" si="9"/>
        <v>Chillán</v>
      </c>
      <c r="Y253" s="62" t="s">
        <v>540</v>
      </c>
      <c r="Z253" s="33">
        <f>+COUNTIFS('[1]Pipeline TS'!$F:$F,Tabla1[[#This Row],[Cliente]])</f>
        <v>0</v>
      </c>
      <c r="AA253" s="63">
        <f>SUMIFS('[1]Pipeline Esterilización'!M:M,'[1]Pipeline Esterilización'!E:E,Tabla1[[#This Row],[Cliente]],'[1]Pipeline Esterilización'!B:B,"2026",'[1]Pipeline Esterilización'!L:L,"&gt;0")</f>
        <v>0</v>
      </c>
      <c r="AB253" s="33">
        <f>+SUMIFS('[1]Pipeline Endoscopía'!K:K,'[1]Pipeline Endoscopía'!E:E,Tabla1[[#This Row],[Cliente]],'[1]Pipeline Endoscopía'!B:B,"2026",'[1]Pipeline Endoscopía'!J:J,"&gt;0")</f>
        <v>0</v>
      </c>
      <c r="AC253" s="63">
        <f>+SUMIFS('[1]Pipeline Dental'!K:K,'[1]Pipeline Dental'!E:E,Tabla1[[#This Row],[Cliente]],'[1]Pipeline Dental'!B:B,"2026",'[1]Pipeline Dental'!J:J,"&gt;0")</f>
        <v>0</v>
      </c>
      <c r="AD253" s="64">
        <f>+SUMIFS('[1]Pipeline TS'!$AB:$AB,'[1]Pipeline TS'!$F:$F,Tabla1[[#This Row],[Cliente]])</f>
        <v>0</v>
      </c>
      <c r="AE253" s="65">
        <f>+SUM(Tabla1[[#This Row],[Pipeline 2026 $MM ESTERILIZACIÓN]:[Pipeline 2026 $MM TECSERVICE]])</f>
        <v>0</v>
      </c>
      <c r="AF253" s="43">
        <v>-36.608688450568799</v>
      </c>
      <c r="AG253" s="58">
        <v>-72.092623873661196</v>
      </c>
      <c r="AH253" s="57" t="str">
        <f>+IF(Tabla1[[#This Row],['# Contratos Vigentes ]]&gt;0,"SI","NO")</f>
        <v>NO</v>
      </c>
      <c r="AI253" s="66"/>
      <c r="AJ253" s="67">
        <f>+Tabla1[[#This Row],[Ingreso 2025 - 2026]]*Tabla1[[#This Row],[% Costo Serv. Directo]]</f>
        <v>0</v>
      </c>
      <c r="AK253" s="68"/>
      <c r="AL25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5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4992500</v>
      </c>
      <c r="AN253" s="42">
        <f>+Tabla1[[#This Row],[Potencial Equipos]]+Tabla1[[#This Row],[Potencial Pipeline]]</f>
        <v>4992500</v>
      </c>
    </row>
    <row r="254" spans="1:40" ht="15.75" x14ac:dyDescent="0.25">
      <c r="A254" s="47" t="s">
        <v>541</v>
      </c>
      <c r="B254" t="str">
        <f>+VLOOKUP(Tabla1[[#This Row],[Cliente]],'[1]Público Privado'!$A$1:$B$325,2,FALSE)</f>
        <v>Privado</v>
      </c>
      <c r="C254" s="23">
        <f>+SUMIFS('[1]Facturacion a Fecha'!$T:$T,'[1]Facturacion a Fecha'!$AY:$AY,Tabla1[[#This Row],[Cliente]])</f>
        <v>0</v>
      </c>
      <c r="D254" s="24">
        <f>+SUMIFS('[1]Facturacion a Fecha'!$T:$T,'[1]Facturacion a Fecha'!$AY:$AY,Tabla1[[#This Row],[Cliente]],'[1]Facturacion a Fecha'!$AX:$AX,"Correctivo")</f>
        <v>0</v>
      </c>
      <c r="E254" s="25">
        <f>+COUNTIFS('[1]Facturacion a Fecha'!AY:AY,Tabla1[[#This Row],[Cliente]],'[1]Facturacion a Fecha'!AX:AX,"Correctivo")</f>
        <v>0</v>
      </c>
      <c r="F254" s="25">
        <f>+SUMIFS('[1]Facturacion a Fecha'!$T:$T,'[1]Facturacion a Fecha'!$AY:$AY,Tabla1[[#This Row],[Cliente]],'[1]Facturacion a Fecha'!$AX:$AX,"Preventivo")</f>
        <v>0</v>
      </c>
      <c r="G254" s="25">
        <f>+COUNTIFS('[1]Facturacion a Fecha'!AY:AY,Tabla1[[#This Row],[Cliente]],'[1]Facturacion a Fecha'!AX:AX,"Preventivo")</f>
        <v>0</v>
      </c>
      <c r="H254" s="26">
        <f>+Tabla1[[#This Row],['# Preventivo]]+Tabla1[[#This Row],['# Correctivo]]</f>
        <v>0</v>
      </c>
      <c r="I254" s="23">
        <f>+IFERROR(Tabla1[[#This Row],[Ingreso 2025 - 2026 Correctivo]]/Tabla1[[#This Row],[Ingreso 2025 - 2026 Preventivo]],0)</f>
        <v>0</v>
      </c>
      <c r="J254" s="59">
        <f>+IFERROR(Tabla1[[#This Row],['# Correctivo]]/Tabla1[[#This Row],['# Preventivo]],0)</f>
        <v>0</v>
      </c>
      <c r="K254" s="60">
        <f>+IFERROR(Tabla1[[#This Row],[Ingreso 2025 - 2026 Preventivo]]/(Tabla1[[#This Row],[Ingreso 2025 - 2026 Correctivo]]+Tabla1[[#This Row],[Ingreso 2025 - 2026 Preventivo]]),0)</f>
        <v>0</v>
      </c>
      <c r="L254" s="60">
        <f>1-Tabla1[[#This Row],[% Preventivo $]]</f>
        <v>1</v>
      </c>
      <c r="M254" s="45">
        <f>+COUNTIFS('[1]Base Instalada'!AA:AA,Tabla1[[#This Row],[Cliente]])</f>
        <v>6</v>
      </c>
      <c r="N25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4" s="45">
        <f>+COUNTIFS('[1]Base Instalada'!AA:AA,Tabla1[[#This Row],[Cliente]],'[1]Base Instalada'!Z:Z,"ESTERILIZACIÓN")</f>
        <v>0</v>
      </c>
      <c r="P254" s="45">
        <f>+COUNTIFS('[1]Base Instalada'!AA:AA,Tabla1[[#This Row],[Cliente]],'[1]Base Instalada'!Z:Z,"DENTAL")</f>
        <v>6</v>
      </c>
      <c r="Q254" s="45">
        <f>+COUNTIFS('[1]Base Instalada'!AA:AA,Tabla1[[#This Row],[Cliente]],'[1]Base Instalada'!Z:Z,"ENDOSCOPÍA")</f>
        <v>0</v>
      </c>
      <c r="R254" s="45">
        <f>+COUNTIFS('[1]Base Instalada'!AA:AA,Tabla1[[#This Row],[Cliente]],'[1]Base Instalada'!Z:Z,"INCARDIA")</f>
        <v>0</v>
      </c>
      <c r="S254" s="45">
        <f>+COUNTIFS('[1]Base Instalada'!AA:AA,Tabla1[[#This Row],[Cliente]],'[1]Base Instalada'!Z:Z,"MMQ")</f>
        <v>0</v>
      </c>
      <c r="T254" s="45">
        <f>+COUNTIFS('[1]Base Instalada'!AA:AA,Tabla1[[#This Row],[Cliente]],'[1]Base Instalada'!Z:Z,"REAS")</f>
        <v>0</v>
      </c>
      <c r="U254" s="46">
        <f>+COUNTIFS('[1]Base Instalada'!AA:AA,Tabla1[[#This Row],[Cliente]],'[1]Base Instalada'!Z:Z,"MOBILIARIO CLINICO")</f>
        <v>0</v>
      </c>
      <c r="V254" s="29">
        <f>+COUNTIFS('[1]Base Instalada'!AA:AA,Tabla1[[#This Row],[Cliente]],'[1]Base Instalada'!Z:Z,"OTRO")</f>
        <v>0</v>
      </c>
      <c r="W254" s="61" t="str">
        <f t="shared" si="8"/>
        <v>Región Valparaíso</v>
      </c>
      <c r="X254" s="61" t="str">
        <f t="shared" si="9"/>
        <v>San Antonio</v>
      </c>
      <c r="Y254" s="62" t="s">
        <v>542</v>
      </c>
      <c r="Z254" s="33">
        <f>+COUNTIFS('[1]Pipeline TS'!$F:$F,Tabla1[[#This Row],[Cliente]])</f>
        <v>0</v>
      </c>
      <c r="AA254" s="63">
        <f>SUMIFS('[1]Pipeline Esterilización'!M:M,'[1]Pipeline Esterilización'!E:E,Tabla1[[#This Row],[Cliente]],'[1]Pipeline Esterilización'!B:B,"2026",'[1]Pipeline Esterilización'!L:L,"&gt;0")</f>
        <v>0</v>
      </c>
      <c r="AB254" s="33">
        <f>+SUMIFS('[1]Pipeline Endoscopía'!K:K,'[1]Pipeline Endoscopía'!E:E,Tabla1[[#This Row],[Cliente]],'[1]Pipeline Endoscopía'!B:B,"2026",'[1]Pipeline Endoscopía'!J:J,"&gt;0")</f>
        <v>0</v>
      </c>
      <c r="AC254" s="63">
        <f>+SUMIFS('[1]Pipeline Dental'!K:K,'[1]Pipeline Dental'!E:E,Tabla1[[#This Row],[Cliente]],'[1]Pipeline Dental'!B:B,"2026",'[1]Pipeline Dental'!J:J,"&gt;0")</f>
        <v>0</v>
      </c>
      <c r="AD254" s="64">
        <f>+SUMIFS('[1]Pipeline TS'!$AB:$AB,'[1]Pipeline TS'!$F:$F,Tabla1[[#This Row],[Cliente]])</f>
        <v>0</v>
      </c>
      <c r="AE254" s="65">
        <f>+SUM(Tabla1[[#This Row],[Pipeline 2026 $MM ESTERILIZACIÓN]:[Pipeline 2026 $MM TECSERVICE]])</f>
        <v>0</v>
      </c>
      <c r="AF254" s="43">
        <v>-33.580453105251202</v>
      </c>
      <c r="AG254" s="58">
        <v>-71.609358044999695</v>
      </c>
      <c r="AH254" s="57" t="str">
        <f>+IF(Tabla1[[#This Row],['# Contratos Vigentes ]]&gt;0,"SI","NO")</f>
        <v>NO</v>
      </c>
      <c r="AI254" s="66"/>
      <c r="AJ254" s="67">
        <f>+Tabla1[[#This Row],[Ingreso 2025 - 2026]]*Tabla1[[#This Row],[% Costo Serv. Directo]]</f>
        <v>0</v>
      </c>
      <c r="AK254" s="68"/>
      <c r="AL25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5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54" s="42">
        <f>+Tabla1[[#This Row],[Potencial Equipos]]+Tabla1[[#This Row],[Potencial Pipeline]]</f>
        <v>3594600</v>
      </c>
    </row>
    <row r="255" spans="1:40" ht="15.75" x14ac:dyDescent="0.25">
      <c r="A255" s="47" t="s">
        <v>543</v>
      </c>
      <c r="B255" t="str">
        <f>+VLOOKUP(Tabla1[[#This Row],[Cliente]],'[1]Público Privado'!$A$1:$B$325,2,FALSE)</f>
        <v>Público</v>
      </c>
      <c r="C255" s="23">
        <f>+SUMIFS('[1]Facturacion a Fecha'!$T:$T,'[1]Facturacion a Fecha'!$AY:$AY,Tabla1[[#This Row],[Cliente]])</f>
        <v>0</v>
      </c>
      <c r="D255" s="24">
        <f>+SUMIFS('[1]Facturacion a Fecha'!$T:$T,'[1]Facturacion a Fecha'!$AY:$AY,Tabla1[[#This Row],[Cliente]],'[1]Facturacion a Fecha'!$AX:$AX,"Correctivo")</f>
        <v>0</v>
      </c>
      <c r="E255" s="25">
        <f>+COUNTIFS('[1]Facturacion a Fecha'!AY:AY,Tabla1[[#This Row],[Cliente]],'[1]Facturacion a Fecha'!AX:AX,"Correctivo")</f>
        <v>0</v>
      </c>
      <c r="F255" s="25">
        <f>+SUMIFS('[1]Facturacion a Fecha'!$T:$T,'[1]Facturacion a Fecha'!$AY:$AY,Tabla1[[#This Row],[Cliente]],'[1]Facturacion a Fecha'!$AX:$AX,"Preventivo")</f>
        <v>0</v>
      </c>
      <c r="G255" s="25">
        <f>+COUNTIFS('[1]Facturacion a Fecha'!AY:AY,Tabla1[[#This Row],[Cliente]],'[1]Facturacion a Fecha'!AX:AX,"Preventivo")</f>
        <v>0</v>
      </c>
      <c r="H255" s="26">
        <f>+Tabla1[[#This Row],['# Preventivo]]+Tabla1[[#This Row],['# Correctivo]]</f>
        <v>0</v>
      </c>
      <c r="I255" s="23">
        <f>+IFERROR(Tabla1[[#This Row],[Ingreso 2025 - 2026 Correctivo]]/Tabla1[[#This Row],[Ingreso 2025 - 2026 Preventivo]],0)</f>
        <v>0</v>
      </c>
      <c r="J255" s="59">
        <f>+IFERROR(Tabla1[[#This Row],['# Correctivo]]/Tabla1[[#This Row],['# Preventivo]],0)</f>
        <v>0</v>
      </c>
      <c r="K255" s="60">
        <f>+IFERROR(Tabla1[[#This Row],[Ingreso 2025 - 2026 Preventivo]]/(Tabla1[[#This Row],[Ingreso 2025 - 2026 Correctivo]]+Tabla1[[#This Row],[Ingreso 2025 - 2026 Preventivo]]),0)</f>
        <v>0</v>
      </c>
      <c r="L255" s="60">
        <f>1-Tabla1[[#This Row],[% Preventivo $]]</f>
        <v>1</v>
      </c>
      <c r="M255" s="45">
        <f>+COUNTIFS('[1]Base Instalada'!AA:AA,Tabla1[[#This Row],[Cliente]])</f>
        <v>7</v>
      </c>
      <c r="N25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5" s="45">
        <f>+COUNTIFS('[1]Base Instalada'!AA:AA,Tabla1[[#This Row],[Cliente]],'[1]Base Instalada'!Z:Z,"ESTERILIZACIÓN")</f>
        <v>0</v>
      </c>
      <c r="P255" s="45">
        <f>+COUNTIFS('[1]Base Instalada'!AA:AA,Tabla1[[#This Row],[Cliente]],'[1]Base Instalada'!Z:Z,"DENTAL")</f>
        <v>7</v>
      </c>
      <c r="Q255" s="45">
        <f>+COUNTIFS('[1]Base Instalada'!AA:AA,Tabla1[[#This Row],[Cliente]],'[1]Base Instalada'!Z:Z,"ENDOSCOPÍA")</f>
        <v>0</v>
      </c>
      <c r="R255" s="45">
        <f>+COUNTIFS('[1]Base Instalada'!AA:AA,Tabla1[[#This Row],[Cliente]],'[1]Base Instalada'!Z:Z,"INCARDIA")</f>
        <v>0</v>
      </c>
      <c r="S255" s="45">
        <f>+COUNTIFS('[1]Base Instalada'!AA:AA,Tabla1[[#This Row],[Cliente]],'[1]Base Instalada'!Z:Z,"MMQ")</f>
        <v>0</v>
      </c>
      <c r="T255" s="45">
        <f>+COUNTIFS('[1]Base Instalada'!AA:AA,Tabla1[[#This Row],[Cliente]],'[1]Base Instalada'!Z:Z,"REAS")</f>
        <v>0</v>
      </c>
      <c r="U255" s="46">
        <f>+COUNTIFS('[1]Base Instalada'!AA:AA,Tabla1[[#This Row],[Cliente]],'[1]Base Instalada'!Z:Z,"MOBILIARIO CLINICO")</f>
        <v>0</v>
      </c>
      <c r="V255" s="29">
        <f>+COUNTIFS('[1]Base Instalada'!AA:AA,Tabla1[[#This Row],[Cliente]],'[1]Base Instalada'!Z:Z,"OTRO")</f>
        <v>0</v>
      </c>
      <c r="W255" s="61" t="str">
        <f t="shared" si="8"/>
        <v>Región Maule</v>
      </c>
      <c r="X255" s="61" t="str">
        <f t="shared" si="9"/>
        <v>Talca</v>
      </c>
      <c r="Y255" s="62" t="s">
        <v>544</v>
      </c>
      <c r="Z255" s="33">
        <f>+COUNTIFS('[1]Pipeline TS'!$F:$F,Tabla1[[#This Row],[Cliente]])</f>
        <v>0</v>
      </c>
      <c r="AA255" s="63">
        <f>SUMIFS('[1]Pipeline Esterilización'!M:M,'[1]Pipeline Esterilización'!E:E,Tabla1[[#This Row],[Cliente]],'[1]Pipeline Esterilización'!B:B,"2026",'[1]Pipeline Esterilización'!L:L,"&gt;0")</f>
        <v>0</v>
      </c>
      <c r="AB255" s="33">
        <f>+SUMIFS('[1]Pipeline Endoscopía'!K:K,'[1]Pipeline Endoscopía'!E:E,Tabla1[[#This Row],[Cliente]],'[1]Pipeline Endoscopía'!B:B,"2026",'[1]Pipeline Endoscopía'!J:J,"&gt;0")</f>
        <v>0</v>
      </c>
      <c r="AC255" s="63">
        <f>+SUMIFS('[1]Pipeline Dental'!K:K,'[1]Pipeline Dental'!E:E,Tabla1[[#This Row],[Cliente]],'[1]Pipeline Dental'!B:B,"2026",'[1]Pipeline Dental'!J:J,"&gt;0")</f>
        <v>0</v>
      </c>
      <c r="AD255" s="64">
        <f>+SUMIFS('[1]Pipeline TS'!$AB:$AB,'[1]Pipeline TS'!$F:$F,Tabla1[[#This Row],[Cliente]])</f>
        <v>0</v>
      </c>
      <c r="AE255" s="65">
        <f>+SUM(Tabla1[[#This Row],[Pipeline 2026 $MM ESTERILIZACIÓN]:[Pipeline 2026 $MM TECSERVICE]])</f>
        <v>0</v>
      </c>
      <c r="AF255" s="43">
        <v>-35.439893696622001</v>
      </c>
      <c r="AG255" s="58">
        <v>-71.633558133772596</v>
      </c>
      <c r="AH255" s="57" t="str">
        <f>+IF(Tabla1[[#This Row],['# Contratos Vigentes ]]&gt;0,"SI","NO")</f>
        <v>NO</v>
      </c>
      <c r="AI255" s="66"/>
      <c r="AJ255" s="67">
        <f>+Tabla1[[#This Row],[Ingreso 2025 - 2026]]*Tabla1[[#This Row],[% Costo Serv. Directo]]</f>
        <v>0</v>
      </c>
      <c r="AK255" s="68"/>
      <c r="AL25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5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255" s="42">
        <f>+Tabla1[[#This Row],[Potencial Equipos]]+Tabla1[[#This Row],[Potencial Pipeline]]</f>
        <v>4193700</v>
      </c>
    </row>
    <row r="256" spans="1:40" ht="15.75" x14ac:dyDescent="0.25">
      <c r="A256" s="47" t="s">
        <v>545</v>
      </c>
      <c r="B256" t="str">
        <f>+VLOOKUP(Tabla1[[#This Row],[Cliente]],'[1]Público Privado'!$A$1:$B$325,2,FALSE)</f>
        <v>Público</v>
      </c>
      <c r="C256" s="23">
        <f>+SUMIFS('[1]Facturacion a Fecha'!$T:$T,'[1]Facturacion a Fecha'!$AY:$AY,Tabla1[[#This Row],[Cliente]])</f>
        <v>0</v>
      </c>
      <c r="D256" s="24">
        <f>+SUMIFS('[1]Facturacion a Fecha'!$T:$T,'[1]Facturacion a Fecha'!$AY:$AY,Tabla1[[#This Row],[Cliente]],'[1]Facturacion a Fecha'!$AX:$AX,"Correctivo")</f>
        <v>0</v>
      </c>
      <c r="E256" s="25">
        <f>+COUNTIFS('[1]Facturacion a Fecha'!AY:AY,Tabla1[[#This Row],[Cliente]],'[1]Facturacion a Fecha'!AX:AX,"Correctivo")</f>
        <v>0</v>
      </c>
      <c r="F256" s="25">
        <f>+SUMIFS('[1]Facturacion a Fecha'!$T:$T,'[1]Facturacion a Fecha'!$AY:$AY,Tabla1[[#This Row],[Cliente]],'[1]Facturacion a Fecha'!$AX:$AX,"Preventivo")</f>
        <v>0</v>
      </c>
      <c r="G256" s="25">
        <f>+COUNTIFS('[1]Facturacion a Fecha'!AY:AY,Tabla1[[#This Row],[Cliente]],'[1]Facturacion a Fecha'!AX:AX,"Preventivo")</f>
        <v>0</v>
      </c>
      <c r="H256" s="26">
        <f>+Tabla1[[#This Row],['# Preventivo]]+Tabla1[[#This Row],['# Correctivo]]</f>
        <v>0</v>
      </c>
      <c r="I256" s="23">
        <f>+IFERROR(Tabla1[[#This Row],[Ingreso 2025 - 2026 Correctivo]]/Tabla1[[#This Row],[Ingreso 2025 - 2026 Preventivo]],0)</f>
        <v>0</v>
      </c>
      <c r="J256" s="59">
        <f>+IFERROR(Tabla1[[#This Row],['# Correctivo]]/Tabla1[[#This Row],['# Preventivo]],0)</f>
        <v>0</v>
      </c>
      <c r="K256" s="60">
        <f>+IFERROR(Tabla1[[#This Row],[Ingreso 2025 - 2026 Preventivo]]/(Tabla1[[#This Row],[Ingreso 2025 - 2026 Correctivo]]+Tabla1[[#This Row],[Ingreso 2025 - 2026 Preventivo]]),0)</f>
        <v>0</v>
      </c>
      <c r="L256" s="60">
        <f>1-Tabla1[[#This Row],[% Preventivo $]]</f>
        <v>1</v>
      </c>
      <c r="M256" s="45">
        <f>+COUNTIFS('[1]Base Instalada'!AA:AA,Tabla1[[#This Row],[Cliente]])</f>
        <v>7</v>
      </c>
      <c r="N25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6" s="45">
        <f>+COUNTIFS('[1]Base Instalada'!AA:AA,Tabla1[[#This Row],[Cliente]],'[1]Base Instalada'!Z:Z,"ESTERILIZACIÓN")</f>
        <v>0</v>
      </c>
      <c r="P256" s="45">
        <f>+COUNTIFS('[1]Base Instalada'!AA:AA,Tabla1[[#This Row],[Cliente]],'[1]Base Instalada'!Z:Z,"DENTAL")</f>
        <v>7</v>
      </c>
      <c r="Q256" s="45">
        <f>+COUNTIFS('[1]Base Instalada'!AA:AA,Tabla1[[#This Row],[Cliente]],'[1]Base Instalada'!Z:Z,"ENDOSCOPÍA")</f>
        <v>0</v>
      </c>
      <c r="R256" s="45">
        <f>+COUNTIFS('[1]Base Instalada'!AA:AA,Tabla1[[#This Row],[Cliente]],'[1]Base Instalada'!Z:Z,"INCARDIA")</f>
        <v>0</v>
      </c>
      <c r="S256" s="45">
        <f>+COUNTIFS('[1]Base Instalada'!AA:AA,Tabla1[[#This Row],[Cliente]],'[1]Base Instalada'!Z:Z,"MMQ")</f>
        <v>0</v>
      </c>
      <c r="T256" s="45">
        <f>+COUNTIFS('[1]Base Instalada'!AA:AA,Tabla1[[#This Row],[Cliente]],'[1]Base Instalada'!Z:Z,"REAS")</f>
        <v>0</v>
      </c>
      <c r="U256" s="46">
        <f>+COUNTIFS('[1]Base Instalada'!AA:AA,Tabla1[[#This Row],[Cliente]],'[1]Base Instalada'!Z:Z,"MOBILIARIO CLINICO")</f>
        <v>0</v>
      </c>
      <c r="V256" s="29">
        <f>+COUNTIFS('[1]Base Instalada'!AA:AA,Tabla1[[#This Row],[Cliente]],'[1]Base Instalada'!Z:Z,"OTRO")</f>
        <v>0</v>
      </c>
      <c r="W256" s="61" t="str">
        <f t="shared" si="8"/>
        <v>Región Metropolitana</v>
      </c>
      <c r="X256" s="61" t="str">
        <f t="shared" si="9"/>
        <v>Santiago</v>
      </c>
      <c r="Y256" s="62" t="s">
        <v>546</v>
      </c>
      <c r="Z256" s="33">
        <f>+COUNTIFS('[1]Pipeline TS'!$F:$F,Tabla1[[#This Row],[Cliente]])</f>
        <v>0</v>
      </c>
      <c r="AA256" s="63">
        <f>SUMIFS('[1]Pipeline Esterilización'!M:M,'[1]Pipeline Esterilización'!E:E,Tabla1[[#This Row],[Cliente]],'[1]Pipeline Esterilización'!B:B,"2026",'[1]Pipeline Esterilización'!L:L,"&gt;0")</f>
        <v>0</v>
      </c>
      <c r="AB256" s="33">
        <f>+SUMIFS('[1]Pipeline Endoscopía'!K:K,'[1]Pipeline Endoscopía'!E:E,Tabla1[[#This Row],[Cliente]],'[1]Pipeline Endoscopía'!B:B,"2026",'[1]Pipeline Endoscopía'!J:J,"&gt;0")</f>
        <v>0</v>
      </c>
      <c r="AC256" s="63">
        <f>+SUMIFS('[1]Pipeline Dental'!K:K,'[1]Pipeline Dental'!E:E,Tabla1[[#This Row],[Cliente]],'[1]Pipeline Dental'!B:B,"2026",'[1]Pipeline Dental'!J:J,"&gt;0")</f>
        <v>0</v>
      </c>
      <c r="AD256" s="64">
        <f>+SUMIFS('[1]Pipeline TS'!$AB:$AB,'[1]Pipeline TS'!$F:$F,Tabla1[[#This Row],[Cliente]])</f>
        <v>0</v>
      </c>
      <c r="AE256" s="65">
        <f>+SUM(Tabla1[[#This Row],[Pipeline 2026 $MM ESTERILIZACIÓN]:[Pipeline 2026 $MM TECSERVICE]])</f>
        <v>0</v>
      </c>
      <c r="AF256" s="43">
        <v>-33.467949525109702</v>
      </c>
      <c r="AG256" s="58">
        <v>-70.670278560347398</v>
      </c>
      <c r="AH256" s="57" t="str">
        <f>+IF(Tabla1[[#This Row],['# Contratos Vigentes ]]&gt;0,"SI","NO")</f>
        <v>NO</v>
      </c>
      <c r="AI256" s="66"/>
      <c r="AJ256" s="67">
        <f>+Tabla1[[#This Row],[Ingreso 2025 - 2026]]*Tabla1[[#This Row],[% Costo Serv. Directo]]</f>
        <v>0</v>
      </c>
      <c r="AK256" s="68"/>
      <c r="AL25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5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256" s="42">
        <f>+Tabla1[[#This Row],[Potencial Equipos]]+Tabla1[[#This Row],[Potencial Pipeline]]</f>
        <v>4193700</v>
      </c>
    </row>
    <row r="257" spans="1:40" ht="15.75" x14ac:dyDescent="0.25">
      <c r="A257" s="47" t="s">
        <v>547</v>
      </c>
      <c r="B257" t="str">
        <f>+VLOOKUP(Tabla1[[#This Row],[Cliente]],'[1]Público Privado'!$A$1:$B$325,2,FALSE)</f>
        <v>Público</v>
      </c>
      <c r="C257" s="23">
        <f>+SUMIFS('[1]Facturacion a Fecha'!$T:$T,'[1]Facturacion a Fecha'!$AY:$AY,Tabla1[[#This Row],[Cliente]])</f>
        <v>0</v>
      </c>
      <c r="D257" s="24">
        <f>+SUMIFS('[1]Facturacion a Fecha'!$T:$T,'[1]Facturacion a Fecha'!$AY:$AY,Tabla1[[#This Row],[Cliente]],'[1]Facturacion a Fecha'!$AX:$AX,"Correctivo")</f>
        <v>0</v>
      </c>
      <c r="E257" s="25">
        <f>+COUNTIFS('[1]Facturacion a Fecha'!AY:AY,Tabla1[[#This Row],[Cliente]],'[1]Facturacion a Fecha'!AX:AX,"Correctivo")</f>
        <v>0</v>
      </c>
      <c r="F257" s="25">
        <f>+SUMIFS('[1]Facturacion a Fecha'!$T:$T,'[1]Facturacion a Fecha'!$AY:$AY,Tabla1[[#This Row],[Cliente]],'[1]Facturacion a Fecha'!$AX:$AX,"Preventivo")</f>
        <v>0</v>
      </c>
      <c r="G257" s="25">
        <f>+COUNTIFS('[1]Facturacion a Fecha'!AY:AY,Tabla1[[#This Row],[Cliente]],'[1]Facturacion a Fecha'!AX:AX,"Preventivo")</f>
        <v>0</v>
      </c>
      <c r="H257" s="26">
        <f>+Tabla1[[#This Row],['# Preventivo]]+Tabla1[[#This Row],['# Correctivo]]</f>
        <v>0</v>
      </c>
      <c r="I257" s="23">
        <f>+IFERROR(Tabla1[[#This Row],[Ingreso 2025 - 2026 Correctivo]]/Tabla1[[#This Row],[Ingreso 2025 - 2026 Preventivo]],0)</f>
        <v>0</v>
      </c>
      <c r="J257" s="59">
        <f>+IFERROR(Tabla1[[#This Row],['# Correctivo]]/Tabla1[[#This Row],['# Preventivo]],0)</f>
        <v>0</v>
      </c>
      <c r="K257" s="60">
        <f>+IFERROR(Tabla1[[#This Row],[Ingreso 2025 - 2026 Preventivo]]/(Tabla1[[#This Row],[Ingreso 2025 - 2026 Correctivo]]+Tabla1[[#This Row],[Ingreso 2025 - 2026 Preventivo]]),0)</f>
        <v>0</v>
      </c>
      <c r="L257" s="60">
        <f>1-Tabla1[[#This Row],[% Preventivo $]]</f>
        <v>1</v>
      </c>
      <c r="M257" s="45">
        <f>+COUNTIFS('[1]Base Instalada'!AA:AA,Tabla1[[#This Row],[Cliente]])</f>
        <v>7</v>
      </c>
      <c r="N25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7" s="45">
        <f>+COUNTIFS('[1]Base Instalada'!AA:AA,Tabla1[[#This Row],[Cliente]],'[1]Base Instalada'!Z:Z,"ESTERILIZACIÓN")</f>
        <v>1</v>
      </c>
      <c r="P257" s="45">
        <f>+COUNTIFS('[1]Base Instalada'!AA:AA,Tabla1[[#This Row],[Cliente]],'[1]Base Instalada'!Z:Z,"DENTAL")</f>
        <v>6</v>
      </c>
      <c r="Q257" s="45">
        <f>+COUNTIFS('[1]Base Instalada'!AA:AA,Tabla1[[#This Row],[Cliente]],'[1]Base Instalada'!Z:Z,"ENDOSCOPÍA")</f>
        <v>0</v>
      </c>
      <c r="R257" s="45">
        <f>+COUNTIFS('[1]Base Instalada'!AA:AA,Tabla1[[#This Row],[Cliente]],'[1]Base Instalada'!Z:Z,"INCARDIA")</f>
        <v>0</v>
      </c>
      <c r="S257" s="45">
        <f>+COUNTIFS('[1]Base Instalada'!AA:AA,Tabla1[[#This Row],[Cliente]],'[1]Base Instalada'!Z:Z,"MMQ")</f>
        <v>0</v>
      </c>
      <c r="T257" s="45">
        <f>+COUNTIFS('[1]Base Instalada'!AA:AA,Tabla1[[#This Row],[Cliente]],'[1]Base Instalada'!Z:Z,"REAS")</f>
        <v>0</v>
      </c>
      <c r="U257" s="46">
        <f>+COUNTIFS('[1]Base Instalada'!AA:AA,Tabla1[[#This Row],[Cliente]],'[1]Base Instalada'!Z:Z,"MOBILIARIO CLINICO")</f>
        <v>0</v>
      </c>
      <c r="V257" s="29">
        <f>+COUNTIFS('[1]Base Instalada'!AA:AA,Tabla1[[#This Row],[Cliente]],'[1]Base Instalada'!Z:Z,"OTRO")</f>
        <v>0</v>
      </c>
      <c r="W257" s="61" t="str">
        <f t="shared" si="8"/>
        <v>Región O'Higgins</v>
      </c>
      <c r="X257" s="61" t="str">
        <f t="shared" si="9"/>
        <v>San Vicente de Tagua Tagua</v>
      </c>
      <c r="Y257" s="62" t="s">
        <v>548</v>
      </c>
      <c r="Z257" s="33">
        <f>+COUNTIFS('[1]Pipeline TS'!$F:$F,Tabla1[[#This Row],[Cliente]])</f>
        <v>0</v>
      </c>
      <c r="AA257" s="63">
        <f>SUMIFS('[1]Pipeline Esterilización'!M:M,'[1]Pipeline Esterilización'!E:E,Tabla1[[#This Row],[Cliente]],'[1]Pipeline Esterilización'!B:B,"2026",'[1]Pipeline Esterilización'!L:L,"&gt;0")</f>
        <v>0</v>
      </c>
      <c r="AB257" s="33">
        <f>+SUMIFS('[1]Pipeline Endoscopía'!K:K,'[1]Pipeline Endoscopía'!E:E,Tabla1[[#This Row],[Cliente]],'[1]Pipeline Endoscopía'!B:B,"2026",'[1]Pipeline Endoscopía'!J:J,"&gt;0")</f>
        <v>0</v>
      </c>
      <c r="AC257" s="63">
        <f>+SUMIFS('[1]Pipeline Dental'!K:K,'[1]Pipeline Dental'!E:E,Tabla1[[#This Row],[Cliente]],'[1]Pipeline Dental'!B:B,"2026",'[1]Pipeline Dental'!J:J,"&gt;0")</f>
        <v>0</v>
      </c>
      <c r="AD257" s="64">
        <f>+SUMIFS('[1]Pipeline TS'!$AB:$AB,'[1]Pipeline TS'!$F:$F,Tabla1[[#This Row],[Cliente]])</f>
        <v>0</v>
      </c>
      <c r="AE257" s="65">
        <f>+SUM(Tabla1[[#This Row],[Pipeline 2026 $MM ESTERILIZACIÓN]:[Pipeline 2026 $MM TECSERVICE]])</f>
        <v>0</v>
      </c>
      <c r="AF257" s="43">
        <v>-34.440877309582</v>
      </c>
      <c r="AG257" s="58">
        <v>-71.080768006317101</v>
      </c>
      <c r="AH257" s="57" t="str">
        <f>+IF(Tabla1[[#This Row],['# Contratos Vigentes ]]&gt;0,"SI","NO")</f>
        <v>NO</v>
      </c>
      <c r="AI257" s="66"/>
      <c r="AJ257" s="67">
        <f>+Tabla1[[#This Row],[Ingreso 2025 - 2026]]*Tabla1[[#This Row],[% Costo Serv. Directo]]</f>
        <v>0</v>
      </c>
      <c r="AK257" s="68"/>
      <c r="AL25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5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5591600</v>
      </c>
      <c r="AN257" s="42">
        <f>+Tabla1[[#This Row],[Potencial Equipos]]+Tabla1[[#This Row],[Potencial Pipeline]]</f>
        <v>5591600</v>
      </c>
    </row>
    <row r="258" spans="1:40" ht="15.75" x14ac:dyDescent="0.25">
      <c r="A258" s="47" t="s">
        <v>549</v>
      </c>
      <c r="B258" t="str">
        <f>+VLOOKUP(Tabla1[[#This Row],[Cliente]],'[1]Público Privado'!$A$1:$B$325,2,FALSE)</f>
        <v>Público</v>
      </c>
      <c r="C258" s="23">
        <f>+SUMIFS('[1]Facturacion a Fecha'!$T:$T,'[1]Facturacion a Fecha'!$AY:$AY,Tabla1[[#This Row],[Cliente]])</f>
        <v>0</v>
      </c>
      <c r="D258" s="24">
        <f>+SUMIFS('[1]Facturacion a Fecha'!$T:$T,'[1]Facturacion a Fecha'!$AY:$AY,Tabla1[[#This Row],[Cliente]],'[1]Facturacion a Fecha'!$AX:$AX,"Correctivo")</f>
        <v>0</v>
      </c>
      <c r="E258" s="25">
        <f>+COUNTIFS('[1]Facturacion a Fecha'!AY:AY,Tabla1[[#This Row],[Cliente]],'[1]Facturacion a Fecha'!AX:AX,"Correctivo")</f>
        <v>0</v>
      </c>
      <c r="F258" s="25">
        <f>+SUMIFS('[1]Facturacion a Fecha'!$T:$T,'[1]Facturacion a Fecha'!$AY:$AY,Tabla1[[#This Row],[Cliente]],'[1]Facturacion a Fecha'!$AX:$AX,"Preventivo")</f>
        <v>0</v>
      </c>
      <c r="G258" s="25">
        <f>+COUNTIFS('[1]Facturacion a Fecha'!AY:AY,Tabla1[[#This Row],[Cliente]],'[1]Facturacion a Fecha'!AX:AX,"Preventivo")</f>
        <v>0</v>
      </c>
      <c r="H258" s="26">
        <f>+Tabla1[[#This Row],['# Preventivo]]+Tabla1[[#This Row],['# Correctivo]]</f>
        <v>0</v>
      </c>
      <c r="I258" s="23">
        <f>+IFERROR(Tabla1[[#This Row],[Ingreso 2025 - 2026 Correctivo]]/Tabla1[[#This Row],[Ingreso 2025 - 2026 Preventivo]],0)</f>
        <v>0</v>
      </c>
      <c r="J258" s="59">
        <f>+IFERROR(Tabla1[[#This Row],['# Correctivo]]/Tabla1[[#This Row],['# Preventivo]],0)</f>
        <v>0</v>
      </c>
      <c r="K258" s="60">
        <f>+IFERROR(Tabla1[[#This Row],[Ingreso 2025 - 2026 Preventivo]]/(Tabla1[[#This Row],[Ingreso 2025 - 2026 Correctivo]]+Tabla1[[#This Row],[Ingreso 2025 - 2026 Preventivo]]),0)</f>
        <v>0</v>
      </c>
      <c r="L258" s="60">
        <f>1-Tabla1[[#This Row],[% Preventivo $]]</f>
        <v>1</v>
      </c>
      <c r="M258" s="45">
        <f>+COUNTIFS('[1]Base Instalada'!AA:AA,Tabla1[[#This Row],[Cliente]])</f>
        <v>13</v>
      </c>
      <c r="N25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8" s="45">
        <f>+COUNTIFS('[1]Base Instalada'!AA:AA,Tabla1[[#This Row],[Cliente]],'[1]Base Instalada'!Z:Z,"ESTERILIZACIÓN")</f>
        <v>1</v>
      </c>
      <c r="P258" s="45">
        <f>+COUNTIFS('[1]Base Instalada'!AA:AA,Tabla1[[#This Row],[Cliente]],'[1]Base Instalada'!Z:Z,"DENTAL")</f>
        <v>11</v>
      </c>
      <c r="Q258" s="45">
        <f>+COUNTIFS('[1]Base Instalada'!AA:AA,Tabla1[[#This Row],[Cliente]],'[1]Base Instalada'!Z:Z,"ENDOSCOPÍA")</f>
        <v>1</v>
      </c>
      <c r="R258" s="45">
        <f>+COUNTIFS('[1]Base Instalada'!AA:AA,Tabla1[[#This Row],[Cliente]],'[1]Base Instalada'!Z:Z,"INCARDIA")</f>
        <v>0</v>
      </c>
      <c r="S258" s="45">
        <f>+COUNTIFS('[1]Base Instalada'!AA:AA,Tabla1[[#This Row],[Cliente]],'[1]Base Instalada'!Z:Z,"MMQ")</f>
        <v>0</v>
      </c>
      <c r="T258" s="45">
        <f>+COUNTIFS('[1]Base Instalada'!AA:AA,Tabla1[[#This Row],[Cliente]],'[1]Base Instalada'!Z:Z,"REAS")</f>
        <v>0</v>
      </c>
      <c r="U258" s="46">
        <f>+COUNTIFS('[1]Base Instalada'!AA:AA,Tabla1[[#This Row],[Cliente]],'[1]Base Instalada'!Z:Z,"MOBILIARIO CLINICO")</f>
        <v>0</v>
      </c>
      <c r="V258" s="29">
        <f>+COUNTIFS('[1]Base Instalada'!AA:AA,Tabla1[[#This Row],[Cliente]],'[1]Base Instalada'!Z:Z,"OTRO")</f>
        <v>0</v>
      </c>
      <c r="W258" s="61" t="str">
        <f t="shared" si="8"/>
        <v>Región Metropolitana</v>
      </c>
      <c r="X258" s="61" t="str">
        <f t="shared" si="9"/>
        <v>Maipú</v>
      </c>
      <c r="Y258" s="62" t="s">
        <v>550</v>
      </c>
      <c r="Z258" s="33">
        <f>+COUNTIFS('[1]Pipeline TS'!$F:$F,Tabla1[[#This Row],[Cliente]])</f>
        <v>0</v>
      </c>
      <c r="AA258" s="63">
        <f>SUMIFS('[1]Pipeline Esterilización'!M:M,'[1]Pipeline Esterilización'!E:E,Tabla1[[#This Row],[Cliente]],'[1]Pipeline Esterilización'!B:B,"2026",'[1]Pipeline Esterilización'!L:L,"&gt;0")</f>
        <v>0</v>
      </c>
      <c r="AB258" s="33">
        <f>+SUMIFS('[1]Pipeline Endoscopía'!K:K,'[1]Pipeline Endoscopía'!E:E,Tabla1[[#This Row],[Cliente]],'[1]Pipeline Endoscopía'!B:B,"2026",'[1]Pipeline Endoscopía'!J:J,"&gt;0")</f>
        <v>670000000</v>
      </c>
      <c r="AC258" s="63">
        <f>+SUMIFS('[1]Pipeline Dental'!K:K,'[1]Pipeline Dental'!E:E,Tabla1[[#This Row],[Cliente]],'[1]Pipeline Dental'!B:B,"2026",'[1]Pipeline Dental'!J:J,"&gt;0")</f>
        <v>0</v>
      </c>
      <c r="AD258" s="64">
        <f>+SUMIFS('[1]Pipeline TS'!$AB:$AB,'[1]Pipeline TS'!$F:$F,Tabla1[[#This Row],[Cliente]])</f>
        <v>0</v>
      </c>
      <c r="AE258" s="65">
        <f>+SUM(Tabla1[[#This Row],[Pipeline 2026 $MM ESTERILIZACIÓN]:[Pipeline 2026 $MM TECSERVICE]])</f>
        <v>670000000</v>
      </c>
      <c r="AF258" s="43">
        <v>-33.507862974152602</v>
      </c>
      <c r="AG258" s="58">
        <v>-70.774313335204596</v>
      </c>
      <c r="AH258" s="57" t="str">
        <f>+IF(Tabla1[[#This Row],['# Contratos Vigentes ]]&gt;0,"SI","NO")</f>
        <v>NO</v>
      </c>
      <c r="AI258" s="66"/>
      <c r="AJ258" s="67">
        <f>+Tabla1[[#This Row],[Ingreso 2025 - 2026]]*Tabla1[[#This Row],[% Costo Serv. Directo]]</f>
        <v>0</v>
      </c>
      <c r="AK258" s="68"/>
      <c r="AL25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40200000</v>
      </c>
      <c r="AM25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9447346.153846154</v>
      </c>
      <c r="AN258" s="42">
        <f>+Tabla1[[#This Row],[Potencial Equipos]]+Tabla1[[#This Row],[Potencial Pipeline]]</f>
        <v>49647346.153846152</v>
      </c>
    </row>
    <row r="259" spans="1:40" ht="15.75" x14ac:dyDescent="0.25">
      <c r="A259" s="47" t="s">
        <v>551</v>
      </c>
      <c r="B259" t="str">
        <f>+VLOOKUP(Tabla1[[#This Row],[Cliente]],'[1]Público Privado'!$A$1:$B$325,2,FALSE)</f>
        <v>Público</v>
      </c>
      <c r="C259" s="23">
        <f>+SUMIFS('[1]Facturacion a Fecha'!$T:$T,'[1]Facturacion a Fecha'!$AY:$AY,Tabla1[[#This Row],[Cliente]])</f>
        <v>0</v>
      </c>
      <c r="D259" s="24">
        <f>+SUMIFS('[1]Facturacion a Fecha'!$T:$T,'[1]Facturacion a Fecha'!$AY:$AY,Tabla1[[#This Row],[Cliente]],'[1]Facturacion a Fecha'!$AX:$AX,"Correctivo")</f>
        <v>0</v>
      </c>
      <c r="E259" s="25">
        <f>+COUNTIFS('[1]Facturacion a Fecha'!AY:AY,Tabla1[[#This Row],[Cliente]],'[1]Facturacion a Fecha'!AX:AX,"Correctivo")</f>
        <v>0</v>
      </c>
      <c r="F259" s="25">
        <f>+SUMIFS('[1]Facturacion a Fecha'!$T:$T,'[1]Facturacion a Fecha'!$AY:$AY,Tabla1[[#This Row],[Cliente]],'[1]Facturacion a Fecha'!$AX:$AX,"Preventivo")</f>
        <v>0</v>
      </c>
      <c r="G259" s="25">
        <f>+COUNTIFS('[1]Facturacion a Fecha'!AY:AY,Tabla1[[#This Row],[Cliente]],'[1]Facturacion a Fecha'!AX:AX,"Preventivo")</f>
        <v>0</v>
      </c>
      <c r="H259" s="26">
        <f>+Tabla1[[#This Row],['# Preventivo]]+Tabla1[[#This Row],['# Correctivo]]</f>
        <v>0</v>
      </c>
      <c r="I259" s="23">
        <f>+IFERROR(Tabla1[[#This Row],[Ingreso 2025 - 2026 Correctivo]]/Tabla1[[#This Row],[Ingreso 2025 - 2026 Preventivo]],0)</f>
        <v>0</v>
      </c>
      <c r="J259" s="59">
        <f>+IFERROR(Tabla1[[#This Row],['# Correctivo]]/Tabla1[[#This Row],['# Preventivo]],0)</f>
        <v>0</v>
      </c>
      <c r="K259" s="60">
        <f>+IFERROR(Tabla1[[#This Row],[Ingreso 2025 - 2026 Preventivo]]/(Tabla1[[#This Row],[Ingreso 2025 - 2026 Correctivo]]+Tabla1[[#This Row],[Ingreso 2025 - 2026 Preventivo]]),0)</f>
        <v>0</v>
      </c>
      <c r="L259" s="60">
        <f>1-Tabla1[[#This Row],[% Preventivo $]]</f>
        <v>1</v>
      </c>
      <c r="M259" s="45">
        <f>+COUNTIFS('[1]Base Instalada'!AA:AA,Tabla1[[#This Row],[Cliente]])</f>
        <v>7</v>
      </c>
      <c r="N25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59" s="45">
        <f>+COUNTIFS('[1]Base Instalada'!AA:AA,Tabla1[[#This Row],[Cliente]],'[1]Base Instalada'!Z:Z,"ESTERILIZACIÓN")</f>
        <v>0</v>
      </c>
      <c r="P259" s="45">
        <f>+COUNTIFS('[1]Base Instalada'!AA:AA,Tabla1[[#This Row],[Cliente]],'[1]Base Instalada'!Z:Z,"DENTAL")</f>
        <v>7</v>
      </c>
      <c r="Q259" s="45">
        <f>+COUNTIFS('[1]Base Instalada'!AA:AA,Tabla1[[#This Row],[Cliente]],'[1]Base Instalada'!Z:Z,"ENDOSCOPÍA")</f>
        <v>0</v>
      </c>
      <c r="R259" s="45">
        <f>+COUNTIFS('[1]Base Instalada'!AA:AA,Tabla1[[#This Row],[Cliente]],'[1]Base Instalada'!Z:Z,"INCARDIA")</f>
        <v>0</v>
      </c>
      <c r="S259" s="45">
        <f>+COUNTIFS('[1]Base Instalada'!AA:AA,Tabla1[[#This Row],[Cliente]],'[1]Base Instalada'!Z:Z,"MMQ")</f>
        <v>0</v>
      </c>
      <c r="T259" s="45">
        <f>+COUNTIFS('[1]Base Instalada'!AA:AA,Tabla1[[#This Row],[Cliente]],'[1]Base Instalada'!Z:Z,"REAS")</f>
        <v>0</v>
      </c>
      <c r="U259" s="46">
        <f>+COUNTIFS('[1]Base Instalada'!AA:AA,Tabla1[[#This Row],[Cliente]],'[1]Base Instalada'!Z:Z,"MOBILIARIO CLINICO")</f>
        <v>0</v>
      </c>
      <c r="V259" s="29">
        <f>+COUNTIFS('[1]Base Instalada'!AA:AA,Tabla1[[#This Row],[Cliente]],'[1]Base Instalada'!Z:Z,"OTRO")</f>
        <v>0</v>
      </c>
      <c r="W259" s="61" t="str">
        <f t="shared" si="8"/>
        <v>Región Ñuble</v>
      </c>
      <c r="X259" s="61" t="str">
        <f t="shared" si="9"/>
        <v>Quirihue</v>
      </c>
      <c r="Y259" s="62" t="s">
        <v>552</v>
      </c>
      <c r="Z259" s="33">
        <f>+COUNTIFS('[1]Pipeline TS'!$F:$F,Tabla1[[#This Row],[Cliente]])</f>
        <v>0</v>
      </c>
      <c r="AA259" s="63">
        <f>SUMIFS('[1]Pipeline Esterilización'!M:M,'[1]Pipeline Esterilización'!E:E,Tabla1[[#This Row],[Cliente]],'[1]Pipeline Esterilización'!B:B,"2026",'[1]Pipeline Esterilización'!L:L,"&gt;0")</f>
        <v>0</v>
      </c>
      <c r="AB259" s="33">
        <f>+SUMIFS('[1]Pipeline Endoscopía'!K:K,'[1]Pipeline Endoscopía'!E:E,Tabla1[[#This Row],[Cliente]],'[1]Pipeline Endoscopía'!B:B,"2026",'[1]Pipeline Endoscopía'!J:J,"&gt;0")</f>
        <v>0</v>
      </c>
      <c r="AC259" s="63">
        <f>+SUMIFS('[1]Pipeline Dental'!K:K,'[1]Pipeline Dental'!E:E,Tabla1[[#This Row],[Cliente]],'[1]Pipeline Dental'!B:B,"2026",'[1]Pipeline Dental'!J:J,"&gt;0")</f>
        <v>0</v>
      </c>
      <c r="AD259" s="64">
        <f>+SUMIFS('[1]Pipeline TS'!$AB:$AB,'[1]Pipeline TS'!$F:$F,Tabla1[[#This Row],[Cliente]])</f>
        <v>0</v>
      </c>
      <c r="AE259" s="65">
        <f>+SUM(Tabla1[[#This Row],[Pipeline 2026 $MM ESTERILIZACIÓN]:[Pipeline 2026 $MM TECSERVICE]])</f>
        <v>0</v>
      </c>
      <c r="AF259" s="43">
        <v>-36.286530516702101</v>
      </c>
      <c r="AG259" s="58">
        <v>-72.547477304362999</v>
      </c>
      <c r="AH259" s="57" t="str">
        <f>+IF(Tabla1[[#This Row],['# Contratos Vigentes ]]&gt;0,"SI","NO")</f>
        <v>NO</v>
      </c>
      <c r="AI259" s="66"/>
      <c r="AJ259" s="67">
        <f>+Tabla1[[#This Row],[Ingreso 2025 - 2026]]*Tabla1[[#This Row],[% Costo Serv. Directo]]</f>
        <v>0</v>
      </c>
      <c r="AK259" s="68"/>
      <c r="AL25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5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259" s="42">
        <f>+Tabla1[[#This Row],[Potencial Equipos]]+Tabla1[[#This Row],[Potencial Pipeline]]</f>
        <v>4193700</v>
      </c>
    </row>
    <row r="260" spans="1:40" ht="15.75" x14ac:dyDescent="0.25">
      <c r="A260" s="47" t="s">
        <v>553</v>
      </c>
      <c r="B260" t="str">
        <f>+VLOOKUP(Tabla1[[#This Row],[Cliente]],'[1]Público Privado'!$A$1:$B$325,2,FALSE)</f>
        <v>Privado</v>
      </c>
      <c r="C260" s="23">
        <f>+SUMIFS('[1]Facturacion a Fecha'!$T:$T,'[1]Facturacion a Fecha'!$AY:$AY,Tabla1[[#This Row],[Cliente]])</f>
        <v>0</v>
      </c>
      <c r="D260" s="24">
        <f>+SUMIFS('[1]Facturacion a Fecha'!$T:$T,'[1]Facturacion a Fecha'!$AY:$AY,Tabla1[[#This Row],[Cliente]],'[1]Facturacion a Fecha'!$AX:$AX,"Correctivo")</f>
        <v>0</v>
      </c>
      <c r="E260" s="25">
        <f>+COUNTIFS('[1]Facturacion a Fecha'!AY:AY,Tabla1[[#This Row],[Cliente]],'[1]Facturacion a Fecha'!AX:AX,"Correctivo")</f>
        <v>0</v>
      </c>
      <c r="F260" s="25">
        <f>+SUMIFS('[1]Facturacion a Fecha'!$T:$T,'[1]Facturacion a Fecha'!$AY:$AY,Tabla1[[#This Row],[Cliente]],'[1]Facturacion a Fecha'!$AX:$AX,"Preventivo")</f>
        <v>0</v>
      </c>
      <c r="G260" s="25">
        <f>+COUNTIFS('[1]Facturacion a Fecha'!AY:AY,Tabla1[[#This Row],[Cliente]],'[1]Facturacion a Fecha'!AX:AX,"Preventivo")</f>
        <v>0</v>
      </c>
      <c r="H260" s="26">
        <f>+Tabla1[[#This Row],['# Preventivo]]+Tabla1[[#This Row],['# Correctivo]]</f>
        <v>0</v>
      </c>
      <c r="I260" s="23">
        <f>+IFERROR(Tabla1[[#This Row],[Ingreso 2025 - 2026 Correctivo]]/Tabla1[[#This Row],[Ingreso 2025 - 2026 Preventivo]],0)</f>
        <v>0</v>
      </c>
      <c r="J260" s="59">
        <f>+IFERROR(Tabla1[[#This Row],['# Correctivo]]/Tabla1[[#This Row],['# Preventivo]],0)</f>
        <v>0</v>
      </c>
      <c r="K260" s="60">
        <f>+IFERROR(Tabla1[[#This Row],[Ingreso 2025 - 2026 Preventivo]]/(Tabla1[[#This Row],[Ingreso 2025 - 2026 Correctivo]]+Tabla1[[#This Row],[Ingreso 2025 - 2026 Preventivo]]),0)</f>
        <v>0</v>
      </c>
      <c r="L260" s="60">
        <f>1-Tabla1[[#This Row],[% Preventivo $]]</f>
        <v>1</v>
      </c>
      <c r="M260" s="45">
        <f>+COUNTIFS('[1]Base Instalada'!AA:AA,Tabla1[[#This Row],[Cliente]])</f>
        <v>7</v>
      </c>
      <c r="N26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0" s="45">
        <f>+COUNTIFS('[1]Base Instalada'!AA:AA,Tabla1[[#This Row],[Cliente]],'[1]Base Instalada'!Z:Z,"ESTERILIZACIÓN")</f>
        <v>0</v>
      </c>
      <c r="P260" s="45">
        <f>+COUNTIFS('[1]Base Instalada'!AA:AA,Tabla1[[#This Row],[Cliente]],'[1]Base Instalada'!Z:Z,"DENTAL")</f>
        <v>7</v>
      </c>
      <c r="Q260" s="45">
        <f>+COUNTIFS('[1]Base Instalada'!AA:AA,Tabla1[[#This Row],[Cliente]],'[1]Base Instalada'!Z:Z,"ENDOSCOPÍA")</f>
        <v>0</v>
      </c>
      <c r="R260" s="45">
        <f>+COUNTIFS('[1]Base Instalada'!AA:AA,Tabla1[[#This Row],[Cliente]],'[1]Base Instalada'!Z:Z,"INCARDIA")</f>
        <v>0</v>
      </c>
      <c r="S260" s="45">
        <f>+COUNTIFS('[1]Base Instalada'!AA:AA,Tabla1[[#This Row],[Cliente]],'[1]Base Instalada'!Z:Z,"MMQ")</f>
        <v>0</v>
      </c>
      <c r="T260" s="45">
        <f>+COUNTIFS('[1]Base Instalada'!AA:AA,Tabla1[[#This Row],[Cliente]],'[1]Base Instalada'!Z:Z,"REAS")</f>
        <v>0</v>
      </c>
      <c r="U260" s="46">
        <f>+COUNTIFS('[1]Base Instalada'!AA:AA,Tabla1[[#This Row],[Cliente]],'[1]Base Instalada'!Z:Z,"MOBILIARIO CLINICO")</f>
        <v>0</v>
      </c>
      <c r="V260" s="29">
        <f>+COUNTIFS('[1]Base Instalada'!AA:AA,Tabla1[[#This Row],[Cliente]],'[1]Base Instalada'!Z:Z,"OTRO")</f>
        <v>0</v>
      </c>
      <c r="W260" s="61" t="str">
        <f t="shared" si="8"/>
        <v>Región Metropolitana</v>
      </c>
      <c r="X260" s="61" t="str">
        <f t="shared" si="9"/>
        <v>Estación Central</v>
      </c>
      <c r="Y260" s="62" t="s">
        <v>554</v>
      </c>
      <c r="Z260" s="33">
        <f>+COUNTIFS('[1]Pipeline TS'!$F:$F,Tabla1[[#This Row],[Cliente]])</f>
        <v>0</v>
      </c>
      <c r="AA260" s="63">
        <f>SUMIFS('[1]Pipeline Esterilización'!M:M,'[1]Pipeline Esterilización'!E:E,Tabla1[[#This Row],[Cliente]],'[1]Pipeline Esterilización'!B:B,"2026",'[1]Pipeline Esterilización'!L:L,"&gt;0")</f>
        <v>0</v>
      </c>
      <c r="AB260" s="33">
        <f>+SUMIFS('[1]Pipeline Endoscopía'!K:K,'[1]Pipeline Endoscopía'!E:E,Tabla1[[#This Row],[Cliente]],'[1]Pipeline Endoscopía'!B:B,"2026",'[1]Pipeline Endoscopía'!J:J,"&gt;0")</f>
        <v>0</v>
      </c>
      <c r="AC260" s="63">
        <f>+SUMIFS('[1]Pipeline Dental'!K:K,'[1]Pipeline Dental'!E:E,Tabla1[[#This Row],[Cliente]],'[1]Pipeline Dental'!B:B,"2026",'[1]Pipeline Dental'!J:J,"&gt;0")</f>
        <v>0</v>
      </c>
      <c r="AD260" s="64">
        <f>+SUMIFS('[1]Pipeline TS'!$AB:$AB,'[1]Pipeline TS'!$F:$F,Tabla1[[#This Row],[Cliente]])</f>
        <v>0</v>
      </c>
      <c r="AE260" s="65">
        <f>+SUM(Tabla1[[#This Row],[Pipeline 2026 $MM ESTERILIZACIÓN]:[Pipeline 2026 $MM TECSERVICE]])</f>
        <v>0</v>
      </c>
      <c r="AF260" s="43">
        <v>-33.452188796953997</v>
      </c>
      <c r="AG260" s="58">
        <v>-70.682942562195706</v>
      </c>
      <c r="AH260" s="57" t="str">
        <f>+IF(Tabla1[[#This Row],['# Contratos Vigentes ]]&gt;0,"SI","NO")</f>
        <v>NO</v>
      </c>
      <c r="AI260" s="66"/>
      <c r="AJ260" s="67">
        <f>+Tabla1[[#This Row],[Ingreso 2025 - 2026]]*Tabla1[[#This Row],[% Costo Serv. Directo]]</f>
        <v>0</v>
      </c>
      <c r="AK260" s="68"/>
      <c r="AL26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260" s="42">
        <f>+Tabla1[[#This Row],[Potencial Equipos]]+Tabla1[[#This Row],[Potencial Pipeline]]</f>
        <v>4193700</v>
      </c>
    </row>
    <row r="261" spans="1:40" ht="15.75" x14ac:dyDescent="0.25">
      <c r="A261" s="47" t="s">
        <v>555</v>
      </c>
      <c r="B261" t="str">
        <f>+VLOOKUP(Tabla1[[#This Row],[Cliente]],'[1]Público Privado'!$A$1:$B$325,2,FALSE)</f>
        <v>Privado</v>
      </c>
      <c r="C261" s="23">
        <f>+SUMIFS('[1]Facturacion a Fecha'!$T:$T,'[1]Facturacion a Fecha'!$AY:$AY,Tabla1[[#This Row],[Cliente]])</f>
        <v>0</v>
      </c>
      <c r="D261" s="24">
        <f>+SUMIFS('[1]Facturacion a Fecha'!$T:$T,'[1]Facturacion a Fecha'!$AY:$AY,Tabla1[[#This Row],[Cliente]],'[1]Facturacion a Fecha'!$AX:$AX,"Correctivo")</f>
        <v>0</v>
      </c>
      <c r="E261" s="25">
        <f>+COUNTIFS('[1]Facturacion a Fecha'!AY:AY,Tabla1[[#This Row],[Cliente]],'[1]Facturacion a Fecha'!AX:AX,"Correctivo")</f>
        <v>0</v>
      </c>
      <c r="F261" s="25">
        <f>+SUMIFS('[1]Facturacion a Fecha'!$T:$T,'[1]Facturacion a Fecha'!$AY:$AY,Tabla1[[#This Row],[Cliente]],'[1]Facturacion a Fecha'!$AX:$AX,"Preventivo")</f>
        <v>0</v>
      </c>
      <c r="G261" s="25">
        <f>+COUNTIFS('[1]Facturacion a Fecha'!AY:AY,Tabla1[[#This Row],[Cliente]],'[1]Facturacion a Fecha'!AX:AX,"Preventivo")</f>
        <v>0</v>
      </c>
      <c r="H261" s="26">
        <f>+Tabla1[[#This Row],['# Preventivo]]+Tabla1[[#This Row],['# Correctivo]]</f>
        <v>0</v>
      </c>
      <c r="I261" s="23">
        <f>+IFERROR(Tabla1[[#This Row],[Ingreso 2025 - 2026 Correctivo]]/Tabla1[[#This Row],[Ingreso 2025 - 2026 Preventivo]],0)</f>
        <v>0</v>
      </c>
      <c r="J261" s="59">
        <f>+IFERROR(Tabla1[[#This Row],['# Correctivo]]/Tabla1[[#This Row],['# Preventivo]],0)</f>
        <v>0</v>
      </c>
      <c r="K261" s="60">
        <f>+IFERROR(Tabla1[[#This Row],[Ingreso 2025 - 2026 Preventivo]]/(Tabla1[[#This Row],[Ingreso 2025 - 2026 Correctivo]]+Tabla1[[#This Row],[Ingreso 2025 - 2026 Preventivo]]),0)</f>
        <v>0</v>
      </c>
      <c r="L261" s="60">
        <f>1-Tabla1[[#This Row],[% Preventivo $]]</f>
        <v>1</v>
      </c>
      <c r="M261" s="45">
        <f>+COUNTIFS('[1]Base Instalada'!AA:AA,Tabla1[[#This Row],[Cliente]])</f>
        <v>5</v>
      </c>
      <c r="N26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1" s="45">
        <f>+COUNTIFS('[1]Base Instalada'!AA:AA,Tabla1[[#This Row],[Cliente]],'[1]Base Instalada'!Z:Z,"ESTERILIZACIÓN")</f>
        <v>0</v>
      </c>
      <c r="P261" s="45">
        <f>+COUNTIFS('[1]Base Instalada'!AA:AA,Tabla1[[#This Row],[Cliente]],'[1]Base Instalada'!Z:Z,"DENTAL")</f>
        <v>5</v>
      </c>
      <c r="Q261" s="45">
        <f>+COUNTIFS('[1]Base Instalada'!AA:AA,Tabla1[[#This Row],[Cliente]],'[1]Base Instalada'!Z:Z,"ENDOSCOPÍA")</f>
        <v>0</v>
      </c>
      <c r="R261" s="45">
        <f>+COUNTIFS('[1]Base Instalada'!AA:AA,Tabla1[[#This Row],[Cliente]],'[1]Base Instalada'!Z:Z,"INCARDIA")</f>
        <v>0</v>
      </c>
      <c r="S261" s="45">
        <f>+COUNTIFS('[1]Base Instalada'!AA:AA,Tabla1[[#This Row],[Cliente]],'[1]Base Instalada'!Z:Z,"MMQ")</f>
        <v>0</v>
      </c>
      <c r="T261" s="45">
        <f>+COUNTIFS('[1]Base Instalada'!AA:AA,Tabla1[[#This Row],[Cliente]],'[1]Base Instalada'!Z:Z,"REAS")</f>
        <v>0</v>
      </c>
      <c r="U261" s="46">
        <f>+COUNTIFS('[1]Base Instalada'!AA:AA,Tabla1[[#This Row],[Cliente]],'[1]Base Instalada'!Z:Z,"MOBILIARIO CLINICO")</f>
        <v>0</v>
      </c>
      <c r="V261" s="29">
        <f>+COUNTIFS('[1]Base Instalada'!AA:AA,Tabla1[[#This Row],[Cliente]],'[1]Base Instalada'!Z:Z,"OTRO")</f>
        <v>0</v>
      </c>
      <c r="W261" s="61" t="str">
        <f t="shared" si="8"/>
        <v>Región Metropolitana</v>
      </c>
      <c r="X261" s="61" t="str">
        <f t="shared" si="9"/>
        <v>Providencia</v>
      </c>
      <c r="Y261" s="62" t="s">
        <v>556</v>
      </c>
      <c r="Z261" s="33">
        <f>+COUNTIFS('[1]Pipeline TS'!$F:$F,Tabla1[[#This Row],[Cliente]])</f>
        <v>0</v>
      </c>
      <c r="AA261" s="63">
        <f>SUMIFS('[1]Pipeline Esterilización'!M:M,'[1]Pipeline Esterilización'!E:E,Tabla1[[#This Row],[Cliente]],'[1]Pipeline Esterilización'!B:B,"2026",'[1]Pipeline Esterilización'!L:L,"&gt;0")</f>
        <v>0</v>
      </c>
      <c r="AB261" s="33">
        <f>+SUMIFS('[1]Pipeline Endoscopía'!K:K,'[1]Pipeline Endoscopía'!E:E,Tabla1[[#This Row],[Cliente]],'[1]Pipeline Endoscopía'!B:B,"2026",'[1]Pipeline Endoscopía'!J:J,"&gt;0")</f>
        <v>0</v>
      </c>
      <c r="AC261" s="63">
        <f>+SUMIFS('[1]Pipeline Dental'!K:K,'[1]Pipeline Dental'!E:E,Tabla1[[#This Row],[Cliente]],'[1]Pipeline Dental'!B:B,"2026",'[1]Pipeline Dental'!J:J,"&gt;0")</f>
        <v>0</v>
      </c>
      <c r="AD261" s="64">
        <f>+SUMIFS('[1]Pipeline TS'!$AB:$AB,'[1]Pipeline TS'!$F:$F,Tabla1[[#This Row],[Cliente]])</f>
        <v>0</v>
      </c>
      <c r="AE261" s="65">
        <f>+SUM(Tabla1[[#This Row],[Pipeline 2026 $MM ESTERILIZACIÓN]:[Pipeline 2026 $MM TECSERVICE]])</f>
        <v>0</v>
      </c>
      <c r="AF261" s="43">
        <v>-33.425184105344698</v>
      </c>
      <c r="AG261" s="58">
        <v>-70.614730176961501</v>
      </c>
      <c r="AH261" s="57" t="str">
        <f>+IF(Tabla1[[#This Row],['# Contratos Vigentes ]]&gt;0,"SI","NO")</f>
        <v>NO</v>
      </c>
      <c r="AI261" s="66"/>
      <c r="AJ261" s="67">
        <f>+Tabla1[[#This Row],[Ingreso 2025 - 2026]]*Tabla1[[#This Row],[% Costo Serv. Directo]]</f>
        <v>0</v>
      </c>
      <c r="AK261" s="68"/>
      <c r="AL26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61" s="42">
        <f>+Tabla1[[#This Row],[Potencial Equipos]]+Tabla1[[#This Row],[Potencial Pipeline]]</f>
        <v>2995500</v>
      </c>
    </row>
    <row r="262" spans="1:40" ht="15.75" x14ac:dyDescent="0.25">
      <c r="A262" s="47" t="s">
        <v>557</v>
      </c>
      <c r="B262" t="str">
        <f>+VLOOKUP(Tabla1[[#This Row],[Cliente]],'[1]Público Privado'!$A$1:$B$325,2,FALSE)</f>
        <v>Privado</v>
      </c>
      <c r="C262" s="23">
        <f>+SUMIFS('[1]Facturacion a Fecha'!$T:$T,'[1]Facturacion a Fecha'!$AY:$AY,Tabla1[[#This Row],[Cliente]])</f>
        <v>0</v>
      </c>
      <c r="D262" s="24">
        <f>+SUMIFS('[1]Facturacion a Fecha'!$T:$T,'[1]Facturacion a Fecha'!$AY:$AY,Tabla1[[#This Row],[Cliente]],'[1]Facturacion a Fecha'!$AX:$AX,"Correctivo")</f>
        <v>0</v>
      </c>
      <c r="E262" s="25">
        <f>+COUNTIFS('[1]Facturacion a Fecha'!AY:AY,Tabla1[[#This Row],[Cliente]],'[1]Facturacion a Fecha'!AX:AX,"Correctivo")</f>
        <v>0</v>
      </c>
      <c r="F262" s="25">
        <f>+SUMIFS('[1]Facturacion a Fecha'!$T:$T,'[1]Facturacion a Fecha'!$AY:$AY,Tabla1[[#This Row],[Cliente]],'[1]Facturacion a Fecha'!$AX:$AX,"Preventivo")</f>
        <v>0</v>
      </c>
      <c r="G262" s="25">
        <f>+COUNTIFS('[1]Facturacion a Fecha'!AY:AY,Tabla1[[#This Row],[Cliente]],'[1]Facturacion a Fecha'!AX:AX,"Preventivo")</f>
        <v>0</v>
      </c>
      <c r="H262" s="26">
        <f>+Tabla1[[#This Row],['# Preventivo]]+Tabla1[[#This Row],['# Correctivo]]</f>
        <v>0</v>
      </c>
      <c r="I262" s="23">
        <f>+IFERROR(Tabla1[[#This Row],[Ingreso 2025 - 2026 Correctivo]]/Tabla1[[#This Row],[Ingreso 2025 - 2026 Preventivo]],0)</f>
        <v>0</v>
      </c>
      <c r="J262" s="59">
        <f>+IFERROR(Tabla1[[#This Row],['# Correctivo]]/Tabla1[[#This Row],['# Preventivo]],0)</f>
        <v>0</v>
      </c>
      <c r="K262" s="60">
        <f>+IFERROR(Tabla1[[#This Row],[Ingreso 2025 - 2026 Preventivo]]/(Tabla1[[#This Row],[Ingreso 2025 - 2026 Correctivo]]+Tabla1[[#This Row],[Ingreso 2025 - 2026 Preventivo]]),0)</f>
        <v>0</v>
      </c>
      <c r="L262" s="60">
        <f>1-Tabla1[[#This Row],[% Preventivo $]]</f>
        <v>1</v>
      </c>
      <c r="M262" s="45">
        <f>+COUNTIFS('[1]Base Instalada'!AA:AA,Tabla1[[#This Row],[Cliente]])</f>
        <v>25</v>
      </c>
      <c r="N26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2" s="45">
        <f>+COUNTIFS('[1]Base Instalada'!AA:AA,Tabla1[[#This Row],[Cliente]],'[1]Base Instalada'!Z:Z,"ESTERILIZACIÓN")</f>
        <v>0</v>
      </c>
      <c r="P262" s="45">
        <f>+COUNTIFS('[1]Base Instalada'!AA:AA,Tabla1[[#This Row],[Cliente]],'[1]Base Instalada'!Z:Z,"DENTAL")</f>
        <v>25</v>
      </c>
      <c r="Q262" s="45">
        <f>+COUNTIFS('[1]Base Instalada'!AA:AA,Tabla1[[#This Row],[Cliente]],'[1]Base Instalada'!Z:Z,"ENDOSCOPÍA")</f>
        <v>0</v>
      </c>
      <c r="R262" s="45">
        <f>+COUNTIFS('[1]Base Instalada'!AA:AA,Tabla1[[#This Row],[Cliente]],'[1]Base Instalada'!Z:Z,"INCARDIA")</f>
        <v>0</v>
      </c>
      <c r="S262" s="45">
        <f>+COUNTIFS('[1]Base Instalada'!AA:AA,Tabla1[[#This Row],[Cliente]],'[1]Base Instalada'!Z:Z,"MMQ")</f>
        <v>0</v>
      </c>
      <c r="T262" s="45">
        <f>+COUNTIFS('[1]Base Instalada'!AA:AA,Tabla1[[#This Row],[Cliente]],'[1]Base Instalada'!Z:Z,"REAS")</f>
        <v>0</v>
      </c>
      <c r="U262" s="46">
        <f>+COUNTIFS('[1]Base Instalada'!AA:AA,Tabla1[[#This Row],[Cliente]],'[1]Base Instalada'!Z:Z,"MOBILIARIO CLINICO")</f>
        <v>0</v>
      </c>
      <c r="V262" s="29">
        <f>+COUNTIFS('[1]Base Instalada'!AA:AA,Tabla1[[#This Row],[Cliente]],'[1]Base Instalada'!Z:Z,"OTRO")</f>
        <v>0</v>
      </c>
      <c r="W262" s="61" t="str">
        <f t="shared" si="8"/>
        <v>Región Metropolitana</v>
      </c>
      <c r="X262" s="61" t="str">
        <f t="shared" si="9"/>
        <v>La Florida</v>
      </c>
      <c r="Y262" s="62" t="s">
        <v>558</v>
      </c>
      <c r="Z262" s="33">
        <f>+COUNTIFS('[1]Pipeline TS'!$F:$F,Tabla1[[#This Row],[Cliente]])</f>
        <v>0</v>
      </c>
      <c r="AA262" s="63">
        <f>SUMIFS('[1]Pipeline Esterilización'!M:M,'[1]Pipeline Esterilización'!E:E,Tabla1[[#This Row],[Cliente]],'[1]Pipeline Esterilización'!B:B,"2026",'[1]Pipeline Esterilización'!L:L,"&gt;0")</f>
        <v>0</v>
      </c>
      <c r="AB262" s="33">
        <f>+SUMIFS('[1]Pipeline Endoscopía'!K:K,'[1]Pipeline Endoscopía'!E:E,Tabla1[[#This Row],[Cliente]],'[1]Pipeline Endoscopía'!B:B,"2026",'[1]Pipeline Endoscopía'!J:J,"&gt;0")</f>
        <v>0</v>
      </c>
      <c r="AC262" s="63">
        <f>+SUMIFS('[1]Pipeline Dental'!K:K,'[1]Pipeline Dental'!E:E,Tabla1[[#This Row],[Cliente]],'[1]Pipeline Dental'!B:B,"2026",'[1]Pipeline Dental'!J:J,"&gt;0")</f>
        <v>0</v>
      </c>
      <c r="AD262" s="64">
        <f>+SUMIFS('[1]Pipeline TS'!$AB:$AB,'[1]Pipeline TS'!$F:$F,Tabla1[[#This Row],[Cliente]])</f>
        <v>0</v>
      </c>
      <c r="AE262" s="65">
        <f>+SUM(Tabla1[[#This Row],[Pipeline 2026 $MM ESTERILIZACIÓN]:[Pipeline 2026 $MM TECSERVICE]])</f>
        <v>0</v>
      </c>
      <c r="AF262" s="43">
        <v>-33.516922951777097</v>
      </c>
      <c r="AG262" s="58">
        <v>-70.601202004521397</v>
      </c>
      <c r="AH262" s="57" t="str">
        <f>+IF(Tabla1[[#This Row],['# Contratos Vigentes ]]&gt;0,"SI","NO")</f>
        <v>NO</v>
      </c>
      <c r="AI262" s="66"/>
      <c r="AJ262" s="67">
        <f>+Tabla1[[#This Row],[Ingreso 2025 - 2026]]*Tabla1[[#This Row],[% Costo Serv. Directo]]</f>
        <v>0</v>
      </c>
      <c r="AK262" s="68"/>
      <c r="AL26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14977500</v>
      </c>
      <c r="AN262" s="42">
        <f>+Tabla1[[#This Row],[Potencial Equipos]]+Tabla1[[#This Row],[Potencial Pipeline]]</f>
        <v>14977500</v>
      </c>
    </row>
    <row r="263" spans="1:40" ht="15.75" x14ac:dyDescent="0.25">
      <c r="A263" s="47" t="s">
        <v>559</v>
      </c>
      <c r="B263" t="str">
        <f>+VLOOKUP(Tabla1[[#This Row],[Cliente]],'[1]Público Privado'!$A$1:$B$325,2,FALSE)</f>
        <v>Privado</v>
      </c>
      <c r="C263" s="23">
        <f>+SUMIFS('[1]Facturacion a Fecha'!$T:$T,'[1]Facturacion a Fecha'!$AY:$AY,Tabla1[[#This Row],[Cliente]])</f>
        <v>0</v>
      </c>
      <c r="D263" s="24">
        <f>+SUMIFS('[1]Facturacion a Fecha'!$T:$T,'[1]Facturacion a Fecha'!$AY:$AY,Tabla1[[#This Row],[Cliente]],'[1]Facturacion a Fecha'!$AX:$AX,"Correctivo")</f>
        <v>0</v>
      </c>
      <c r="E263" s="25">
        <f>+COUNTIFS('[1]Facturacion a Fecha'!AY:AY,Tabla1[[#This Row],[Cliente]],'[1]Facturacion a Fecha'!AX:AX,"Correctivo")</f>
        <v>0</v>
      </c>
      <c r="F263" s="25">
        <f>+SUMIFS('[1]Facturacion a Fecha'!$T:$T,'[1]Facturacion a Fecha'!$AY:$AY,Tabla1[[#This Row],[Cliente]],'[1]Facturacion a Fecha'!$AX:$AX,"Preventivo")</f>
        <v>0</v>
      </c>
      <c r="G263" s="25">
        <f>+COUNTIFS('[1]Facturacion a Fecha'!AY:AY,Tabla1[[#This Row],[Cliente]],'[1]Facturacion a Fecha'!AX:AX,"Preventivo")</f>
        <v>0</v>
      </c>
      <c r="H263" s="26">
        <f>+Tabla1[[#This Row],['# Preventivo]]+Tabla1[[#This Row],['# Correctivo]]</f>
        <v>0</v>
      </c>
      <c r="I263" s="23">
        <f>+IFERROR(Tabla1[[#This Row],[Ingreso 2025 - 2026 Correctivo]]/Tabla1[[#This Row],[Ingreso 2025 - 2026 Preventivo]],0)</f>
        <v>0</v>
      </c>
      <c r="J263" s="59">
        <f>+IFERROR(Tabla1[[#This Row],['# Correctivo]]/Tabla1[[#This Row],['# Preventivo]],0)</f>
        <v>0</v>
      </c>
      <c r="K263" s="60">
        <f>+IFERROR(Tabla1[[#This Row],[Ingreso 2025 - 2026 Preventivo]]/(Tabla1[[#This Row],[Ingreso 2025 - 2026 Correctivo]]+Tabla1[[#This Row],[Ingreso 2025 - 2026 Preventivo]]),0)</f>
        <v>0</v>
      </c>
      <c r="L263" s="60">
        <f>1-Tabla1[[#This Row],[% Preventivo $]]</f>
        <v>1</v>
      </c>
      <c r="M263" s="45">
        <f>+COUNTIFS('[1]Base Instalada'!AA:AA,Tabla1[[#This Row],[Cliente]])</f>
        <v>6</v>
      </c>
      <c r="N26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3" s="45">
        <f>+COUNTIFS('[1]Base Instalada'!AA:AA,Tabla1[[#This Row],[Cliente]],'[1]Base Instalada'!Z:Z,"ESTERILIZACIÓN")</f>
        <v>0</v>
      </c>
      <c r="P263" s="45">
        <f>+COUNTIFS('[1]Base Instalada'!AA:AA,Tabla1[[#This Row],[Cliente]],'[1]Base Instalada'!Z:Z,"DENTAL")</f>
        <v>6</v>
      </c>
      <c r="Q263" s="45">
        <f>+COUNTIFS('[1]Base Instalada'!AA:AA,Tabla1[[#This Row],[Cliente]],'[1]Base Instalada'!Z:Z,"ENDOSCOPÍA")</f>
        <v>0</v>
      </c>
      <c r="R263" s="45">
        <f>+COUNTIFS('[1]Base Instalada'!AA:AA,Tabla1[[#This Row],[Cliente]],'[1]Base Instalada'!Z:Z,"INCARDIA")</f>
        <v>0</v>
      </c>
      <c r="S263" s="45">
        <f>+COUNTIFS('[1]Base Instalada'!AA:AA,Tabla1[[#This Row],[Cliente]],'[1]Base Instalada'!Z:Z,"MMQ")</f>
        <v>0</v>
      </c>
      <c r="T263" s="45">
        <f>+COUNTIFS('[1]Base Instalada'!AA:AA,Tabla1[[#This Row],[Cliente]],'[1]Base Instalada'!Z:Z,"REAS")</f>
        <v>0</v>
      </c>
      <c r="U263" s="46">
        <f>+COUNTIFS('[1]Base Instalada'!AA:AA,Tabla1[[#This Row],[Cliente]],'[1]Base Instalada'!Z:Z,"MOBILIARIO CLINICO")</f>
        <v>0</v>
      </c>
      <c r="V263" s="29">
        <f>+COUNTIFS('[1]Base Instalada'!AA:AA,Tabla1[[#This Row],[Cliente]],'[1]Base Instalada'!Z:Z,"OTRO")</f>
        <v>0</v>
      </c>
      <c r="W263" s="61" t="str">
        <f t="shared" si="8"/>
        <v>Región Araucanía</v>
      </c>
      <c r="X263" s="61" t="str">
        <f t="shared" si="9"/>
        <v>Temuco</v>
      </c>
      <c r="Y263" s="62" t="s">
        <v>560</v>
      </c>
      <c r="Z263" s="33">
        <f>+COUNTIFS('[1]Pipeline TS'!$F:$F,Tabla1[[#This Row],[Cliente]])</f>
        <v>0</v>
      </c>
      <c r="AA263" s="63">
        <f>SUMIFS('[1]Pipeline Esterilización'!M:M,'[1]Pipeline Esterilización'!E:E,Tabla1[[#This Row],[Cliente]],'[1]Pipeline Esterilización'!B:B,"2026",'[1]Pipeline Esterilización'!L:L,"&gt;0")</f>
        <v>0</v>
      </c>
      <c r="AB263" s="33">
        <f>+SUMIFS('[1]Pipeline Endoscopía'!K:K,'[1]Pipeline Endoscopía'!E:E,Tabla1[[#This Row],[Cliente]],'[1]Pipeline Endoscopía'!B:B,"2026",'[1]Pipeline Endoscopía'!J:J,"&gt;0")</f>
        <v>0</v>
      </c>
      <c r="AC263" s="63">
        <f>+SUMIFS('[1]Pipeline Dental'!K:K,'[1]Pipeline Dental'!E:E,Tabla1[[#This Row],[Cliente]],'[1]Pipeline Dental'!B:B,"2026",'[1]Pipeline Dental'!J:J,"&gt;0")</f>
        <v>0</v>
      </c>
      <c r="AD263" s="64">
        <f>+SUMIFS('[1]Pipeline TS'!$AB:$AB,'[1]Pipeline TS'!$F:$F,Tabla1[[#This Row],[Cliente]])</f>
        <v>0</v>
      </c>
      <c r="AE263" s="65">
        <f>+SUM(Tabla1[[#This Row],[Pipeline 2026 $MM ESTERILIZACIÓN]:[Pipeline 2026 $MM TECSERVICE]])</f>
        <v>0</v>
      </c>
      <c r="AF263" s="43">
        <v>-38.735159085200898</v>
      </c>
      <c r="AG263" s="58">
        <v>-72.5870037907208</v>
      </c>
      <c r="AH263" s="57" t="str">
        <f>+IF(Tabla1[[#This Row],['# Contratos Vigentes ]]&gt;0,"SI","NO")</f>
        <v>NO</v>
      </c>
      <c r="AI263" s="66"/>
      <c r="AJ263" s="67">
        <f>+Tabla1[[#This Row],[Ingreso 2025 - 2026]]*Tabla1[[#This Row],[% Costo Serv. Directo]]</f>
        <v>0</v>
      </c>
      <c r="AK263" s="68"/>
      <c r="AL26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63" s="42">
        <f>+Tabla1[[#This Row],[Potencial Equipos]]+Tabla1[[#This Row],[Potencial Pipeline]]</f>
        <v>3594600</v>
      </c>
    </row>
    <row r="264" spans="1:40" ht="15.75" x14ac:dyDescent="0.25">
      <c r="A264" s="47" t="s">
        <v>561</v>
      </c>
      <c r="B264" t="str">
        <f>+VLOOKUP(Tabla1[[#This Row],[Cliente]],'[1]Público Privado'!$A$1:$B$325,2,FALSE)</f>
        <v>Público</v>
      </c>
      <c r="C264" s="23">
        <f>+SUMIFS('[1]Facturacion a Fecha'!$T:$T,'[1]Facturacion a Fecha'!$AY:$AY,Tabla1[[#This Row],[Cliente]])</f>
        <v>0</v>
      </c>
      <c r="D264" s="24">
        <f>+SUMIFS('[1]Facturacion a Fecha'!$T:$T,'[1]Facturacion a Fecha'!$AY:$AY,Tabla1[[#This Row],[Cliente]],'[1]Facturacion a Fecha'!$AX:$AX,"Correctivo")</f>
        <v>0</v>
      </c>
      <c r="E264" s="25">
        <f>+COUNTIFS('[1]Facturacion a Fecha'!AY:AY,Tabla1[[#This Row],[Cliente]],'[1]Facturacion a Fecha'!AX:AX,"Correctivo")</f>
        <v>0</v>
      </c>
      <c r="F264" s="25">
        <f>+SUMIFS('[1]Facturacion a Fecha'!$T:$T,'[1]Facturacion a Fecha'!$AY:$AY,Tabla1[[#This Row],[Cliente]],'[1]Facturacion a Fecha'!$AX:$AX,"Preventivo")</f>
        <v>0</v>
      </c>
      <c r="G264" s="25">
        <f>+COUNTIFS('[1]Facturacion a Fecha'!AY:AY,Tabla1[[#This Row],[Cliente]],'[1]Facturacion a Fecha'!AX:AX,"Preventivo")</f>
        <v>0</v>
      </c>
      <c r="H264" s="26">
        <f>+Tabla1[[#This Row],['# Preventivo]]+Tabla1[[#This Row],['# Correctivo]]</f>
        <v>0</v>
      </c>
      <c r="I264" s="23">
        <f>+IFERROR(Tabla1[[#This Row],[Ingreso 2025 - 2026 Correctivo]]/Tabla1[[#This Row],[Ingreso 2025 - 2026 Preventivo]],0)</f>
        <v>0</v>
      </c>
      <c r="J264" s="59">
        <f>+IFERROR(Tabla1[[#This Row],['# Correctivo]]/Tabla1[[#This Row],['# Preventivo]],0)</f>
        <v>0</v>
      </c>
      <c r="K264" s="60">
        <f>+IFERROR(Tabla1[[#This Row],[Ingreso 2025 - 2026 Preventivo]]/(Tabla1[[#This Row],[Ingreso 2025 - 2026 Correctivo]]+Tabla1[[#This Row],[Ingreso 2025 - 2026 Preventivo]]),0)</f>
        <v>0</v>
      </c>
      <c r="L264" s="60">
        <f>1-Tabla1[[#This Row],[% Preventivo $]]</f>
        <v>1</v>
      </c>
      <c r="M264" s="45">
        <f>+COUNTIFS('[1]Base Instalada'!AA:AA,Tabla1[[#This Row],[Cliente]])</f>
        <v>12</v>
      </c>
      <c r="N26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4" s="45">
        <f>+COUNTIFS('[1]Base Instalada'!AA:AA,Tabla1[[#This Row],[Cliente]],'[1]Base Instalada'!Z:Z,"ESTERILIZACIÓN")</f>
        <v>1</v>
      </c>
      <c r="P264" s="45">
        <f>+COUNTIFS('[1]Base Instalada'!AA:AA,Tabla1[[#This Row],[Cliente]],'[1]Base Instalada'!Z:Z,"DENTAL")</f>
        <v>11</v>
      </c>
      <c r="Q264" s="45">
        <f>+COUNTIFS('[1]Base Instalada'!AA:AA,Tabla1[[#This Row],[Cliente]],'[1]Base Instalada'!Z:Z,"ENDOSCOPÍA")</f>
        <v>0</v>
      </c>
      <c r="R264" s="45">
        <f>+COUNTIFS('[1]Base Instalada'!AA:AA,Tabla1[[#This Row],[Cliente]],'[1]Base Instalada'!Z:Z,"INCARDIA")</f>
        <v>0</v>
      </c>
      <c r="S264" s="45">
        <f>+COUNTIFS('[1]Base Instalada'!AA:AA,Tabla1[[#This Row],[Cliente]],'[1]Base Instalada'!Z:Z,"MMQ")</f>
        <v>0</v>
      </c>
      <c r="T264" s="45">
        <f>+COUNTIFS('[1]Base Instalada'!AA:AA,Tabla1[[#This Row],[Cliente]],'[1]Base Instalada'!Z:Z,"REAS")</f>
        <v>0</v>
      </c>
      <c r="U264" s="46">
        <f>+COUNTIFS('[1]Base Instalada'!AA:AA,Tabla1[[#This Row],[Cliente]],'[1]Base Instalada'!Z:Z,"MOBILIARIO CLINICO")</f>
        <v>0</v>
      </c>
      <c r="V264" s="29">
        <f>+COUNTIFS('[1]Base Instalada'!AA:AA,Tabla1[[#This Row],[Cliente]],'[1]Base Instalada'!Z:Z,"OTRO")</f>
        <v>0</v>
      </c>
      <c r="W264" s="61" t="str">
        <f t="shared" si="8"/>
        <v>Región Maule</v>
      </c>
      <c r="X264" s="61" t="str">
        <f t="shared" si="9"/>
        <v>Curicó</v>
      </c>
      <c r="Y264" s="62" t="s">
        <v>562</v>
      </c>
      <c r="Z264" s="33">
        <f>+COUNTIFS('[1]Pipeline TS'!$F:$F,Tabla1[[#This Row],[Cliente]])</f>
        <v>0</v>
      </c>
      <c r="AA264" s="63">
        <f>SUMIFS('[1]Pipeline Esterilización'!M:M,'[1]Pipeline Esterilización'!E:E,Tabla1[[#This Row],[Cliente]],'[1]Pipeline Esterilización'!B:B,"2026",'[1]Pipeline Esterilización'!L:L,"&gt;0")</f>
        <v>0</v>
      </c>
      <c r="AB264" s="33">
        <f>+SUMIFS('[1]Pipeline Endoscopía'!K:K,'[1]Pipeline Endoscopía'!E:E,Tabla1[[#This Row],[Cliente]],'[1]Pipeline Endoscopía'!B:B,"2026",'[1]Pipeline Endoscopía'!J:J,"&gt;0")</f>
        <v>0</v>
      </c>
      <c r="AC264" s="63">
        <f>+SUMIFS('[1]Pipeline Dental'!K:K,'[1]Pipeline Dental'!E:E,Tabla1[[#This Row],[Cliente]],'[1]Pipeline Dental'!B:B,"2026",'[1]Pipeline Dental'!J:J,"&gt;0")</f>
        <v>0</v>
      </c>
      <c r="AD264" s="64">
        <f>+SUMIFS('[1]Pipeline TS'!$AB:$AB,'[1]Pipeline TS'!$F:$F,Tabla1[[#This Row],[Cliente]])</f>
        <v>0</v>
      </c>
      <c r="AE264" s="65">
        <f>+SUM(Tabla1[[#This Row],[Pipeline 2026 $MM ESTERILIZACIÓN]:[Pipeline 2026 $MM TECSERVICE]])</f>
        <v>0</v>
      </c>
      <c r="AF264" s="43">
        <v>-34.975863450241498</v>
      </c>
      <c r="AG264" s="58">
        <v>-71.218701759539101</v>
      </c>
      <c r="AH264" s="57" t="str">
        <f>+IF(Tabla1[[#This Row],['# Contratos Vigentes ]]&gt;0,"SI","NO")</f>
        <v>NO</v>
      </c>
      <c r="AI264" s="66"/>
      <c r="AJ264" s="67">
        <f>+Tabla1[[#This Row],[Ingreso 2025 - 2026]]*Tabla1[[#This Row],[% Costo Serv. Directo]]</f>
        <v>0</v>
      </c>
      <c r="AK264" s="68"/>
      <c r="AL26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8587100</v>
      </c>
      <c r="AN264" s="42">
        <f>+Tabla1[[#This Row],[Potencial Equipos]]+Tabla1[[#This Row],[Potencial Pipeline]]</f>
        <v>8587100</v>
      </c>
    </row>
    <row r="265" spans="1:40" ht="15.75" x14ac:dyDescent="0.25">
      <c r="A265" s="47" t="s">
        <v>563</v>
      </c>
      <c r="B265" t="str">
        <f>+VLOOKUP(Tabla1[[#This Row],[Cliente]],'[1]Público Privado'!$A$1:$B$325,2,FALSE)</f>
        <v>Privado</v>
      </c>
      <c r="C265" s="23">
        <f>+SUMIFS('[1]Facturacion a Fecha'!$T:$T,'[1]Facturacion a Fecha'!$AY:$AY,Tabla1[[#This Row],[Cliente]])</f>
        <v>0</v>
      </c>
      <c r="D265" s="24">
        <f>+SUMIFS('[1]Facturacion a Fecha'!$T:$T,'[1]Facturacion a Fecha'!$AY:$AY,Tabla1[[#This Row],[Cliente]],'[1]Facturacion a Fecha'!$AX:$AX,"Correctivo")</f>
        <v>0</v>
      </c>
      <c r="E265" s="25">
        <f>+COUNTIFS('[1]Facturacion a Fecha'!AY:AY,Tabla1[[#This Row],[Cliente]],'[1]Facturacion a Fecha'!AX:AX,"Correctivo")</f>
        <v>0</v>
      </c>
      <c r="F265" s="25">
        <f>+SUMIFS('[1]Facturacion a Fecha'!$T:$T,'[1]Facturacion a Fecha'!$AY:$AY,Tabla1[[#This Row],[Cliente]],'[1]Facturacion a Fecha'!$AX:$AX,"Preventivo")</f>
        <v>0</v>
      </c>
      <c r="G265" s="25">
        <f>+COUNTIFS('[1]Facturacion a Fecha'!AY:AY,Tabla1[[#This Row],[Cliente]],'[1]Facturacion a Fecha'!AX:AX,"Preventivo")</f>
        <v>0</v>
      </c>
      <c r="H265" s="26">
        <f>+Tabla1[[#This Row],['# Preventivo]]+Tabla1[[#This Row],['# Correctivo]]</f>
        <v>0</v>
      </c>
      <c r="I265" s="23">
        <f>+IFERROR(Tabla1[[#This Row],[Ingreso 2025 - 2026 Correctivo]]/Tabla1[[#This Row],[Ingreso 2025 - 2026 Preventivo]],0)</f>
        <v>0</v>
      </c>
      <c r="J265" s="59">
        <f>+IFERROR(Tabla1[[#This Row],['# Correctivo]]/Tabla1[[#This Row],['# Preventivo]],0)</f>
        <v>0</v>
      </c>
      <c r="K265" s="60">
        <f>+IFERROR(Tabla1[[#This Row],[Ingreso 2025 - 2026 Preventivo]]/(Tabla1[[#This Row],[Ingreso 2025 - 2026 Correctivo]]+Tabla1[[#This Row],[Ingreso 2025 - 2026 Preventivo]]),0)</f>
        <v>0</v>
      </c>
      <c r="L265" s="60">
        <f>1-Tabla1[[#This Row],[% Preventivo $]]</f>
        <v>1</v>
      </c>
      <c r="M265" s="45">
        <f>+COUNTIFS('[1]Base Instalada'!AA:AA,Tabla1[[#This Row],[Cliente]])</f>
        <v>10</v>
      </c>
      <c r="N26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5" s="45">
        <f>+COUNTIFS('[1]Base Instalada'!AA:AA,Tabla1[[#This Row],[Cliente]],'[1]Base Instalada'!Z:Z,"ESTERILIZACIÓN")</f>
        <v>0</v>
      </c>
      <c r="P265" s="45">
        <f>+COUNTIFS('[1]Base Instalada'!AA:AA,Tabla1[[#This Row],[Cliente]],'[1]Base Instalada'!Z:Z,"DENTAL")</f>
        <v>10</v>
      </c>
      <c r="Q265" s="45">
        <f>+COUNTIFS('[1]Base Instalada'!AA:AA,Tabla1[[#This Row],[Cliente]],'[1]Base Instalada'!Z:Z,"ENDOSCOPÍA")</f>
        <v>0</v>
      </c>
      <c r="R265" s="45">
        <f>+COUNTIFS('[1]Base Instalada'!AA:AA,Tabla1[[#This Row],[Cliente]],'[1]Base Instalada'!Z:Z,"INCARDIA")</f>
        <v>0</v>
      </c>
      <c r="S265" s="45">
        <f>+COUNTIFS('[1]Base Instalada'!AA:AA,Tabla1[[#This Row],[Cliente]],'[1]Base Instalada'!Z:Z,"MMQ")</f>
        <v>0</v>
      </c>
      <c r="T265" s="45">
        <f>+COUNTIFS('[1]Base Instalada'!AA:AA,Tabla1[[#This Row],[Cliente]],'[1]Base Instalada'!Z:Z,"REAS")</f>
        <v>0</v>
      </c>
      <c r="U265" s="46">
        <f>+COUNTIFS('[1]Base Instalada'!AA:AA,Tabla1[[#This Row],[Cliente]],'[1]Base Instalada'!Z:Z,"MOBILIARIO CLINICO")</f>
        <v>0</v>
      </c>
      <c r="V265" s="29">
        <f>+COUNTIFS('[1]Base Instalada'!AA:AA,Tabla1[[#This Row],[Cliente]],'[1]Base Instalada'!Z:Z,"OTRO")</f>
        <v>0</v>
      </c>
      <c r="W265" s="61" t="str">
        <f t="shared" si="8"/>
        <v>Región Los Lagos</v>
      </c>
      <c r="X265" s="61" t="str">
        <f t="shared" si="9"/>
        <v>Osorno</v>
      </c>
      <c r="Y265" s="62" t="s">
        <v>564</v>
      </c>
      <c r="Z265" s="33">
        <f>+COUNTIFS('[1]Pipeline TS'!$F:$F,Tabla1[[#This Row],[Cliente]])</f>
        <v>0</v>
      </c>
      <c r="AA265" s="63">
        <f>SUMIFS('[1]Pipeline Esterilización'!M:M,'[1]Pipeline Esterilización'!E:E,Tabla1[[#This Row],[Cliente]],'[1]Pipeline Esterilización'!B:B,"2026",'[1]Pipeline Esterilización'!L:L,"&gt;0")</f>
        <v>0</v>
      </c>
      <c r="AB265" s="33">
        <f>+SUMIFS('[1]Pipeline Endoscopía'!K:K,'[1]Pipeline Endoscopía'!E:E,Tabla1[[#This Row],[Cliente]],'[1]Pipeline Endoscopía'!B:B,"2026",'[1]Pipeline Endoscopía'!J:J,"&gt;0")</f>
        <v>0</v>
      </c>
      <c r="AC265" s="63">
        <f>+SUMIFS('[1]Pipeline Dental'!K:K,'[1]Pipeline Dental'!E:E,Tabla1[[#This Row],[Cliente]],'[1]Pipeline Dental'!B:B,"2026",'[1]Pipeline Dental'!J:J,"&gt;0")</f>
        <v>0</v>
      </c>
      <c r="AD265" s="64">
        <f>+SUMIFS('[1]Pipeline TS'!$AB:$AB,'[1]Pipeline TS'!$F:$F,Tabla1[[#This Row],[Cliente]])</f>
        <v>0</v>
      </c>
      <c r="AE265" s="65">
        <f>+SUM(Tabla1[[#This Row],[Pipeline 2026 $MM ESTERILIZACIÓN]:[Pipeline 2026 $MM TECSERVICE]])</f>
        <v>0</v>
      </c>
      <c r="AF265" s="43">
        <v>-40.577157601590599</v>
      </c>
      <c r="AG265" s="58">
        <v>-73.135321584958007</v>
      </c>
      <c r="AH265" s="57" t="str">
        <f>+IF(Tabla1[[#This Row],['# Contratos Vigentes ]]&gt;0,"SI","NO")</f>
        <v>NO</v>
      </c>
      <c r="AI265" s="66"/>
      <c r="AJ265" s="67">
        <f>+Tabla1[[#This Row],[Ingreso 2025 - 2026]]*Tabla1[[#This Row],[% Costo Serv. Directo]]</f>
        <v>0</v>
      </c>
      <c r="AK265" s="68"/>
      <c r="AL26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5991000</v>
      </c>
      <c r="AN265" s="42">
        <f>+Tabla1[[#This Row],[Potencial Equipos]]+Tabla1[[#This Row],[Potencial Pipeline]]</f>
        <v>5991000</v>
      </c>
    </row>
    <row r="266" spans="1:40" ht="15.75" x14ac:dyDescent="0.25">
      <c r="A266" s="47" t="s">
        <v>565</v>
      </c>
      <c r="B266" t="str">
        <f>+VLOOKUP(Tabla1[[#This Row],[Cliente]],'[1]Público Privado'!$A$1:$B$325,2,FALSE)</f>
        <v>Privado</v>
      </c>
      <c r="C266" s="23">
        <f>+SUMIFS('[1]Facturacion a Fecha'!$T:$T,'[1]Facturacion a Fecha'!$AY:$AY,Tabla1[[#This Row],[Cliente]])</f>
        <v>0</v>
      </c>
      <c r="D266" s="24">
        <f>+SUMIFS('[1]Facturacion a Fecha'!$T:$T,'[1]Facturacion a Fecha'!$AY:$AY,Tabla1[[#This Row],[Cliente]],'[1]Facturacion a Fecha'!$AX:$AX,"Correctivo")</f>
        <v>0</v>
      </c>
      <c r="E266" s="25">
        <f>+COUNTIFS('[1]Facturacion a Fecha'!AY:AY,Tabla1[[#This Row],[Cliente]],'[1]Facturacion a Fecha'!AX:AX,"Correctivo")</f>
        <v>0</v>
      </c>
      <c r="F266" s="25">
        <f>+SUMIFS('[1]Facturacion a Fecha'!$T:$T,'[1]Facturacion a Fecha'!$AY:$AY,Tabla1[[#This Row],[Cliente]],'[1]Facturacion a Fecha'!$AX:$AX,"Preventivo")</f>
        <v>0</v>
      </c>
      <c r="G266" s="25">
        <f>+COUNTIFS('[1]Facturacion a Fecha'!AY:AY,Tabla1[[#This Row],[Cliente]],'[1]Facturacion a Fecha'!AX:AX,"Preventivo")</f>
        <v>0</v>
      </c>
      <c r="H266" s="26">
        <f>+Tabla1[[#This Row],['# Preventivo]]+Tabla1[[#This Row],['# Correctivo]]</f>
        <v>0</v>
      </c>
      <c r="I266" s="23">
        <f>+IFERROR(Tabla1[[#This Row],[Ingreso 2025 - 2026 Correctivo]]/Tabla1[[#This Row],[Ingreso 2025 - 2026 Preventivo]],0)</f>
        <v>0</v>
      </c>
      <c r="J266" s="59">
        <f>+IFERROR(Tabla1[[#This Row],['# Correctivo]]/Tabla1[[#This Row],['# Preventivo]],0)</f>
        <v>0</v>
      </c>
      <c r="K266" s="60">
        <f>+IFERROR(Tabla1[[#This Row],[Ingreso 2025 - 2026 Preventivo]]/(Tabla1[[#This Row],[Ingreso 2025 - 2026 Correctivo]]+Tabla1[[#This Row],[Ingreso 2025 - 2026 Preventivo]]),0)</f>
        <v>0</v>
      </c>
      <c r="L266" s="60">
        <f>1-Tabla1[[#This Row],[% Preventivo $]]</f>
        <v>1</v>
      </c>
      <c r="M266" s="45">
        <f>+COUNTIFS('[1]Base Instalada'!AA:AA,Tabla1[[#This Row],[Cliente]])</f>
        <v>8</v>
      </c>
      <c r="N26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6" s="45">
        <f>+COUNTIFS('[1]Base Instalada'!AA:AA,Tabla1[[#This Row],[Cliente]],'[1]Base Instalada'!Z:Z,"ESTERILIZACIÓN")</f>
        <v>0</v>
      </c>
      <c r="P266" s="45">
        <f>+COUNTIFS('[1]Base Instalada'!AA:AA,Tabla1[[#This Row],[Cliente]],'[1]Base Instalada'!Z:Z,"DENTAL")</f>
        <v>8</v>
      </c>
      <c r="Q266" s="45">
        <f>+COUNTIFS('[1]Base Instalada'!AA:AA,Tabla1[[#This Row],[Cliente]],'[1]Base Instalada'!Z:Z,"ENDOSCOPÍA")</f>
        <v>0</v>
      </c>
      <c r="R266" s="45">
        <f>+COUNTIFS('[1]Base Instalada'!AA:AA,Tabla1[[#This Row],[Cliente]],'[1]Base Instalada'!Z:Z,"INCARDIA")</f>
        <v>0</v>
      </c>
      <c r="S266" s="45">
        <f>+COUNTIFS('[1]Base Instalada'!AA:AA,Tabla1[[#This Row],[Cliente]],'[1]Base Instalada'!Z:Z,"MMQ")</f>
        <v>0</v>
      </c>
      <c r="T266" s="45">
        <f>+COUNTIFS('[1]Base Instalada'!AA:AA,Tabla1[[#This Row],[Cliente]],'[1]Base Instalada'!Z:Z,"REAS")</f>
        <v>0</v>
      </c>
      <c r="U266" s="46">
        <f>+COUNTIFS('[1]Base Instalada'!AA:AA,Tabla1[[#This Row],[Cliente]],'[1]Base Instalada'!Z:Z,"MOBILIARIO CLINICO")</f>
        <v>0</v>
      </c>
      <c r="V266" s="29">
        <f>+COUNTIFS('[1]Base Instalada'!AA:AA,Tabla1[[#This Row],[Cliente]],'[1]Base Instalada'!Z:Z,"OTRO")</f>
        <v>0</v>
      </c>
      <c r="W266" s="61" t="str">
        <f t="shared" si="8"/>
        <v>Región Maule</v>
      </c>
      <c r="X266" s="61" t="str">
        <f t="shared" si="9"/>
        <v>Talca</v>
      </c>
      <c r="Y266" s="62" t="s">
        <v>566</v>
      </c>
      <c r="Z266" s="33">
        <f>+COUNTIFS('[1]Pipeline TS'!$F:$F,Tabla1[[#This Row],[Cliente]])</f>
        <v>0</v>
      </c>
      <c r="AA266" s="63">
        <f>SUMIFS('[1]Pipeline Esterilización'!M:M,'[1]Pipeline Esterilización'!E:E,Tabla1[[#This Row],[Cliente]],'[1]Pipeline Esterilización'!B:B,"2026",'[1]Pipeline Esterilización'!L:L,"&gt;0")</f>
        <v>0</v>
      </c>
      <c r="AB266" s="33">
        <f>+SUMIFS('[1]Pipeline Endoscopía'!K:K,'[1]Pipeline Endoscopía'!E:E,Tabla1[[#This Row],[Cliente]],'[1]Pipeline Endoscopía'!B:B,"2026",'[1]Pipeline Endoscopía'!J:J,"&gt;0")</f>
        <v>0</v>
      </c>
      <c r="AC266" s="63">
        <f>+SUMIFS('[1]Pipeline Dental'!K:K,'[1]Pipeline Dental'!E:E,Tabla1[[#This Row],[Cliente]],'[1]Pipeline Dental'!B:B,"2026",'[1]Pipeline Dental'!J:J,"&gt;0")</f>
        <v>0</v>
      </c>
      <c r="AD266" s="64">
        <f>+SUMIFS('[1]Pipeline TS'!$AB:$AB,'[1]Pipeline TS'!$F:$F,Tabla1[[#This Row],[Cliente]])</f>
        <v>0</v>
      </c>
      <c r="AE266" s="65">
        <f>+SUM(Tabla1[[#This Row],[Pipeline 2026 $MM ESTERILIZACIÓN]:[Pipeline 2026 $MM TECSERVICE]])</f>
        <v>0</v>
      </c>
      <c r="AF266" s="43">
        <v>-35.338198896995401</v>
      </c>
      <c r="AG266" s="58">
        <v>-71.6584508533508</v>
      </c>
      <c r="AH266" s="57" t="str">
        <f>+IF(Tabla1[[#This Row],['# Contratos Vigentes ]]&gt;0,"SI","NO")</f>
        <v>NO</v>
      </c>
      <c r="AI266" s="66"/>
      <c r="AJ266" s="67">
        <f>+Tabla1[[#This Row],[Ingreso 2025 - 2026]]*Tabla1[[#This Row],[% Costo Serv. Directo]]</f>
        <v>0</v>
      </c>
      <c r="AK266" s="68"/>
      <c r="AL26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4792800</v>
      </c>
      <c r="AN266" s="42">
        <f>+Tabla1[[#This Row],[Potencial Equipos]]+Tabla1[[#This Row],[Potencial Pipeline]]</f>
        <v>4792800</v>
      </c>
    </row>
    <row r="267" spans="1:40" ht="15.75" x14ac:dyDescent="0.25">
      <c r="A267" s="47" t="s">
        <v>567</v>
      </c>
      <c r="B267" t="str">
        <f>+VLOOKUP(Tabla1[[#This Row],[Cliente]],'[1]Público Privado'!$A$1:$B$325,2,FALSE)</f>
        <v>Público</v>
      </c>
      <c r="C267" s="23">
        <f>+SUMIFS('[1]Facturacion a Fecha'!$T:$T,'[1]Facturacion a Fecha'!$AY:$AY,Tabla1[[#This Row],[Cliente]])</f>
        <v>0</v>
      </c>
      <c r="D267" s="24">
        <f>+SUMIFS('[1]Facturacion a Fecha'!$T:$T,'[1]Facturacion a Fecha'!$AY:$AY,Tabla1[[#This Row],[Cliente]],'[1]Facturacion a Fecha'!$AX:$AX,"Correctivo")</f>
        <v>0</v>
      </c>
      <c r="E267" s="25">
        <f>+COUNTIFS('[1]Facturacion a Fecha'!AY:AY,Tabla1[[#This Row],[Cliente]],'[1]Facturacion a Fecha'!AX:AX,"Correctivo")</f>
        <v>0</v>
      </c>
      <c r="F267" s="25">
        <f>+SUMIFS('[1]Facturacion a Fecha'!$T:$T,'[1]Facturacion a Fecha'!$AY:$AY,Tabla1[[#This Row],[Cliente]],'[1]Facturacion a Fecha'!$AX:$AX,"Preventivo")</f>
        <v>0</v>
      </c>
      <c r="G267" s="25">
        <f>+COUNTIFS('[1]Facturacion a Fecha'!AY:AY,Tabla1[[#This Row],[Cliente]],'[1]Facturacion a Fecha'!AX:AX,"Preventivo")</f>
        <v>0</v>
      </c>
      <c r="H267" s="26">
        <f>+Tabla1[[#This Row],['# Preventivo]]+Tabla1[[#This Row],['# Correctivo]]</f>
        <v>0</v>
      </c>
      <c r="I267" s="23">
        <f>+IFERROR(Tabla1[[#This Row],[Ingreso 2025 - 2026 Correctivo]]/Tabla1[[#This Row],[Ingreso 2025 - 2026 Preventivo]],0)</f>
        <v>0</v>
      </c>
      <c r="J267" s="59">
        <f>+IFERROR(Tabla1[[#This Row],['# Correctivo]]/Tabla1[[#This Row],['# Preventivo]],0)</f>
        <v>0</v>
      </c>
      <c r="K267" s="60">
        <f>+IFERROR(Tabla1[[#This Row],[Ingreso 2025 - 2026 Preventivo]]/(Tabla1[[#This Row],[Ingreso 2025 - 2026 Correctivo]]+Tabla1[[#This Row],[Ingreso 2025 - 2026 Preventivo]]),0)</f>
        <v>0</v>
      </c>
      <c r="L267" s="60">
        <f>1-Tabla1[[#This Row],[% Preventivo $]]</f>
        <v>1</v>
      </c>
      <c r="M267" s="45">
        <f>+COUNTIFS('[1]Base Instalada'!AA:AA,Tabla1[[#This Row],[Cliente]])</f>
        <v>13</v>
      </c>
      <c r="N26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7" s="45">
        <f>+COUNTIFS('[1]Base Instalada'!AA:AA,Tabla1[[#This Row],[Cliente]],'[1]Base Instalada'!Z:Z,"ESTERILIZACIÓN")</f>
        <v>1</v>
      </c>
      <c r="P267" s="45">
        <f>+COUNTIFS('[1]Base Instalada'!AA:AA,Tabla1[[#This Row],[Cliente]],'[1]Base Instalada'!Z:Z,"DENTAL")</f>
        <v>12</v>
      </c>
      <c r="Q267" s="45">
        <f>+COUNTIFS('[1]Base Instalada'!AA:AA,Tabla1[[#This Row],[Cliente]],'[1]Base Instalada'!Z:Z,"ENDOSCOPÍA")</f>
        <v>0</v>
      </c>
      <c r="R267" s="45">
        <f>+COUNTIFS('[1]Base Instalada'!AA:AA,Tabla1[[#This Row],[Cliente]],'[1]Base Instalada'!Z:Z,"INCARDIA")</f>
        <v>0</v>
      </c>
      <c r="S267" s="45">
        <f>+COUNTIFS('[1]Base Instalada'!AA:AA,Tabla1[[#This Row],[Cliente]],'[1]Base Instalada'!Z:Z,"MMQ")</f>
        <v>0</v>
      </c>
      <c r="T267" s="45">
        <f>+COUNTIFS('[1]Base Instalada'!AA:AA,Tabla1[[#This Row],[Cliente]],'[1]Base Instalada'!Z:Z,"REAS")</f>
        <v>0</v>
      </c>
      <c r="U267" s="46">
        <f>+COUNTIFS('[1]Base Instalada'!AA:AA,Tabla1[[#This Row],[Cliente]],'[1]Base Instalada'!Z:Z,"MOBILIARIO CLINICO")</f>
        <v>0</v>
      </c>
      <c r="V267" s="29">
        <f>+COUNTIFS('[1]Base Instalada'!AA:AA,Tabla1[[#This Row],[Cliente]],'[1]Base Instalada'!Z:Z,"OTRO")</f>
        <v>0</v>
      </c>
      <c r="W267" s="61" t="str">
        <f t="shared" si="8"/>
        <v>Región Maule</v>
      </c>
      <c r="X267" s="61" t="str">
        <f t="shared" si="9"/>
        <v>Talca</v>
      </c>
      <c r="Y267" s="62" t="s">
        <v>568</v>
      </c>
      <c r="Z267" s="33">
        <f>+COUNTIFS('[1]Pipeline TS'!$F:$F,Tabla1[[#This Row],[Cliente]])</f>
        <v>0</v>
      </c>
      <c r="AA267" s="63">
        <f>SUMIFS('[1]Pipeline Esterilización'!M:M,'[1]Pipeline Esterilización'!E:E,Tabla1[[#This Row],[Cliente]],'[1]Pipeline Esterilización'!B:B,"2026",'[1]Pipeline Esterilización'!L:L,"&gt;0")</f>
        <v>0</v>
      </c>
      <c r="AB267" s="33">
        <f>+SUMIFS('[1]Pipeline Endoscopía'!K:K,'[1]Pipeline Endoscopía'!E:E,Tabla1[[#This Row],[Cliente]],'[1]Pipeline Endoscopía'!B:B,"2026",'[1]Pipeline Endoscopía'!J:J,"&gt;0")</f>
        <v>0</v>
      </c>
      <c r="AC267" s="63">
        <f>+SUMIFS('[1]Pipeline Dental'!K:K,'[1]Pipeline Dental'!E:E,Tabla1[[#This Row],[Cliente]],'[1]Pipeline Dental'!B:B,"2026",'[1]Pipeline Dental'!J:J,"&gt;0")</f>
        <v>0</v>
      </c>
      <c r="AD267" s="64">
        <f>+SUMIFS('[1]Pipeline TS'!$AB:$AB,'[1]Pipeline TS'!$F:$F,Tabla1[[#This Row],[Cliente]])</f>
        <v>0</v>
      </c>
      <c r="AE267" s="65">
        <f>+SUM(Tabla1[[#This Row],[Pipeline 2026 $MM ESTERILIZACIÓN]:[Pipeline 2026 $MM TECSERVICE]])</f>
        <v>0</v>
      </c>
      <c r="AF267" s="43">
        <v>-35.4424672131302</v>
      </c>
      <c r="AG267" s="58">
        <v>-71.698124360235596</v>
      </c>
      <c r="AH267" s="57" t="str">
        <f>+IF(Tabla1[[#This Row],['# Contratos Vigentes ]]&gt;0,"SI","NO")</f>
        <v>NO</v>
      </c>
      <c r="AI267" s="66"/>
      <c r="AJ267" s="67">
        <f>+Tabla1[[#This Row],[Ingreso 2025 - 2026]]*Tabla1[[#This Row],[% Costo Serv. Directo]]</f>
        <v>0</v>
      </c>
      <c r="AK267" s="68"/>
      <c r="AL26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9186200</v>
      </c>
      <c r="AN267" s="42">
        <f>+Tabla1[[#This Row],[Potencial Equipos]]+Tabla1[[#This Row],[Potencial Pipeline]]</f>
        <v>9186200</v>
      </c>
    </row>
    <row r="268" spans="1:40" ht="15.75" x14ac:dyDescent="0.25">
      <c r="A268" s="47" t="s">
        <v>569</v>
      </c>
      <c r="B268" t="str">
        <f>+VLOOKUP(Tabla1[[#This Row],[Cliente]],'[1]Público Privado'!$A$1:$B$325,2,FALSE)</f>
        <v>Privado</v>
      </c>
      <c r="C268" s="23">
        <f>+SUMIFS('[1]Facturacion a Fecha'!$T:$T,'[1]Facturacion a Fecha'!$AY:$AY,Tabla1[[#This Row],[Cliente]])</f>
        <v>0</v>
      </c>
      <c r="D268" s="24">
        <f>+SUMIFS('[1]Facturacion a Fecha'!$T:$T,'[1]Facturacion a Fecha'!$AY:$AY,Tabla1[[#This Row],[Cliente]],'[1]Facturacion a Fecha'!$AX:$AX,"Correctivo")</f>
        <v>0</v>
      </c>
      <c r="E268" s="25">
        <f>+COUNTIFS('[1]Facturacion a Fecha'!AY:AY,Tabla1[[#This Row],[Cliente]],'[1]Facturacion a Fecha'!AX:AX,"Correctivo")</f>
        <v>0</v>
      </c>
      <c r="F268" s="25">
        <f>+SUMIFS('[1]Facturacion a Fecha'!$T:$T,'[1]Facturacion a Fecha'!$AY:$AY,Tabla1[[#This Row],[Cliente]],'[1]Facturacion a Fecha'!$AX:$AX,"Preventivo")</f>
        <v>0</v>
      </c>
      <c r="G268" s="25">
        <f>+COUNTIFS('[1]Facturacion a Fecha'!AY:AY,Tabla1[[#This Row],[Cliente]],'[1]Facturacion a Fecha'!AX:AX,"Preventivo")</f>
        <v>0</v>
      </c>
      <c r="H268" s="26">
        <f>+Tabla1[[#This Row],['# Preventivo]]+Tabla1[[#This Row],['# Correctivo]]</f>
        <v>0</v>
      </c>
      <c r="I268" s="23">
        <f>+IFERROR(Tabla1[[#This Row],[Ingreso 2025 - 2026 Correctivo]]/Tabla1[[#This Row],[Ingreso 2025 - 2026 Preventivo]],0)</f>
        <v>0</v>
      </c>
      <c r="J268" s="59">
        <f>+IFERROR(Tabla1[[#This Row],['# Correctivo]]/Tabla1[[#This Row],['# Preventivo]],0)</f>
        <v>0</v>
      </c>
      <c r="K268" s="60">
        <f>+IFERROR(Tabla1[[#This Row],[Ingreso 2025 - 2026 Preventivo]]/(Tabla1[[#This Row],[Ingreso 2025 - 2026 Correctivo]]+Tabla1[[#This Row],[Ingreso 2025 - 2026 Preventivo]]),0)</f>
        <v>0</v>
      </c>
      <c r="L268" s="60">
        <f>1-Tabla1[[#This Row],[% Preventivo $]]</f>
        <v>1</v>
      </c>
      <c r="M268" s="45">
        <f>+COUNTIFS('[1]Base Instalada'!AA:AA,Tabla1[[#This Row],[Cliente]])</f>
        <v>26</v>
      </c>
      <c r="N26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8" s="45">
        <f>+COUNTIFS('[1]Base Instalada'!AA:AA,Tabla1[[#This Row],[Cliente]],'[1]Base Instalada'!Z:Z,"ESTERILIZACIÓN")</f>
        <v>0</v>
      </c>
      <c r="P268" s="45">
        <f>+COUNTIFS('[1]Base Instalada'!AA:AA,Tabla1[[#This Row],[Cliente]],'[1]Base Instalada'!Z:Z,"DENTAL")</f>
        <v>26</v>
      </c>
      <c r="Q268" s="45">
        <f>+COUNTIFS('[1]Base Instalada'!AA:AA,Tabla1[[#This Row],[Cliente]],'[1]Base Instalada'!Z:Z,"ENDOSCOPÍA")</f>
        <v>0</v>
      </c>
      <c r="R268" s="45">
        <f>+COUNTIFS('[1]Base Instalada'!AA:AA,Tabla1[[#This Row],[Cliente]],'[1]Base Instalada'!Z:Z,"INCARDIA")</f>
        <v>0</v>
      </c>
      <c r="S268" s="45">
        <f>+COUNTIFS('[1]Base Instalada'!AA:AA,Tabla1[[#This Row],[Cliente]],'[1]Base Instalada'!Z:Z,"MMQ")</f>
        <v>0</v>
      </c>
      <c r="T268" s="45">
        <f>+COUNTIFS('[1]Base Instalada'!AA:AA,Tabla1[[#This Row],[Cliente]],'[1]Base Instalada'!Z:Z,"REAS")</f>
        <v>0</v>
      </c>
      <c r="U268" s="46">
        <f>+COUNTIFS('[1]Base Instalada'!AA:AA,Tabla1[[#This Row],[Cliente]],'[1]Base Instalada'!Z:Z,"MOBILIARIO CLINICO")</f>
        <v>0</v>
      </c>
      <c r="V268" s="29">
        <f>+COUNTIFS('[1]Base Instalada'!AA:AA,Tabla1[[#This Row],[Cliente]],'[1]Base Instalada'!Z:Z,"OTRO")</f>
        <v>0</v>
      </c>
      <c r="W268" s="61" t="str">
        <f t="shared" si="8"/>
        <v>Región Metropolitana</v>
      </c>
      <c r="X268" s="61" t="str">
        <f t="shared" si="9"/>
        <v>La Reina</v>
      </c>
      <c r="Y268" s="62" t="s">
        <v>570</v>
      </c>
      <c r="Z268" s="33">
        <f>+COUNTIFS('[1]Pipeline TS'!$F:$F,Tabla1[[#This Row],[Cliente]])</f>
        <v>0</v>
      </c>
      <c r="AA268" s="63">
        <f>SUMIFS('[1]Pipeline Esterilización'!M:M,'[1]Pipeline Esterilización'!E:E,Tabla1[[#This Row],[Cliente]],'[1]Pipeline Esterilización'!B:B,"2026",'[1]Pipeline Esterilización'!L:L,"&gt;0")</f>
        <v>0</v>
      </c>
      <c r="AB268" s="33">
        <f>+SUMIFS('[1]Pipeline Endoscopía'!K:K,'[1]Pipeline Endoscopía'!E:E,Tabla1[[#This Row],[Cliente]],'[1]Pipeline Endoscopía'!B:B,"2026",'[1]Pipeline Endoscopía'!J:J,"&gt;0")</f>
        <v>0</v>
      </c>
      <c r="AC268" s="63">
        <f>+SUMIFS('[1]Pipeline Dental'!K:K,'[1]Pipeline Dental'!E:E,Tabla1[[#This Row],[Cliente]],'[1]Pipeline Dental'!B:B,"2026",'[1]Pipeline Dental'!J:J,"&gt;0")</f>
        <v>0</v>
      </c>
      <c r="AD268" s="64">
        <f>+SUMIFS('[1]Pipeline TS'!$AB:$AB,'[1]Pipeline TS'!$F:$F,Tabla1[[#This Row],[Cliente]])</f>
        <v>0</v>
      </c>
      <c r="AE268" s="65">
        <f>+SUM(Tabla1[[#This Row],[Pipeline 2026 $MM ESTERILIZACIÓN]:[Pipeline 2026 $MM TECSERVICE]])</f>
        <v>0</v>
      </c>
      <c r="AF268" s="43">
        <v>-33.452935086535703</v>
      </c>
      <c r="AG268" s="58">
        <v>-70.569759746854203</v>
      </c>
      <c r="AH268" s="57" t="str">
        <f>+IF(Tabla1[[#This Row],['# Contratos Vigentes ]]&gt;0,"SI","NO")</f>
        <v>NO</v>
      </c>
      <c r="AI268" s="66"/>
      <c r="AJ268" s="67">
        <f>+Tabla1[[#This Row],[Ingreso 2025 - 2026]]*Tabla1[[#This Row],[% Costo Serv. Directo]]</f>
        <v>0</v>
      </c>
      <c r="AK268" s="68"/>
      <c r="AL26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15576600</v>
      </c>
      <c r="AN268" s="42">
        <f>+Tabla1[[#This Row],[Potencial Equipos]]+Tabla1[[#This Row],[Potencial Pipeline]]</f>
        <v>15576600</v>
      </c>
    </row>
    <row r="269" spans="1:40" ht="15.75" x14ac:dyDescent="0.25">
      <c r="A269" s="47" t="s">
        <v>571</v>
      </c>
      <c r="B269" t="str">
        <f>+VLOOKUP(Tabla1[[#This Row],[Cliente]],'[1]Público Privado'!$A$1:$B$325,2,FALSE)</f>
        <v>Público</v>
      </c>
      <c r="C269" s="23">
        <f>+SUMIFS('[1]Facturacion a Fecha'!$T:$T,'[1]Facturacion a Fecha'!$AY:$AY,Tabla1[[#This Row],[Cliente]])</f>
        <v>0</v>
      </c>
      <c r="D269" s="24">
        <f>+SUMIFS('[1]Facturacion a Fecha'!$T:$T,'[1]Facturacion a Fecha'!$AY:$AY,Tabla1[[#This Row],[Cliente]],'[1]Facturacion a Fecha'!$AX:$AX,"Correctivo")</f>
        <v>0</v>
      </c>
      <c r="E269" s="25">
        <f>+COUNTIFS('[1]Facturacion a Fecha'!AY:AY,Tabla1[[#This Row],[Cliente]],'[1]Facturacion a Fecha'!AX:AX,"Correctivo")</f>
        <v>0</v>
      </c>
      <c r="F269" s="25">
        <f>+SUMIFS('[1]Facturacion a Fecha'!$T:$T,'[1]Facturacion a Fecha'!$AY:$AY,Tabla1[[#This Row],[Cliente]],'[1]Facturacion a Fecha'!$AX:$AX,"Preventivo")</f>
        <v>0</v>
      </c>
      <c r="G269" s="25">
        <f>+COUNTIFS('[1]Facturacion a Fecha'!AY:AY,Tabla1[[#This Row],[Cliente]],'[1]Facturacion a Fecha'!AX:AX,"Preventivo")</f>
        <v>0</v>
      </c>
      <c r="H269" s="26">
        <f>+Tabla1[[#This Row],['# Preventivo]]+Tabla1[[#This Row],['# Correctivo]]</f>
        <v>0</v>
      </c>
      <c r="I269" s="23">
        <f>+IFERROR(Tabla1[[#This Row],[Ingreso 2025 - 2026 Correctivo]]/Tabla1[[#This Row],[Ingreso 2025 - 2026 Preventivo]],0)</f>
        <v>0</v>
      </c>
      <c r="J269" s="59">
        <f>+IFERROR(Tabla1[[#This Row],['# Correctivo]]/Tabla1[[#This Row],['# Preventivo]],0)</f>
        <v>0</v>
      </c>
      <c r="K269" s="60">
        <f>+IFERROR(Tabla1[[#This Row],[Ingreso 2025 - 2026 Preventivo]]/(Tabla1[[#This Row],[Ingreso 2025 - 2026 Correctivo]]+Tabla1[[#This Row],[Ingreso 2025 - 2026 Preventivo]]),0)</f>
        <v>0</v>
      </c>
      <c r="L269" s="60">
        <f>1-Tabla1[[#This Row],[% Preventivo $]]</f>
        <v>1</v>
      </c>
      <c r="M269" s="45">
        <f>+COUNTIFS('[1]Base Instalada'!AA:AA,Tabla1[[#This Row],[Cliente]])</f>
        <v>6</v>
      </c>
      <c r="N26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69" s="45">
        <f>+COUNTIFS('[1]Base Instalada'!AA:AA,Tabla1[[#This Row],[Cliente]],'[1]Base Instalada'!Z:Z,"ESTERILIZACIÓN")</f>
        <v>0</v>
      </c>
      <c r="P269" s="45">
        <f>+COUNTIFS('[1]Base Instalada'!AA:AA,Tabla1[[#This Row],[Cliente]],'[1]Base Instalada'!Z:Z,"DENTAL")</f>
        <v>6</v>
      </c>
      <c r="Q269" s="45">
        <f>+COUNTIFS('[1]Base Instalada'!AA:AA,Tabla1[[#This Row],[Cliente]],'[1]Base Instalada'!Z:Z,"ENDOSCOPÍA")</f>
        <v>0</v>
      </c>
      <c r="R269" s="45">
        <f>+COUNTIFS('[1]Base Instalada'!AA:AA,Tabla1[[#This Row],[Cliente]],'[1]Base Instalada'!Z:Z,"INCARDIA")</f>
        <v>0</v>
      </c>
      <c r="S269" s="45">
        <f>+COUNTIFS('[1]Base Instalada'!AA:AA,Tabla1[[#This Row],[Cliente]],'[1]Base Instalada'!Z:Z,"MMQ")</f>
        <v>0</v>
      </c>
      <c r="T269" s="45">
        <f>+COUNTIFS('[1]Base Instalada'!AA:AA,Tabla1[[#This Row],[Cliente]],'[1]Base Instalada'!Z:Z,"REAS")</f>
        <v>0</v>
      </c>
      <c r="U269" s="46">
        <f>+COUNTIFS('[1]Base Instalada'!AA:AA,Tabla1[[#This Row],[Cliente]],'[1]Base Instalada'!Z:Z,"MOBILIARIO CLINICO")</f>
        <v>0</v>
      </c>
      <c r="V269" s="29">
        <f>+COUNTIFS('[1]Base Instalada'!AA:AA,Tabla1[[#This Row],[Cliente]],'[1]Base Instalada'!Z:Z,"OTRO")</f>
        <v>0</v>
      </c>
      <c r="W269" s="61" t="str">
        <f t="shared" si="8"/>
        <v>Región Metropolitana</v>
      </c>
      <c r="X269" s="61" t="str">
        <f t="shared" si="9"/>
        <v>Huechuraba</v>
      </c>
      <c r="Y269" s="62" t="s">
        <v>572</v>
      </c>
      <c r="Z269" s="33">
        <f>+COUNTIFS('[1]Pipeline TS'!$F:$F,Tabla1[[#This Row],[Cliente]])</f>
        <v>0</v>
      </c>
      <c r="AA269" s="63">
        <f>SUMIFS('[1]Pipeline Esterilización'!M:M,'[1]Pipeline Esterilización'!E:E,Tabla1[[#This Row],[Cliente]],'[1]Pipeline Esterilización'!B:B,"2026",'[1]Pipeline Esterilización'!L:L,"&gt;0")</f>
        <v>0</v>
      </c>
      <c r="AB269" s="33">
        <f>+SUMIFS('[1]Pipeline Endoscopía'!K:K,'[1]Pipeline Endoscopía'!E:E,Tabla1[[#This Row],[Cliente]],'[1]Pipeline Endoscopía'!B:B,"2026",'[1]Pipeline Endoscopía'!J:J,"&gt;0")</f>
        <v>0</v>
      </c>
      <c r="AC269" s="63">
        <f>+SUMIFS('[1]Pipeline Dental'!K:K,'[1]Pipeline Dental'!E:E,Tabla1[[#This Row],[Cliente]],'[1]Pipeline Dental'!B:B,"2026",'[1]Pipeline Dental'!J:J,"&gt;0")</f>
        <v>0</v>
      </c>
      <c r="AD269" s="64">
        <f>+SUMIFS('[1]Pipeline TS'!$AB:$AB,'[1]Pipeline TS'!$F:$F,Tabla1[[#This Row],[Cliente]])</f>
        <v>0</v>
      </c>
      <c r="AE269" s="65">
        <f>+SUM(Tabla1[[#This Row],[Pipeline 2026 $MM ESTERILIZACIÓN]:[Pipeline 2026 $MM TECSERVICE]])</f>
        <v>0</v>
      </c>
      <c r="AF269" s="43">
        <v>-33.3730071596394</v>
      </c>
      <c r="AG269" s="58">
        <v>-70.636894221718194</v>
      </c>
      <c r="AH269" s="57" t="str">
        <f>+IF(Tabla1[[#This Row],['# Contratos Vigentes ]]&gt;0,"SI","NO")</f>
        <v>NO</v>
      </c>
      <c r="AI269" s="66"/>
      <c r="AJ269" s="67">
        <f>+Tabla1[[#This Row],[Ingreso 2025 - 2026]]*Tabla1[[#This Row],[% Costo Serv. Directo]]</f>
        <v>0</v>
      </c>
      <c r="AK269" s="68"/>
      <c r="AL26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6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69" s="42">
        <f>+Tabla1[[#This Row],[Potencial Equipos]]+Tabla1[[#This Row],[Potencial Pipeline]]</f>
        <v>3594600</v>
      </c>
    </row>
    <row r="270" spans="1:40" ht="15.75" x14ac:dyDescent="0.25">
      <c r="A270" s="47" t="s">
        <v>573</v>
      </c>
      <c r="B270" t="str">
        <f>+VLOOKUP(Tabla1[[#This Row],[Cliente]],'[1]Público Privado'!$A$1:$B$325,2,FALSE)</f>
        <v>Público</v>
      </c>
      <c r="C270" s="23">
        <f>+SUMIFS('[1]Facturacion a Fecha'!$T:$T,'[1]Facturacion a Fecha'!$AY:$AY,Tabla1[[#This Row],[Cliente]])</f>
        <v>0</v>
      </c>
      <c r="D270" s="24">
        <f>+SUMIFS('[1]Facturacion a Fecha'!$T:$T,'[1]Facturacion a Fecha'!$AY:$AY,Tabla1[[#This Row],[Cliente]],'[1]Facturacion a Fecha'!$AX:$AX,"Correctivo")</f>
        <v>0</v>
      </c>
      <c r="E270" s="25">
        <f>+COUNTIFS('[1]Facturacion a Fecha'!AY:AY,Tabla1[[#This Row],[Cliente]],'[1]Facturacion a Fecha'!AX:AX,"Correctivo")</f>
        <v>0</v>
      </c>
      <c r="F270" s="25">
        <f>+SUMIFS('[1]Facturacion a Fecha'!$T:$T,'[1]Facturacion a Fecha'!$AY:$AY,Tabla1[[#This Row],[Cliente]],'[1]Facturacion a Fecha'!$AX:$AX,"Preventivo")</f>
        <v>0</v>
      </c>
      <c r="G270" s="25">
        <f>+COUNTIFS('[1]Facturacion a Fecha'!AY:AY,Tabla1[[#This Row],[Cliente]],'[1]Facturacion a Fecha'!AX:AX,"Preventivo")</f>
        <v>0</v>
      </c>
      <c r="H270" s="26">
        <f>+Tabla1[[#This Row],['# Preventivo]]+Tabla1[[#This Row],['# Correctivo]]</f>
        <v>0</v>
      </c>
      <c r="I270" s="23">
        <f>+IFERROR(Tabla1[[#This Row],[Ingreso 2025 - 2026 Correctivo]]/Tabla1[[#This Row],[Ingreso 2025 - 2026 Preventivo]],0)</f>
        <v>0</v>
      </c>
      <c r="J270" s="59">
        <f>+IFERROR(Tabla1[[#This Row],['# Correctivo]]/Tabla1[[#This Row],['# Preventivo]],0)</f>
        <v>0</v>
      </c>
      <c r="K270" s="60">
        <f>+IFERROR(Tabla1[[#This Row],[Ingreso 2025 - 2026 Preventivo]]/(Tabla1[[#This Row],[Ingreso 2025 - 2026 Correctivo]]+Tabla1[[#This Row],[Ingreso 2025 - 2026 Preventivo]]),0)</f>
        <v>0</v>
      </c>
      <c r="L270" s="60">
        <f>1-Tabla1[[#This Row],[% Preventivo $]]</f>
        <v>1</v>
      </c>
      <c r="M270" s="45">
        <f>+COUNTIFS('[1]Base Instalada'!AA:AA,Tabla1[[#This Row],[Cliente]])</f>
        <v>9</v>
      </c>
      <c r="N27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0" s="45">
        <f>+COUNTIFS('[1]Base Instalada'!AA:AA,Tabla1[[#This Row],[Cliente]],'[1]Base Instalada'!Z:Z,"ESTERILIZACIÓN")</f>
        <v>0</v>
      </c>
      <c r="P270" s="45">
        <f>+COUNTIFS('[1]Base Instalada'!AA:AA,Tabla1[[#This Row],[Cliente]],'[1]Base Instalada'!Z:Z,"DENTAL")</f>
        <v>9</v>
      </c>
      <c r="Q270" s="45">
        <f>+COUNTIFS('[1]Base Instalada'!AA:AA,Tabla1[[#This Row],[Cliente]],'[1]Base Instalada'!Z:Z,"ENDOSCOPÍA")</f>
        <v>0</v>
      </c>
      <c r="R270" s="45">
        <f>+COUNTIFS('[1]Base Instalada'!AA:AA,Tabla1[[#This Row],[Cliente]],'[1]Base Instalada'!Z:Z,"INCARDIA")</f>
        <v>0</v>
      </c>
      <c r="S270" s="45">
        <f>+COUNTIFS('[1]Base Instalada'!AA:AA,Tabla1[[#This Row],[Cliente]],'[1]Base Instalada'!Z:Z,"MMQ")</f>
        <v>0</v>
      </c>
      <c r="T270" s="45">
        <f>+COUNTIFS('[1]Base Instalada'!AA:AA,Tabla1[[#This Row],[Cliente]],'[1]Base Instalada'!Z:Z,"REAS")</f>
        <v>0</v>
      </c>
      <c r="U270" s="46">
        <f>+COUNTIFS('[1]Base Instalada'!AA:AA,Tabla1[[#This Row],[Cliente]],'[1]Base Instalada'!Z:Z,"MOBILIARIO CLINICO")</f>
        <v>0</v>
      </c>
      <c r="V270" s="29">
        <f>+COUNTIFS('[1]Base Instalada'!AA:AA,Tabla1[[#This Row],[Cliente]],'[1]Base Instalada'!Z:Z,"OTRO")</f>
        <v>0</v>
      </c>
      <c r="W270" s="61" t="str">
        <f t="shared" si="8"/>
        <v>Región Valparaíso</v>
      </c>
      <c r="X270" s="61" t="str">
        <f t="shared" si="9"/>
        <v>Viña del Mar</v>
      </c>
      <c r="Y270" s="62" t="s">
        <v>574</v>
      </c>
      <c r="Z270" s="33">
        <f>+COUNTIFS('[1]Pipeline TS'!$F:$F,Tabla1[[#This Row],[Cliente]])</f>
        <v>0</v>
      </c>
      <c r="AA270" s="63">
        <f>SUMIFS('[1]Pipeline Esterilización'!M:M,'[1]Pipeline Esterilización'!E:E,Tabla1[[#This Row],[Cliente]],'[1]Pipeline Esterilización'!B:B,"2026",'[1]Pipeline Esterilización'!L:L,"&gt;0")</f>
        <v>0</v>
      </c>
      <c r="AB270" s="33">
        <f>+SUMIFS('[1]Pipeline Endoscopía'!K:K,'[1]Pipeline Endoscopía'!E:E,Tabla1[[#This Row],[Cliente]],'[1]Pipeline Endoscopía'!B:B,"2026",'[1]Pipeline Endoscopía'!J:J,"&gt;0")</f>
        <v>0</v>
      </c>
      <c r="AC270" s="63">
        <f>+SUMIFS('[1]Pipeline Dental'!K:K,'[1]Pipeline Dental'!E:E,Tabla1[[#This Row],[Cliente]],'[1]Pipeline Dental'!B:B,"2026",'[1]Pipeline Dental'!J:J,"&gt;0")</f>
        <v>0</v>
      </c>
      <c r="AD270" s="64">
        <f>+SUMIFS('[1]Pipeline TS'!$AB:$AB,'[1]Pipeline TS'!$F:$F,Tabla1[[#This Row],[Cliente]])</f>
        <v>0</v>
      </c>
      <c r="AE270" s="65">
        <f>+SUM(Tabla1[[#This Row],[Pipeline 2026 $MM ESTERILIZACIÓN]:[Pipeline 2026 $MM TECSERVICE]])</f>
        <v>0</v>
      </c>
      <c r="AF270" s="43">
        <v>-32.991837300381299</v>
      </c>
      <c r="AG270" s="58">
        <v>-71.525411575714998</v>
      </c>
      <c r="AH270" s="57" t="str">
        <f>+IF(Tabla1[[#This Row],['# Contratos Vigentes ]]&gt;0,"SI","NO")</f>
        <v>NO</v>
      </c>
      <c r="AI270" s="66"/>
      <c r="AJ270" s="67">
        <f>+Tabla1[[#This Row],[Ingreso 2025 - 2026]]*Tabla1[[#This Row],[% Costo Serv. Directo]]</f>
        <v>0</v>
      </c>
      <c r="AK270" s="68"/>
      <c r="AL27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5391900</v>
      </c>
      <c r="AN270" s="42">
        <f>+Tabla1[[#This Row],[Potencial Equipos]]+Tabla1[[#This Row],[Potencial Pipeline]]</f>
        <v>5391900</v>
      </c>
    </row>
    <row r="271" spans="1:40" ht="15.75" x14ac:dyDescent="0.25">
      <c r="A271" s="47" t="s">
        <v>575</v>
      </c>
      <c r="B271" t="str">
        <f>+VLOOKUP(Tabla1[[#This Row],[Cliente]],'[1]Público Privado'!$A$1:$B$325,2,FALSE)</f>
        <v>Privado</v>
      </c>
      <c r="C271" s="23">
        <f>+SUMIFS('[1]Facturacion a Fecha'!$T:$T,'[1]Facturacion a Fecha'!$AY:$AY,Tabla1[[#This Row],[Cliente]])</f>
        <v>0</v>
      </c>
      <c r="D271" s="24">
        <f>+SUMIFS('[1]Facturacion a Fecha'!$T:$T,'[1]Facturacion a Fecha'!$AY:$AY,Tabla1[[#This Row],[Cliente]],'[1]Facturacion a Fecha'!$AX:$AX,"Correctivo")</f>
        <v>0</v>
      </c>
      <c r="E271" s="25">
        <f>+COUNTIFS('[1]Facturacion a Fecha'!AY:AY,Tabla1[[#This Row],[Cliente]],'[1]Facturacion a Fecha'!AX:AX,"Correctivo")</f>
        <v>0</v>
      </c>
      <c r="F271" s="25">
        <f>+SUMIFS('[1]Facturacion a Fecha'!$T:$T,'[1]Facturacion a Fecha'!$AY:$AY,Tabla1[[#This Row],[Cliente]],'[1]Facturacion a Fecha'!$AX:$AX,"Preventivo")</f>
        <v>0</v>
      </c>
      <c r="G271" s="25">
        <f>+COUNTIFS('[1]Facturacion a Fecha'!AY:AY,Tabla1[[#This Row],[Cliente]],'[1]Facturacion a Fecha'!AX:AX,"Preventivo")</f>
        <v>0</v>
      </c>
      <c r="H271" s="26">
        <f>+Tabla1[[#This Row],['# Preventivo]]+Tabla1[[#This Row],['# Correctivo]]</f>
        <v>0</v>
      </c>
      <c r="I271" s="23">
        <f>+IFERROR(Tabla1[[#This Row],[Ingreso 2025 - 2026 Correctivo]]/Tabla1[[#This Row],[Ingreso 2025 - 2026 Preventivo]],0)</f>
        <v>0</v>
      </c>
      <c r="J271" s="59">
        <f>+IFERROR(Tabla1[[#This Row],['# Correctivo]]/Tabla1[[#This Row],['# Preventivo]],0)</f>
        <v>0</v>
      </c>
      <c r="K271" s="60">
        <f>+IFERROR(Tabla1[[#This Row],[Ingreso 2025 - 2026 Preventivo]]/(Tabla1[[#This Row],[Ingreso 2025 - 2026 Correctivo]]+Tabla1[[#This Row],[Ingreso 2025 - 2026 Preventivo]]),0)</f>
        <v>0</v>
      </c>
      <c r="L271" s="60">
        <f>1-Tabla1[[#This Row],[% Preventivo $]]</f>
        <v>1</v>
      </c>
      <c r="M271" s="45">
        <f>+COUNTIFS('[1]Base Instalada'!AA:AA,Tabla1[[#This Row],[Cliente]])</f>
        <v>8</v>
      </c>
      <c r="N27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1" s="45">
        <f>+COUNTIFS('[1]Base Instalada'!AA:AA,Tabla1[[#This Row],[Cliente]],'[1]Base Instalada'!Z:Z,"ESTERILIZACIÓN")</f>
        <v>0</v>
      </c>
      <c r="P271" s="45">
        <f>+COUNTIFS('[1]Base Instalada'!AA:AA,Tabla1[[#This Row],[Cliente]],'[1]Base Instalada'!Z:Z,"DENTAL")</f>
        <v>8</v>
      </c>
      <c r="Q271" s="45">
        <f>+COUNTIFS('[1]Base Instalada'!AA:AA,Tabla1[[#This Row],[Cliente]],'[1]Base Instalada'!Z:Z,"ENDOSCOPÍA")</f>
        <v>0</v>
      </c>
      <c r="R271" s="45">
        <f>+COUNTIFS('[1]Base Instalada'!AA:AA,Tabla1[[#This Row],[Cliente]],'[1]Base Instalada'!Z:Z,"INCARDIA")</f>
        <v>0</v>
      </c>
      <c r="S271" s="45">
        <f>+COUNTIFS('[1]Base Instalada'!AA:AA,Tabla1[[#This Row],[Cliente]],'[1]Base Instalada'!Z:Z,"MMQ")</f>
        <v>0</v>
      </c>
      <c r="T271" s="45">
        <f>+COUNTIFS('[1]Base Instalada'!AA:AA,Tabla1[[#This Row],[Cliente]],'[1]Base Instalada'!Z:Z,"REAS")</f>
        <v>0</v>
      </c>
      <c r="U271" s="46">
        <f>+COUNTIFS('[1]Base Instalada'!AA:AA,Tabla1[[#This Row],[Cliente]],'[1]Base Instalada'!Z:Z,"MOBILIARIO CLINICO")</f>
        <v>0</v>
      </c>
      <c r="V271" s="29">
        <f>+COUNTIFS('[1]Base Instalada'!AA:AA,Tabla1[[#This Row],[Cliente]],'[1]Base Instalada'!Z:Z,"OTRO")</f>
        <v>0</v>
      </c>
      <c r="W271" s="61" t="str">
        <f t="shared" si="8"/>
        <v>Región Valparaíso</v>
      </c>
      <c r="X271" s="61" t="str">
        <f t="shared" si="9"/>
        <v>Viña del Mar</v>
      </c>
      <c r="Y271" s="62" t="s">
        <v>576</v>
      </c>
      <c r="Z271" s="33">
        <f>+COUNTIFS('[1]Pipeline TS'!$F:$F,Tabla1[[#This Row],[Cliente]])</f>
        <v>0</v>
      </c>
      <c r="AA271" s="63">
        <f>SUMIFS('[1]Pipeline Esterilización'!M:M,'[1]Pipeline Esterilización'!E:E,Tabla1[[#This Row],[Cliente]],'[1]Pipeline Esterilización'!B:B,"2026",'[1]Pipeline Esterilización'!L:L,"&gt;0")</f>
        <v>0</v>
      </c>
      <c r="AB271" s="33">
        <f>+SUMIFS('[1]Pipeline Endoscopía'!K:K,'[1]Pipeline Endoscopía'!E:E,Tabla1[[#This Row],[Cliente]],'[1]Pipeline Endoscopía'!B:B,"2026",'[1]Pipeline Endoscopía'!J:J,"&gt;0")</f>
        <v>0</v>
      </c>
      <c r="AC271" s="63">
        <f>+SUMIFS('[1]Pipeline Dental'!K:K,'[1]Pipeline Dental'!E:E,Tabla1[[#This Row],[Cliente]],'[1]Pipeline Dental'!B:B,"2026",'[1]Pipeline Dental'!J:J,"&gt;0")</f>
        <v>0</v>
      </c>
      <c r="AD271" s="64">
        <f>+SUMIFS('[1]Pipeline TS'!$AB:$AB,'[1]Pipeline TS'!$F:$F,Tabla1[[#This Row],[Cliente]])</f>
        <v>0</v>
      </c>
      <c r="AE271" s="65">
        <f>+SUM(Tabla1[[#This Row],[Pipeline 2026 $MM ESTERILIZACIÓN]:[Pipeline 2026 $MM TECSERVICE]])</f>
        <v>0</v>
      </c>
      <c r="AF271" s="43">
        <v>-33.010135166679397</v>
      </c>
      <c r="AG271" s="58">
        <v>-71.546633411777407</v>
      </c>
      <c r="AH271" s="57" t="str">
        <f>+IF(Tabla1[[#This Row],['# Contratos Vigentes ]]&gt;0,"SI","NO")</f>
        <v>NO</v>
      </c>
      <c r="AI271" s="66"/>
      <c r="AJ271" s="67">
        <f>+Tabla1[[#This Row],[Ingreso 2025 - 2026]]*Tabla1[[#This Row],[% Costo Serv. Directo]]</f>
        <v>0</v>
      </c>
      <c r="AK271" s="68"/>
      <c r="AL27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4792800</v>
      </c>
      <c r="AN271" s="42">
        <f>+Tabla1[[#This Row],[Potencial Equipos]]+Tabla1[[#This Row],[Potencial Pipeline]]</f>
        <v>4792800</v>
      </c>
    </row>
    <row r="272" spans="1:40" ht="15.75" x14ac:dyDescent="0.25">
      <c r="A272" s="47" t="s">
        <v>577</v>
      </c>
      <c r="B272" t="str">
        <f>+VLOOKUP(Tabla1[[#This Row],[Cliente]],'[1]Público Privado'!$A$1:$B$325,2,FALSE)</f>
        <v>Público</v>
      </c>
      <c r="C272" s="23">
        <f>+SUMIFS('[1]Facturacion a Fecha'!$T:$T,'[1]Facturacion a Fecha'!$AY:$AY,Tabla1[[#This Row],[Cliente]])</f>
        <v>0</v>
      </c>
      <c r="D272" s="24">
        <f>+SUMIFS('[1]Facturacion a Fecha'!$T:$T,'[1]Facturacion a Fecha'!$AY:$AY,Tabla1[[#This Row],[Cliente]],'[1]Facturacion a Fecha'!$AX:$AX,"Correctivo")</f>
        <v>0</v>
      </c>
      <c r="E272" s="25">
        <f>+COUNTIFS('[1]Facturacion a Fecha'!AY:AY,Tabla1[[#This Row],[Cliente]],'[1]Facturacion a Fecha'!AX:AX,"Correctivo")</f>
        <v>0</v>
      </c>
      <c r="F272" s="25">
        <f>+SUMIFS('[1]Facturacion a Fecha'!$T:$T,'[1]Facturacion a Fecha'!$AY:$AY,Tabla1[[#This Row],[Cliente]],'[1]Facturacion a Fecha'!$AX:$AX,"Preventivo")</f>
        <v>0</v>
      </c>
      <c r="G272" s="25">
        <f>+COUNTIFS('[1]Facturacion a Fecha'!AY:AY,Tabla1[[#This Row],[Cliente]],'[1]Facturacion a Fecha'!AX:AX,"Preventivo")</f>
        <v>0</v>
      </c>
      <c r="H272" s="26">
        <f>+Tabla1[[#This Row],['# Preventivo]]+Tabla1[[#This Row],['# Correctivo]]</f>
        <v>0</v>
      </c>
      <c r="I272" s="23">
        <f>+IFERROR(Tabla1[[#This Row],[Ingreso 2025 - 2026 Correctivo]]/Tabla1[[#This Row],[Ingreso 2025 - 2026 Preventivo]],0)</f>
        <v>0</v>
      </c>
      <c r="J272" s="59">
        <f>+IFERROR(Tabla1[[#This Row],['# Correctivo]]/Tabla1[[#This Row],['# Preventivo]],0)</f>
        <v>0</v>
      </c>
      <c r="K272" s="60">
        <f>+IFERROR(Tabla1[[#This Row],[Ingreso 2025 - 2026 Preventivo]]/(Tabla1[[#This Row],[Ingreso 2025 - 2026 Correctivo]]+Tabla1[[#This Row],[Ingreso 2025 - 2026 Preventivo]]),0)</f>
        <v>0</v>
      </c>
      <c r="L272" s="60">
        <f>1-Tabla1[[#This Row],[% Preventivo $]]</f>
        <v>1</v>
      </c>
      <c r="M272" s="45">
        <f>+COUNTIFS('[1]Base Instalada'!AA:AA,Tabla1[[#This Row],[Cliente]])</f>
        <v>16</v>
      </c>
      <c r="N27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2" s="45">
        <f>+COUNTIFS('[1]Base Instalada'!AA:AA,Tabla1[[#This Row],[Cliente]],'[1]Base Instalada'!Z:Z,"ESTERILIZACIÓN")</f>
        <v>0</v>
      </c>
      <c r="P272" s="45">
        <f>+COUNTIFS('[1]Base Instalada'!AA:AA,Tabla1[[#This Row],[Cliente]],'[1]Base Instalada'!Z:Z,"DENTAL")</f>
        <v>16</v>
      </c>
      <c r="Q272" s="45">
        <f>+COUNTIFS('[1]Base Instalada'!AA:AA,Tabla1[[#This Row],[Cliente]],'[1]Base Instalada'!Z:Z,"ENDOSCOPÍA")</f>
        <v>0</v>
      </c>
      <c r="R272" s="45">
        <f>+COUNTIFS('[1]Base Instalada'!AA:AA,Tabla1[[#This Row],[Cliente]],'[1]Base Instalada'!Z:Z,"INCARDIA")</f>
        <v>0</v>
      </c>
      <c r="S272" s="45">
        <f>+COUNTIFS('[1]Base Instalada'!AA:AA,Tabla1[[#This Row],[Cliente]],'[1]Base Instalada'!Z:Z,"MMQ")</f>
        <v>0</v>
      </c>
      <c r="T272" s="45">
        <f>+COUNTIFS('[1]Base Instalada'!AA:AA,Tabla1[[#This Row],[Cliente]],'[1]Base Instalada'!Z:Z,"REAS")</f>
        <v>0</v>
      </c>
      <c r="U272" s="46">
        <f>+COUNTIFS('[1]Base Instalada'!AA:AA,Tabla1[[#This Row],[Cliente]],'[1]Base Instalada'!Z:Z,"MOBILIARIO CLINICO")</f>
        <v>0</v>
      </c>
      <c r="V272" s="29">
        <f>+COUNTIFS('[1]Base Instalada'!AA:AA,Tabla1[[#This Row],[Cliente]],'[1]Base Instalada'!Z:Z,"OTRO")</f>
        <v>0</v>
      </c>
      <c r="W272" s="61" t="str">
        <f t="shared" si="8"/>
        <v>Región Metropolitana</v>
      </c>
      <c r="X272" s="61" t="str">
        <f t="shared" si="9"/>
        <v>San Joaquín</v>
      </c>
      <c r="Y272" s="62" t="s">
        <v>578</v>
      </c>
      <c r="Z272" s="33">
        <f>+COUNTIFS('[1]Pipeline TS'!$F:$F,Tabla1[[#This Row],[Cliente]])</f>
        <v>0</v>
      </c>
      <c r="AA272" s="63">
        <f>SUMIFS('[1]Pipeline Esterilización'!M:M,'[1]Pipeline Esterilización'!E:E,Tabla1[[#This Row],[Cliente]],'[1]Pipeline Esterilización'!B:B,"2026",'[1]Pipeline Esterilización'!L:L,"&gt;0")</f>
        <v>0</v>
      </c>
      <c r="AB272" s="33">
        <f>+SUMIFS('[1]Pipeline Endoscopía'!K:K,'[1]Pipeline Endoscopía'!E:E,Tabla1[[#This Row],[Cliente]],'[1]Pipeline Endoscopía'!B:B,"2026",'[1]Pipeline Endoscopía'!J:J,"&gt;0")</f>
        <v>0</v>
      </c>
      <c r="AC272" s="63">
        <f>+SUMIFS('[1]Pipeline Dental'!K:K,'[1]Pipeline Dental'!E:E,Tabla1[[#This Row],[Cliente]],'[1]Pipeline Dental'!B:B,"2026",'[1]Pipeline Dental'!J:J,"&gt;0")</f>
        <v>0</v>
      </c>
      <c r="AD272" s="64">
        <f>+SUMIFS('[1]Pipeline TS'!$AB:$AB,'[1]Pipeline TS'!$F:$F,Tabla1[[#This Row],[Cliente]])</f>
        <v>0</v>
      </c>
      <c r="AE272" s="65">
        <f>+SUM(Tabla1[[#This Row],[Pipeline 2026 $MM ESTERILIZACIÓN]:[Pipeline 2026 $MM TECSERVICE]])</f>
        <v>0</v>
      </c>
      <c r="AF272" s="43">
        <v>-33.506068427753497</v>
      </c>
      <c r="AG272" s="58">
        <v>-70.624316300827104</v>
      </c>
      <c r="AH272" s="57" t="str">
        <f>+IF(Tabla1[[#This Row],['# Contratos Vigentes ]]&gt;0,"SI","NO")</f>
        <v>NO</v>
      </c>
      <c r="AI272" s="66"/>
      <c r="AJ272" s="67">
        <f>+Tabla1[[#This Row],[Ingreso 2025 - 2026]]*Tabla1[[#This Row],[% Costo Serv. Directo]]</f>
        <v>0</v>
      </c>
      <c r="AK272" s="68"/>
      <c r="AL27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9585600</v>
      </c>
      <c r="AN272" s="42">
        <f>+Tabla1[[#This Row],[Potencial Equipos]]+Tabla1[[#This Row],[Potencial Pipeline]]</f>
        <v>9585600</v>
      </c>
    </row>
    <row r="273" spans="1:40" ht="15.75" x14ac:dyDescent="0.25">
      <c r="A273" s="47" t="s">
        <v>579</v>
      </c>
      <c r="B273" t="str">
        <f>+VLOOKUP(Tabla1[[#This Row],[Cliente]],'[1]Público Privado'!$A$1:$B$325,2,FALSE)</f>
        <v>Público</v>
      </c>
      <c r="C273" s="23">
        <f>+SUMIFS('[1]Facturacion a Fecha'!$T:$T,'[1]Facturacion a Fecha'!$AY:$AY,Tabla1[[#This Row],[Cliente]])</f>
        <v>0</v>
      </c>
      <c r="D273" s="24">
        <f>+SUMIFS('[1]Facturacion a Fecha'!$T:$T,'[1]Facturacion a Fecha'!$AY:$AY,Tabla1[[#This Row],[Cliente]],'[1]Facturacion a Fecha'!$AX:$AX,"Correctivo")</f>
        <v>0</v>
      </c>
      <c r="E273" s="25">
        <f>+COUNTIFS('[1]Facturacion a Fecha'!AY:AY,Tabla1[[#This Row],[Cliente]],'[1]Facturacion a Fecha'!AX:AX,"Correctivo")</f>
        <v>0</v>
      </c>
      <c r="F273" s="25">
        <f>+SUMIFS('[1]Facturacion a Fecha'!$T:$T,'[1]Facturacion a Fecha'!$AY:$AY,Tabla1[[#This Row],[Cliente]],'[1]Facturacion a Fecha'!$AX:$AX,"Preventivo")</f>
        <v>0</v>
      </c>
      <c r="G273" s="25">
        <f>+COUNTIFS('[1]Facturacion a Fecha'!AY:AY,Tabla1[[#This Row],[Cliente]],'[1]Facturacion a Fecha'!AX:AX,"Preventivo")</f>
        <v>0</v>
      </c>
      <c r="H273" s="26">
        <f>+Tabla1[[#This Row],['# Preventivo]]+Tabla1[[#This Row],['# Correctivo]]</f>
        <v>0</v>
      </c>
      <c r="I273" s="23">
        <f>+IFERROR(Tabla1[[#This Row],[Ingreso 2025 - 2026 Correctivo]]/Tabla1[[#This Row],[Ingreso 2025 - 2026 Preventivo]],0)</f>
        <v>0</v>
      </c>
      <c r="J273" s="59">
        <f>+IFERROR(Tabla1[[#This Row],['# Correctivo]]/Tabla1[[#This Row],['# Preventivo]],0)</f>
        <v>0</v>
      </c>
      <c r="K273" s="60">
        <f>+IFERROR(Tabla1[[#This Row],[Ingreso 2025 - 2026 Preventivo]]/(Tabla1[[#This Row],[Ingreso 2025 - 2026 Correctivo]]+Tabla1[[#This Row],[Ingreso 2025 - 2026 Preventivo]]),0)</f>
        <v>0</v>
      </c>
      <c r="L273" s="60">
        <f>1-Tabla1[[#This Row],[% Preventivo $]]</f>
        <v>1</v>
      </c>
      <c r="M273" s="45">
        <f>+COUNTIFS('[1]Base Instalada'!AA:AA,Tabla1[[#This Row],[Cliente]])</f>
        <v>7</v>
      </c>
      <c r="N27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3" s="45">
        <f>+COUNTIFS('[1]Base Instalada'!AA:AA,Tabla1[[#This Row],[Cliente]],'[1]Base Instalada'!Z:Z,"ESTERILIZACIÓN")</f>
        <v>2</v>
      </c>
      <c r="P273" s="45">
        <f>+COUNTIFS('[1]Base Instalada'!AA:AA,Tabla1[[#This Row],[Cliente]],'[1]Base Instalada'!Z:Z,"DENTAL")</f>
        <v>5</v>
      </c>
      <c r="Q273" s="45">
        <f>+COUNTIFS('[1]Base Instalada'!AA:AA,Tabla1[[#This Row],[Cliente]],'[1]Base Instalada'!Z:Z,"ENDOSCOPÍA")</f>
        <v>0</v>
      </c>
      <c r="R273" s="45">
        <f>+COUNTIFS('[1]Base Instalada'!AA:AA,Tabla1[[#This Row],[Cliente]],'[1]Base Instalada'!Z:Z,"INCARDIA")</f>
        <v>0</v>
      </c>
      <c r="S273" s="45">
        <f>+COUNTIFS('[1]Base Instalada'!AA:AA,Tabla1[[#This Row],[Cliente]],'[1]Base Instalada'!Z:Z,"MMQ")</f>
        <v>0</v>
      </c>
      <c r="T273" s="45">
        <f>+COUNTIFS('[1]Base Instalada'!AA:AA,Tabla1[[#This Row],[Cliente]],'[1]Base Instalada'!Z:Z,"REAS")</f>
        <v>0</v>
      </c>
      <c r="U273" s="46">
        <f>+COUNTIFS('[1]Base Instalada'!AA:AA,Tabla1[[#This Row],[Cliente]],'[1]Base Instalada'!Z:Z,"MOBILIARIO CLINICO")</f>
        <v>0</v>
      </c>
      <c r="V273" s="29">
        <f>+COUNTIFS('[1]Base Instalada'!AA:AA,Tabla1[[#This Row],[Cliente]],'[1]Base Instalada'!Z:Z,"OTRO")</f>
        <v>0</v>
      </c>
      <c r="W273" s="61" t="str">
        <f t="shared" si="8"/>
        <v>Región Maule</v>
      </c>
      <c r="X273" s="61" t="str">
        <f t="shared" si="9"/>
        <v>Curicó</v>
      </c>
      <c r="Y273" s="62" t="s">
        <v>580</v>
      </c>
      <c r="Z273" s="33">
        <f>+COUNTIFS('[1]Pipeline TS'!$F:$F,Tabla1[[#This Row],[Cliente]])</f>
        <v>0</v>
      </c>
      <c r="AA273" s="63">
        <f>SUMIFS('[1]Pipeline Esterilización'!M:M,'[1]Pipeline Esterilización'!E:E,Tabla1[[#This Row],[Cliente]],'[1]Pipeline Esterilización'!B:B,"2026",'[1]Pipeline Esterilización'!L:L,"&gt;0")</f>
        <v>0</v>
      </c>
      <c r="AB273" s="33">
        <f>+SUMIFS('[1]Pipeline Endoscopía'!K:K,'[1]Pipeline Endoscopía'!E:E,Tabla1[[#This Row],[Cliente]],'[1]Pipeline Endoscopía'!B:B,"2026",'[1]Pipeline Endoscopía'!J:J,"&gt;0")</f>
        <v>0</v>
      </c>
      <c r="AC273" s="63">
        <f>+SUMIFS('[1]Pipeline Dental'!K:K,'[1]Pipeline Dental'!E:E,Tabla1[[#This Row],[Cliente]],'[1]Pipeline Dental'!B:B,"2026",'[1]Pipeline Dental'!J:J,"&gt;0")</f>
        <v>0</v>
      </c>
      <c r="AD273" s="64">
        <f>+SUMIFS('[1]Pipeline TS'!$AB:$AB,'[1]Pipeline TS'!$F:$F,Tabla1[[#This Row],[Cliente]])</f>
        <v>0</v>
      </c>
      <c r="AE273" s="65">
        <f>+SUM(Tabla1[[#This Row],[Pipeline 2026 $MM ESTERILIZACIÓN]:[Pipeline 2026 $MM TECSERVICE]])</f>
        <v>0</v>
      </c>
      <c r="AF273" s="43">
        <v>-34.9738239852379</v>
      </c>
      <c r="AG273" s="58">
        <v>-71.220921316085906</v>
      </c>
      <c r="AH273" s="57" t="str">
        <f>+IF(Tabla1[[#This Row],['# Contratos Vigentes ]]&gt;0,"SI","NO")</f>
        <v>NO</v>
      </c>
      <c r="AI273" s="66"/>
      <c r="AJ273" s="67">
        <f>+Tabla1[[#This Row],[Ingreso 2025 - 2026]]*Tabla1[[#This Row],[% Costo Serv. Directo]]</f>
        <v>0</v>
      </c>
      <c r="AK273" s="68"/>
      <c r="AL27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6989500</v>
      </c>
      <c r="AN273" s="42">
        <f>+Tabla1[[#This Row],[Potencial Equipos]]+Tabla1[[#This Row],[Potencial Pipeline]]</f>
        <v>6989500</v>
      </c>
    </row>
    <row r="274" spans="1:40" ht="15.75" x14ac:dyDescent="0.25">
      <c r="A274" s="47" t="s">
        <v>581</v>
      </c>
      <c r="B274" t="str">
        <f>+VLOOKUP(Tabla1[[#This Row],[Cliente]],'[1]Público Privado'!$A$1:$B$325,2,FALSE)</f>
        <v>Privado</v>
      </c>
      <c r="C274" s="23">
        <f>+SUMIFS('[1]Facturacion a Fecha'!$T:$T,'[1]Facturacion a Fecha'!$AY:$AY,Tabla1[[#This Row],[Cliente]])</f>
        <v>0</v>
      </c>
      <c r="D274" s="24">
        <f>+SUMIFS('[1]Facturacion a Fecha'!$T:$T,'[1]Facturacion a Fecha'!$AY:$AY,Tabla1[[#This Row],[Cliente]],'[1]Facturacion a Fecha'!$AX:$AX,"Correctivo")</f>
        <v>0</v>
      </c>
      <c r="E274" s="25">
        <f>+COUNTIFS('[1]Facturacion a Fecha'!AY:AY,Tabla1[[#This Row],[Cliente]],'[1]Facturacion a Fecha'!AX:AX,"Correctivo")</f>
        <v>0</v>
      </c>
      <c r="F274" s="25">
        <f>+SUMIFS('[1]Facturacion a Fecha'!$T:$T,'[1]Facturacion a Fecha'!$AY:$AY,Tabla1[[#This Row],[Cliente]],'[1]Facturacion a Fecha'!$AX:$AX,"Preventivo")</f>
        <v>0</v>
      </c>
      <c r="G274" s="25">
        <f>+COUNTIFS('[1]Facturacion a Fecha'!AY:AY,Tabla1[[#This Row],[Cliente]],'[1]Facturacion a Fecha'!AX:AX,"Preventivo")</f>
        <v>0</v>
      </c>
      <c r="H274" s="26">
        <f>+Tabla1[[#This Row],['# Preventivo]]+Tabla1[[#This Row],['# Correctivo]]</f>
        <v>0</v>
      </c>
      <c r="I274" s="23">
        <f>+IFERROR(Tabla1[[#This Row],[Ingreso 2025 - 2026 Correctivo]]/Tabla1[[#This Row],[Ingreso 2025 - 2026 Preventivo]],0)</f>
        <v>0</v>
      </c>
      <c r="J274" s="59">
        <f>+IFERROR(Tabla1[[#This Row],['# Correctivo]]/Tabla1[[#This Row],['# Preventivo]],0)</f>
        <v>0</v>
      </c>
      <c r="K274" s="60">
        <f>+IFERROR(Tabla1[[#This Row],[Ingreso 2025 - 2026 Preventivo]]/(Tabla1[[#This Row],[Ingreso 2025 - 2026 Correctivo]]+Tabla1[[#This Row],[Ingreso 2025 - 2026 Preventivo]]),0)</f>
        <v>0</v>
      </c>
      <c r="L274" s="60">
        <f>1-Tabla1[[#This Row],[% Preventivo $]]</f>
        <v>1</v>
      </c>
      <c r="M274" s="45">
        <f>+COUNTIFS('[1]Base Instalada'!AA:AA,Tabla1[[#This Row],[Cliente]])</f>
        <v>5</v>
      </c>
      <c r="N27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4" s="45">
        <f>+COUNTIFS('[1]Base Instalada'!AA:AA,Tabla1[[#This Row],[Cliente]],'[1]Base Instalada'!Z:Z,"ESTERILIZACIÓN")</f>
        <v>0</v>
      </c>
      <c r="P274" s="45">
        <f>+COUNTIFS('[1]Base Instalada'!AA:AA,Tabla1[[#This Row],[Cliente]],'[1]Base Instalada'!Z:Z,"DENTAL")</f>
        <v>5</v>
      </c>
      <c r="Q274" s="45">
        <f>+COUNTIFS('[1]Base Instalada'!AA:AA,Tabla1[[#This Row],[Cliente]],'[1]Base Instalada'!Z:Z,"ENDOSCOPÍA")</f>
        <v>0</v>
      </c>
      <c r="R274" s="45">
        <f>+COUNTIFS('[1]Base Instalada'!AA:AA,Tabla1[[#This Row],[Cliente]],'[1]Base Instalada'!Z:Z,"INCARDIA")</f>
        <v>0</v>
      </c>
      <c r="S274" s="45">
        <f>+COUNTIFS('[1]Base Instalada'!AA:AA,Tabla1[[#This Row],[Cliente]],'[1]Base Instalada'!Z:Z,"MMQ")</f>
        <v>0</v>
      </c>
      <c r="T274" s="45">
        <f>+COUNTIFS('[1]Base Instalada'!AA:AA,Tabla1[[#This Row],[Cliente]],'[1]Base Instalada'!Z:Z,"REAS")</f>
        <v>0</v>
      </c>
      <c r="U274" s="46">
        <f>+COUNTIFS('[1]Base Instalada'!AA:AA,Tabla1[[#This Row],[Cliente]],'[1]Base Instalada'!Z:Z,"MOBILIARIO CLINICO")</f>
        <v>0</v>
      </c>
      <c r="V274" s="29">
        <f>+COUNTIFS('[1]Base Instalada'!AA:AA,Tabla1[[#This Row],[Cliente]],'[1]Base Instalada'!Z:Z,"OTRO")</f>
        <v>0</v>
      </c>
      <c r="W274" s="61" t="str">
        <f t="shared" si="8"/>
        <v>Región Metropolitana</v>
      </c>
      <c r="X274" s="61" t="str">
        <f t="shared" si="9"/>
        <v>San Bernardo</v>
      </c>
      <c r="Y274" s="62" t="s">
        <v>582</v>
      </c>
      <c r="Z274" s="33">
        <f>+COUNTIFS('[1]Pipeline TS'!$F:$F,Tabla1[[#This Row],[Cliente]])</f>
        <v>0</v>
      </c>
      <c r="AA274" s="63">
        <f>SUMIFS('[1]Pipeline Esterilización'!M:M,'[1]Pipeline Esterilización'!E:E,Tabla1[[#This Row],[Cliente]],'[1]Pipeline Esterilización'!B:B,"2026",'[1]Pipeline Esterilización'!L:L,"&gt;0")</f>
        <v>0</v>
      </c>
      <c r="AB274" s="33">
        <f>+SUMIFS('[1]Pipeline Endoscopía'!K:K,'[1]Pipeline Endoscopía'!E:E,Tabla1[[#This Row],[Cliente]],'[1]Pipeline Endoscopía'!B:B,"2026",'[1]Pipeline Endoscopía'!J:J,"&gt;0")</f>
        <v>0</v>
      </c>
      <c r="AC274" s="63">
        <f>+SUMIFS('[1]Pipeline Dental'!K:K,'[1]Pipeline Dental'!E:E,Tabla1[[#This Row],[Cliente]],'[1]Pipeline Dental'!B:B,"2026",'[1]Pipeline Dental'!J:J,"&gt;0")</f>
        <v>0</v>
      </c>
      <c r="AD274" s="64">
        <f>+SUMIFS('[1]Pipeline TS'!$AB:$AB,'[1]Pipeline TS'!$F:$F,Tabla1[[#This Row],[Cliente]])</f>
        <v>0</v>
      </c>
      <c r="AE274" s="65">
        <f>+SUM(Tabla1[[#This Row],[Pipeline 2026 $MM ESTERILIZACIÓN]:[Pipeline 2026 $MM TECSERVICE]])</f>
        <v>0</v>
      </c>
      <c r="AF274" s="43">
        <v>-33.596772177906203</v>
      </c>
      <c r="AG274" s="58">
        <v>-70.6998980621876</v>
      </c>
      <c r="AH274" s="57" t="str">
        <f>+IF(Tabla1[[#This Row],['# Contratos Vigentes ]]&gt;0,"SI","NO")</f>
        <v>NO</v>
      </c>
      <c r="AI274" s="66"/>
      <c r="AJ274" s="67">
        <f>+Tabla1[[#This Row],[Ingreso 2025 - 2026]]*Tabla1[[#This Row],[% Costo Serv. Directo]]</f>
        <v>0</v>
      </c>
      <c r="AK274" s="68"/>
      <c r="AL27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74" s="42">
        <f>+Tabla1[[#This Row],[Potencial Equipos]]+Tabla1[[#This Row],[Potencial Pipeline]]</f>
        <v>2995500</v>
      </c>
    </row>
    <row r="275" spans="1:40" ht="15.75" x14ac:dyDescent="0.25">
      <c r="A275" s="47" t="s">
        <v>583</v>
      </c>
      <c r="B275" t="str">
        <f>+VLOOKUP(Tabla1[[#This Row],[Cliente]],'[1]Público Privado'!$A$1:$B$325,2,FALSE)</f>
        <v>Público</v>
      </c>
      <c r="C275" s="23">
        <f>+SUMIFS('[1]Facturacion a Fecha'!$T:$T,'[1]Facturacion a Fecha'!$AY:$AY,Tabla1[[#This Row],[Cliente]])</f>
        <v>0</v>
      </c>
      <c r="D275" s="24">
        <f>+SUMIFS('[1]Facturacion a Fecha'!$T:$T,'[1]Facturacion a Fecha'!$AY:$AY,Tabla1[[#This Row],[Cliente]],'[1]Facturacion a Fecha'!$AX:$AX,"Correctivo")</f>
        <v>0</v>
      </c>
      <c r="E275" s="25">
        <f>+COUNTIFS('[1]Facturacion a Fecha'!AY:AY,Tabla1[[#This Row],[Cliente]],'[1]Facturacion a Fecha'!AX:AX,"Correctivo")</f>
        <v>0</v>
      </c>
      <c r="F275" s="25">
        <f>+SUMIFS('[1]Facturacion a Fecha'!$T:$T,'[1]Facturacion a Fecha'!$AY:$AY,Tabla1[[#This Row],[Cliente]],'[1]Facturacion a Fecha'!$AX:$AX,"Preventivo")</f>
        <v>0</v>
      </c>
      <c r="G275" s="25">
        <f>+COUNTIFS('[1]Facturacion a Fecha'!AY:AY,Tabla1[[#This Row],[Cliente]],'[1]Facturacion a Fecha'!AX:AX,"Preventivo")</f>
        <v>0</v>
      </c>
      <c r="H275" s="26">
        <f>+Tabla1[[#This Row],['# Preventivo]]+Tabla1[[#This Row],['# Correctivo]]</f>
        <v>0</v>
      </c>
      <c r="I275" s="23">
        <f>+IFERROR(Tabla1[[#This Row],[Ingreso 2025 - 2026 Correctivo]]/Tabla1[[#This Row],[Ingreso 2025 - 2026 Preventivo]],0)</f>
        <v>0</v>
      </c>
      <c r="J275" s="59">
        <f>+IFERROR(Tabla1[[#This Row],['# Correctivo]]/Tabla1[[#This Row],['# Preventivo]],0)</f>
        <v>0</v>
      </c>
      <c r="K275" s="60">
        <f>+IFERROR(Tabla1[[#This Row],[Ingreso 2025 - 2026 Preventivo]]/(Tabla1[[#This Row],[Ingreso 2025 - 2026 Correctivo]]+Tabla1[[#This Row],[Ingreso 2025 - 2026 Preventivo]]),0)</f>
        <v>0</v>
      </c>
      <c r="L275" s="60">
        <f>1-Tabla1[[#This Row],[% Preventivo $]]</f>
        <v>1</v>
      </c>
      <c r="M275" s="45">
        <f>+COUNTIFS('[1]Base Instalada'!AA:AA,Tabla1[[#This Row],[Cliente]])</f>
        <v>5</v>
      </c>
      <c r="N27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5" s="45">
        <f>+COUNTIFS('[1]Base Instalada'!AA:AA,Tabla1[[#This Row],[Cliente]],'[1]Base Instalada'!Z:Z,"ESTERILIZACIÓN")</f>
        <v>1</v>
      </c>
      <c r="P275" s="45">
        <f>+COUNTIFS('[1]Base Instalada'!AA:AA,Tabla1[[#This Row],[Cliente]],'[1]Base Instalada'!Z:Z,"DENTAL")</f>
        <v>4</v>
      </c>
      <c r="Q275" s="45">
        <f>+COUNTIFS('[1]Base Instalada'!AA:AA,Tabla1[[#This Row],[Cliente]],'[1]Base Instalada'!Z:Z,"ENDOSCOPÍA")</f>
        <v>0</v>
      </c>
      <c r="R275" s="45">
        <f>+COUNTIFS('[1]Base Instalada'!AA:AA,Tabla1[[#This Row],[Cliente]],'[1]Base Instalada'!Z:Z,"INCARDIA")</f>
        <v>0</v>
      </c>
      <c r="S275" s="45">
        <f>+COUNTIFS('[1]Base Instalada'!AA:AA,Tabla1[[#This Row],[Cliente]],'[1]Base Instalada'!Z:Z,"MMQ")</f>
        <v>0</v>
      </c>
      <c r="T275" s="45">
        <f>+COUNTIFS('[1]Base Instalada'!AA:AA,Tabla1[[#This Row],[Cliente]],'[1]Base Instalada'!Z:Z,"REAS")</f>
        <v>0</v>
      </c>
      <c r="U275" s="46">
        <f>+COUNTIFS('[1]Base Instalada'!AA:AA,Tabla1[[#This Row],[Cliente]],'[1]Base Instalada'!Z:Z,"MOBILIARIO CLINICO")</f>
        <v>0</v>
      </c>
      <c r="V275" s="29">
        <f>+COUNTIFS('[1]Base Instalada'!AA:AA,Tabla1[[#This Row],[Cliente]],'[1]Base Instalada'!Z:Z,"OTRO")</f>
        <v>0</v>
      </c>
      <c r="W275" s="61" t="str">
        <f t="shared" si="8"/>
        <v>Región Valparaíso</v>
      </c>
      <c r="X275" s="61" t="str">
        <f t="shared" si="9"/>
        <v>Viña del Mar</v>
      </c>
      <c r="Y275" s="62" t="s">
        <v>584</v>
      </c>
      <c r="Z275" s="33">
        <f>+COUNTIFS('[1]Pipeline TS'!$F:$F,Tabla1[[#This Row],[Cliente]])</f>
        <v>0</v>
      </c>
      <c r="AA275" s="63">
        <f>SUMIFS('[1]Pipeline Esterilización'!M:M,'[1]Pipeline Esterilización'!E:E,Tabla1[[#This Row],[Cliente]],'[1]Pipeline Esterilización'!B:B,"2026",'[1]Pipeline Esterilización'!L:L,"&gt;0")</f>
        <v>0</v>
      </c>
      <c r="AB275" s="33">
        <f>+SUMIFS('[1]Pipeline Endoscopía'!K:K,'[1]Pipeline Endoscopía'!E:E,Tabla1[[#This Row],[Cliente]],'[1]Pipeline Endoscopía'!B:B,"2026",'[1]Pipeline Endoscopía'!J:J,"&gt;0")</f>
        <v>0</v>
      </c>
      <c r="AC275" s="63">
        <f>+SUMIFS('[1]Pipeline Dental'!K:K,'[1]Pipeline Dental'!E:E,Tabla1[[#This Row],[Cliente]],'[1]Pipeline Dental'!B:B,"2026",'[1]Pipeline Dental'!J:J,"&gt;0")</f>
        <v>0</v>
      </c>
      <c r="AD275" s="64">
        <f>+SUMIFS('[1]Pipeline TS'!$AB:$AB,'[1]Pipeline TS'!$F:$F,Tabla1[[#This Row],[Cliente]])</f>
        <v>0</v>
      </c>
      <c r="AE275" s="65">
        <f>+SUM(Tabla1[[#This Row],[Pipeline 2026 $MM ESTERILIZACIÓN]:[Pipeline 2026 $MM TECSERVICE]])</f>
        <v>0</v>
      </c>
      <c r="AF275" s="43">
        <v>-33.058669118214802</v>
      </c>
      <c r="AG275" s="58">
        <v>-71.577237635229395</v>
      </c>
      <c r="AH275" s="57" t="str">
        <f>+IF(Tabla1[[#This Row],['# Contratos Vigentes ]]&gt;0,"SI","NO")</f>
        <v>NO</v>
      </c>
      <c r="AI275" s="66"/>
      <c r="AJ275" s="67">
        <f>+Tabla1[[#This Row],[Ingreso 2025 - 2026]]*Tabla1[[#This Row],[% Costo Serv. Directo]]</f>
        <v>0</v>
      </c>
      <c r="AK275" s="68"/>
      <c r="AL27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4393400</v>
      </c>
      <c r="AN275" s="42">
        <f>+Tabla1[[#This Row],[Potencial Equipos]]+Tabla1[[#This Row],[Potencial Pipeline]]</f>
        <v>4393400</v>
      </c>
    </row>
    <row r="276" spans="1:40" ht="15.75" x14ac:dyDescent="0.25">
      <c r="A276" s="47" t="s">
        <v>585</v>
      </c>
      <c r="B276" t="str">
        <f>+VLOOKUP(Tabla1[[#This Row],[Cliente]],'[1]Público Privado'!$A$1:$B$325,2,FALSE)</f>
        <v>Público</v>
      </c>
      <c r="C276" s="23">
        <f>+SUMIFS('[1]Facturacion a Fecha'!$T:$T,'[1]Facturacion a Fecha'!$AY:$AY,Tabla1[[#This Row],[Cliente]])</f>
        <v>0</v>
      </c>
      <c r="D276" s="24">
        <f>+SUMIFS('[1]Facturacion a Fecha'!$T:$T,'[1]Facturacion a Fecha'!$AY:$AY,Tabla1[[#This Row],[Cliente]],'[1]Facturacion a Fecha'!$AX:$AX,"Correctivo")</f>
        <v>0</v>
      </c>
      <c r="E276" s="25">
        <f>+COUNTIFS('[1]Facturacion a Fecha'!AY:AY,Tabla1[[#This Row],[Cliente]],'[1]Facturacion a Fecha'!AX:AX,"Correctivo")</f>
        <v>0</v>
      </c>
      <c r="F276" s="25">
        <f>+SUMIFS('[1]Facturacion a Fecha'!$T:$T,'[1]Facturacion a Fecha'!$AY:$AY,Tabla1[[#This Row],[Cliente]],'[1]Facturacion a Fecha'!$AX:$AX,"Preventivo")</f>
        <v>0</v>
      </c>
      <c r="G276" s="25">
        <f>+COUNTIFS('[1]Facturacion a Fecha'!AY:AY,Tabla1[[#This Row],[Cliente]],'[1]Facturacion a Fecha'!AX:AX,"Preventivo")</f>
        <v>0</v>
      </c>
      <c r="H276" s="26">
        <f>+Tabla1[[#This Row],['# Preventivo]]+Tabla1[[#This Row],['# Correctivo]]</f>
        <v>0</v>
      </c>
      <c r="I276" s="23">
        <f>+IFERROR(Tabla1[[#This Row],[Ingreso 2025 - 2026 Correctivo]]/Tabla1[[#This Row],[Ingreso 2025 - 2026 Preventivo]],0)</f>
        <v>0</v>
      </c>
      <c r="J276" s="59">
        <f>+IFERROR(Tabla1[[#This Row],['# Correctivo]]/Tabla1[[#This Row],['# Preventivo]],0)</f>
        <v>0</v>
      </c>
      <c r="K276" s="60">
        <f>+IFERROR(Tabla1[[#This Row],[Ingreso 2025 - 2026 Preventivo]]/(Tabla1[[#This Row],[Ingreso 2025 - 2026 Correctivo]]+Tabla1[[#This Row],[Ingreso 2025 - 2026 Preventivo]]),0)</f>
        <v>0</v>
      </c>
      <c r="L276" s="60">
        <f>1-Tabla1[[#This Row],[% Preventivo $]]</f>
        <v>1</v>
      </c>
      <c r="M276" s="45">
        <f>+COUNTIFS('[1]Base Instalada'!AA:AA,Tabla1[[#This Row],[Cliente]])</f>
        <v>13</v>
      </c>
      <c r="N27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6" s="45">
        <f>+COUNTIFS('[1]Base Instalada'!AA:AA,Tabla1[[#This Row],[Cliente]],'[1]Base Instalada'!Z:Z,"ESTERILIZACIÓN")</f>
        <v>2</v>
      </c>
      <c r="P276" s="45">
        <f>+COUNTIFS('[1]Base Instalada'!AA:AA,Tabla1[[#This Row],[Cliente]],'[1]Base Instalada'!Z:Z,"DENTAL")</f>
        <v>11</v>
      </c>
      <c r="Q276" s="45">
        <f>+COUNTIFS('[1]Base Instalada'!AA:AA,Tabla1[[#This Row],[Cliente]],'[1]Base Instalada'!Z:Z,"ENDOSCOPÍA")</f>
        <v>0</v>
      </c>
      <c r="R276" s="45">
        <f>+COUNTIFS('[1]Base Instalada'!AA:AA,Tabla1[[#This Row],[Cliente]],'[1]Base Instalada'!Z:Z,"INCARDIA")</f>
        <v>0</v>
      </c>
      <c r="S276" s="45">
        <f>+COUNTIFS('[1]Base Instalada'!AA:AA,Tabla1[[#This Row],[Cliente]],'[1]Base Instalada'!Z:Z,"MMQ")</f>
        <v>0</v>
      </c>
      <c r="T276" s="45">
        <f>+COUNTIFS('[1]Base Instalada'!AA:AA,Tabla1[[#This Row],[Cliente]],'[1]Base Instalada'!Z:Z,"REAS")</f>
        <v>0</v>
      </c>
      <c r="U276" s="46">
        <f>+COUNTIFS('[1]Base Instalada'!AA:AA,Tabla1[[#This Row],[Cliente]],'[1]Base Instalada'!Z:Z,"MOBILIARIO CLINICO")</f>
        <v>0</v>
      </c>
      <c r="V276" s="29">
        <f>+COUNTIFS('[1]Base Instalada'!AA:AA,Tabla1[[#This Row],[Cliente]],'[1]Base Instalada'!Z:Z,"OTRO")</f>
        <v>0</v>
      </c>
      <c r="W276" s="61" t="str">
        <f t="shared" si="8"/>
        <v>Región Valparaíso</v>
      </c>
      <c r="X276" s="61" t="str">
        <f t="shared" si="9"/>
        <v>Villa Alemana</v>
      </c>
      <c r="Y276" s="62" t="s">
        <v>586</v>
      </c>
      <c r="Z276" s="33">
        <f>+COUNTIFS('[1]Pipeline TS'!$F:$F,Tabla1[[#This Row],[Cliente]])</f>
        <v>0</v>
      </c>
      <c r="AA276" s="63">
        <f>SUMIFS('[1]Pipeline Esterilización'!M:M,'[1]Pipeline Esterilización'!E:E,Tabla1[[#This Row],[Cliente]],'[1]Pipeline Esterilización'!B:B,"2026",'[1]Pipeline Esterilización'!L:L,"&gt;0")</f>
        <v>0</v>
      </c>
      <c r="AB276" s="33">
        <f>+SUMIFS('[1]Pipeline Endoscopía'!K:K,'[1]Pipeline Endoscopía'!E:E,Tabla1[[#This Row],[Cliente]],'[1]Pipeline Endoscopía'!B:B,"2026",'[1]Pipeline Endoscopía'!J:J,"&gt;0")</f>
        <v>0</v>
      </c>
      <c r="AC276" s="63">
        <f>+SUMIFS('[1]Pipeline Dental'!K:K,'[1]Pipeline Dental'!E:E,Tabla1[[#This Row],[Cliente]],'[1]Pipeline Dental'!B:B,"2026",'[1]Pipeline Dental'!J:J,"&gt;0")</f>
        <v>0</v>
      </c>
      <c r="AD276" s="64">
        <f>+SUMIFS('[1]Pipeline TS'!$AB:$AB,'[1]Pipeline TS'!$F:$F,Tabla1[[#This Row],[Cliente]])</f>
        <v>0</v>
      </c>
      <c r="AE276" s="65">
        <f>+SUM(Tabla1[[#This Row],[Pipeline 2026 $MM ESTERILIZACIÓN]:[Pipeline 2026 $MM TECSERVICE]])</f>
        <v>0</v>
      </c>
      <c r="AF276" s="43">
        <v>-33.0377492620458</v>
      </c>
      <c r="AG276" s="58">
        <v>-71.394356491053799</v>
      </c>
      <c r="AH276" s="57" t="str">
        <f>+IF(Tabla1[[#This Row],['# Contratos Vigentes ]]&gt;0,"SI","NO")</f>
        <v>NO</v>
      </c>
      <c r="AI276" s="66"/>
      <c r="AJ276" s="67">
        <f>+Tabla1[[#This Row],[Ingreso 2025 - 2026]]*Tabla1[[#This Row],[% Costo Serv. Directo]]</f>
        <v>0</v>
      </c>
      <c r="AK276" s="68"/>
      <c r="AL27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10584100</v>
      </c>
      <c r="AN276" s="42">
        <f>+Tabla1[[#This Row],[Potencial Equipos]]+Tabla1[[#This Row],[Potencial Pipeline]]</f>
        <v>10584100</v>
      </c>
    </row>
    <row r="277" spans="1:40" ht="15.75" x14ac:dyDescent="0.25">
      <c r="A277" s="47" t="s">
        <v>587</v>
      </c>
      <c r="B277" t="str">
        <f>+VLOOKUP(Tabla1[[#This Row],[Cliente]],'[1]Público Privado'!$A$1:$B$325,2,FALSE)</f>
        <v>Público</v>
      </c>
      <c r="C277" s="23">
        <f>+SUMIFS('[1]Facturacion a Fecha'!$T:$T,'[1]Facturacion a Fecha'!$AY:$AY,Tabla1[[#This Row],[Cliente]])</f>
        <v>0</v>
      </c>
      <c r="D277" s="24">
        <f>+SUMIFS('[1]Facturacion a Fecha'!$T:$T,'[1]Facturacion a Fecha'!$AY:$AY,Tabla1[[#This Row],[Cliente]],'[1]Facturacion a Fecha'!$AX:$AX,"Correctivo")</f>
        <v>0</v>
      </c>
      <c r="E277" s="25">
        <f>+COUNTIFS('[1]Facturacion a Fecha'!AY:AY,Tabla1[[#This Row],[Cliente]],'[1]Facturacion a Fecha'!AX:AX,"Correctivo")</f>
        <v>0</v>
      </c>
      <c r="F277" s="25">
        <f>+SUMIFS('[1]Facturacion a Fecha'!$T:$T,'[1]Facturacion a Fecha'!$AY:$AY,Tabla1[[#This Row],[Cliente]],'[1]Facturacion a Fecha'!$AX:$AX,"Preventivo")</f>
        <v>0</v>
      </c>
      <c r="G277" s="25">
        <f>+COUNTIFS('[1]Facturacion a Fecha'!AY:AY,Tabla1[[#This Row],[Cliente]],'[1]Facturacion a Fecha'!AX:AX,"Preventivo")</f>
        <v>0</v>
      </c>
      <c r="H277" s="26">
        <f>+Tabla1[[#This Row],['# Preventivo]]+Tabla1[[#This Row],['# Correctivo]]</f>
        <v>0</v>
      </c>
      <c r="I277" s="23">
        <f>+IFERROR(Tabla1[[#This Row],[Ingreso 2025 - 2026 Correctivo]]/Tabla1[[#This Row],[Ingreso 2025 - 2026 Preventivo]],0)</f>
        <v>0</v>
      </c>
      <c r="J277" s="59">
        <f>+IFERROR(Tabla1[[#This Row],['# Correctivo]]/Tabla1[[#This Row],['# Preventivo]],0)</f>
        <v>0</v>
      </c>
      <c r="K277" s="60">
        <f>+IFERROR(Tabla1[[#This Row],[Ingreso 2025 - 2026 Preventivo]]/(Tabla1[[#This Row],[Ingreso 2025 - 2026 Correctivo]]+Tabla1[[#This Row],[Ingreso 2025 - 2026 Preventivo]]),0)</f>
        <v>0</v>
      </c>
      <c r="L277" s="60">
        <f>1-Tabla1[[#This Row],[% Preventivo $]]</f>
        <v>1</v>
      </c>
      <c r="M277" s="45">
        <f>+COUNTIFS('[1]Base Instalada'!AA:AA,Tabla1[[#This Row],[Cliente]])</f>
        <v>5</v>
      </c>
      <c r="N27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7" s="45">
        <f>+COUNTIFS('[1]Base Instalada'!AA:AA,Tabla1[[#This Row],[Cliente]],'[1]Base Instalada'!Z:Z,"ESTERILIZACIÓN")</f>
        <v>0</v>
      </c>
      <c r="P277" s="45">
        <f>+COUNTIFS('[1]Base Instalada'!AA:AA,Tabla1[[#This Row],[Cliente]],'[1]Base Instalada'!Z:Z,"DENTAL")</f>
        <v>5</v>
      </c>
      <c r="Q277" s="45">
        <f>+COUNTIFS('[1]Base Instalada'!AA:AA,Tabla1[[#This Row],[Cliente]],'[1]Base Instalada'!Z:Z,"ENDOSCOPÍA")</f>
        <v>0</v>
      </c>
      <c r="R277" s="45">
        <f>+COUNTIFS('[1]Base Instalada'!AA:AA,Tabla1[[#This Row],[Cliente]],'[1]Base Instalada'!Z:Z,"INCARDIA")</f>
        <v>0</v>
      </c>
      <c r="S277" s="45">
        <f>+COUNTIFS('[1]Base Instalada'!AA:AA,Tabla1[[#This Row],[Cliente]],'[1]Base Instalada'!Z:Z,"MMQ")</f>
        <v>0</v>
      </c>
      <c r="T277" s="45">
        <f>+COUNTIFS('[1]Base Instalada'!AA:AA,Tabla1[[#This Row],[Cliente]],'[1]Base Instalada'!Z:Z,"REAS")</f>
        <v>0</v>
      </c>
      <c r="U277" s="46">
        <f>+COUNTIFS('[1]Base Instalada'!AA:AA,Tabla1[[#This Row],[Cliente]],'[1]Base Instalada'!Z:Z,"MOBILIARIO CLINICO")</f>
        <v>0</v>
      </c>
      <c r="V277" s="29">
        <f>+COUNTIFS('[1]Base Instalada'!AA:AA,Tabla1[[#This Row],[Cliente]],'[1]Base Instalada'!Z:Z,"OTRO")</f>
        <v>0</v>
      </c>
      <c r="W277" s="61" t="str">
        <f t="shared" si="8"/>
        <v>Región Tarapacá</v>
      </c>
      <c r="X277" s="61" t="str">
        <f t="shared" si="9"/>
        <v>Iquique</v>
      </c>
      <c r="Y277" s="62" t="s">
        <v>588</v>
      </c>
      <c r="Z277" s="33">
        <f>+COUNTIFS('[1]Pipeline TS'!$F:$F,Tabla1[[#This Row],[Cliente]])</f>
        <v>0</v>
      </c>
      <c r="AA277" s="63">
        <f>SUMIFS('[1]Pipeline Esterilización'!M:M,'[1]Pipeline Esterilización'!E:E,Tabla1[[#This Row],[Cliente]],'[1]Pipeline Esterilización'!B:B,"2026",'[1]Pipeline Esterilización'!L:L,"&gt;0")</f>
        <v>0</v>
      </c>
      <c r="AB277" s="33">
        <f>+SUMIFS('[1]Pipeline Endoscopía'!K:K,'[1]Pipeline Endoscopía'!E:E,Tabla1[[#This Row],[Cliente]],'[1]Pipeline Endoscopía'!B:B,"2026",'[1]Pipeline Endoscopía'!J:J,"&gt;0")</f>
        <v>0</v>
      </c>
      <c r="AC277" s="63">
        <f>+SUMIFS('[1]Pipeline Dental'!K:K,'[1]Pipeline Dental'!E:E,Tabla1[[#This Row],[Cliente]],'[1]Pipeline Dental'!B:B,"2026",'[1]Pipeline Dental'!J:J,"&gt;0")</f>
        <v>0</v>
      </c>
      <c r="AD277" s="64">
        <f>+SUMIFS('[1]Pipeline TS'!$AB:$AB,'[1]Pipeline TS'!$F:$F,Tabla1[[#This Row],[Cliente]])</f>
        <v>0</v>
      </c>
      <c r="AE277" s="65">
        <f>+SUM(Tabla1[[#This Row],[Pipeline 2026 $MM ESTERILIZACIÓN]:[Pipeline 2026 $MM TECSERVICE]])</f>
        <v>0</v>
      </c>
      <c r="AF277" s="43">
        <v>-20.2366250969154</v>
      </c>
      <c r="AG277" s="58">
        <v>-70.136323745197799</v>
      </c>
      <c r="AH277" s="57" t="str">
        <f>+IF(Tabla1[[#This Row],['# Contratos Vigentes ]]&gt;0,"SI","NO")</f>
        <v>NO</v>
      </c>
      <c r="AI277" s="66"/>
      <c r="AJ277" s="67">
        <f>+Tabla1[[#This Row],[Ingreso 2025 - 2026]]*Tabla1[[#This Row],[% Costo Serv. Directo]]</f>
        <v>0</v>
      </c>
      <c r="AK277" s="68"/>
      <c r="AL27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77" s="42">
        <f>+Tabla1[[#This Row],[Potencial Equipos]]+Tabla1[[#This Row],[Potencial Pipeline]]</f>
        <v>2995500</v>
      </c>
    </row>
    <row r="278" spans="1:40" ht="15.75" x14ac:dyDescent="0.25">
      <c r="A278" s="47" t="s">
        <v>589</v>
      </c>
      <c r="B278" t="str">
        <f>+VLOOKUP(Tabla1[[#This Row],[Cliente]],'[1]Público Privado'!$A$1:$B$325,2,FALSE)</f>
        <v>Privado</v>
      </c>
      <c r="C278" s="23">
        <f>+SUMIFS('[1]Facturacion a Fecha'!$T:$T,'[1]Facturacion a Fecha'!$AY:$AY,Tabla1[[#This Row],[Cliente]])</f>
        <v>0</v>
      </c>
      <c r="D278" s="24">
        <f>+SUMIFS('[1]Facturacion a Fecha'!$T:$T,'[1]Facturacion a Fecha'!$AY:$AY,Tabla1[[#This Row],[Cliente]],'[1]Facturacion a Fecha'!$AX:$AX,"Correctivo")</f>
        <v>0</v>
      </c>
      <c r="E278" s="25">
        <f>+COUNTIFS('[1]Facturacion a Fecha'!AY:AY,Tabla1[[#This Row],[Cliente]],'[1]Facturacion a Fecha'!AX:AX,"Correctivo")</f>
        <v>0</v>
      </c>
      <c r="F278" s="25">
        <f>+SUMIFS('[1]Facturacion a Fecha'!$T:$T,'[1]Facturacion a Fecha'!$AY:$AY,Tabla1[[#This Row],[Cliente]],'[1]Facturacion a Fecha'!$AX:$AX,"Preventivo")</f>
        <v>0</v>
      </c>
      <c r="G278" s="25">
        <f>+COUNTIFS('[1]Facturacion a Fecha'!AY:AY,Tabla1[[#This Row],[Cliente]],'[1]Facturacion a Fecha'!AX:AX,"Preventivo")</f>
        <v>0</v>
      </c>
      <c r="H278" s="26">
        <f>+Tabla1[[#This Row],['# Preventivo]]+Tabla1[[#This Row],['# Correctivo]]</f>
        <v>0</v>
      </c>
      <c r="I278" s="23">
        <f>+IFERROR(Tabla1[[#This Row],[Ingreso 2025 - 2026 Correctivo]]/Tabla1[[#This Row],[Ingreso 2025 - 2026 Preventivo]],0)</f>
        <v>0</v>
      </c>
      <c r="J278" s="59">
        <f>+IFERROR(Tabla1[[#This Row],['# Correctivo]]/Tabla1[[#This Row],['# Preventivo]],0)</f>
        <v>0</v>
      </c>
      <c r="K278" s="60">
        <f>+IFERROR(Tabla1[[#This Row],[Ingreso 2025 - 2026 Preventivo]]/(Tabla1[[#This Row],[Ingreso 2025 - 2026 Correctivo]]+Tabla1[[#This Row],[Ingreso 2025 - 2026 Preventivo]]),0)</f>
        <v>0</v>
      </c>
      <c r="L278" s="60">
        <f>1-Tabla1[[#This Row],[% Preventivo $]]</f>
        <v>1</v>
      </c>
      <c r="M278" s="45">
        <f>+COUNTIFS('[1]Base Instalada'!AA:AA,Tabla1[[#This Row],[Cliente]])</f>
        <v>5</v>
      </c>
      <c r="N27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8" s="45">
        <f>+COUNTIFS('[1]Base Instalada'!AA:AA,Tabla1[[#This Row],[Cliente]],'[1]Base Instalada'!Z:Z,"ESTERILIZACIÓN")</f>
        <v>0</v>
      </c>
      <c r="P278" s="45">
        <f>+COUNTIFS('[1]Base Instalada'!AA:AA,Tabla1[[#This Row],[Cliente]],'[1]Base Instalada'!Z:Z,"DENTAL")</f>
        <v>5</v>
      </c>
      <c r="Q278" s="45">
        <f>+COUNTIFS('[1]Base Instalada'!AA:AA,Tabla1[[#This Row],[Cliente]],'[1]Base Instalada'!Z:Z,"ENDOSCOPÍA")</f>
        <v>0</v>
      </c>
      <c r="R278" s="45">
        <f>+COUNTIFS('[1]Base Instalada'!AA:AA,Tabla1[[#This Row],[Cliente]],'[1]Base Instalada'!Z:Z,"INCARDIA")</f>
        <v>0</v>
      </c>
      <c r="S278" s="45">
        <f>+COUNTIFS('[1]Base Instalada'!AA:AA,Tabla1[[#This Row],[Cliente]],'[1]Base Instalada'!Z:Z,"MMQ")</f>
        <v>0</v>
      </c>
      <c r="T278" s="45">
        <f>+COUNTIFS('[1]Base Instalada'!AA:AA,Tabla1[[#This Row],[Cliente]],'[1]Base Instalada'!Z:Z,"REAS")</f>
        <v>0</v>
      </c>
      <c r="U278" s="46">
        <f>+COUNTIFS('[1]Base Instalada'!AA:AA,Tabla1[[#This Row],[Cliente]],'[1]Base Instalada'!Z:Z,"MOBILIARIO CLINICO")</f>
        <v>0</v>
      </c>
      <c r="V278" s="29">
        <f>+COUNTIFS('[1]Base Instalada'!AA:AA,Tabla1[[#This Row],[Cliente]],'[1]Base Instalada'!Z:Z,"OTRO")</f>
        <v>0</v>
      </c>
      <c r="W278" s="61" t="str">
        <f t="shared" si="8"/>
        <v>Región Metropolitana</v>
      </c>
      <c r="X278" s="61" t="str">
        <f t="shared" si="9"/>
        <v>Santiago</v>
      </c>
      <c r="Y278" s="62" t="s">
        <v>590</v>
      </c>
      <c r="Z278" s="33">
        <f>+COUNTIFS('[1]Pipeline TS'!$F:$F,Tabla1[[#This Row],[Cliente]])</f>
        <v>0</v>
      </c>
      <c r="AA278" s="63">
        <f>SUMIFS('[1]Pipeline Esterilización'!M:M,'[1]Pipeline Esterilización'!E:E,Tabla1[[#This Row],[Cliente]],'[1]Pipeline Esterilización'!B:B,"2026",'[1]Pipeline Esterilización'!L:L,"&gt;0")</f>
        <v>0</v>
      </c>
      <c r="AB278" s="33">
        <f>+SUMIFS('[1]Pipeline Endoscopía'!K:K,'[1]Pipeline Endoscopía'!E:E,Tabla1[[#This Row],[Cliente]],'[1]Pipeline Endoscopía'!B:B,"2026",'[1]Pipeline Endoscopía'!J:J,"&gt;0")</f>
        <v>0</v>
      </c>
      <c r="AC278" s="63">
        <f>+SUMIFS('[1]Pipeline Dental'!K:K,'[1]Pipeline Dental'!E:E,Tabla1[[#This Row],[Cliente]],'[1]Pipeline Dental'!B:B,"2026",'[1]Pipeline Dental'!J:J,"&gt;0")</f>
        <v>0</v>
      </c>
      <c r="AD278" s="64">
        <f>+SUMIFS('[1]Pipeline TS'!$AB:$AB,'[1]Pipeline TS'!$F:$F,Tabla1[[#This Row],[Cliente]])</f>
        <v>0</v>
      </c>
      <c r="AE278" s="65">
        <f>+SUM(Tabla1[[#This Row],[Pipeline 2026 $MM ESTERILIZACIÓN]:[Pipeline 2026 $MM TECSERVICE]])</f>
        <v>0</v>
      </c>
      <c r="AF278" s="43">
        <v>-33.440878508139399</v>
      </c>
      <c r="AG278" s="58">
        <v>-70.651005719867001</v>
      </c>
      <c r="AH278" s="57" t="str">
        <f>+IF(Tabla1[[#This Row],['# Contratos Vigentes ]]&gt;0,"SI","NO")</f>
        <v>NO</v>
      </c>
      <c r="AI278" s="66"/>
      <c r="AJ278" s="67">
        <f>+Tabla1[[#This Row],[Ingreso 2025 - 2026]]*Tabla1[[#This Row],[% Costo Serv. Directo]]</f>
        <v>0</v>
      </c>
      <c r="AK278" s="68"/>
      <c r="AL27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78" s="42">
        <f>+Tabla1[[#This Row],[Potencial Equipos]]+Tabla1[[#This Row],[Potencial Pipeline]]</f>
        <v>2995500</v>
      </c>
    </row>
    <row r="279" spans="1:40" ht="15.75" x14ac:dyDescent="0.25">
      <c r="A279" s="47" t="s">
        <v>591</v>
      </c>
      <c r="B279" t="str">
        <f>+VLOOKUP(Tabla1[[#This Row],[Cliente]],'[1]Público Privado'!$A$1:$B$325,2,FALSE)</f>
        <v>Privado</v>
      </c>
      <c r="C279" s="23">
        <f>+SUMIFS('[1]Facturacion a Fecha'!$T:$T,'[1]Facturacion a Fecha'!$AY:$AY,Tabla1[[#This Row],[Cliente]])</f>
        <v>0</v>
      </c>
      <c r="D279" s="24">
        <f>+SUMIFS('[1]Facturacion a Fecha'!$T:$T,'[1]Facturacion a Fecha'!$AY:$AY,Tabla1[[#This Row],[Cliente]],'[1]Facturacion a Fecha'!$AX:$AX,"Correctivo")</f>
        <v>0</v>
      </c>
      <c r="E279" s="25">
        <f>+COUNTIFS('[1]Facturacion a Fecha'!AY:AY,Tabla1[[#This Row],[Cliente]],'[1]Facturacion a Fecha'!AX:AX,"Correctivo")</f>
        <v>0</v>
      </c>
      <c r="F279" s="25">
        <f>+SUMIFS('[1]Facturacion a Fecha'!$T:$T,'[1]Facturacion a Fecha'!$AY:$AY,Tabla1[[#This Row],[Cliente]],'[1]Facturacion a Fecha'!$AX:$AX,"Preventivo")</f>
        <v>0</v>
      </c>
      <c r="G279" s="25">
        <f>+COUNTIFS('[1]Facturacion a Fecha'!AY:AY,Tabla1[[#This Row],[Cliente]],'[1]Facturacion a Fecha'!AX:AX,"Preventivo")</f>
        <v>0</v>
      </c>
      <c r="H279" s="26">
        <f>+Tabla1[[#This Row],['# Preventivo]]+Tabla1[[#This Row],['# Correctivo]]</f>
        <v>0</v>
      </c>
      <c r="I279" s="23">
        <f>+IFERROR(Tabla1[[#This Row],[Ingreso 2025 - 2026 Correctivo]]/Tabla1[[#This Row],[Ingreso 2025 - 2026 Preventivo]],0)</f>
        <v>0</v>
      </c>
      <c r="J279" s="59">
        <f>+IFERROR(Tabla1[[#This Row],['# Correctivo]]/Tabla1[[#This Row],['# Preventivo]],0)</f>
        <v>0</v>
      </c>
      <c r="K279" s="60">
        <f>+IFERROR(Tabla1[[#This Row],[Ingreso 2025 - 2026 Preventivo]]/(Tabla1[[#This Row],[Ingreso 2025 - 2026 Correctivo]]+Tabla1[[#This Row],[Ingreso 2025 - 2026 Preventivo]]),0)</f>
        <v>0</v>
      </c>
      <c r="L279" s="60">
        <f>1-Tabla1[[#This Row],[% Preventivo $]]</f>
        <v>1</v>
      </c>
      <c r="M279" s="45">
        <f>+COUNTIFS('[1]Base Instalada'!AA:AA,Tabla1[[#This Row],[Cliente]])</f>
        <v>14</v>
      </c>
      <c r="N27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79" s="45">
        <f>+COUNTIFS('[1]Base Instalada'!AA:AA,Tabla1[[#This Row],[Cliente]],'[1]Base Instalada'!Z:Z,"ESTERILIZACIÓN")</f>
        <v>0</v>
      </c>
      <c r="P279" s="45">
        <f>+COUNTIFS('[1]Base Instalada'!AA:AA,Tabla1[[#This Row],[Cliente]],'[1]Base Instalada'!Z:Z,"DENTAL")</f>
        <v>13</v>
      </c>
      <c r="Q279" s="45">
        <f>+COUNTIFS('[1]Base Instalada'!AA:AA,Tabla1[[#This Row],[Cliente]],'[1]Base Instalada'!Z:Z,"ENDOSCOPÍA")</f>
        <v>1</v>
      </c>
      <c r="R279" s="45">
        <f>+COUNTIFS('[1]Base Instalada'!AA:AA,Tabla1[[#This Row],[Cliente]],'[1]Base Instalada'!Z:Z,"INCARDIA")</f>
        <v>0</v>
      </c>
      <c r="S279" s="45">
        <f>+COUNTIFS('[1]Base Instalada'!AA:AA,Tabla1[[#This Row],[Cliente]],'[1]Base Instalada'!Z:Z,"MMQ")</f>
        <v>0</v>
      </c>
      <c r="T279" s="45">
        <f>+COUNTIFS('[1]Base Instalada'!AA:AA,Tabla1[[#This Row],[Cliente]],'[1]Base Instalada'!Z:Z,"REAS")</f>
        <v>0</v>
      </c>
      <c r="U279" s="46">
        <f>+COUNTIFS('[1]Base Instalada'!AA:AA,Tabla1[[#This Row],[Cliente]],'[1]Base Instalada'!Z:Z,"MOBILIARIO CLINICO")</f>
        <v>0</v>
      </c>
      <c r="V279" s="29">
        <f>+COUNTIFS('[1]Base Instalada'!AA:AA,Tabla1[[#This Row],[Cliente]],'[1]Base Instalada'!Z:Z,"OTRO")</f>
        <v>0</v>
      </c>
      <c r="W279" s="61" t="str">
        <f t="shared" si="8"/>
        <v>Región Bío Bío</v>
      </c>
      <c r="X279" s="61" t="str">
        <f t="shared" si="9"/>
        <v>Concepción</v>
      </c>
      <c r="Y279" s="62" t="s">
        <v>592</v>
      </c>
      <c r="Z279" s="33">
        <f>+COUNTIFS('[1]Pipeline TS'!$F:$F,Tabla1[[#This Row],[Cliente]])</f>
        <v>0</v>
      </c>
      <c r="AA279" s="63">
        <f>SUMIFS('[1]Pipeline Esterilización'!M:M,'[1]Pipeline Esterilización'!E:E,Tabla1[[#This Row],[Cliente]],'[1]Pipeline Esterilización'!B:B,"2026",'[1]Pipeline Esterilización'!L:L,"&gt;0")</f>
        <v>0</v>
      </c>
      <c r="AB279" s="33">
        <f>+SUMIFS('[1]Pipeline Endoscopía'!K:K,'[1]Pipeline Endoscopía'!E:E,Tabla1[[#This Row],[Cliente]],'[1]Pipeline Endoscopía'!B:B,"2026",'[1]Pipeline Endoscopía'!J:J,"&gt;0")</f>
        <v>0</v>
      </c>
      <c r="AC279" s="63">
        <f>+SUMIFS('[1]Pipeline Dental'!K:K,'[1]Pipeline Dental'!E:E,Tabla1[[#This Row],[Cliente]],'[1]Pipeline Dental'!B:B,"2026",'[1]Pipeline Dental'!J:J,"&gt;0")</f>
        <v>0</v>
      </c>
      <c r="AD279" s="64">
        <f>+SUMIFS('[1]Pipeline TS'!$AB:$AB,'[1]Pipeline TS'!$F:$F,Tabla1[[#This Row],[Cliente]])</f>
        <v>0</v>
      </c>
      <c r="AE279" s="65">
        <f>+SUM(Tabla1[[#This Row],[Pipeline 2026 $MM ESTERILIZACIÓN]:[Pipeline 2026 $MM TECSERVICE]])</f>
        <v>0</v>
      </c>
      <c r="AF279" s="43">
        <v>-36.828775343358799</v>
      </c>
      <c r="AG279" s="58">
        <v>-73.064192075495498</v>
      </c>
      <c r="AH279" s="57" t="str">
        <f>+IF(Tabla1[[#This Row],['# Contratos Vigentes ]]&gt;0,"SI","NO")</f>
        <v>NO</v>
      </c>
      <c r="AI279" s="66"/>
      <c r="AJ279" s="67">
        <f>+Tabla1[[#This Row],[Ingreso 2025 - 2026]]*Tabla1[[#This Row],[% Costo Serv. Directo]]</f>
        <v>0</v>
      </c>
      <c r="AK279" s="68"/>
      <c r="AL27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7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8648546.153846154</v>
      </c>
      <c r="AN279" s="42">
        <f>+Tabla1[[#This Row],[Potencial Equipos]]+Tabla1[[#This Row],[Potencial Pipeline]]</f>
        <v>8648546.153846154</v>
      </c>
    </row>
    <row r="280" spans="1:40" ht="15.75" x14ac:dyDescent="0.25">
      <c r="A280" s="47" t="s">
        <v>593</v>
      </c>
      <c r="B280" t="str">
        <f>+VLOOKUP(Tabla1[[#This Row],[Cliente]],'[1]Público Privado'!$A$1:$B$325,2,FALSE)</f>
        <v>Privado</v>
      </c>
      <c r="C280" s="23">
        <f>+SUMIFS('[1]Facturacion a Fecha'!$T:$T,'[1]Facturacion a Fecha'!$AY:$AY,Tabla1[[#This Row],[Cliente]])</f>
        <v>0</v>
      </c>
      <c r="D280" s="24">
        <f>+SUMIFS('[1]Facturacion a Fecha'!$T:$T,'[1]Facturacion a Fecha'!$AY:$AY,Tabla1[[#This Row],[Cliente]],'[1]Facturacion a Fecha'!$AX:$AX,"Correctivo")</f>
        <v>0</v>
      </c>
      <c r="E280" s="25">
        <f>+COUNTIFS('[1]Facturacion a Fecha'!AY:AY,Tabla1[[#This Row],[Cliente]],'[1]Facturacion a Fecha'!AX:AX,"Correctivo")</f>
        <v>0</v>
      </c>
      <c r="F280" s="25">
        <f>+SUMIFS('[1]Facturacion a Fecha'!$T:$T,'[1]Facturacion a Fecha'!$AY:$AY,Tabla1[[#This Row],[Cliente]],'[1]Facturacion a Fecha'!$AX:$AX,"Preventivo")</f>
        <v>0</v>
      </c>
      <c r="G280" s="25">
        <f>+COUNTIFS('[1]Facturacion a Fecha'!AY:AY,Tabla1[[#This Row],[Cliente]],'[1]Facturacion a Fecha'!AX:AX,"Preventivo")</f>
        <v>0</v>
      </c>
      <c r="H280" s="26">
        <f>+Tabla1[[#This Row],['# Preventivo]]+Tabla1[[#This Row],['# Correctivo]]</f>
        <v>0</v>
      </c>
      <c r="I280" s="23">
        <f>+IFERROR(Tabla1[[#This Row],[Ingreso 2025 - 2026 Correctivo]]/Tabla1[[#This Row],[Ingreso 2025 - 2026 Preventivo]],0)</f>
        <v>0</v>
      </c>
      <c r="J280" s="59">
        <f>+IFERROR(Tabla1[[#This Row],['# Correctivo]]/Tabla1[[#This Row],['# Preventivo]],0)</f>
        <v>0</v>
      </c>
      <c r="K280" s="60">
        <f>+IFERROR(Tabla1[[#This Row],[Ingreso 2025 - 2026 Preventivo]]/(Tabla1[[#This Row],[Ingreso 2025 - 2026 Correctivo]]+Tabla1[[#This Row],[Ingreso 2025 - 2026 Preventivo]]),0)</f>
        <v>0</v>
      </c>
      <c r="L280" s="60">
        <f>1-Tabla1[[#This Row],[% Preventivo $]]</f>
        <v>1</v>
      </c>
      <c r="M280" s="45">
        <f>+COUNTIFS('[1]Base Instalada'!AA:AA,Tabla1[[#This Row],[Cliente]])</f>
        <v>12</v>
      </c>
      <c r="N28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0" s="45">
        <f>+COUNTIFS('[1]Base Instalada'!AA:AA,Tabla1[[#This Row],[Cliente]],'[1]Base Instalada'!Z:Z,"ESTERILIZACIÓN")</f>
        <v>0</v>
      </c>
      <c r="P280" s="45">
        <f>+COUNTIFS('[1]Base Instalada'!AA:AA,Tabla1[[#This Row],[Cliente]],'[1]Base Instalada'!Z:Z,"DENTAL")</f>
        <v>12</v>
      </c>
      <c r="Q280" s="45">
        <f>+COUNTIFS('[1]Base Instalada'!AA:AA,Tabla1[[#This Row],[Cliente]],'[1]Base Instalada'!Z:Z,"ENDOSCOPÍA")</f>
        <v>0</v>
      </c>
      <c r="R280" s="45">
        <f>+COUNTIFS('[1]Base Instalada'!AA:AA,Tabla1[[#This Row],[Cliente]],'[1]Base Instalada'!Z:Z,"INCARDIA")</f>
        <v>0</v>
      </c>
      <c r="S280" s="45">
        <f>+COUNTIFS('[1]Base Instalada'!AA:AA,Tabla1[[#This Row],[Cliente]],'[1]Base Instalada'!Z:Z,"MMQ")</f>
        <v>0</v>
      </c>
      <c r="T280" s="45">
        <f>+COUNTIFS('[1]Base Instalada'!AA:AA,Tabla1[[#This Row],[Cliente]],'[1]Base Instalada'!Z:Z,"REAS")</f>
        <v>0</v>
      </c>
      <c r="U280" s="46">
        <f>+COUNTIFS('[1]Base Instalada'!AA:AA,Tabla1[[#This Row],[Cliente]],'[1]Base Instalada'!Z:Z,"MOBILIARIO CLINICO")</f>
        <v>0</v>
      </c>
      <c r="V280" s="29">
        <f>+COUNTIFS('[1]Base Instalada'!AA:AA,Tabla1[[#This Row],[Cliente]],'[1]Base Instalada'!Z:Z,"OTRO")</f>
        <v>0</v>
      </c>
      <c r="W280" s="61" t="str">
        <f t="shared" ref="W280:W340" si="10">TRIM(RIGHT(Y280,LEN(Y280)-FIND("@",SUBSTITUTE(Y280,",","@",LEN(Y280)-LEN(SUBSTITUTE(Y280,",",""))))))</f>
        <v>Región Metropolitana</v>
      </c>
      <c r="X280" s="61" t="str">
        <f t="shared" ref="X280:X340" si="11">TRIM(MID(Y280,FIND("@",SUBSTITUTE(Y280,",","@",LEN(Y280)-LEN(SUBSTITUTE(Y280,",",""))-1))+1,FIND("@",SUBSTITUTE(Y280,",","@",LEN(Y280)-LEN(SUBSTITUTE(Y280,",",""))))-FIND("@",SUBSTITUTE(Y280,",","@",LEN(Y280)-LEN(SUBSTITUTE(Y280,",",""))-1))-1))</f>
        <v>Huechuraba</v>
      </c>
      <c r="Y280" s="62" t="s">
        <v>594</v>
      </c>
      <c r="Z280" s="33">
        <f>+COUNTIFS('[1]Pipeline TS'!$F:$F,Tabla1[[#This Row],[Cliente]])</f>
        <v>0</v>
      </c>
      <c r="AA280" s="63">
        <f>SUMIFS('[1]Pipeline Esterilización'!M:M,'[1]Pipeline Esterilización'!E:E,Tabla1[[#This Row],[Cliente]],'[1]Pipeline Esterilización'!B:B,"2026",'[1]Pipeline Esterilización'!L:L,"&gt;0")</f>
        <v>0</v>
      </c>
      <c r="AB280" s="33">
        <f>+SUMIFS('[1]Pipeline Endoscopía'!K:K,'[1]Pipeline Endoscopía'!E:E,Tabla1[[#This Row],[Cliente]],'[1]Pipeline Endoscopía'!B:B,"2026",'[1]Pipeline Endoscopía'!J:J,"&gt;0")</f>
        <v>0</v>
      </c>
      <c r="AC280" s="63">
        <f>+SUMIFS('[1]Pipeline Dental'!K:K,'[1]Pipeline Dental'!E:E,Tabla1[[#This Row],[Cliente]],'[1]Pipeline Dental'!B:B,"2026",'[1]Pipeline Dental'!J:J,"&gt;0")</f>
        <v>0</v>
      </c>
      <c r="AD280" s="64">
        <f>+SUMIFS('[1]Pipeline TS'!$AB:$AB,'[1]Pipeline TS'!$F:$F,Tabla1[[#This Row],[Cliente]])</f>
        <v>0</v>
      </c>
      <c r="AE280" s="65">
        <f>+SUM(Tabla1[[#This Row],[Pipeline 2026 $MM ESTERILIZACIÓN]:[Pipeline 2026 $MM TECSERVICE]])</f>
        <v>0</v>
      </c>
      <c r="AF280" s="43">
        <v>-33.365973166745498</v>
      </c>
      <c r="AG280" s="58">
        <v>-70.678435077541806</v>
      </c>
      <c r="AH280" s="57" t="str">
        <f>+IF(Tabla1[[#This Row],['# Contratos Vigentes ]]&gt;0,"SI","NO")</f>
        <v>NO</v>
      </c>
      <c r="AI280" s="66"/>
      <c r="AJ280" s="67">
        <f>+Tabla1[[#This Row],[Ingreso 2025 - 2026]]*Tabla1[[#This Row],[% Costo Serv. Directo]]</f>
        <v>0</v>
      </c>
      <c r="AK280" s="68"/>
      <c r="AL28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7189200</v>
      </c>
      <c r="AN280" s="42">
        <f>+Tabla1[[#This Row],[Potencial Equipos]]+Tabla1[[#This Row],[Potencial Pipeline]]</f>
        <v>7189200</v>
      </c>
    </row>
    <row r="281" spans="1:40" ht="15.75" x14ac:dyDescent="0.25">
      <c r="A281" s="47" t="s">
        <v>595</v>
      </c>
      <c r="B281" t="str">
        <f>+VLOOKUP(Tabla1[[#This Row],[Cliente]],'[1]Público Privado'!$A$1:$B$325,2,FALSE)</f>
        <v>Privado</v>
      </c>
      <c r="C281" s="23">
        <f>+SUMIFS('[1]Facturacion a Fecha'!$T:$T,'[1]Facturacion a Fecha'!$AY:$AY,Tabla1[[#This Row],[Cliente]])</f>
        <v>0</v>
      </c>
      <c r="D281" s="24">
        <f>+SUMIFS('[1]Facturacion a Fecha'!$T:$T,'[1]Facturacion a Fecha'!$AY:$AY,Tabla1[[#This Row],[Cliente]],'[1]Facturacion a Fecha'!$AX:$AX,"Correctivo")</f>
        <v>0</v>
      </c>
      <c r="E281" s="25">
        <f>+COUNTIFS('[1]Facturacion a Fecha'!AY:AY,Tabla1[[#This Row],[Cliente]],'[1]Facturacion a Fecha'!AX:AX,"Correctivo")</f>
        <v>0</v>
      </c>
      <c r="F281" s="25">
        <f>+SUMIFS('[1]Facturacion a Fecha'!$T:$T,'[1]Facturacion a Fecha'!$AY:$AY,Tabla1[[#This Row],[Cliente]],'[1]Facturacion a Fecha'!$AX:$AX,"Preventivo")</f>
        <v>0</v>
      </c>
      <c r="G281" s="25">
        <f>+COUNTIFS('[1]Facturacion a Fecha'!AY:AY,Tabla1[[#This Row],[Cliente]],'[1]Facturacion a Fecha'!AX:AX,"Preventivo")</f>
        <v>0</v>
      </c>
      <c r="H281" s="26">
        <f>+Tabla1[[#This Row],['# Preventivo]]+Tabla1[[#This Row],['# Correctivo]]</f>
        <v>0</v>
      </c>
      <c r="I281" s="23">
        <f>+IFERROR(Tabla1[[#This Row],[Ingreso 2025 - 2026 Correctivo]]/Tabla1[[#This Row],[Ingreso 2025 - 2026 Preventivo]],0)</f>
        <v>0</v>
      </c>
      <c r="J281" s="59">
        <f>+IFERROR(Tabla1[[#This Row],['# Correctivo]]/Tabla1[[#This Row],['# Preventivo]],0)</f>
        <v>0</v>
      </c>
      <c r="K281" s="60">
        <f>+IFERROR(Tabla1[[#This Row],[Ingreso 2025 - 2026 Preventivo]]/(Tabla1[[#This Row],[Ingreso 2025 - 2026 Correctivo]]+Tabla1[[#This Row],[Ingreso 2025 - 2026 Preventivo]]),0)</f>
        <v>0</v>
      </c>
      <c r="L281" s="60">
        <f>1-Tabla1[[#This Row],[% Preventivo $]]</f>
        <v>1</v>
      </c>
      <c r="M281" s="45">
        <f>+COUNTIFS('[1]Base Instalada'!AA:AA,Tabla1[[#This Row],[Cliente]])</f>
        <v>7</v>
      </c>
      <c r="N28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1" s="45">
        <f>+COUNTIFS('[1]Base Instalada'!AA:AA,Tabla1[[#This Row],[Cliente]],'[1]Base Instalada'!Z:Z,"ESTERILIZACIÓN")</f>
        <v>0</v>
      </c>
      <c r="P281" s="45">
        <f>+COUNTIFS('[1]Base Instalada'!AA:AA,Tabla1[[#This Row],[Cliente]],'[1]Base Instalada'!Z:Z,"DENTAL")</f>
        <v>7</v>
      </c>
      <c r="Q281" s="45">
        <f>+COUNTIFS('[1]Base Instalada'!AA:AA,Tabla1[[#This Row],[Cliente]],'[1]Base Instalada'!Z:Z,"ENDOSCOPÍA")</f>
        <v>0</v>
      </c>
      <c r="R281" s="45">
        <f>+COUNTIFS('[1]Base Instalada'!AA:AA,Tabla1[[#This Row],[Cliente]],'[1]Base Instalada'!Z:Z,"INCARDIA")</f>
        <v>0</v>
      </c>
      <c r="S281" s="45">
        <f>+COUNTIFS('[1]Base Instalada'!AA:AA,Tabla1[[#This Row],[Cliente]],'[1]Base Instalada'!Z:Z,"MMQ")</f>
        <v>0</v>
      </c>
      <c r="T281" s="45">
        <f>+COUNTIFS('[1]Base Instalada'!AA:AA,Tabla1[[#This Row],[Cliente]],'[1]Base Instalada'!Z:Z,"REAS")</f>
        <v>0</v>
      </c>
      <c r="U281" s="46">
        <f>+COUNTIFS('[1]Base Instalada'!AA:AA,Tabla1[[#This Row],[Cliente]],'[1]Base Instalada'!Z:Z,"MOBILIARIO CLINICO")</f>
        <v>0</v>
      </c>
      <c r="V281" s="29">
        <f>+COUNTIFS('[1]Base Instalada'!AA:AA,Tabla1[[#This Row],[Cliente]],'[1]Base Instalada'!Z:Z,"OTRO")</f>
        <v>0</v>
      </c>
      <c r="W281" s="61" t="str">
        <f t="shared" si="10"/>
        <v>Región Metropolitana</v>
      </c>
      <c r="X281" s="61" t="str">
        <f t="shared" si="11"/>
        <v>Santiago</v>
      </c>
      <c r="Y281" s="62" t="s">
        <v>596</v>
      </c>
      <c r="Z281" s="33">
        <f>+COUNTIFS('[1]Pipeline TS'!$F:$F,Tabla1[[#This Row],[Cliente]])</f>
        <v>0</v>
      </c>
      <c r="AA281" s="63">
        <f>SUMIFS('[1]Pipeline Esterilización'!M:M,'[1]Pipeline Esterilización'!E:E,Tabla1[[#This Row],[Cliente]],'[1]Pipeline Esterilización'!B:B,"2026",'[1]Pipeline Esterilización'!L:L,"&gt;0")</f>
        <v>0</v>
      </c>
      <c r="AB281" s="33">
        <f>+SUMIFS('[1]Pipeline Endoscopía'!K:K,'[1]Pipeline Endoscopía'!E:E,Tabla1[[#This Row],[Cliente]],'[1]Pipeline Endoscopía'!B:B,"2026",'[1]Pipeline Endoscopía'!J:J,"&gt;0")</f>
        <v>0</v>
      </c>
      <c r="AC281" s="63">
        <f>+SUMIFS('[1]Pipeline Dental'!K:K,'[1]Pipeline Dental'!E:E,Tabla1[[#This Row],[Cliente]],'[1]Pipeline Dental'!B:B,"2026",'[1]Pipeline Dental'!J:J,"&gt;0")</f>
        <v>0</v>
      </c>
      <c r="AD281" s="64">
        <f>+SUMIFS('[1]Pipeline TS'!$AB:$AB,'[1]Pipeline TS'!$F:$F,Tabla1[[#This Row],[Cliente]])</f>
        <v>0</v>
      </c>
      <c r="AE281" s="65">
        <f>+SUM(Tabla1[[#This Row],[Pipeline 2026 $MM ESTERILIZACIÓN]:[Pipeline 2026 $MM TECSERVICE]])</f>
        <v>0</v>
      </c>
      <c r="AF281" s="43">
        <v>-33.438925462034497</v>
      </c>
      <c r="AG281" s="58">
        <v>-70.647744135208598</v>
      </c>
      <c r="AH281" s="57" t="str">
        <f>+IF(Tabla1[[#This Row],['# Contratos Vigentes ]]&gt;0,"SI","NO")</f>
        <v>NO</v>
      </c>
      <c r="AI281" s="66"/>
      <c r="AJ281" s="67">
        <f>+Tabla1[[#This Row],[Ingreso 2025 - 2026]]*Tabla1[[#This Row],[% Costo Serv. Directo]]</f>
        <v>0</v>
      </c>
      <c r="AK281" s="68"/>
      <c r="AL28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281" s="42">
        <f>+Tabla1[[#This Row],[Potencial Equipos]]+Tabla1[[#This Row],[Potencial Pipeline]]</f>
        <v>4193700</v>
      </c>
    </row>
    <row r="282" spans="1:40" ht="15.75" x14ac:dyDescent="0.25">
      <c r="A282" s="47" t="s">
        <v>597</v>
      </c>
      <c r="B282" t="str">
        <f>+VLOOKUP(Tabla1[[#This Row],[Cliente]],'[1]Público Privado'!$A$1:$B$325,2,FALSE)</f>
        <v>Público</v>
      </c>
      <c r="C282" s="23">
        <f>+SUMIFS('[1]Facturacion a Fecha'!$T:$T,'[1]Facturacion a Fecha'!$AY:$AY,Tabla1[[#This Row],[Cliente]])</f>
        <v>0</v>
      </c>
      <c r="D282" s="24">
        <f>+SUMIFS('[1]Facturacion a Fecha'!$T:$T,'[1]Facturacion a Fecha'!$AY:$AY,Tabla1[[#This Row],[Cliente]],'[1]Facturacion a Fecha'!$AX:$AX,"Correctivo")</f>
        <v>0</v>
      </c>
      <c r="E282" s="25">
        <f>+COUNTIFS('[1]Facturacion a Fecha'!AY:AY,Tabla1[[#This Row],[Cliente]],'[1]Facturacion a Fecha'!AX:AX,"Correctivo")</f>
        <v>0</v>
      </c>
      <c r="F282" s="25">
        <f>+SUMIFS('[1]Facturacion a Fecha'!$T:$T,'[1]Facturacion a Fecha'!$AY:$AY,Tabla1[[#This Row],[Cliente]],'[1]Facturacion a Fecha'!$AX:$AX,"Preventivo")</f>
        <v>0</v>
      </c>
      <c r="G282" s="25">
        <f>+COUNTIFS('[1]Facturacion a Fecha'!AY:AY,Tabla1[[#This Row],[Cliente]],'[1]Facturacion a Fecha'!AX:AX,"Preventivo")</f>
        <v>0</v>
      </c>
      <c r="H282" s="26">
        <f>+Tabla1[[#This Row],['# Preventivo]]+Tabla1[[#This Row],['# Correctivo]]</f>
        <v>0</v>
      </c>
      <c r="I282" s="23">
        <f>+IFERROR(Tabla1[[#This Row],[Ingreso 2025 - 2026 Correctivo]]/Tabla1[[#This Row],[Ingreso 2025 - 2026 Preventivo]],0)</f>
        <v>0</v>
      </c>
      <c r="J282" s="59">
        <f>+IFERROR(Tabla1[[#This Row],['# Correctivo]]/Tabla1[[#This Row],['# Preventivo]],0)</f>
        <v>0</v>
      </c>
      <c r="K282" s="60">
        <f>+IFERROR(Tabla1[[#This Row],[Ingreso 2025 - 2026 Preventivo]]/(Tabla1[[#This Row],[Ingreso 2025 - 2026 Correctivo]]+Tabla1[[#This Row],[Ingreso 2025 - 2026 Preventivo]]),0)</f>
        <v>0</v>
      </c>
      <c r="L282" s="60">
        <f>1-Tabla1[[#This Row],[% Preventivo $]]</f>
        <v>1</v>
      </c>
      <c r="M282" s="45">
        <f>+COUNTIFS('[1]Base Instalada'!AA:AA,Tabla1[[#This Row],[Cliente]])</f>
        <v>9</v>
      </c>
      <c r="N28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2" s="45">
        <f>+COUNTIFS('[1]Base Instalada'!AA:AA,Tabla1[[#This Row],[Cliente]],'[1]Base Instalada'!Z:Z,"ESTERILIZACIÓN")</f>
        <v>0</v>
      </c>
      <c r="P282" s="45">
        <f>+COUNTIFS('[1]Base Instalada'!AA:AA,Tabla1[[#This Row],[Cliente]],'[1]Base Instalada'!Z:Z,"DENTAL")</f>
        <v>9</v>
      </c>
      <c r="Q282" s="45">
        <f>+COUNTIFS('[1]Base Instalada'!AA:AA,Tabla1[[#This Row],[Cliente]],'[1]Base Instalada'!Z:Z,"ENDOSCOPÍA")</f>
        <v>0</v>
      </c>
      <c r="R282" s="45">
        <f>+COUNTIFS('[1]Base Instalada'!AA:AA,Tabla1[[#This Row],[Cliente]],'[1]Base Instalada'!Z:Z,"INCARDIA")</f>
        <v>0</v>
      </c>
      <c r="S282" s="45">
        <f>+COUNTIFS('[1]Base Instalada'!AA:AA,Tabla1[[#This Row],[Cliente]],'[1]Base Instalada'!Z:Z,"MMQ")</f>
        <v>0</v>
      </c>
      <c r="T282" s="45">
        <f>+COUNTIFS('[1]Base Instalada'!AA:AA,Tabla1[[#This Row],[Cliente]],'[1]Base Instalada'!Z:Z,"REAS")</f>
        <v>0</v>
      </c>
      <c r="U282" s="46">
        <f>+COUNTIFS('[1]Base Instalada'!AA:AA,Tabla1[[#This Row],[Cliente]],'[1]Base Instalada'!Z:Z,"MOBILIARIO CLINICO")</f>
        <v>0</v>
      </c>
      <c r="V282" s="29">
        <f>+COUNTIFS('[1]Base Instalada'!AA:AA,Tabla1[[#This Row],[Cliente]],'[1]Base Instalada'!Z:Z,"OTRO")</f>
        <v>0</v>
      </c>
      <c r="W282" s="61" t="str">
        <f t="shared" si="10"/>
        <v>Región Coquimbo</v>
      </c>
      <c r="X282" s="61" t="str">
        <f t="shared" si="11"/>
        <v>Ovalle</v>
      </c>
      <c r="Y282" s="62" t="s">
        <v>598</v>
      </c>
      <c r="Z282" s="33">
        <f>+COUNTIFS('[1]Pipeline TS'!$F:$F,Tabla1[[#This Row],[Cliente]])</f>
        <v>0</v>
      </c>
      <c r="AA282" s="63">
        <f>SUMIFS('[1]Pipeline Esterilización'!M:M,'[1]Pipeline Esterilización'!E:E,Tabla1[[#This Row],[Cliente]],'[1]Pipeline Esterilización'!B:B,"2026",'[1]Pipeline Esterilización'!L:L,"&gt;0")</f>
        <v>0</v>
      </c>
      <c r="AB282" s="33">
        <f>+SUMIFS('[1]Pipeline Endoscopía'!K:K,'[1]Pipeline Endoscopía'!E:E,Tabla1[[#This Row],[Cliente]],'[1]Pipeline Endoscopía'!B:B,"2026",'[1]Pipeline Endoscopía'!J:J,"&gt;0")</f>
        <v>0</v>
      </c>
      <c r="AC282" s="63">
        <f>+SUMIFS('[1]Pipeline Dental'!K:K,'[1]Pipeline Dental'!E:E,Tabla1[[#This Row],[Cliente]],'[1]Pipeline Dental'!B:B,"2026",'[1]Pipeline Dental'!J:J,"&gt;0")</f>
        <v>0</v>
      </c>
      <c r="AD282" s="64">
        <f>+SUMIFS('[1]Pipeline TS'!$AB:$AB,'[1]Pipeline TS'!$F:$F,Tabla1[[#This Row],[Cliente]])</f>
        <v>0</v>
      </c>
      <c r="AE282" s="65">
        <f>+SUM(Tabla1[[#This Row],[Pipeline 2026 $MM ESTERILIZACIÓN]:[Pipeline 2026 $MM TECSERVICE]])</f>
        <v>0</v>
      </c>
      <c r="AF282" s="43">
        <v>-30.597850630912699</v>
      </c>
      <c r="AG282" s="58">
        <v>-71.195407089336001</v>
      </c>
      <c r="AH282" s="57" t="str">
        <f>+IF(Tabla1[[#This Row],['# Contratos Vigentes ]]&gt;0,"SI","NO")</f>
        <v>NO</v>
      </c>
      <c r="AI282" s="66"/>
      <c r="AJ282" s="67">
        <f>+Tabla1[[#This Row],[Ingreso 2025 - 2026]]*Tabla1[[#This Row],[% Costo Serv. Directo]]</f>
        <v>0</v>
      </c>
      <c r="AK282" s="68"/>
      <c r="AL28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5391900</v>
      </c>
      <c r="AN282" s="42">
        <f>+Tabla1[[#This Row],[Potencial Equipos]]+Tabla1[[#This Row],[Potencial Pipeline]]</f>
        <v>5391900</v>
      </c>
    </row>
    <row r="283" spans="1:40" ht="15.75" x14ac:dyDescent="0.25">
      <c r="A283" s="47" t="s">
        <v>599</v>
      </c>
      <c r="B283" t="str">
        <f>+VLOOKUP(Tabla1[[#This Row],[Cliente]],'[1]Público Privado'!$A$1:$B$325,2,FALSE)</f>
        <v>Público</v>
      </c>
      <c r="C283" s="23">
        <f>+SUMIFS('[1]Facturacion a Fecha'!$T:$T,'[1]Facturacion a Fecha'!$AY:$AY,Tabla1[[#This Row],[Cliente]])</f>
        <v>0</v>
      </c>
      <c r="D283" s="24">
        <f>+SUMIFS('[1]Facturacion a Fecha'!$T:$T,'[1]Facturacion a Fecha'!$AY:$AY,Tabla1[[#This Row],[Cliente]],'[1]Facturacion a Fecha'!$AX:$AX,"Correctivo")</f>
        <v>0</v>
      </c>
      <c r="E283" s="25">
        <f>+COUNTIFS('[1]Facturacion a Fecha'!AY:AY,Tabla1[[#This Row],[Cliente]],'[1]Facturacion a Fecha'!AX:AX,"Correctivo")</f>
        <v>0</v>
      </c>
      <c r="F283" s="25">
        <f>+SUMIFS('[1]Facturacion a Fecha'!$T:$T,'[1]Facturacion a Fecha'!$AY:$AY,Tabla1[[#This Row],[Cliente]],'[1]Facturacion a Fecha'!$AX:$AX,"Preventivo")</f>
        <v>0</v>
      </c>
      <c r="G283" s="25">
        <f>+COUNTIFS('[1]Facturacion a Fecha'!AY:AY,Tabla1[[#This Row],[Cliente]],'[1]Facturacion a Fecha'!AX:AX,"Preventivo")</f>
        <v>0</v>
      </c>
      <c r="H283" s="26">
        <f>+Tabla1[[#This Row],['# Preventivo]]+Tabla1[[#This Row],['# Correctivo]]</f>
        <v>0</v>
      </c>
      <c r="I283" s="23">
        <f>+IFERROR(Tabla1[[#This Row],[Ingreso 2025 - 2026 Correctivo]]/Tabla1[[#This Row],[Ingreso 2025 - 2026 Preventivo]],0)</f>
        <v>0</v>
      </c>
      <c r="J283" s="59">
        <f>+IFERROR(Tabla1[[#This Row],['# Correctivo]]/Tabla1[[#This Row],['# Preventivo]],0)</f>
        <v>0</v>
      </c>
      <c r="K283" s="60">
        <f>+IFERROR(Tabla1[[#This Row],[Ingreso 2025 - 2026 Preventivo]]/(Tabla1[[#This Row],[Ingreso 2025 - 2026 Correctivo]]+Tabla1[[#This Row],[Ingreso 2025 - 2026 Preventivo]]),0)</f>
        <v>0</v>
      </c>
      <c r="L283" s="60">
        <f>1-Tabla1[[#This Row],[% Preventivo $]]</f>
        <v>1</v>
      </c>
      <c r="M283" s="45">
        <f>+COUNTIFS('[1]Base Instalada'!AA:AA,Tabla1[[#This Row],[Cliente]])</f>
        <v>7</v>
      </c>
      <c r="N28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3" s="45">
        <f>+COUNTIFS('[1]Base Instalada'!AA:AA,Tabla1[[#This Row],[Cliente]],'[1]Base Instalada'!Z:Z,"ESTERILIZACIÓN")</f>
        <v>0</v>
      </c>
      <c r="P283" s="45">
        <f>+COUNTIFS('[1]Base Instalada'!AA:AA,Tabla1[[#This Row],[Cliente]],'[1]Base Instalada'!Z:Z,"DENTAL")</f>
        <v>7</v>
      </c>
      <c r="Q283" s="45">
        <f>+COUNTIFS('[1]Base Instalada'!AA:AA,Tabla1[[#This Row],[Cliente]],'[1]Base Instalada'!Z:Z,"ENDOSCOPÍA")</f>
        <v>0</v>
      </c>
      <c r="R283" s="45">
        <f>+COUNTIFS('[1]Base Instalada'!AA:AA,Tabla1[[#This Row],[Cliente]],'[1]Base Instalada'!Z:Z,"INCARDIA")</f>
        <v>0</v>
      </c>
      <c r="S283" s="45">
        <f>+COUNTIFS('[1]Base Instalada'!AA:AA,Tabla1[[#This Row],[Cliente]],'[1]Base Instalada'!Z:Z,"MMQ")</f>
        <v>0</v>
      </c>
      <c r="T283" s="45">
        <f>+COUNTIFS('[1]Base Instalada'!AA:AA,Tabla1[[#This Row],[Cliente]],'[1]Base Instalada'!Z:Z,"REAS")</f>
        <v>0</v>
      </c>
      <c r="U283" s="46">
        <f>+COUNTIFS('[1]Base Instalada'!AA:AA,Tabla1[[#This Row],[Cliente]],'[1]Base Instalada'!Z:Z,"MOBILIARIO CLINICO")</f>
        <v>0</v>
      </c>
      <c r="V283" s="29">
        <f>+COUNTIFS('[1]Base Instalada'!AA:AA,Tabla1[[#This Row],[Cliente]],'[1]Base Instalada'!Z:Z,"OTRO")</f>
        <v>0</v>
      </c>
      <c r="W283" s="61" t="str">
        <f t="shared" si="10"/>
        <v>Región Coquimbo</v>
      </c>
      <c r="X283" s="61" t="str">
        <f t="shared" si="11"/>
        <v>Ovalle</v>
      </c>
      <c r="Y283" s="62" t="s">
        <v>600</v>
      </c>
      <c r="Z283" s="33">
        <f>+COUNTIFS('[1]Pipeline TS'!$F:$F,Tabla1[[#This Row],[Cliente]])</f>
        <v>0</v>
      </c>
      <c r="AA283" s="63">
        <f>SUMIFS('[1]Pipeline Esterilización'!M:M,'[1]Pipeline Esterilización'!E:E,Tabla1[[#This Row],[Cliente]],'[1]Pipeline Esterilización'!B:B,"2026",'[1]Pipeline Esterilización'!L:L,"&gt;0")</f>
        <v>0</v>
      </c>
      <c r="AB283" s="33">
        <f>+SUMIFS('[1]Pipeline Endoscopía'!K:K,'[1]Pipeline Endoscopía'!E:E,Tabla1[[#This Row],[Cliente]],'[1]Pipeline Endoscopía'!B:B,"2026",'[1]Pipeline Endoscopía'!J:J,"&gt;0")</f>
        <v>0</v>
      </c>
      <c r="AC283" s="63">
        <f>+SUMIFS('[1]Pipeline Dental'!K:K,'[1]Pipeline Dental'!E:E,Tabla1[[#This Row],[Cliente]],'[1]Pipeline Dental'!B:B,"2026",'[1]Pipeline Dental'!J:J,"&gt;0")</f>
        <v>0</v>
      </c>
      <c r="AD283" s="64">
        <f>+SUMIFS('[1]Pipeline TS'!$AB:$AB,'[1]Pipeline TS'!$F:$F,Tabla1[[#This Row],[Cliente]])</f>
        <v>0</v>
      </c>
      <c r="AE283" s="65">
        <f>+SUM(Tabla1[[#This Row],[Pipeline 2026 $MM ESTERILIZACIÓN]:[Pipeline 2026 $MM TECSERVICE]])</f>
        <v>0</v>
      </c>
      <c r="AF283" s="43">
        <v>-30.5899322032467</v>
      </c>
      <c r="AG283" s="58">
        <v>-71.192674902830404</v>
      </c>
      <c r="AH283" s="57" t="str">
        <f>+IF(Tabla1[[#This Row],['# Contratos Vigentes ]]&gt;0,"SI","NO")</f>
        <v>NO</v>
      </c>
      <c r="AI283" s="66"/>
      <c r="AJ283" s="67">
        <f>+Tabla1[[#This Row],[Ingreso 2025 - 2026]]*Tabla1[[#This Row],[% Costo Serv. Directo]]</f>
        <v>0</v>
      </c>
      <c r="AK283" s="68"/>
      <c r="AL28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283" s="42">
        <f>+Tabla1[[#This Row],[Potencial Equipos]]+Tabla1[[#This Row],[Potencial Pipeline]]</f>
        <v>4193700</v>
      </c>
    </row>
    <row r="284" spans="1:40" ht="15.75" x14ac:dyDescent="0.25">
      <c r="A284" s="47" t="s">
        <v>601</v>
      </c>
      <c r="B284" t="str">
        <f>+VLOOKUP(Tabla1[[#This Row],[Cliente]],'[1]Público Privado'!$A$1:$B$325,2,FALSE)</f>
        <v>Público</v>
      </c>
      <c r="C284" s="23">
        <f>+SUMIFS('[1]Facturacion a Fecha'!$T:$T,'[1]Facturacion a Fecha'!$AY:$AY,Tabla1[[#This Row],[Cliente]])</f>
        <v>0</v>
      </c>
      <c r="D284" s="24">
        <f>+SUMIFS('[1]Facturacion a Fecha'!$T:$T,'[1]Facturacion a Fecha'!$AY:$AY,Tabla1[[#This Row],[Cliente]],'[1]Facturacion a Fecha'!$AX:$AX,"Correctivo")</f>
        <v>0</v>
      </c>
      <c r="E284" s="25">
        <f>+COUNTIFS('[1]Facturacion a Fecha'!AY:AY,Tabla1[[#This Row],[Cliente]],'[1]Facturacion a Fecha'!AX:AX,"Correctivo")</f>
        <v>0</v>
      </c>
      <c r="F284" s="25">
        <f>+SUMIFS('[1]Facturacion a Fecha'!$T:$T,'[1]Facturacion a Fecha'!$AY:$AY,Tabla1[[#This Row],[Cliente]],'[1]Facturacion a Fecha'!$AX:$AX,"Preventivo")</f>
        <v>0</v>
      </c>
      <c r="G284" s="25">
        <f>+COUNTIFS('[1]Facturacion a Fecha'!AY:AY,Tabla1[[#This Row],[Cliente]],'[1]Facturacion a Fecha'!AX:AX,"Preventivo")</f>
        <v>0</v>
      </c>
      <c r="H284" s="26">
        <f>+Tabla1[[#This Row],['# Preventivo]]+Tabla1[[#This Row],['# Correctivo]]</f>
        <v>0</v>
      </c>
      <c r="I284" s="23">
        <f>+IFERROR(Tabla1[[#This Row],[Ingreso 2025 - 2026 Correctivo]]/Tabla1[[#This Row],[Ingreso 2025 - 2026 Preventivo]],0)</f>
        <v>0</v>
      </c>
      <c r="J284" s="59">
        <f>+IFERROR(Tabla1[[#This Row],['# Correctivo]]/Tabla1[[#This Row],['# Preventivo]],0)</f>
        <v>0</v>
      </c>
      <c r="K284" s="60">
        <f>+IFERROR(Tabla1[[#This Row],[Ingreso 2025 - 2026 Preventivo]]/(Tabla1[[#This Row],[Ingreso 2025 - 2026 Correctivo]]+Tabla1[[#This Row],[Ingreso 2025 - 2026 Preventivo]]),0)</f>
        <v>0</v>
      </c>
      <c r="L284" s="60">
        <f>1-Tabla1[[#This Row],[% Preventivo $]]</f>
        <v>1</v>
      </c>
      <c r="M284" s="45">
        <f>+COUNTIFS('[1]Base Instalada'!AA:AA,Tabla1[[#This Row],[Cliente]])</f>
        <v>5</v>
      </c>
      <c r="N28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4" s="45">
        <f>+COUNTIFS('[1]Base Instalada'!AA:AA,Tabla1[[#This Row],[Cliente]],'[1]Base Instalada'!Z:Z,"ESTERILIZACIÓN")</f>
        <v>2</v>
      </c>
      <c r="P284" s="45">
        <f>+COUNTIFS('[1]Base Instalada'!AA:AA,Tabla1[[#This Row],[Cliente]],'[1]Base Instalada'!Z:Z,"DENTAL")</f>
        <v>3</v>
      </c>
      <c r="Q284" s="45">
        <f>+COUNTIFS('[1]Base Instalada'!AA:AA,Tabla1[[#This Row],[Cliente]],'[1]Base Instalada'!Z:Z,"ENDOSCOPÍA")</f>
        <v>0</v>
      </c>
      <c r="R284" s="45">
        <f>+COUNTIFS('[1]Base Instalada'!AA:AA,Tabla1[[#This Row],[Cliente]],'[1]Base Instalada'!Z:Z,"INCARDIA")</f>
        <v>0</v>
      </c>
      <c r="S284" s="45">
        <f>+COUNTIFS('[1]Base Instalada'!AA:AA,Tabla1[[#This Row],[Cliente]],'[1]Base Instalada'!Z:Z,"MMQ")</f>
        <v>0</v>
      </c>
      <c r="T284" s="45">
        <f>+COUNTIFS('[1]Base Instalada'!AA:AA,Tabla1[[#This Row],[Cliente]],'[1]Base Instalada'!Z:Z,"REAS")</f>
        <v>0</v>
      </c>
      <c r="U284" s="46">
        <f>+COUNTIFS('[1]Base Instalada'!AA:AA,Tabla1[[#This Row],[Cliente]],'[1]Base Instalada'!Z:Z,"MOBILIARIO CLINICO")</f>
        <v>0</v>
      </c>
      <c r="V284" s="29">
        <f>+COUNTIFS('[1]Base Instalada'!AA:AA,Tabla1[[#This Row],[Cliente]],'[1]Base Instalada'!Z:Z,"OTRO")</f>
        <v>0</v>
      </c>
      <c r="W284" s="61" t="str">
        <f t="shared" si="10"/>
        <v>Región Coquimbo</v>
      </c>
      <c r="X284" s="61" t="str">
        <f t="shared" si="11"/>
        <v>Ovalle</v>
      </c>
      <c r="Y284" s="62" t="s">
        <v>602</v>
      </c>
      <c r="Z284" s="33">
        <f>+COUNTIFS('[1]Pipeline TS'!$F:$F,Tabla1[[#This Row],[Cliente]])</f>
        <v>0</v>
      </c>
      <c r="AA284" s="63">
        <f>SUMIFS('[1]Pipeline Esterilización'!M:M,'[1]Pipeline Esterilización'!E:E,Tabla1[[#This Row],[Cliente]],'[1]Pipeline Esterilización'!B:B,"2026",'[1]Pipeline Esterilización'!L:L,"&gt;0")</f>
        <v>0</v>
      </c>
      <c r="AB284" s="33">
        <f>+SUMIFS('[1]Pipeline Endoscopía'!K:K,'[1]Pipeline Endoscopía'!E:E,Tabla1[[#This Row],[Cliente]],'[1]Pipeline Endoscopía'!B:B,"2026",'[1]Pipeline Endoscopía'!J:J,"&gt;0")</f>
        <v>0</v>
      </c>
      <c r="AC284" s="63">
        <f>+SUMIFS('[1]Pipeline Dental'!K:K,'[1]Pipeline Dental'!E:E,Tabla1[[#This Row],[Cliente]],'[1]Pipeline Dental'!B:B,"2026",'[1]Pipeline Dental'!J:J,"&gt;0")</f>
        <v>0</v>
      </c>
      <c r="AD284" s="64">
        <f>+SUMIFS('[1]Pipeline TS'!$AB:$AB,'[1]Pipeline TS'!$F:$F,Tabla1[[#This Row],[Cliente]])</f>
        <v>0</v>
      </c>
      <c r="AE284" s="65">
        <f>+SUM(Tabla1[[#This Row],[Pipeline 2026 $MM ESTERILIZACIÓN]:[Pipeline 2026 $MM TECSERVICE]])</f>
        <v>0</v>
      </c>
      <c r="AF284" s="43">
        <v>-30.6038199950715</v>
      </c>
      <c r="AG284" s="58">
        <v>-71.203939215640901</v>
      </c>
      <c r="AH284" s="57" t="str">
        <f>+IF(Tabla1[[#This Row],['# Contratos Vigentes ]]&gt;0,"SI","NO")</f>
        <v>NO</v>
      </c>
      <c r="AI284" s="66"/>
      <c r="AJ284" s="67">
        <f>+Tabla1[[#This Row],[Ingreso 2025 - 2026]]*Tabla1[[#This Row],[% Costo Serv. Directo]]</f>
        <v>0</v>
      </c>
      <c r="AK284" s="68"/>
      <c r="AL28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5791300</v>
      </c>
      <c r="AN284" s="42">
        <f>+Tabla1[[#This Row],[Potencial Equipos]]+Tabla1[[#This Row],[Potencial Pipeline]]</f>
        <v>5791300</v>
      </c>
    </row>
    <row r="285" spans="1:40" ht="15.75" x14ac:dyDescent="0.25">
      <c r="A285" s="47" t="s">
        <v>603</v>
      </c>
      <c r="B285" t="str">
        <f>+VLOOKUP(Tabla1[[#This Row],[Cliente]],'[1]Público Privado'!$A$1:$B$325,2,FALSE)</f>
        <v>Privado</v>
      </c>
      <c r="C285" s="23">
        <f>+SUMIFS('[1]Facturacion a Fecha'!$T:$T,'[1]Facturacion a Fecha'!$AY:$AY,Tabla1[[#This Row],[Cliente]])</f>
        <v>0</v>
      </c>
      <c r="D285" s="24">
        <f>+SUMIFS('[1]Facturacion a Fecha'!$T:$T,'[1]Facturacion a Fecha'!$AY:$AY,Tabla1[[#This Row],[Cliente]],'[1]Facturacion a Fecha'!$AX:$AX,"Correctivo")</f>
        <v>0</v>
      </c>
      <c r="E285" s="25">
        <f>+COUNTIFS('[1]Facturacion a Fecha'!AY:AY,Tabla1[[#This Row],[Cliente]],'[1]Facturacion a Fecha'!AX:AX,"Correctivo")</f>
        <v>0</v>
      </c>
      <c r="F285" s="25">
        <f>+SUMIFS('[1]Facturacion a Fecha'!$T:$T,'[1]Facturacion a Fecha'!$AY:$AY,Tabla1[[#This Row],[Cliente]],'[1]Facturacion a Fecha'!$AX:$AX,"Preventivo")</f>
        <v>0</v>
      </c>
      <c r="G285" s="25">
        <f>+COUNTIFS('[1]Facturacion a Fecha'!AY:AY,Tabla1[[#This Row],[Cliente]],'[1]Facturacion a Fecha'!AX:AX,"Preventivo")</f>
        <v>0</v>
      </c>
      <c r="H285" s="26">
        <f>+Tabla1[[#This Row],['# Preventivo]]+Tabla1[[#This Row],['# Correctivo]]</f>
        <v>0</v>
      </c>
      <c r="I285" s="23">
        <f>+IFERROR(Tabla1[[#This Row],[Ingreso 2025 - 2026 Correctivo]]/Tabla1[[#This Row],[Ingreso 2025 - 2026 Preventivo]],0)</f>
        <v>0</v>
      </c>
      <c r="J285" s="59">
        <f>+IFERROR(Tabla1[[#This Row],['# Correctivo]]/Tabla1[[#This Row],['# Preventivo]],0)</f>
        <v>0</v>
      </c>
      <c r="K285" s="60">
        <f>+IFERROR(Tabla1[[#This Row],[Ingreso 2025 - 2026 Preventivo]]/(Tabla1[[#This Row],[Ingreso 2025 - 2026 Correctivo]]+Tabla1[[#This Row],[Ingreso 2025 - 2026 Preventivo]]),0)</f>
        <v>0</v>
      </c>
      <c r="L285" s="60">
        <f>1-Tabla1[[#This Row],[% Preventivo $]]</f>
        <v>1</v>
      </c>
      <c r="M285" s="45">
        <f>+COUNTIFS('[1]Base Instalada'!AA:AA,Tabla1[[#This Row],[Cliente]])</f>
        <v>6</v>
      </c>
      <c r="N28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5" s="45">
        <f>+COUNTIFS('[1]Base Instalada'!AA:AA,Tabla1[[#This Row],[Cliente]],'[1]Base Instalada'!Z:Z,"ESTERILIZACIÓN")</f>
        <v>0</v>
      </c>
      <c r="P285" s="45">
        <f>+COUNTIFS('[1]Base Instalada'!AA:AA,Tabla1[[#This Row],[Cliente]],'[1]Base Instalada'!Z:Z,"DENTAL")</f>
        <v>6</v>
      </c>
      <c r="Q285" s="45">
        <f>+COUNTIFS('[1]Base Instalada'!AA:AA,Tabla1[[#This Row],[Cliente]],'[1]Base Instalada'!Z:Z,"ENDOSCOPÍA")</f>
        <v>0</v>
      </c>
      <c r="R285" s="45">
        <f>+COUNTIFS('[1]Base Instalada'!AA:AA,Tabla1[[#This Row],[Cliente]],'[1]Base Instalada'!Z:Z,"INCARDIA")</f>
        <v>0</v>
      </c>
      <c r="S285" s="45">
        <f>+COUNTIFS('[1]Base Instalada'!AA:AA,Tabla1[[#This Row],[Cliente]],'[1]Base Instalada'!Z:Z,"MMQ")</f>
        <v>0</v>
      </c>
      <c r="T285" s="45">
        <f>+COUNTIFS('[1]Base Instalada'!AA:AA,Tabla1[[#This Row],[Cliente]],'[1]Base Instalada'!Z:Z,"REAS")</f>
        <v>0</v>
      </c>
      <c r="U285" s="46">
        <f>+COUNTIFS('[1]Base Instalada'!AA:AA,Tabla1[[#This Row],[Cliente]],'[1]Base Instalada'!Z:Z,"MOBILIARIO CLINICO")</f>
        <v>0</v>
      </c>
      <c r="V285" s="29">
        <f>+COUNTIFS('[1]Base Instalada'!AA:AA,Tabla1[[#This Row],[Cliente]],'[1]Base Instalada'!Z:Z,"OTRO")</f>
        <v>0</v>
      </c>
      <c r="W285" s="61" t="str">
        <f t="shared" si="10"/>
        <v>Región Araucanía</v>
      </c>
      <c r="X285" s="61" t="str">
        <f t="shared" si="11"/>
        <v>Temuco</v>
      </c>
      <c r="Y285" s="62" t="s">
        <v>604</v>
      </c>
      <c r="Z285" s="33">
        <f>+COUNTIFS('[1]Pipeline TS'!$F:$F,Tabla1[[#This Row],[Cliente]])</f>
        <v>0</v>
      </c>
      <c r="AA285" s="63">
        <f>SUMIFS('[1]Pipeline Esterilización'!M:M,'[1]Pipeline Esterilización'!E:E,Tabla1[[#This Row],[Cliente]],'[1]Pipeline Esterilización'!B:B,"2026",'[1]Pipeline Esterilización'!L:L,"&gt;0")</f>
        <v>0</v>
      </c>
      <c r="AB285" s="33">
        <f>+SUMIFS('[1]Pipeline Endoscopía'!K:K,'[1]Pipeline Endoscopía'!E:E,Tabla1[[#This Row],[Cliente]],'[1]Pipeline Endoscopía'!B:B,"2026",'[1]Pipeline Endoscopía'!J:J,"&gt;0")</f>
        <v>0</v>
      </c>
      <c r="AC285" s="63">
        <f>+SUMIFS('[1]Pipeline Dental'!K:K,'[1]Pipeline Dental'!E:E,Tabla1[[#This Row],[Cliente]],'[1]Pipeline Dental'!B:B,"2026",'[1]Pipeline Dental'!J:J,"&gt;0")</f>
        <v>0</v>
      </c>
      <c r="AD285" s="64">
        <f>+SUMIFS('[1]Pipeline TS'!$AB:$AB,'[1]Pipeline TS'!$F:$F,Tabla1[[#This Row],[Cliente]])</f>
        <v>0</v>
      </c>
      <c r="AE285" s="65">
        <f>+SUM(Tabla1[[#This Row],[Pipeline 2026 $MM ESTERILIZACIÓN]:[Pipeline 2026 $MM TECSERVICE]])</f>
        <v>0</v>
      </c>
      <c r="AF285" s="43">
        <v>-38.7379724652222</v>
      </c>
      <c r="AG285" s="58">
        <v>-72.617887093731198</v>
      </c>
      <c r="AH285" s="57" t="str">
        <f>+IF(Tabla1[[#This Row],['# Contratos Vigentes ]]&gt;0,"SI","NO")</f>
        <v>NO</v>
      </c>
      <c r="AI285" s="66"/>
      <c r="AJ285" s="67">
        <f>+Tabla1[[#This Row],[Ingreso 2025 - 2026]]*Tabla1[[#This Row],[% Costo Serv. Directo]]</f>
        <v>0</v>
      </c>
      <c r="AK285" s="68"/>
      <c r="AL28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85" s="42">
        <f>+Tabla1[[#This Row],[Potencial Equipos]]+Tabla1[[#This Row],[Potencial Pipeline]]</f>
        <v>3594600</v>
      </c>
    </row>
    <row r="286" spans="1:40" ht="15.75" x14ac:dyDescent="0.25">
      <c r="A286" s="47" t="s">
        <v>605</v>
      </c>
      <c r="B286" t="str">
        <f>+VLOOKUP(Tabla1[[#This Row],[Cliente]],'[1]Público Privado'!$A$1:$B$325,2,FALSE)</f>
        <v>Público</v>
      </c>
      <c r="C286" s="23">
        <f>+SUMIFS('[1]Facturacion a Fecha'!$T:$T,'[1]Facturacion a Fecha'!$AY:$AY,Tabla1[[#This Row],[Cliente]])</f>
        <v>0</v>
      </c>
      <c r="D286" s="24">
        <f>+SUMIFS('[1]Facturacion a Fecha'!$T:$T,'[1]Facturacion a Fecha'!$AY:$AY,Tabla1[[#This Row],[Cliente]],'[1]Facturacion a Fecha'!$AX:$AX,"Correctivo")</f>
        <v>0</v>
      </c>
      <c r="E286" s="25">
        <f>+COUNTIFS('[1]Facturacion a Fecha'!AY:AY,Tabla1[[#This Row],[Cliente]],'[1]Facturacion a Fecha'!AX:AX,"Correctivo")</f>
        <v>0</v>
      </c>
      <c r="F286" s="25">
        <f>+SUMIFS('[1]Facturacion a Fecha'!$T:$T,'[1]Facturacion a Fecha'!$AY:$AY,Tabla1[[#This Row],[Cliente]],'[1]Facturacion a Fecha'!$AX:$AX,"Preventivo")</f>
        <v>0</v>
      </c>
      <c r="G286" s="25">
        <f>+COUNTIFS('[1]Facturacion a Fecha'!AY:AY,Tabla1[[#This Row],[Cliente]],'[1]Facturacion a Fecha'!AX:AX,"Preventivo")</f>
        <v>0</v>
      </c>
      <c r="H286" s="26">
        <f>+Tabla1[[#This Row],['# Preventivo]]+Tabla1[[#This Row],['# Correctivo]]</f>
        <v>0</v>
      </c>
      <c r="I286" s="23">
        <f>+IFERROR(Tabla1[[#This Row],[Ingreso 2025 - 2026 Correctivo]]/Tabla1[[#This Row],[Ingreso 2025 - 2026 Preventivo]],0)</f>
        <v>0</v>
      </c>
      <c r="J286" s="59">
        <f>+IFERROR(Tabla1[[#This Row],['# Correctivo]]/Tabla1[[#This Row],['# Preventivo]],0)</f>
        <v>0</v>
      </c>
      <c r="K286" s="60">
        <f>+IFERROR(Tabla1[[#This Row],[Ingreso 2025 - 2026 Preventivo]]/(Tabla1[[#This Row],[Ingreso 2025 - 2026 Correctivo]]+Tabla1[[#This Row],[Ingreso 2025 - 2026 Preventivo]]),0)</f>
        <v>0</v>
      </c>
      <c r="L286" s="60">
        <f>1-Tabla1[[#This Row],[% Preventivo $]]</f>
        <v>1</v>
      </c>
      <c r="M286" s="45">
        <f>+COUNTIFS('[1]Base Instalada'!AA:AA,Tabla1[[#This Row],[Cliente]])</f>
        <v>11</v>
      </c>
      <c r="N28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6" s="45">
        <f>+COUNTIFS('[1]Base Instalada'!AA:AA,Tabla1[[#This Row],[Cliente]],'[1]Base Instalada'!Z:Z,"ESTERILIZACIÓN")</f>
        <v>0</v>
      </c>
      <c r="P286" s="45">
        <f>+COUNTIFS('[1]Base Instalada'!AA:AA,Tabla1[[#This Row],[Cliente]],'[1]Base Instalada'!Z:Z,"DENTAL")</f>
        <v>11</v>
      </c>
      <c r="Q286" s="45">
        <f>+COUNTIFS('[1]Base Instalada'!AA:AA,Tabla1[[#This Row],[Cliente]],'[1]Base Instalada'!Z:Z,"ENDOSCOPÍA")</f>
        <v>0</v>
      </c>
      <c r="R286" s="45">
        <f>+COUNTIFS('[1]Base Instalada'!AA:AA,Tabla1[[#This Row],[Cliente]],'[1]Base Instalada'!Z:Z,"INCARDIA")</f>
        <v>0</v>
      </c>
      <c r="S286" s="45">
        <f>+COUNTIFS('[1]Base Instalada'!AA:AA,Tabla1[[#This Row],[Cliente]],'[1]Base Instalada'!Z:Z,"MMQ")</f>
        <v>0</v>
      </c>
      <c r="T286" s="45">
        <f>+COUNTIFS('[1]Base Instalada'!AA:AA,Tabla1[[#This Row],[Cliente]],'[1]Base Instalada'!Z:Z,"REAS")</f>
        <v>0</v>
      </c>
      <c r="U286" s="46">
        <f>+COUNTIFS('[1]Base Instalada'!AA:AA,Tabla1[[#This Row],[Cliente]],'[1]Base Instalada'!Z:Z,"MOBILIARIO CLINICO")</f>
        <v>0</v>
      </c>
      <c r="V286" s="29">
        <f>+COUNTIFS('[1]Base Instalada'!AA:AA,Tabla1[[#This Row],[Cliente]],'[1]Base Instalada'!Z:Z,"OTRO")</f>
        <v>0</v>
      </c>
      <c r="W286" s="61" t="str">
        <f t="shared" si="10"/>
        <v>Región Metropolitana</v>
      </c>
      <c r="X286" s="61" t="str">
        <f t="shared" si="11"/>
        <v>Lo Barnechea</v>
      </c>
      <c r="Y286" s="62" t="s">
        <v>606</v>
      </c>
      <c r="Z286" s="33">
        <f>+COUNTIFS('[1]Pipeline TS'!$F:$F,Tabla1[[#This Row],[Cliente]])</f>
        <v>0</v>
      </c>
      <c r="AA286" s="63">
        <f>SUMIFS('[1]Pipeline Esterilización'!M:M,'[1]Pipeline Esterilización'!E:E,Tabla1[[#This Row],[Cliente]],'[1]Pipeline Esterilización'!B:B,"2026",'[1]Pipeline Esterilización'!L:L,"&gt;0")</f>
        <v>0</v>
      </c>
      <c r="AB286" s="33">
        <f>+SUMIFS('[1]Pipeline Endoscopía'!K:K,'[1]Pipeline Endoscopía'!E:E,Tabla1[[#This Row],[Cliente]],'[1]Pipeline Endoscopía'!B:B,"2026",'[1]Pipeline Endoscopía'!J:J,"&gt;0")</f>
        <v>0</v>
      </c>
      <c r="AC286" s="63">
        <f>+SUMIFS('[1]Pipeline Dental'!K:K,'[1]Pipeline Dental'!E:E,Tabla1[[#This Row],[Cliente]],'[1]Pipeline Dental'!B:B,"2026",'[1]Pipeline Dental'!J:J,"&gt;0")</f>
        <v>0</v>
      </c>
      <c r="AD286" s="64">
        <f>+SUMIFS('[1]Pipeline TS'!$AB:$AB,'[1]Pipeline TS'!$F:$F,Tabla1[[#This Row],[Cliente]])</f>
        <v>0</v>
      </c>
      <c r="AE286" s="65">
        <f>+SUM(Tabla1[[#This Row],[Pipeline 2026 $MM ESTERILIZACIÓN]:[Pipeline 2026 $MM TECSERVICE]])</f>
        <v>0</v>
      </c>
      <c r="AF286" s="43">
        <v>-33.3515245775693</v>
      </c>
      <c r="AG286" s="58">
        <v>-70.509966962201204</v>
      </c>
      <c r="AH286" s="57" t="str">
        <f>+IF(Tabla1[[#This Row],['# Contratos Vigentes ]]&gt;0,"SI","NO")</f>
        <v>NO</v>
      </c>
      <c r="AI286" s="66"/>
      <c r="AJ286" s="67">
        <f>+Tabla1[[#This Row],[Ingreso 2025 - 2026]]*Tabla1[[#This Row],[% Costo Serv. Directo]]</f>
        <v>0</v>
      </c>
      <c r="AK286" s="68"/>
      <c r="AL28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6590100</v>
      </c>
      <c r="AN286" s="42">
        <f>+Tabla1[[#This Row],[Potencial Equipos]]+Tabla1[[#This Row],[Potencial Pipeline]]</f>
        <v>6590100</v>
      </c>
    </row>
    <row r="287" spans="1:40" ht="15.75" x14ac:dyDescent="0.25">
      <c r="A287" s="47" t="s">
        <v>607</v>
      </c>
      <c r="B287" t="str">
        <f>+VLOOKUP(Tabla1[[#This Row],[Cliente]],'[1]Público Privado'!$A$1:$B$325,2,FALSE)</f>
        <v>Privado</v>
      </c>
      <c r="C287" s="23">
        <f>+SUMIFS('[1]Facturacion a Fecha'!$T:$T,'[1]Facturacion a Fecha'!$AY:$AY,Tabla1[[#This Row],[Cliente]])</f>
        <v>0</v>
      </c>
      <c r="D287" s="24">
        <f>+SUMIFS('[1]Facturacion a Fecha'!$T:$T,'[1]Facturacion a Fecha'!$AY:$AY,Tabla1[[#This Row],[Cliente]],'[1]Facturacion a Fecha'!$AX:$AX,"Correctivo")</f>
        <v>0</v>
      </c>
      <c r="E287" s="25">
        <f>+COUNTIFS('[1]Facturacion a Fecha'!AY:AY,Tabla1[[#This Row],[Cliente]],'[1]Facturacion a Fecha'!AX:AX,"Correctivo")</f>
        <v>0</v>
      </c>
      <c r="F287" s="25">
        <f>+SUMIFS('[1]Facturacion a Fecha'!$T:$T,'[1]Facturacion a Fecha'!$AY:$AY,Tabla1[[#This Row],[Cliente]],'[1]Facturacion a Fecha'!$AX:$AX,"Preventivo")</f>
        <v>0</v>
      </c>
      <c r="G287" s="25">
        <f>+COUNTIFS('[1]Facturacion a Fecha'!AY:AY,Tabla1[[#This Row],[Cliente]],'[1]Facturacion a Fecha'!AX:AX,"Preventivo")</f>
        <v>0</v>
      </c>
      <c r="H287" s="26">
        <f>+Tabla1[[#This Row],['# Preventivo]]+Tabla1[[#This Row],['# Correctivo]]</f>
        <v>0</v>
      </c>
      <c r="I287" s="23">
        <f>+IFERROR(Tabla1[[#This Row],[Ingreso 2025 - 2026 Correctivo]]/Tabla1[[#This Row],[Ingreso 2025 - 2026 Preventivo]],0)</f>
        <v>0</v>
      </c>
      <c r="J287" s="59">
        <f>+IFERROR(Tabla1[[#This Row],['# Correctivo]]/Tabla1[[#This Row],['# Preventivo]],0)</f>
        <v>0</v>
      </c>
      <c r="K287" s="60">
        <f>+IFERROR(Tabla1[[#This Row],[Ingreso 2025 - 2026 Preventivo]]/(Tabla1[[#This Row],[Ingreso 2025 - 2026 Correctivo]]+Tabla1[[#This Row],[Ingreso 2025 - 2026 Preventivo]]),0)</f>
        <v>0</v>
      </c>
      <c r="L287" s="60">
        <f>1-Tabla1[[#This Row],[% Preventivo $]]</f>
        <v>1</v>
      </c>
      <c r="M287" s="45">
        <f>+COUNTIFS('[1]Base Instalada'!AA:AA,Tabla1[[#This Row],[Cliente]])</f>
        <v>11</v>
      </c>
      <c r="N28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7" s="45">
        <f>+COUNTIFS('[1]Base Instalada'!AA:AA,Tabla1[[#This Row],[Cliente]],'[1]Base Instalada'!Z:Z,"ESTERILIZACIÓN")</f>
        <v>0</v>
      </c>
      <c r="P287" s="45">
        <f>+COUNTIFS('[1]Base Instalada'!AA:AA,Tabla1[[#This Row],[Cliente]],'[1]Base Instalada'!Z:Z,"DENTAL")</f>
        <v>11</v>
      </c>
      <c r="Q287" s="45">
        <f>+COUNTIFS('[1]Base Instalada'!AA:AA,Tabla1[[#This Row],[Cliente]],'[1]Base Instalada'!Z:Z,"ENDOSCOPÍA")</f>
        <v>0</v>
      </c>
      <c r="R287" s="45">
        <f>+COUNTIFS('[1]Base Instalada'!AA:AA,Tabla1[[#This Row],[Cliente]],'[1]Base Instalada'!Z:Z,"INCARDIA")</f>
        <v>0</v>
      </c>
      <c r="S287" s="45">
        <f>+COUNTIFS('[1]Base Instalada'!AA:AA,Tabla1[[#This Row],[Cliente]],'[1]Base Instalada'!Z:Z,"MMQ")</f>
        <v>0</v>
      </c>
      <c r="T287" s="45">
        <f>+COUNTIFS('[1]Base Instalada'!AA:AA,Tabla1[[#This Row],[Cliente]],'[1]Base Instalada'!Z:Z,"REAS")</f>
        <v>0</v>
      </c>
      <c r="U287" s="46">
        <f>+COUNTIFS('[1]Base Instalada'!AA:AA,Tabla1[[#This Row],[Cliente]],'[1]Base Instalada'!Z:Z,"MOBILIARIO CLINICO")</f>
        <v>0</v>
      </c>
      <c r="V287" s="29">
        <f>+COUNTIFS('[1]Base Instalada'!AA:AA,Tabla1[[#This Row],[Cliente]],'[1]Base Instalada'!Z:Z,"OTRO")</f>
        <v>0</v>
      </c>
      <c r="W287" s="61" t="str">
        <f t="shared" si="10"/>
        <v>Región Bío Bío</v>
      </c>
      <c r="X287" s="61" t="str">
        <f t="shared" si="11"/>
        <v>Concepción</v>
      </c>
      <c r="Y287" s="62" t="s">
        <v>608</v>
      </c>
      <c r="Z287" s="33">
        <f>+COUNTIFS('[1]Pipeline TS'!$F:$F,Tabla1[[#This Row],[Cliente]])</f>
        <v>0</v>
      </c>
      <c r="AA287" s="63">
        <f>SUMIFS('[1]Pipeline Esterilización'!M:M,'[1]Pipeline Esterilización'!E:E,Tabla1[[#This Row],[Cliente]],'[1]Pipeline Esterilización'!B:B,"2026",'[1]Pipeline Esterilización'!L:L,"&gt;0")</f>
        <v>0</v>
      </c>
      <c r="AB287" s="33">
        <f>+SUMIFS('[1]Pipeline Endoscopía'!K:K,'[1]Pipeline Endoscopía'!E:E,Tabla1[[#This Row],[Cliente]],'[1]Pipeline Endoscopía'!B:B,"2026",'[1]Pipeline Endoscopía'!J:J,"&gt;0")</f>
        <v>0</v>
      </c>
      <c r="AC287" s="63">
        <f>+SUMIFS('[1]Pipeline Dental'!K:K,'[1]Pipeline Dental'!E:E,Tabla1[[#This Row],[Cliente]],'[1]Pipeline Dental'!B:B,"2026",'[1]Pipeline Dental'!J:J,"&gt;0")</f>
        <v>0</v>
      </c>
      <c r="AD287" s="64">
        <f>+SUMIFS('[1]Pipeline TS'!$AB:$AB,'[1]Pipeline TS'!$F:$F,Tabla1[[#This Row],[Cliente]])</f>
        <v>0</v>
      </c>
      <c r="AE287" s="65">
        <f>+SUM(Tabla1[[#This Row],[Pipeline 2026 $MM ESTERILIZACIÓN]:[Pipeline 2026 $MM TECSERVICE]])</f>
        <v>0</v>
      </c>
      <c r="AF287" s="43">
        <v>-36.811761811784798</v>
      </c>
      <c r="AG287" s="58">
        <v>-73.042240148508697</v>
      </c>
      <c r="AH287" s="57" t="str">
        <f>+IF(Tabla1[[#This Row],['# Contratos Vigentes ]]&gt;0,"SI","NO")</f>
        <v>NO</v>
      </c>
      <c r="AI287" s="66"/>
      <c r="AJ287" s="67">
        <f>+Tabla1[[#This Row],[Ingreso 2025 - 2026]]*Tabla1[[#This Row],[% Costo Serv. Directo]]</f>
        <v>0</v>
      </c>
      <c r="AK287" s="68"/>
      <c r="AL28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6590100</v>
      </c>
      <c r="AN287" s="42">
        <f>+Tabla1[[#This Row],[Potencial Equipos]]+Tabla1[[#This Row],[Potencial Pipeline]]</f>
        <v>6590100</v>
      </c>
    </row>
    <row r="288" spans="1:40" ht="15.75" x14ac:dyDescent="0.25">
      <c r="A288" s="47" t="s">
        <v>609</v>
      </c>
      <c r="B288" t="str">
        <f>+VLOOKUP(Tabla1[[#This Row],[Cliente]],'[1]Público Privado'!$A$1:$B$325,2,FALSE)</f>
        <v>Público</v>
      </c>
      <c r="C288" s="23">
        <f>+SUMIFS('[1]Facturacion a Fecha'!$T:$T,'[1]Facturacion a Fecha'!$AY:$AY,Tabla1[[#This Row],[Cliente]])</f>
        <v>0</v>
      </c>
      <c r="D288" s="24">
        <f>+SUMIFS('[1]Facturacion a Fecha'!$T:$T,'[1]Facturacion a Fecha'!$AY:$AY,Tabla1[[#This Row],[Cliente]],'[1]Facturacion a Fecha'!$AX:$AX,"Correctivo")</f>
        <v>0</v>
      </c>
      <c r="E288" s="25">
        <f>+COUNTIFS('[1]Facturacion a Fecha'!AY:AY,Tabla1[[#This Row],[Cliente]],'[1]Facturacion a Fecha'!AX:AX,"Correctivo")</f>
        <v>0</v>
      </c>
      <c r="F288" s="25">
        <f>+SUMIFS('[1]Facturacion a Fecha'!$T:$T,'[1]Facturacion a Fecha'!$AY:$AY,Tabla1[[#This Row],[Cliente]],'[1]Facturacion a Fecha'!$AX:$AX,"Preventivo")</f>
        <v>0</v>
      </c>
      <c r="G288" s="25">
        <f>+COUNTIFS('[1]Facturacion a Fecha'!AY:AY,Tabla1[[#This Row],[Cliente]],'[1]Facturacion a Fecha'!AX:AX,"Preventivo")</f>
        <v>0</v>
      </c>
      <c r="H288" s="26">
        <f>+Tabla1[[#This Row],['# Preventivo]]+Tabla1[[#This Row],['# Correctivo]]</f>
        <v>0</v>
      </c>
      <c r="I288" s="23">
        <f>+IFERROR(Tabla1[[#This Row],[Ingreso 2025 - 2026 Correctivo]]/Tabla1[[#This Row],[Ingreso 2025 - 2026 Preventivo]],0)</f>
        <v>0</v>
      </c>
      <c r="J288" s="59">
        <f>+IFERROR(Tabla1[[#This Row],['# Correctivo]]/Tabla1[[#This Row],['# Preventivo]],0)</f>
        <v>0</v>
      </c>
      <c r="K288" s="60">
        <f>+IFERROR(Tabla1[[#This Row],[Ingreso 2025 - 2026 Preventivo]]/(Tabla1[[#This Row],[Ingreso 2025 - 2026 Correctivo]]+Tabla1[[#This Row],[Ingreso 2025 - 2026 Preventivo]]),0)</f>
        <v>0</v>
      </c>
      <c r="L288" s="60">
        <f>1-Tabla1[[#This Row],[% Preventivo $]]</f>
        <v>1</v>
      </c>
      <c r="M288" s="45">
        <f>+COUNTIFS('[1]Base Instalada'!AA:AA,Tabla1[[#This Row],[Cliente]])</f>
        <v>5</v>
      </c>
      <c r="N28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8" s="45">
        <f>+COUNTIFS('[1]Base Instalada'!AA:AA,Tabla1[[#This Row],[Cliente]],'[1]Base Instalada'!Z:Z,"ESTERILIZACIÓN")</f>
        <v>0</v>
      </c>
      <c r="P288" s="45">
        <f>+COUNTIFS('[1]Base Instalada'!AA:AA,Tabla1[[#This Row],[Cliente]],'[1]Base Instalada'!Z:Z,"DENTAL")</f>
        <v>5</v>
      </c>
      <c r="Q288" s="45">
        <f>+COUNTIFS('[1]Base Instalada'!AA:AA,Tabla1[[#This Row],[Cliente]],'[1]Base Instalada'!Z:Z,"ENDOSCOPÍA")</f>
        <v>0</v>
      </c>
      <c r="R288" s="45">
        <f>+COUNTIFS('[1]Base Instalada'!AA:AA,Tabla1[[#This Row],[Cliente]],'[1]Base Instalada'!Z:Z,"INCARDIA")</f>
        <v>0</v>
      </c>
      <c r="S288" s="45">
        <f>+COUNTIFS('[1]Base Instalada'!AA:AA,Tabla1[[#This Row],[Cliente]],'[1]Base Instalada'!Z:Z,"MMQ")</f>
        <v>0</v>
      </c>
      <c r="T288" s="45">
        <f>+COUNTIFS('[1]Base Instalada'!AA:AA,Tabla1[[#This Row],[Cliente]],'[1]Base Instalada'!Z:Z,"REAS")</f>
        <v>0</v>
      </c>
      <c r="U288" s="46">
        <f>+COUNTIFS('[1]Base Instalada'!AA:AA,Tabla1[[#This Row],[Cliente]],'[1]Base Instalada'!Z:Z,"MOBILIARIO CLINICO")</f>
        <v>0</v>
      </c>
      <c r="V288" s="29">
        <f>+COUNTIFS('[1]Base Instalada'!AA:AA,Tabla1[[#This Row],[Cliente]],'[1]Base Instalada'!Z:Z,"OTRO")</f>
        <v>0</v>
      </c>
      <c r="W288" s="61" t="str">
        <f t="shared" si="10"/>
        <v>Región Bío Bío</v>
      </c>
      <c r="X288" s="61" t="str">
        <f t="shared" si="11"/>
        <v>San Pedro de la Paz</v>
      </c>
      <c r="Y288" s="62" t="s">
        <v>610</v>
      </c>
      <c r="Z288" s="33">
        <f>+COUNTIFS('[1]Pipeline TS'!$F:$F,Tabla1[[#This Row],[Cliente]])</f>
        <v>0</v>
      </c>
      <c r="AA288" s="63">
        <f>SUMIFS('[1]Pipeline Esterilización'!M:M,'[1]Pipeline Esterilización'!E:E,Tabla1[[#This Row],[Cliente]],'[1]Pipeline Esterilización'!B:B,"2026",'[1]Pipeline Esterilización'!L:L,"&gt;0")</f>
        <v>0</v>
      </c>
      <c r="AB288" s="33">
        <f>+SUMIFS('[1]Pipeline Endoscopía'!K:K,'[1]Pipeline Endoscopía'!E:E,Tabla1[[#This Row],[Cliente]],'[1]Pipeline Endoscopía'!B:B,"2026",'[1]Pipeline Endoscopía'!J:J,"&gt;0")</f>
        <v>0</v>
      </c>
      <c r="AC288" s="63">
        <f>+SUMIFS('[1]Pipeline Dental'!K:K,'[1]Pipeline Dental'!E:E,Tabla1[[#This Row],[Cliente]],'[1]Pipeline Dental'!B:B,"2026",'[1]Pipeline Dental'!J:J,"&gt;0")</f>
        <v>0</v>
      </c>
      <c r="AD288" s="64">
        <f>+SUMIFS('[1]Pipeline TS'!$AB:$AB,'[1]Pipeline TS'!$F:$F,Tabla1[[#This Row],[Cliente]])</f>
        <v>0</v>
      </c>
      <c r="AE288" s="65">
        <f>+SUM(Tabla1[[#This Row],[Pipeline 2026 $MM ESTERILIZACIÓN]:[Pipeline 2026 $MM TECSERVICE]])</f>
        <v>0</v>
      </c>
      <c r="AF288" s="43">
        <v>-36.885358639234802</v>
      </c>
      <c r="AG288" s="58">
        <v>-73.139238161998193</v>
      </c>
      <c r="AH288" s="57" t="str">
        <f>+IF(Tabla1[[#This Row],['# Contratos Vigentes ]]&gt;0,"SI","NO")</f>
        <v>NO</v>
      </c>
      <c r="AI288" s="66"/>
      <c r="AJ288" s="67">
        <f>+Tabla1[[#This Row],[Ingreso 2025 - 2026]]*Tabla1[[#This Row],[% Costo Serv. Directo]]</f>
        <v>0</v>
      </c>
      <c r="AK288" s="68"/>
      <c r="AL28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88" s="42">
        <f>+Tabla1[[#This Row],[Potencial Equipos]]+Tabla1[[#This Row],[Potencial Pipeline]]</f>
        <v>2995500</v>
      </c>
    </row>
    <row r="289" spans="1:40" ht="15.75" x14ac:dyDescent="0.25">
      <c r="A289" s="47" t="s">
        <v>611</v>
      </c>
      <c r="B289" t="str">
        <f>+VLOOKUP(Tabla1[[#This Row],[Cliente]],'[1]Público Privado'!$A$1:$B$325,2,FALSE)</f>
        <v>Público</v>
      </c>
      <c r="C289" s="23">
        <f>+SUMIFS('[1]Facturacion a Fecha'!$T:$T,'[1]Facturacion a Fecha'!$AY:$AY,Tabla1[[#This Row],[Cliente]])</f>
        <v>0</v>
      </c>
      <c r="D289" s="24">
        <f>+SUMIFS('[1]Facturacion a Fecha'!$T:$T,'[1]Facturacion a Fecha'!$AY:$AY,Tabla1[[#This Row],[Cliente]],'[1]Facturacion a Fecha'!$AX:$AX,"Correctivo")</f>
        <v>0</v>
      </c>
      <c r="E289" s="25">
        <f>+COUNTIFS('[1]Facturacion a Fecha'!AY:AY,Tabla1[[#This Row],[Cliente]],'[1]Facturacion a Fecha'!AX:AX,"Correctivo")</f>
        <v>0</v>
      </c>
      <c r="F289" s="25">
        <f>+SUMIFS('[1]Facturacion a Fecha'!$T:$T,'[1]Facturacion a Fecha'!$AY:$AY,Tabla1[[#This Row],[Cliente]],'[1]Facturacion a Fecha'!$AX:$AX,"Preventivo")</f>
        <v>0</v>
      </c>
      <c r="G289" s="25">
        <f>+COUNTIFS('[1]Facturacion a Fecha'!AY:AY,Tabla1[[#This Row],[Cliente]],'[1]Facturacion a Fecha'!AX:AX,"Preventivo")</f>
        <v>0</v>
      </c>
      <c r="H289" s="26">
        <f>+Tabla1[[#This Row],['# Preventivo]]+Tabla1[[#This Row],['# Correctivo]]</f>
        <v>0</v>
      </c>
      <c r="I289" s="23">
        <f>+IFERROR(Tabla1[[#This Row],[Ingreso 2025 - 2026 Correctivo]]/Tabla1[[#This Row],[Ingreso 2025 - 2026 Preventivo]],0)</f>
        <v>0</v>
      </c>
      <c r="J289" s="59">
        <f>+IFERROR(Tabla1[[#This Row],['# Correctivo]]/Tabla1[[#This Row],['# Preventivo]],0)</f>
        <v>0</v>
      </c>
      <c r="K289" s="60">
        <f>+IFERROR(Tabla1[[#This Row],[Ingreso 2025 - 2026 Preventivo]]/(Tabla1[[#This Row],[Ingreso 2025 - 2026 Correctivo]]+Tabla1[[#This Row],[Ingreso 2025 - 2026 Preventivo]]),0)</f>
        <v>0</v>
      </c>
      <c r="L289" s="60">
        <f>1-Tabla1[[#This Row],[% Preventivo $]]</f>
        <v>1</v>
      </c>
      <c r="M289" s="45">
        <f>+COUNTIFS('[1]Base Instalada'!AA:AA,Tabla1[[#This Row],[Cliente]])</f>
        <v>5</v>
      </c>
      <c r="N28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89" s="45">
        <f>+COUNTIFS('[1]Base Instalada'!AA:AA,Tabla1[[#This Row],[Cliente]],'[1]Base Instalada'!Z:Z,"ESTERILIZACIÓN")</f>
        <v>0</v>
      </c>
      <c r="P289" s="45">
        <f>+COUNTIFS('[1]Base Instalada'!AA:AA,Tabla1[[#This Row],[Cliente]],'[1]Base Instalada'!Z:Z,"DENTAL")</f>
        <v>5</v>
      </c>
      <c r="Q289" s="45">
        <f>+COUNTIFS('[1]Base Instalada'!AA:AA,Tabla1[[#This Row],[Cliente]],'[1]Base Instalada'!Z:Z,"ENDOSCOPÍA")</f>
        <v>0</v>
      </c>
      <c r="R289" s="45">
        <f>+COUNTIFS('[1]Base Instalada'!AA:AA,Tabla1[[#This Row],[Cliente]],'[1]Base Instalada'!Z:Z,"INCARDIA")</f>
        <v>0</v>
      </c>
      <c r="S289" s="45">
        <f>+COUNTIFS('[1]Base Instalada'!AA:AA,Tabla1[[#This Row],[Cliente]],'[1]Base Instalada'!Z:Z,"MMQ")</f>
        <v>0</v>
      </c>
      <c r="T289" s="45">
        <f>+COUNTIFS('[1]Base Instalada'!AA:AA,Tabla1[[#This Row],[Cliente]],'[1]Base Instalada'!Z:Z,"REAS")</f>
        <v>0</v>
      </c>
      <c r="U289" s="46">
        <f>+COUNTIFS('[1]Base Instalada'!AA:AA,Tabla1[[#This Row],[Cliente]],'[1]Base Instalada'!Z:Z,"MOBILIARIO CLINICO")</f>
        <v>0</v>
      </c>
      <c r="V289" s="29">
        <f>+COUNTIFS('[1]Base Instalada'!AA:AA,Tabla1[[#This Row],[Cliente]],'[1]Base Instalada'!Z:Z,"OTRO")</f>
        <v>0</v>
      </c>
      <c r="W289" s="61" t="str">
        <f t="shared" si="10"/>
        <v>Región O'Higgins</v>
      </c>
      <c r="X289" s="61" t="str">
        <f t="shared" si="11"/>
        <v>Litueche</v>
      </c>
      <c r="Y289" s="62" t="s">
        <v>612</v>
      </c>
      <c r="Z289" s="33">
        <f>+COUNTIFS('[1]Pipeline TS'!$F:$F,Tabla1[[#This Row],[Cliente]])</f>
        <v>0</v>
      </c>
      <c r="AA289" s="63">
        <f>SUMIFS('[1]Pipeline Esterilización'!M:M,'[1]Pipeline Esterilización'!E:E,Tabla1[[#This Row],[Cliente]],'[1]Pipeline Esterilización'!B:B,"2026",'[1]Pipeline Esterilización'!L:L,"&gt;0")</f>
        <v>0</v>
      </c>
      <c r="AB289" s="33">
        <f>+SUMIFS('[1]Pipeline Endoscopía'!K:K,'[1]Pipeline Endoscopía'!E:E,Tabla1[[#This Row],[Cliente]],'[1]Pipeline Endoscopía'!B:B,"2026",'[1]Pipeline Endoscopía'!J:J,"&gt;0")</f>
        <v>0</v>
      </c>
      <c r="AC289" s="63">
        <f>+SUMIFS('[1]Pipeline Dental'!K:K,'[1]Pipeline Dental'!E:E,Tabla1[[#This Row],[Cliente]],'[1]Pipeline Dental'!B:B,"2026",'[1]Pipeline Dental'!J:J,"&gt;0")</f>
        <v>0</v>
      </c>
      <c r="AD289" s="64">
        <f>+SUMIFS('[1]Pipeline TS'!$AB:$AB,'[1]Pipeline TS'!$F:$F,Tabla1[[#This Row],[Cliente]])</f>
        <v>0</v>
      </c>
      <c r="AE289" s="65">
        <f>+SUM(Tabla1[[#This Row],[Pipeline 2026 $MM ESTERILIZACIÓN]:[Pipeline 2026 $MM TECSERVICE]])</f>
        <v>0</v>
      </c>
      <c r="AF289" s="43">
        <v>-34.115479788312797</v>
      </c>
      <c r="AG289" s="58">
        <v>-71.729415433323396</v>
      </c>
      <c r="AH289" s="57" t="str">
        <f>+IF(Tabla1[[#This Row],['# Contratos Vigentes ]]&gt;0,"SI","NO")</f>
        <v>NO</v>
      </c>
      <c r="AI289" s="66"/>
      <c r="AJ289" s="67">
        <f>+Tabla1[[#This Row],[Ingreso 2025 - 2026]]*Tabla1[[#This Row],[% Costo Serv. Directo]]</f>
        <v>0</v>
      </c>
      <c r="AK289" s="68"/>
      <c r="AL28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8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89" s="42">
        <f>+Tabla1[[#This Row],[Potencial Equipos]]+Tabla1[[#This Row],[Potencial Pipeline]]</f>
        <v>2995500</v>
      </c>
    </row>
    <row r="290" spans="1:40" ht="15.75" x14ac:dyDescent="0.25">
      <c r="A290" s="47" t="s">
        <v>613</v>
      </c>
      <c r="B290" t="str">
        <f>+VLOOKUP(Tabla1[[#This Row],[Cliente]],'[1]Público Privado'!$A$1:$B$325,2,FALSE)</f>
        <v>Público</v>
      </c>
      <c r="C290" s="23">
        <f>+SUMIFS('[1]Facturacion a Fecha'!$T:$T,'[1]Facturacion a Fecha'!$AY:$AY,Tabla1[[#This Row],[Cliente]])</f>
        <v>0</v>
      </c>
      <c r="D290" s="24">
        <f>+SUMIFS('[1]Facturacion a Fecha'!$T:$T,'[1]Facturacion a Fecha'!$AY:$AY,Tabla1[[#This Row],[Cliente]],'[1]Facturacion a Fecha'!$AX:$AX,"Correctivo")</f>
        <v>0</v>
      </c>
      <c r="E290" s="25">
        <f>+COUNTIFS('[1]Facturacion a Fecha'!AY:AY,Tabla1[[#This Row],[Cliente]],'[1]Facturacion a Fecha'!AX:AX,"Correctivo")</f>
        <v>0</v>
      </c>
      <c r="F290" s="25">
        <f>+SUMIFS('[1]Facturacion a Fecha'!$T:$T,'[1]Facturacion a Fecha'!$AY:$AY,Tabla1[[#This Row],[Cliente]],'[1]Facturacion a Fecha'!$AX:$AX,"Preventivo")</f>
        <v>0</v>
      </c>
      <c r="G290" s="25">
        <f>+COUNTIFS('[1]Facturacion a Fecha'!AY:AY,Tabla1[[#This Row],[Cliente]],'[1]Facturacion a Fecha'!AX:AX,"Preventivo")</f>
        <v>0</v>
      </c>
      <c r="H290" s="26">
        <f>+Tabla1[[#This Row],['# Preventivo]]+Tabla1[[#This Row],['# Correctivo]]</f>
        <v>0</v>
      </c>
      <c r="I290" s="23">
        <f>+IFERROR(Tabla1[[#This Row],[Ingreso 2025 - 2026 Correctivo]]/Tabla1[[#This Row],[Ingreso 2025 - 2026 Preventivo]],0)</f>
        <v>0</v>
      </c>
      <c r="J290" s="59">
        <f>+IFERROR(Tabla1[[#This Row],['# Correctivo]]/Tabla1[[#This Row],['# Preventivo]],0)</f>
        <v>0</v>
      </c>
      <c r="K290" s="60">
        <f>+IFERROR(Tabla1[[#This Row],[Ingreso 2025 - 2026 Preventivo]]/(Tabla1[[#This Row],[Ingreso 2025 - 2026 Correctivo]]+Tabla1[[#This Row],[Ingreso 2025 - 2026 Preventivo]]),0)</f>
        <v>0</v>
      </c>
      <c r="L290" s="60">
        <f>1-Tabla1[[#This Row],[% Preventivo $]]</f>
        <v>1</v>
      </c>
      <c r="M290" s="45">
        <f>+COUNTIFS('[1]Base Instalada'!AA:AA,Tabla1[[#This Row],[Cliente]])</f>
        <v>6</v>
      </c>
      <c r="N29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0" s="45">
        <f>+COUNTIFS('[1]Base Instalada'!AA:AA,Tabla1[[#This Row],[Cliente]],'[1]Base Instalada'!Z:Z,"ESTERILIZACIÓN")</f>
        <v>0</v>
      </c>
      <c r="P290" s="45">
        <f>+COUNTIFS('[1]Base Instalada'!AA:AA,Tabla1[[#This Row],[Cliente]],'[1]Base Instalada'!Z:Z,"DENTAL")</f>
        <v>6</v>
      </c>
      <c r="Q290" s="45">
        <f>+COUNTIFS('[1]Base Instalada'!AA:AA,Tabla1[[#This Row],[Cliente]],'[1]Base Instalada'!Z:Z,"ENDOSCOPÍA")</f>
        <v>0</v>
      </c>
      <c r="R290" s="45">
        <f>+COUNTIFS('[1]Base Instalada'!AA:AA,Tabla1[[#This Row],[Cliente]],'[1]Base Instalada'!Z:Z,"INCARDIA")</f>
        <v>0</v>
      </c>
      <c r="S290" s="45">
        <f>+COUNTIFS('[1]Base Instalada'!AA:AA,Tabla1[[#This Row],[Cliente]],'[1]Base Instalada'!Z:Z,"MMQ")</f>
        <v>0</v>
      </c>
      <c r="T290" s="45">
        <f>+COUNTIFS('[1]Base Instalada'!AA:AA,Tabla1[[#This Row],[Cliente]],'[1]Base Instalada'!Z:Z,"REAS")</f>
        <v>0</v>
      </c>
      <c r="U290" s="46">
        <f>+COUNTIFS('[1]Base Instalada'!AA:AA,Tabla1[[#This Row],[Cliente]],'[1]Base Instalada'!Z:Z,"MOBILIARIO CLINICO")</f>
        <v>0</v>
      </c>
      <c r="V290" s="29">
        <f>+COUNTIFS('[1]Base Instalada'!AA:AA,Tabla1[[#This Row],[Cliente]],'[1]Base Instalada'!Z:Z,"OTRO")</f>
        <v>0</v>
      </c>
      <c r="W290" s="61" t="str">
        <f t="shared" si="10"/>
        <v>Región O'Higgins</v>
      </c>
      <c r="X290" s="61" t="str">
        <f t="shared" si="11"/>
        <v>Coltauco</v>
      </c>
      <c r="Y290" s="62" t="s">
        <v>614</v>
      </c>
      <c r="Z290" s="33">
        <f>+COUNTIFS('[1]Pipeline TS'!$F:$F,Tabla1[[#This Row],[Cliente]])</f>
        <v>0</v>
      </c>
      <c r="AA290" s="63">
        <f>SUMIFS('[1]Pipeline Esterilización'!M:M,'[1]Pipeline Esterilización'!E:E,Tabla1[[#This Row],[Cliente]],'[1]Pipeline Esterilización'!B:B,"2026",'[1]Pipeline Esterilización'!L:L,"&gt;0")</f>
        <v>0</v>
      </c>
      <c r="AB290" s="33">
        <f>+SUMIFS('[1]Pipeline Endoscopía'!K:K,'[1]Pipeline Endoscopía'!E:E,Tabla1[[#This Row],[Cliente]],'[1]Pipeline Endoscopía'!B:B,"2026",'[1]Pipeline Endoscopía'!J:J,"&gt;0")</f>
        <v>0</v>
      </c>
      <c r="AC290" s="63">
        <f>+SUMIFS('[1]Pipeline Dental'!K:K,'[1]Pipeline Dental'!E:E,Tabla1[[#This Row],[Cliente]],'[1]Pipeline Dental'!B:B,"2026",'[1]Pipeline Dental'!J:J,"&gt;0")</f>
        <v>0</v>
      </c>
      <c r="AD290" s="64">
        <f>+SUMIFS('[1]Pipeline TS'!$AB:$AB,'[1]Pipeline TS'!$F:$F,Tabla1[[#This Row],[Cliente]])</f>
        <v>0</v>
      </c>
      <c r="AE290" s="65">
        <f>+SUM(Tabla1[[#This Row],[Pipeline 2026 $MM ESTERILIZACIÓN]:[Pipeline 2026 $MM TECSERVICE]])</f>
        <v>0</v>
      </c>
      <c r="AF290" s="43">
        <v>-34.264741236796397</v>
      </c>
      <c r="AG290" s="58">
        <v>-71.025946748656295</v>
      </c>
      <c r="AH290" s="57" t="str">
        <f>+IF(Tabla1[[#This Row],['# Contratos Vigentes ]]&gt;0,"SI","NO")</f>
        <v>NO</v>
      </c>
      <c r="AI290" s="66"/>
      <c r="AJ290" s="67">
        <f>+Tabla1[[#This Row],[Ingreso 2025 - 2026]]*Tabla1[[#This Row],[% Costo Serv. Directo]]</f>
        <v>0</v>
      </c>
      <c r="AK290" s="68"/>
      <c r="AL29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90" s="42">
        <f>+Tabla1[[#This Row],[Potencial Equipos]]+Tabla1[[#This Row],[Potencial Pipeline]]</f>
        <v>3594600</v>
      </c>
    </row>
    <row r="291" spans="1:40" ht="15.75" x14ac:dyDescent="0.25">
      <c r="A291" s="47" t="s">
        <v>615</v>
      </c>
      <c r="B291" t="str">
        <f>+VLOOKUP(Tabla1[[#This Row],[Cliente]],'[1]Público Privado'!$A$1:$B$325,2,FALSE)</f>
        <v>Público</v>
      </c>
      <c r="C291" s="23">
        <f>+SUMIFS('[1]Facturacion a Fecha'!$T:$T,'[1]Facturacion a Fecha'!$AY:$AY,Tabla1[[#This Row],[Cliente]])</f>
        <v>0</v>
      </c>
      <c r="D291" s="24">
        <f>+SUMIFS('[1]Facturacion a Fecha'!$T:$T,'[1]Facturacion a Fecha'!$AY:$AY,Tabla1[[#This Row],[Cliente]],'[1]Facturacion a Fecha'!$AX:$AX,"Correctivo")</f>
        <v>0</v>
      </c>
      <c r="E291" s="25">
        <f>+COUNTIFS('[1]Facturacion a Fecha'!AY:AY,Tabla1[[#This Row],[Cliente]],'[1]Facturacion a Fecha'!AX:AX,"Correctivo")</f>
        <v>0</v>
      </c>
      <c r="F291" s="25">
        <f>+SUMIFS('[1]Facturacion a Fecha'!$T:$T,'[1]Facturacion a Fecha'!$AY:$AY,Tabla1[[#This Row],[Cliente]],'[1]Facturacion a Fecha'!$AX:$AX,"Preventivo")</f>
        <v>0</v>
      </c>
      <c r="G291" s="25">
        <f>+COUNTIFS('[1]Facturacion a Fecha'!AY:AY,Tabla1[[#This Row],[Cliente]],'[1]Facturacion a Fecha'!AX:AX,"Preventivo")</f>
        <v>0</v>
      </c>
      <c r="H291" s="26">
        <f>+Tabla1[[#This Row],['# Preventivo]]+Tabla1[[#This Row],['# Correctivo]]</f>
        <v>0</v>
      </c>
      <c r="I291" s="23">
        <f>+IFERROR(Tabla1[[#This Row],[Ingreso 2025 - 2026 Correctivo]]/Tabla1[[#This Row],[Ingreso 2025 - 2026 Preventivo]],0)</f>
        <v>0</v>
      </c>
      <c r="J291" s="59">
        <f>+IFERROR(Tabla1[[#This Row],['# Correctivo]]/Tabla1[[#This Row],['# Preventivo]],0)</f>
        <v>0</v>
      </c>
      <c r="K291" s="60">
        <f>+IFERROR(Tabla1[[#This Row],[Ingreso 2025 - 2026 Preventivo]]/(Tabla1[[#This Row],[Ingreso 2025 - 2026 Correctivo]]+Tabla1[[#This Row],[Ingreso 2025 - 2026 Preventivo]]),0)</f>
        <v>0</v>
      </c>
      <c r="L291" s="60">
        <f>1-Tabla1[[#This Row],[% Preventivo $]]</f>
        <v>1</v>
      </c>
      <c r="M291" s="45">
        <f>+COUNTIFS('[1]Base Instalada'!AA:AA,Tabla1[[#This Row],[Cliente]])</f>
        <v>5</v>
      </c>
      <c r="N29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1" s="45">
        <f>+COUNTIFS('[1]Base Instalada'!AA:AA,Tabla1[[#This Row],[Cliente]],'[1]Base Instalada'!Z:Z,"ESTERILIZACIÓN")</f>
        <v>0</v>
      </c>
      <c r="P291" s="45">
        <f>+COUNTIFS('[1]Base Instalada'!AA:AA,Tabla1[[#This Row],[Cliente]],'[1]Base Instalada'!Z:Z,"DENTAL")</f>
        <v>5</v>
      </c>
      <c r="Q291" s="45">
        <f>+COUNTIFS('[1]Base Instalada'!AA:AA,Tabla1[[#This Row],[Cliente]],'[1]Base Instalada'!Z:Z,"ENDOSCOPÍA")</f>
        <v>0</v>
      </c>
      <c r="R291" s="45">
        <f>+COUNTIFS('[1]Base Instalada'!AA:AA,Tabla1[[#This Row],[Cliente]],'[1]Base Instalada'!Z:Z,"INCARDIA")</f>
        <v>0</v>
      </c>
      <c r="S291" s="45">
        <f>+COUNTIFS('[1]Base Instalada'!AA:AA,Tabla1[[#This Row],[Cliente]],'[1]Base Instalada'!Z:Z,"MMQ")</f>
        <v>0</v>
      </c>
      <c r="T291" s="45">
        <f>+COUNTIFS('[1]Base Instalada'!AA:AA,Tabla1[[#This Row],[Cliente]],'[1]Base Instalada'!Z:Z,"REAS")</f>
        <v>0</v>
      </c>
      <c r="U291" s="46">
        <f>+COUNTIFS('[1]Base Instalada'!AA:AA,Tabla1[[#This Row],[Cliente]],'[1]Base Instalada'!Z:Z,"MOBILIARIO CLINICO")</f>
        <v>0</v>
      </c>
      <c r="V291" s="29">
        <f>+COUNTIFS('[1]Base Instalada'!AA:AA,Tabla1[[#This Row],[Cliente]],'[1]Base Instalada'!Z:Z,"OTRO")</f>
        <v>0</v>
      </c>
      <c r="W291" s="61" t="str">
        <f t="shared" si="10"/>
        <v>Región Metropolitana</v>
      </c>
      <c r="X291" s="61" t="str">
        <f t="shared" si="11"/>
        <v>La Cisterna</v>
      </c>
      <c r="Y291" s="62" t="s">
        <v>616</v>
      </c>
      <c r="Z291" s="33">
        <f>+COUNTIFS('[1]Pipeline TS'!$F:$F,Tabla1[[#This Row],[Cliente]])</f>
        <v>0</v>
      </c>
      <c r="AA291" s="63">
        <f>SUMIFS('[1]Pipeline Esterilización'!M:M,'[1]Pipeline Esterilización'!E:E,Tabla1[[#This Row],[Cliente]],'[1]Pipeline Esterilización'!B:B,"2026",'[1]Pipeline Esterilización'!L:L,"&gt;0")</f>
        <v>0</v>
      </c>
      <c r="AB291" s="33">
        <f>+SUMIFS('[1]Pipeline Endoscopía'!K:K,'[1]Pipeline Endoscopía'!E:E,Tabla1[[#This Row],[Cliente]],'[1]Pipeline Endoscopía'!B:B,"2026",'[1]Pipeline Endoscopía'!J:J,"&gt;0")</f>
        <v>0</v>
      </c>
      <c r="AC291" s="63">
        <f>+SUMIFS('[1]Pipeline Dental'!K:K,'[1]Pipeline Dental'!E:E,Tabla1[[#This Row],[Cliente]],'[1]Pipeline Dental'!B:B,"2026",'[1]Pipeline Dental'!J:J,"&gt;0")</f>
        <v>0</v>
      </c>
      <c r="AD291" s="64">
        <f>+SUMIFS('[1]Pipeline TS'!$AB:$AB,'[1]Pipeline TS'!$F:$F,Tabla1[[#This Row],[Cliente]])</f>
        <v>0</v>
      </c>
      <c r="AE291" s="65">
        <f>+SUM(Tabla1[[#This Row],[Pipeline 2026 $MM ESTERILIZACIÓN]:[Pipeline 2026 $MM TECSERVICE]])</f>
        <v>0</v>
      </c>
      <c r="AF291" s="43">
        <v>-33.532696949334699</v>
      </c>
      <c r="AG291" s="58">
        <v>-70.651824948697197</v>
      </c>
      <c r="AH291" s="57" t="str">
        <f>+IF(Tabla1[[#This Row],['# Contratos Vigentes ]]&gt;0,"SI","NO")</f>
        <v>NO</v>
      </c>
      <c r="AI291" s="66"/>
      <c r="AJ291" s="67">
        <f>+Tabla1[[#This Row],[Ingreso 2025 - 2026]]*Tabla1[[#This Row],[% Costo Serv. Directo]]</f>
        <v>0</v>
      </c>
      <c r="AK291" s="68"/>
      <c r="AL29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91" s="42">
        <f>+Tabla1[[#This Row],[Potencial Equipos]]+Tabla1[[#This Row],[Potencial Pipeline]]</f>
        <v>2995500</v>
      </c>
    </row>
    <row r="292" spans="1:40" ht="15.75" x14ac:dyDescent="0.25">
      <c r="A292" s="47" t="s">
        <v>617</v>
      </c>
      <c r="B292" t="str">
        <f>+VLOOKUP(Tabla1[[#This Row],[Cliente]],'[1]Público Privado'!$A$1:$B$325,2,FALSE)</f>
        <v>Privado</v>
      </c>
      <c r="C292" s="23">
        <f>+SUMIFS('[1]Facturacion a Fecha'!$T:$T,'[1]Facturacion a Fecha'!$AY:$AY,Tabla1[[#This Row],[Cliente]])</f>
        <v>0</v>
      </c>
      <c r="D292" s="24">
        <f>+SUMIFS('[1]Facturacion a Fecha'!$T:$T,'[1]Facturacion a Fecha'!$AY:$AY,Tabla1[[#This Row],[Cliente]],'[1]Facturacion a Fecha'!$AX:$AX,"Correctivo")</f>
        <v>0</v>
      </c>
      <c r="E292" s="25">
        <f>+COUNTIFS('[1]Facturacion a Fecha'!AY:AY,Tabla1[[#This Row],[Cliente]],'[1]Facturacion a Fecha'!AX:AX,"Correctivo")</f>
        <v>0</v>
      </c>
      <c r="F292" s="25">
        <f>+SUMIFS('[1]Facturacion a Fecha'!$T:$T,'[1]Facturacion a Fecha'!$AY:$AY,Tabla1[[#This Row],[Cliente]],'[1]Facturacion a Fecha'!$AX:$AX,"Preventivo")</f>
        <v>0</v>
      </c>
      <c r="G292" s="25">
        <f>+COUNTIFS('[1]Facturacion a Fecha'!AY:AY,Tabla1[[#This Row],[Cliente]],'[1]Facturacion a Fecha'!AX:AX,"Preventivo")</f>
        <v>0</v>
      </c>
      <c r="H292" s="26">
        <f>+Tabla1[[#This Row],['# Preventivo]]+Tabla1[[#This Row],['# Correctivo]]</f>
        <v>0</v>
      </c>
      <c r="I292" s="23">
        <f>+IFERROR(Tabla1[[#This Row],[Ingreso 2025 - 2026 Correctivo]]/Tabla1[[#This Row],[Ingreso 2025 - 2026 Preventivo]],0)</f>
        <v>0</v>
      </c>
      <c r="J292" s="59">
        <f>+IFERROR(Tabla1[[#This Row],['# Correctivo]]/Tabla1[[#This Row],['# Preventivo]],0)</f>
        <v>0</v>
      </c>
      <c r="K292" s="60">
        <f>+IFERROR(Tabla1[[#This Row],[Ingreso 2025 - 2026 Preventivo]]/(Tabla1[[#This Row],[Ingreso 2025 - 2026 Correctivo]]+Tabla1[[#This Row],[Ingreso 2025 - 2026 Preventivo]]),0)</f>
        <v>0</v>
      </c>
      <c r="L292" s="60">
        <f>1-Tabla1[[#This Row],[% Preventivo $]]</f>
        <v>1</v>
      </c>
      <c r="M292" s="45">
        <f>+COUNTIFS('[1]Base Instalada'!AA:AA,Tabla1[[#This Row],[Cliente]])</f>
        <v>6</v>
      </c>
      <c r="N29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2" s="45">
        <f>+COUNTIFS('[1]Base Instalada'!AA:AA,Tabla1[[#This Row],[Cliente]],'[1]Base Instalada'!Z:Z,"ESTERILIZACIÓN")</f>
        <v>0</v>
      </c>
      <c r="P292" s="45">
        <f>+COUNTIFS('[1]Base Instalada'!AA:AA,Tabla1[[#This Row],[Cliente]],'[1]Base Instalada'!Z:Z,"DENTAL")</f>
        <v>6</v>
      </c>
      <c r="Q292" s="45">
        <f>+COUNTIFS('[1]Base Instalada'!AA:AA,Tabla1[[#This Row],[Cliente]],'[1]Base Instalada'!Z:Z,"ENDOSCOPÍA")</f>
        <v>0</v>
      </c>
      <c r="R292" s="45">
        <f>+COUNTIFS('[1]Base Instalada'!AA:AA,Tabla1[[#This Row],[Cliente]],'[1]Base Instalada'!Z:Z,"INCARDIA")</f>
        <v>0</v>
      </c>
      <c r="S292" s="45">
        <f>+COUNTIFS('[1]Base Instalada'!AA:AA,Tabla1[[#This Row],[Cliente]],'[1]Base Instalada'!Z:Z,"MMQ")</f>
        <v>0</v>
      </c>
      <c r="T292" s="45">
        <f>+COUNTIFS('[1]Base Instalada'!AA:AA,Tabla1[[#This Row],[Cliente]],'[1]Base Instalada'!Z:Z,"REAS")</f>
        <v>0</v>
      </c>
      <c r="U292" s="46">
        <f>+COUNTIFS('[1]Base Instalada'!AA:AA,Tabla1[[#This Row],[Cliente]],'[1]Base Instalada'!Z:Z,"MOBILIARIO CLINICO")</f>
        <v>0</v>
      </c>
      <c r="V292" s="29">
        <f>+COUNTIFS('[1]Base Instalada'!AA:AA,Tabla1[[#This Row],[Cliente]],'[1]Base Instalada'!Z:Z,"OTRO")</f>
        <v>0</v>
      </c>
      <c r="W292" s="61" t="str">
        <f t="shared" si="10"/>
        <v>Región Coquimbo</v>
      </c>
      <c r="X292" s="61" t="str">
        <f t="shared" si="11"/>
        <v>Illapel</v>
      </c>
      <c r="Y292" s="62" t="s">
        <v>618</v>
      </c>
      <c r="Z292" s="33">
        <f>+COUNTIFS('[1]Pipeline TS'!$F:$F,Tabla1[[#This Row],[Cliente]])</f>
        <v>0</v>
      </c>
      <c r="AA292" s="63">
        <f>SUMIFS('[1]Pipeline Esterilización'!M:M,'[1]Pipeline Esterilización'!E:E,Tabla1[[#This Row],[Cliente]],'[1]Pipeline Esterilización'!B:B,"2026",'[1]Pipeline Esterilización'!L:L,"&gt;0")</f>
        <v>0</v>
      </c>
      <c r="AB292" s="33">
        <f>+SUMIFS('[1]Pipeline Endoscopía'!K:K,'[1]Pipeline Endoscopía'!E:E,Tabla1[[#This Row],[Cliente]],'[1]Pipeline Endoscopía'!B:B,"2026",'[1]Pipeline Endoscopía'!J:J,"&gt;0")</f>
        <v>0</v>
      </c>
      <c r="AC292" s="63">
        <f>+SUMIFS('[1]Pipeline Dental'!K:K,'[1]Pipeline Dental'!E:E,Tabla1[[#This Row],[Cliente]],'[1]Pipeline Dental'!B:B,"2026",'[1]Pipeline Dental'!J:J,"&gt;0")</f>
        <v>0</v>
      </c>
      <c r="AD292" s="64">
        <f>+SUMIFS('[1]Pipeline TS'!$AB:$AB,'[1]Pipeline TS'!$F:$F,Tabla1[[#This Row],[Cliente]])</f>
        <v>0</v>
      </c>
      <c r="AE292" s="65">
        <f>+SUM(Tabla1[[#This Row],[Pipeline 2026 $MM ESTERILIZACIÓN]:[Pipeline 2026 $MM TECSERVICE]])</f>
        <v>0</v>
      </c>
      <c r="AF292" s="43">
        <v>-31.752360713144</v>
      </c>
      <c r="AG292" s="58">
        <v>-71.159881135299798</v>
      </c>
      <c r="AH292" s="57" t="str">
        <f>+IF(Tabla1[[#This Row],['# Contratos Vigentes ]]&gt;0,"SI","NO")</f>
        <v>NO</v>
      </c>
      <c r="AI292" s="66"/>
      <c r="AJ292" s="67">
        <f>+Tabla1[[#This Row],[Ingreso 2025 - 2026]]*Tabla1[[#This Row],[% Costo Serv. Directo]]</f>
        <v>0</v>
      </c>
      <c r="AK292" s="68"/>
      <c r="AL29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92" s="42">
        <f>+Tabla1[[#This Row],[Potencial Equipos]]+Tabla1[[#This Row],[Potencial Pipeline]]</f>
        <v>3594600</v>
      </c>
    </row>
    <row r="293" spans="1:40" ht="15.75" x14ac:dyDescent="0.25">
      <c r="A293" s="47" t="s">
        <v>619</v>
      </c>
      <c r="B293" t="str">
        <f>+VLOOKUP(Tabla1[[#This Row],[Cliente]],'[1]Público Privado'!$A$1:$B$325,2,FALSE)</f>
        <v>Público</v>
      </c>
      <c r="C293" s="23">
        <f>+SUMIFS('[1]Facturacion a Fecha'!$T:$T,'[1]Facturacion a Fecha'!$AY:$AY,Tabla1[[#This Row],[Cliente]])</f>
        <v>0</v>
      </c>
      <c r="D293" s="24">
        <f>+SUMIFS('[1]Facturacion a Fecha'!$T:$T,'[1]Facturacion a Fecha'!$AY:$AY,Tabla1[[#This Row],[Cliente]],'[1]Facturacion a Fecha'!$AX:$AX,"Correctivo")</f>
        <v>0</v>
      </c>
      <c r="E293" s="25">
        <f>+COUNTIFS('[1]Facturacion a Fecha'!AY:AY,Tabla1[[#This Row],[Cliente]],'[1]Facturacion a Fecha'!AX:AX,"Correctivo")</f>
        <v>0</v>
      </c>
      <c r="F293" s="25">
        <f>+SUMIFS('[1]Facturacion a Fecha'!$T:$T,'[1]Facturacion a Fecha'!$AY:$AY,Tabla1[[#This Row],[Cliente]],'[1]Facturacion a Fecha'!$AX:$AX,"Preventivo")</f>
        <v>0</v>
      </c>
      <c r="G293" s="25">
        <f>+COUNTIFS('[1]Facturacion a Fecha'!AY:AY,Tabla1[[#This Row],[Cliente]],'[1]Facturacion a Fecha'!AX:AX,"Preventivo")</f>
        <v>0</v>
      </c>
      <c r="H293" s="26">
        <f>+Tabla1[[#This Row],['# Preventivo]]+Tabla1[[#This Row],['# Correctivo]]</f>
        <v>0</v>
      </c>
      <c r="I293" s="23">
        <f>+IFERROR(Tabla1[[#This Row],[Ingreso 2025 - 2026 Correctivo]]/Tabla1[[#This Row],[Ingreso 2025 - 2026 Preventivo]],0)</f>
        <v>0</v>
      </c>
      <c r="J293" s="59">
        <f>+IFERROR(Tabla1[[#This Row],['# Correctivo]]/Tabla1[[#This Row],['# Preventivo]],0)</f>
        <v>0</v>
      </c>
      <c r="K293" s="60">
        <f>+IFERROR(Tabla1[[#This Row],[Ingreso 2025 - 2026 Preventivo]]/(Tabla1[[#This Row],[Ingreso 2025 - 2026 Correctivo]]+Tabla1[[#This Row],[Ingreso 2025 - 2026 Preventivo]]),0)</f>
        <v>0</v>
      </c>
      <c r="L293" s="60">
        <f>1-Tabla1[[#This Row],[% Preventivo $]]</f>
        <v>1</v>
      </c>
      <c r="M293" s="45">
        <f>+COUNTIFS('[1]Base Instalada'!AA:AA,Tabla1[[#This Row],[Cliente]])</f>
        <v>5</v>
      </c>
      <c r="N29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3" s="45">
        <f>+COUNTIFS('[1]Base Instalada'!AA:AA,Tabla1[[#This Row],[Cliente]],'[1]Base Instalada'!Z:Z,"ESTERILIZACIÓN")</f>
        <v>0</v>
      </c>
      <c r="P293" s="45">
        <f>+COUNTIFS('[1]Base Instalada'!AA:AA,Tabla1[[#This Row],[Cliente]],'[1]Base Instalada'!Z:Z,"DENTAL")</f>
        <v>5</v>
      </c>
      <c r="Q293" s="45">
        <f>+COUNTIFS('[1]Base Instalada'!AA:AA,Tabla1[[#This Row],[Cliente]],'[1]Base Instalada'!Z:Z,"ENDOSCOPÍA")</f>
        <v>0</v>
      </c>
      <c r="R293" s="45">
        <f>+COUNTIFS('[1]Base Instalada'!AA:AA,Tabla1[[#This Row],[Cliente]],'[1]Base Instalada'!Z:Z,"INCARDIA")</f>
        <v>0</v>
      </c>
      <c r="S293" s="45">
        <f>+COUNTIFS('[1]Base Instalada'!AA:AA,Tabla1[[#This Row],[Cliente]],'[1]Base Instalada'!Z:Z,"MMQ")</f>
        <v>0</v>
      </c>
      <c r="T293" s="45">
        <f>+COUNTIFS('[1]Base Instalada'!AA:AA,Tabla1[[#This Row],[Cliente]],'[1]Base Instalada'!Z:Z,"REAS")</f>
        <v>0</v>
      </c>
      <c r="U293" s="46">
        <f>+COUNTIFS('[1]Base Instalada'!AA:AA,Tabla1[[#This Row],[Cliente]],'[1]Base Instalada'!Z:Z,"MOBILIARIO CLINICO")</f>
        <v>0</v>
      </c>
      <c r="V293" s="29">
        <f>+COUNTIFS('[1]Base Instalada'!AA:AA,Tabla1[[#This Row],[Cliente]],'[1]Base Instalada'!Z:Z,"OTRO")</f>
        <v>0</v>
      </c>
      <c r="W293" s="61" t="str">
        <f t="shared" si="10"/>
        <v>Región Maule</v>
      </c>
      <c r="X293" s="61" t="str">
        <f t="shared" si="11"/>
        <v>Curicó</v>
      </c>
      <c r="Y293" s="62" t="s">
        <v>620</v>
      </c>
      <c r="Z293" s="33">
        <f>+COUNTIFS('[1]Pipeline TS'!$F:$F,Tabla1[[#This Row],[Cliente]])</f>
        <v>0</v>
      </c>
      <c r="AA293" s="63">
        <f>SUMIFS('[1]Pipeline Esterilización'!M:M,'[1]Pipeline Esterilización'!E:E,Tabla1[[#This Row],[Cliente]],'[1]Pipeline Esterilización'!B:B,"2026",'[1]Pipeline Esterilización'!L:L,"&gt;0")</f>
        <v>0</v>
      </c>
      <c r="AB293" s="33">
        <f>+SUMIFS('[1]Pipeline Endoscopía'!K:K,'[1]Pipeline Endoscopía'!E:E,Tabla1[[#This Row],[Cliente]],'[1]Pipeline Endoscopía'!B:B,"2026",'[1]Pipeline Endoscopía'!J:J,"&gt;0")</f>
        <v>0</v>
      </c>
      <c r="AC293" s="63">
        <f>+SUMIFS('[1]Pipeline Dental'!K:K,'[1]Pipeline Dental'!E:E,Tabla1[[#This Row],[Cliente]],'[1]Pipeline Dental'!B:B,"2026",'[1]Pipeline Dental'!J:J,"&gt;0")</f>
        <v>0</v>
      </c>
      <c r="AD293" s="64">
        <f>+SUMIFS('[1]Pipeline TS'!$AB:$AB,'[1]Pipeline TS'!$F:$F,Tabla1[[#This Row],[Cliente]])</f>
        <v>0</v>
      </c>
      <c r="AE293" s="65">
        <f>+SUM(Tabla1[[#This Row],[Pipeline 2026 $MM ESTERILIZACIÓN]:[Pipeline 2026 $MM TECSERVICE]])</f>
        <v>0</v>
      </c>
      <c r="AF293" s="43">
        <v>-34.976462328337099</v>
      </c>
      <c r="AG293" s="58">
        <v>-71.237885077451296</v>
      </c>
      <c r="AH293" s="57" t="str">
        <f>+IF(Tabla1[[#This Row],['# Contratos Vigentes ]]&gt;0,"SI","NO")</f>
        <v>NO</v>
      </c>
      <c r="AI293" s="66"/>
      <c r="AJ293" s="67">
        <f>+Tabla1[[#This Row],[Ingreso 2025 - 2026]]*Tabla1[[#This Row],[% Costo Serv. Directo]]</f>
        <v>0</v>
      </c>
      <c r="AK293" s="68"/>
      <c r="AL29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293" s="42">
        <f>+Tabla1[[#This Row],[Potencial Equipos]]+Tabla1[[#This Row],[Potencial Pipeline]]</f>
        <v>2995500</v>
      </c>
    </row>
    <row r="294" spans="1:40" ht="15.75" x14ac:dyDescent="0.25">
      <c r="A294" s="47" t="s">
        <v>621</v>
      </c>
      <c r="B294" t="str">
        <f>+VLOOKUP(Tabla1[[#This Row],[Cliente]],'[1]Público Privado'!$A$1:$B$325,2,FALSE)</f>
        <v>Público</v>
      </c>
      <c r="C294" s="23">
        <f>+SUMIFS('[1]Facturacion a Fecha'!$T:$T,'[1]Facturacion a Fecha'!$AY:$AY,Tabla1[[#This Row],[Cliente]])</f>
        <v>0</v>
      </c>
      <c r="D294" s="24">
        <f>+SUMIFS('[1]Facturacion a Fecha'!$T:$T,'[1]Facturacion a Fecha'!$AY:$AY,Tabla1[[#This Row],[Cliente]],'[1]Facturacion a Fecha'!$AX:$AX,"Correctivo")</f>
        <v>0</v>
      </c>
      <c r="E294" s="25">
        <f>+COUNTIFS('[1]Facturacion a Fecha'!AY:AY,Tabla1[[#This Row],[Cliente]],'[1]Facturacion a Fecha'!AX:AX,"Correctivo")</f>
        <v>0</v>
      </c>
      <c r="F294" s="25">
        <f>+SUMIFS('[1]Facturacion a Fecha'!$T:$T,'[1]Facturacion a Fecha'!$AY:$AY,Tabla1[[#This Row],[Cliente]],'[1]Facturacion a Fecha'!$AX:$AX,"Preventivo")</f>
        <v>0</v>
      </c>
      <c r="G294" s="25">
        <f>+COUNTIFS('[1]Facturacion a Fecha'!AY:AY,Tabla1[[#This Row],[Cliente]],'[1]Facturacion a Fecha'!AX:AX,"Preventivo")</f>
        <v>0</v>
      </c>
      <c r="H294" s="26">
        <f>+Tabla1[[#This Row],['# Preventivo]]+Tabla1[[#This Row],['# Correctivo]]</f>
        <v>0</v>
      </c>
      <c r="I294" s="23">
        <f>+IFERROR(Tabla1[[#This Row],[Ingreso 2025 - 2026 Correctivo]]/Tabla1[[#This Row],[Ingreso 2025 - 2026 Preventivo]],0)</f>
        <v>0</v>
      </c>
      <c r="J294" s="59">
        <f>+IFERROR(Tabla1[[#This Row],['# Correctivo]]/Tabla1[[#This Row],['# Preventivo]],0)</f>
        <v>0</v>
      </c>
      <c r="K294" s="60">
        <f>+IFERROR(Tabla1[[#This Row],[Ingreso 2025 - 2026 Preventivo]]/(Tabla1[[#This Row],[Ingreso 2025 - 2026 Correctivo]]+Tabla1[[#This Row],[Ingreso 2025 - 2026 Preventivo]]),0)</f>
        <v>0</v>
      </c>
      <c r="L294" s="60">
        <f>1-Tabla1[[#This Row],[% Preventivo $]]</f>
        <v>1</v>
      </c>
      <c r="M294" s="45">
        <f>+COUNTIFS('[1]Base Instalada'!AA:AA,Tabla1[[#This Row],[Cliente]])</f>
        <v>8</v>
      </c>
      <c r="N29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4" s="45">
        <f>+COUNTIFS('[1]Base Instalada'!AA:AA,Tabla1[[#This Row],[Cliente]],'[1]Base Instalada'!Z:Z,"ESTERILIZACIÓN")</f>
        <v>0</v>
      </c>
      <c r="P294" s="45">
        <f>+COUNTIFS('[1]Base Instalada'!AA:AA,Tabla1[[#This Row],[Cliente]],'[1]Base Instalada'!Z:Z,"DENTAL")</f>
        <v>8</v>
      </c>
      <c r="Q294" s="45">
        <f>+COUNTIFS('[1]Base Instalada'!AA:AA,Tabla1[[#This Row],[Cliente]],'[1]Base Instalada'!Z:Z,"ENDOSCOPÍA")</f>
        <v>0</v>
      </c>
      <c r="R294" s="45">
        <f>+COUNTIFS('[1]Base Instalada'!AA:AA,Tabla1[[#This Row],[Cliente]],'[1]Base Instalada'!Z:Z,"INCARDIA")</f>
        <v>0</v>
      </c>
      <c r="S294" s="45">
        <f>+COUNTIFS('[1]Base Instalada'!AA:AA,Tabla1[[#This Row],[Cliente]],'[1]Base Instalada'!Z:Z,"MMQ")</f>
        <v>0</v>
      </c>
      <c r="T294" s="45">
        <f>+COUNTIFS('[1]Base Instalada'!AA:AA,Tabla1[[#This Row],[Cliente]],'[1]Base Instalada'!Z:Z,"REAS")</f>
        <v>0</v>
      </c>
      <c r="U294" s="46">
        <f>+COUNTIFS('[1]Base Instalada'!AA:AA,Tabla1[[#This Row],[Cliente]],'[1]Base Instalada'!Z:Z,"MOBILIARIO CLINICO")</f>
        <v>0</v>
      </c>
      <c r="V294" s="29">
        <f>+COUNTIFS('[1]Base Instalada'!AA:AA,Tabla1[[#This Row],[Cliente]],'[1]Base Instalada'!Z:Z,"OTRO")</f>
        <v>0</v>
      </c>
      <c r="W294" s="61" t="str">
        <f t="shared" si="10"/>
        <v>Región Valparaíso</v>
      </c>
      <c r="X294" s="61" t="str">
        <f t="shared" si="11"/>
        <v>San Antonio</v>
      </c>
      <c r="Y294" s="62" t="s">
        <v>622</v>
      </c>
      <c r="Z294" s="33">
        <f>+COUNTIFS('[1]Pipeline TS'!$F:$F,Tabla1[[#This Row],[Cliente]])</f>
        <v>0</v>
      </c>
      <c r="AA294" s="63">
        <f>SUMIFS('[1]Pipeline Esterilización'!M:M,'[1]Pipeline Esterilización'!E:E,Tabla1[[#This Row],[Cliente]],'[1]Pipeline Esterilización'!B:B,"2026",'[1]Pipeline Esterilización'!L:L,"&gt;0")</f>
        <v>0</v>
      </c>
      <c r="AB294" s="33">
        <f>+SUMIFS('[1]Pipeline Endoscopía'!K:K,'[1]Pipeline Endoscopía'!E:E,Tabla1[[#This Row],[Cliente]],'[1]Pipeline Endoscopía'!B:B,"2026",'[1]Pipeline Endoscopía'!J:J,"&gt;0")</f>
        <v>0</v>
      </c>
      <c r="AC294" s="63">
        <f>+SUMIFS('[1]Pipeline Dental'!K:K,'[1]Pipeline Dental'!E:E,Tabla1[[#This Row],[Cliente]],'[1]Pipeline Dental'!B:B,"2026",'[1]Pipeline Dental'!J:J,"&gt;0")</f>
        <v>0</v>
      </c>
      <c r="AD294" s="64">
        <f>+SUMIFS('[1]Pipeline TS'!$AB:$AB,'[1]Pipeline TS'!$F:$F,Tabla1[[#This Row],[Cliente]])</f>
        <v>0</v>
      </c>
      <c r="AE294" s="65">
        <f>+SUM(Tabla1[[#This Row],[Pipeline 2026 $MM ESTERILIZACIÓN]:[Pipeline 2026 $MM TECSERVICE]])</f>
        <v>0</v>
      </c>
      <c r="AF294" s="43">
        <v>-33.609617326900398</v>
      </c>
      <c r="AG294" s="58">
        <v>-71.601144519857698</v>
      </c>
      <c r="AH294" s="57" t="str">
        <f>+IF(Tabla1[[#This Row],['# Contratos Vigentes ]]&gt;0,"SI","NO")</f>
        <v>NO</v>
      </c>
      <c r="AI294" s="66"/>
      <c r="AJ294" s="67">
        <f>+Tabla1[[#This Row],[Ingreso 2025 - 2026]]*Tabla1[[#This Row],[% Costo Serv. Directo]]</f>
        <v>0</v>
      </c>
      <c r="AK294" s="68"/>
      <c r="AL29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4792800</v>
      </c>
      <c r="AN294" s="42">
        <f>+Tabla1[[#This Row],[Potencial Equipos]]+Tabla1[[#This Row],[Potencial Pipeline]]</f>
        <v>4792800</v>
      </c>
    </row>
    <row r="295" spans="1:40" ht="15.75" x14ac:dyDescent="0.25">
      <c r="A295" s="47" t="s">
        <v>623</v>
      </c>
      <c r="B295" t="str">
        <f>+VLOOKUP(Tabla1[[#This Row],[Cliente]],'[1]Público Privado'!$A$1:$B$325,2,FALSE)</f>
        <v>Público</v>
      </c>
      <c r="C295" s="23">
        <f>+SUMIFS('[1]Facturacion a Fecha'!$T:$T,'[1]Facturacion a Fecha'!$AY:$AY,Tabla1[[#This Row],[Cliente]])</f>
        <v>0</v>
      </c>
      <c r="D295" s="24">
        <f>+SUMIFS('[1]Facturacion a Fecha'!$T:$T,'[1]Facturacion a Fecha'!$AY:$AY,Tabla1[[#This Row],[Cliente]],'[1]Facturacion a Fecha'!$AX:$AX,"Correctivo")</f>
        <v>0</v>
      </c>
      <c r="E295" s="25">
        <f>+COUNTIFS('[1]Facturacion a Fecha'!AY:AY,Tabla1[[#This Row],[Cliente]],'[1]Facturacion a Fecha'!AX:AX,"Correctivo")</f>
        <v>0</v>
      </c>
      <c r="F295" s="25">
        <f>+SUMIFS('[1]Facturacion a Fecha'!$T:$T,'[1]Facturacion a Fecha'!$AY:$AY,Tabla1[[#This Row],[Cliente]],'[1]Facturacion a Fecha'!$AX:$AX,"Preventivo")</f>
        <v>0</v>
      </c>
      <c r="G295" s="25">
        <f>+COUNTIFS('[1]Facturacion a Fecha'!AY:AY,Tabla1[[#This Row],[Cliente]],'[1]Facturacion a Fecha'!AX:AX,"Preventivo")</f>
        <v>0</v>
      </c>
      <c r="H295" s="26">
        <f>+Tabla1[[#This Row],['# Preventivo]]+Tabla1[[#This Row],['# Correctivo]]</f>
        <v>0</v>
      </c>
      <c r="I295" s="23">
        <f>+IFERROR(Tabla1[[#This Row],[Ingreso 2025 - 2026 Correctivo]]/Tabla1[[#This Row],[Ingreso 2025 - 2026 Preventivo]],0)</f>
        <v>0</v>
      </c>
      <c r="J295" s="59">
        <f>+IFERROR(Tabla1[[#This Row],['# Correctivo]]/Tabla1[[#This Row],['# Preventivo]],0)</f>
        <v>0</v>
      </c>
      <c r="K295" s="60">
        <f>+IFERROR(Tabla1[[#This Row],[Ingreso 2025 - 2026 Preventivo]]/(Tabla1[[#This Row],[Ingreso 2025 - 2026 Correctivo]]+Tabla1[[#This Row],[Ingreso 2025 - 2026 Preventivo]]),0)</f>
        <v>0</v>
      </c>
      <c r="L295" s="60">
        <f>1-Tabla1[[#This Row],[% Preventivo $]]</f>
        <v>1</v>
      </c>
      <c r="M295" s="45">
        <f>+COUNTIFS('[1]Base Instalada'!AA:AA,Tabla1[[#This Row],[Cliente]])</f>
        <v>20</v>
      </c>
      <c r="N29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5" s="45">
        <f>+COUNTIFS('[1]Base Instalada'!AA:AA,Tabla1[[#This Row],[Cliente]],'[1]Base Instalada'!Z:Z,"ESTERILIZACIÓN")</f>
        <v>12</v>
      </c>
      <c r="P295" s="45">
        <f>+COUNTIFS('[1]Base Instalada'!AA:AA,Tabla1[[#This Row],[Cliente]],'[1]Base Instalada'!Z:Z,"DENTAL")</f>
        <v>8</v>
      </c>
      <c r="Q295" s="45">
        <f>+COUNTIFS('[1]Base Instalada'!AA:AA,Tabla1[[#This Row],[Cliente]],'[1]Base Instalada'!Z:Z,"ENDOSCOPÍA")</f>
        <v>0</v>
      </c>
      <c r="R295" s="45">
        <f>+COUNTIFS('[1]Base Instalada'!AA:AA,Tabla1[[#This Row],[Cliente]],'[1]Base Instalada'!Z:Z,"INCARDIA")</f>
        <v>0</v>
      </c>
      <c r="S295" s="45">
        <f>+COUNTIFS('[1]Base Instalada'!AA:AA,Tabla1[[#This Row],[Cliente]],'[1]Base Instalada'!Z:Z,"MMQ")</f>
        <v>0</v>
      </c>
      <c r="T295" s="45">
        <f>+COUNTIFS('[1]Base Instalada'!AA:AA,Tabla1[[#This Row],[Cliente]],'[1]Base Instalada'!Z:Z,"REAS")</f>
        <v>0</v>
      </c>
      <c r="U295" s="46">
        <f>+COUNTIFS('[1]Base Instalada'!AA:AA,Tabla1[[#This Row],[Cliente]],'[1]Base Instalada'!Z:Z,"MOBILIARIO CLINICO")</f>
        <v>0</v>
      </c>
      <c r="V295" s="29">
        <f>+COUNTIFS('[1]Base Instalada'!AA:AA,Tabla1[[#This Row],[Cliente]],'[1]Base Instalada'!Z:Z,"OTRO")</f>
        <v>0</v>
      </c>
      <c r="W295" s="61" t="str">
        <f t="shared" si="10"/>
        <v>Región Tarapacá</v>
      </c>
      <c r="X295" s="61" t="str">
        <f t="shared" si="11"/>
        <v>Alto Hospicio</v>
      </c>
      <c r="Y295" s="62" t="s">
        <v>624</v>
      </c>
      <c r="Z295" s="33">
        <f>+COUNTIFS('[1]Pipeline TS'!$F:$F,Tabla1[[#This Row],[Cliente]])</f>
        <v>0</v>
      </c>
      <c r="AA295" s="63">
        <f>SUMIFS('[1]Pipeline Esterilización'!M:M,'[1]Pipeline Esterilización'!E:E,Tabla1[[#This Row],[Cliente]],'[1]Pipeline Esterilización'!B:B,"2026",'[1]Pipeline Esterilización'!L:L,"&gt;0")</f>
        <v>0</v>
      </c>
      <c r="AB295" s="33">
        <f>+SUMIFS('[1]Pipeline Endoscopía'!K:K,'[1]Pipeline Endoscopía'!E:E,Tabla1[[#This Row],[Cliente]],'[1]Pipeline Endoscopía'!B:B,"2026",'[1]Pipeline Endoscopía'!J:J,"&gt;0")</f>
        <v>0</v>
      </c>
      <c r="AC295" s="63">
        <f>+SUMIFS('[1]Pipeline Dental'!K:K,'[1]Pipeline Dental'!E:E,Tabla1[[#This Row],[Cliente]],'[1]Pipeline Dental'!B:B,"2026",'[1]Pipeline Dental'!J:J,"&gt;0")</f>
        <v>0</v>
      </c>
      <c r="AD295" s="64">
        <f>+SUMIFS('[1]Pipeline TS'!$AB:$AB,'[1]Pipeline TS'!$F:$F,Tabla1[[#This Row],[Cliente]])</f>
        <v>0</v>
      </c>
      <c r="AE295" s="65">
        <f>+SUM(Tabla1[[#This Row],[Pipeline 2026 $MM ESTERILIZACIÓN]:[Pipeline 2026 $MM TECSERVICE]])</f>
        <v>0</v>
      </c>
      <c r="AF295" s="43">
        <v>-20.294636236828701</v>
      </c>
      <c r="AG295" s="58">
        <v>-70.097106449308498</v>
      </c>
      <c r="AH295" s="57" t="str">
        <f>+IF(Tabla1[[#This Row],['# Contratos Vigentes ]]&gt;0,"SI","NO")</f>
        <v>NO</v>
      </c>
      <c r="AI295" s="66"/>
      <c r="AJ295" s="67">
        <f>+Tabla1[[#This Row],[Ingreso 2025 - 2026]]*Tabla1[[#This Row],[% Costo Serv. Directo]]</f>
        <v>0</v>
      </c>
      <c r="AK295" s="68"/>
      <c r="AL29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28756800</v>
      </c>
      <c r="AN295" s="42">
        <f>+Tabla1[[#This Row],[Potencial Equipos]]+Tabla1[[#This Row],[Potencial Pipeline]]</f>
        <v>28756800</v>
      </c>
    </row>
    <row r="296" spans="1:40" ht="15.75" x14ac:dyDescent="0.25">
      <c r="A296" s="47" t="s">
        <v>625</v>
      </c>
      <c r="B296" t="str">
        <f>+VLOOKUP(Tabla1[[#This Row],[Cliente]],'[1]Público Privado'!$A$1:$B$325,2,FALSE)</f>
        <v>Público</v>
      </c>
      <c r="C296" s="23">
        <f>+SUMIFS('[1]Facturacion a Fecha'!$T:$T,'[1]Facturacion a Fecha'!$AY:$AY,Tabla1[[#This Row],[Cliente]])</f>
        <v>0</v>
      </c>
      <c r="D296" s="24">
        <f>+SUMIFS('[1]Facturacion a Fecha'!$T:$T,'[1]Facturacion a Fecha'!$AY:$AY,Tabla1[[#This Row],[Cliente]],'[1]Facturacion a Fecha'!$AX:$AX,"Correctivo")</f>
        <v>0</v>
      </c>
      <c r="E296" s="25">
        <f>+COUNTIFS('[1]Facturacion a Fecha'!AY:AY,Tabla1[[#This Row],[Cliente]],'[1]Facturacion a Fecha'!AX:AX,"Correctivo")</f>
        <v>0</v>
      </c>
      <c r="F296" s="25">
        <f>+SUMIFS('[1]Facturacion a Fecha'!$T:$T,'[1]Facturacion a Fecha'!$AY:$AY,Tabla1[[#This Row],[Cliente]],'[1]Facturacion a Fecha'!$AX:$AX,"Preventivo")</f>
        <v>0</v>
      </c>
      <c r="G296" s="25">
        <f>+COUNTIFS('[1]Facturacion a Fecha'!AY:AY,Tabla1[[#This Row],[Cliente]],'[1]Facturacion a Fecha'!AX:AX,"Preventivo")</f>
        <v>0</v>
      </c>
      <c r="H296" s="26">
        <f>+Tabla1[[#This Row],['# Preventivo]]+Tabla1[[#This Row],['# Correctivo]]</f>
        <v>0</v>
      </c>
      <c r="I296" s="23">
        <f>+IFERROR(Tabla1[[#This Row],[Ingreso 2025 - 2026 Correctivo]]/Tabla1[[#This Row],[Ingreso 2025 - 2026 Preventivo]],0)</f>
        <v>0</v>
      </c>
      <c r="J296" s="59">
        <f>+IFERROR(Tabla1[[#This Row],['# Correctivo]]/Tabla1[[#This Row],['# Preventivo]],0)</f>
        <v>0</v>
      </c>
      <c r="K296" s="60">
        <f>+IFERROR(Tabla1[[#This Row],[Ingreso 2025 - 2026 Preventivo]]/(Tabla1[[#This Row],[Ingreso 2025 - 2026 Correctivo]]+Tabla1[[#This Row],[Ingreso 2025 - 2026 Preventivo]]),0)</f>
        <v>0</v>
      </c>
      <c r="L296" s="60">
        <f>1-Tabla1[[#This Row],[% Preventivo $]]</f>
        <v>1</v>
      </c>
      <c r="M296" s="45">
        <f>+COUNTIFS('[1]Base Instalada'!AA:AA,Tabla1[[#This Row],[Cliente]])</f>
        <v>6</v>
      </c>
      <c r="N29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6" s="45">
        <f>+COUNTIFS('[1]Base Instalada'!AA:AA,Tabla1[[#This Row],[Cliente]],'[1]Base Instalada'!Z:Z,"ESTERILIZACIÓN")</f>
        <v>0</v>
      </c>
      <c r="P296" s="45">
        <f>+COUNTIFS('[1]Base Instalada'!AA:AA,Tabla1[[#This Row],[Cliente]],'[1]Base Instalada'!Z:Z,"DENTAL")</f>
        <v>6</v>
      </c>
      <c r="Q296" s="45">
        <f>+COUNTIFS('[1]Base Instalada'!AA:AA,Tabla1[[#This Row],[Cliente]],'[1]Base Instalada'!Z:Z,"ENDOSCOPÍA")</f>
        <v>0</v>
      </c>
      <c r="R296" s="45">
        <f>+COUNTIFS('[1]Base Instalada'!AA:AA,Tabla1[[#This Row],[Cliente]],'[1]Base Instalada'!Z:Z,"INCARDIA")</f>
        <v>0</v>
      </c>
      <c r="S296" s="45">
        <f>+COUNTIFS('[1]Base Instalada'!AA:AA,Tabla1[[#This Row],[Cliente]],'[1]Base Instalada'!Z:Z,"MMQ")</f>
        <v>0</v>
      </c>
      <c r="T296" s="45">
        <f>+COUNTIFS('[1]Base Instalada'!AA:AA,Tabla1[[#This Row],[Cliente]],'[1]Base Instalada'!Z:Z,"REAS")</f>
        <v>0</v>
      </c>
      <c r="U296" s="46">
        <f>+COUNTIFS('[1]Base Instalada'!AA:AA,Tabla1[[#This Row],[Cliente]],'[1]Base Instalada'!Z:Z,"MOBILIARIO CLINICO")</f>
        <v>0</v>
      </c>
      <c r="V296" s="29">
        <f>+COUNTIFS('[1]Base Instalada'!AA:AA,Tabla1[[#This Row],[Cliente]],'[1]Base Instalada'!Z:Z,"OTRO")</f>
        <v>0</v>
      </c>
      <c r="W296" s="61" t="str">
        <f t="shared" si="10"/>
        <v>Región Araucanía</v>
      </c>
      <c r="X296" s="61" t="str">
        <f t="shared" si="11"/>
        <v>Villarrica</v>
      </c>
      <c r="Y296" s="62" t="s">
        <v>626</v>
      </c>
      <c r="Z296" s="33">
        <f>+COUNTIFS('[1]Pipeline TS'!$F:$F,Tabla1[[#This Row],[Cliente]])</f>
        <v>0</v>
      </c>
      <c r="AA296" s="63">
        <f>SUMIFS('[1]Pipeline Esterilización'!M:M,'[1]Pipeline Esterilización'!E:E,Tabla1[[#This Row],[Cliente]],'[1]Pipeline Esterilización'!B:B,"2026",'[1]Pipeline Esterilización'!L:L,"&gt;0")</f>
        <v>58000000</v>
      </c>
      <c r="AB296" s="33">
        <f>+SUMIFS('[1]Pipeline Endoscopía'!K:K,'[1]Pipeline Endoscopía'!E:E,Tabla1[[#This Row],[Cliente]],'[1]Pipeline Endoscopía'!B:B,"2026",'[1]Pipeline Endoscopía'!J:J,"&gt;0")</f>
        <v>0</v>
      </c>
      <c r="AC296" s="63">
        <f>+SUMIFS('[1]Pipeline Dental'!K:K,'[1]Pipeline Dental'!E:E,Tabla1[[#This Row],[Cliente]],'[1]Pipeline Dental'!B:B,"2026",'[1]Pipeline Dental'!J:J,"&gt;0")</f>
        <v>0</v>
      </c>
      <c r="AD296" s="64">
        <f>+SUMIFS('[1]Pipeline TS'!$AB:$AB,'[1]Pipeline TS'!$F:$F,Tabla1[[#This Row],[Cliente]])</f>
        <v>0</v>
      </c>
      <c r="AE296" s="65">
        <f>+SUM(Tabla1[[#This Row],[Pipeline 2026 $MM ESTERILIZACIÓN]:[Pipeline 2026 $MM TECSERVICE]])</f>
        <v>58000000</v>
      </c>
      <c r="AF296" s="43">
        <v>-39.294885808618901</v>
      </c>
      <c r="AG296" s="58">
        <v>-72.211815075344603</v>
      </c>
      <c r="AH296" s="57" t="str">
        <f>+IF(Tabla1[[#This Row],['# Contratos Vigentes ]]&gt;0,"SI","NO")</f>
        <v>NO</v>
      </c>
      <c r="AI296" s="66"/>
      <c r="AJ296" s="67">
        <f>+Tabla1[[#This Row],[Ingreso 2025 - 2026]]*Tabla1[[#This Row],[% Costo Serv. Directo]]</f>
        <v>0</v>
      </c>
      <c r="AK296" s="68"/>
      <c r="AL29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5800000</v>
      </c>
      <c r="AM29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96" s="42">
        <f>+Tabla1[[#This Row],[Potencial Equipos]]+Tabla1[[#This Row],[Potencial Pipeline]]</f>
        <v>9394600</v>
      </c>
    </row>
    <row r="297" spans="1:40" ht="15.75" x14ac:dyDescent="0.25">
      <c r="A297" s="47" t="s">
        <v>627</v>
      </c>
      <c r="B297" t="str">
        <f>+VLOOKUP(Tabla1[[#This Row],[Cliente]],'[1]Público Privado'!$A$1:$B$325,2,FALSE)</f>
        <v>Privado</v>
      </c>
      <c r="C297" s="23">
        <f>+SUMIFS('[1]Facturacion a Fecha'!$T:$T,'[1]Facturacion a Fecha'!$AY:$AY,Tabla1[[#This Row],[Cliente]])</f>
        <v>0</v>
      </c>
      <c r="D297" s="24">
        <f>+SUMIFS('[1]Facturacion a Fecha'!$T:$T,'[1]Facturacion a Fecha'!$AY:$AY,Tabla1[[#This Row],[Cliente]],'[1]Facturacion a Fecha'!$AX:$AX,"Correctivo")</f>
        <v>0</v>
      </c>
      <c r="E297" s="25">
        <f>+COUNTIFS('[1]Facturacion a Fecha'!AY:AY,Tabla1[[#This Row],[Cliente]],'[1]Facturacion a Fecha'!AX:AX,"Correctivo")</f>
        <v>0</v>
      </c>
      <c r="F297" s="25">
        <f>+SUMIFS('[1]Facturacion a Fecha'!$T:$T,'[1]Facturacion a Fecha'!$AY:$AY,Tabla1[[#This Row],[Cliente]],'[1]Facturacion a Fecha'!$AX:$AX,"Preventivo")</f>
        <v>0</v>
      </c>
      <c r="G297" s="25">
        <f>+COUNTIFS('[1]Facturacion a Fecha'!AY:AY,Tabla1[[#This Row],[Cliente]],'[1]Facturacion a Fecha'!AX:AX,"Preventivo")</f>
        <v>0</v>
      </c>
      <c r="H297" s="26">
        <f>+Tabla1[[#This Row],['# Preventivo]]+Tabla1[[#This Row],['# Correctivo]]</f>
        <v>0</v>
      </c>
      <c r="I297" s="23">
        <f>+IFERROR(Tabla1[[#This Row],[Ingreso 2025 - 2026 Correctivo]]/Tabla1[[#This Row],[Ingreso 2025 - 2026 Preventivo]],0)</f>
        <v>0</v>
      </c>
      <c r="J297" s="59">
        <f>+IFERROR(Tabla1[[#This Row],['# Correctivo]]/Tabla1[[#This Row],['# Preventivo]],0)</f>
        <v>0</v>
      </c>
      <c r="K297" s="60">
        <f>+IFERROR(Tabla1[[#This Row],[Ingreso 2025 - 2026 Preventivo]]/(Tabla1[[#This Row],[Ingreso 2025 - 2026 Correctivo]]+Tabla1[[#This Row],[Ingreso 2025 - 2026 Preventivo]]),0)</f>
        <v>0</v>
      </c>
      <c r="L297" s="60">
        <f>1-Tabla1[[#This Row],[% Preventivo $]]</f>
        <v>1</v>
      </c>
      <c r="M297" s="45">
        <f>+COUNTIFS('[1]Base Instalada'!AA:AA,Tabla1[[#This Row],[Cliente]])</f>
        <v>6</v>
      </c>
      <c r="N29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7" s="45">
        <f>+COUNTIFS('[1]Base Instalada'!AA:AA,Tabla1[[#This Row],[Cliente]],'[1]Base Instalada'!Z:Z,"ESTERILIZACIÓN")</f>
        <v>0</v>
      </c>
      <c r="P297" s="45">
        <f>+COUNTIFS('[1]Base Instalada'!AA:AA,Tabla1[[#This Row],[Cliente]],'[1]Base Instalada'!Z:Z,"DENTAL")</f>
        <v>6</v>
      </c>
      <c r="Q297" s="45">
        <f>+COUNTIFS('[1]Base Instalada'!AA:AA,Tabla1[[#This Row],[Cliente]],'[1]Base Instalada'!Z:Z,"ENDOSCOPÍA")</f>
        <v>0</v>
      </c>
      <c r="R297" s="45">
        <f>+COUNTIFS('[1]Base Instalada'!AA:AA,Tabla1[[#This Row],[Cliente]],'[1]Base Instalada'!Z:Z,"INCARDIA")</f>
        <v>0</v>
      </c>
      <c r="S297" s="45">
        <f>+COUNTIFS('[1]Base Instalada'!AA:AA,Tabla1[[#This Row],[Cliente]],'[1]Base Instalada'!Z:Z,"MMQ")</f>
        <v>0</v>
      </c>
      <c r="T297" s="45">
        <f>+COUNTIFS('[1]Base Instalada'!AA:AA,Tabla1[[#This Row],[Cliente]],'[1]Base Instalada'!Z:Z,"REAS")</f>
        <v>0</v>
      </c>
      <c r="U297" s="46">
        <f>+COUNTIFS('[1]Base Instalada'!AA:AA,Tabla1[[#This Row],[Cliente]],'[1]Base Instalada'!Z:Z,"MOBILIARIO CLINICO")</f>
        <v>0</v>
      </c>
      <c r="V297" s="29">
        <f>+COUNTIFS('[1]Base Instalada'!AA:AA,Tabla1[[#This Row],[Cliente]],'[1]Base Instalada'!Z:Z,"OTRO")</f>
        <v>0</v>
      </c>
      <c r="W297" s="61" t="str">
        <f t="shared" si="10"/>
        <v>Región Maule</v>
      </c>
      <c r="X297" s="61" t="str">
        <f t="shared" si="11"/>
        <v>Talca</v>
      </c>
      <c r="Y297" s="62" t="s">
        <v>628</v>
      </c>
      <c r="Z297" s="33">
        <f>+COUNTIFS('[1]Pipeline TS'!$F:$F,Tabla1[[#This Row],[Cliente]])</f>
        <v>0</v>
      </c>
      <c r="AA297" s="63">
        <f>SUMIFS('[1]Pipeline Esterilización'!M:M,'[1]Pipeline Esterilización'!E:E,Tabla1[[#This Row],[Cliente]],'[1]Pipeline Esterilización'!B:B,"2026",'[1]Pipeline Esterilización'!L:L,"&gt;0")</f>
        <v>0</v>
      </c>
      <c r="AB297" s="33">
        <f>+SUMIFS('[1]Pipeline Endoscopía'!K:K,'[1]Pipeline Endoscopía'!E:E,Tabla1[[#This Row],[Cliente]],'[1]Pipeline Endoscopía'!B:B,"2026",'[1]Pipeline Endoscopía'!J:J,"&gt;0")</f>
        <v>0</v>
      </c>
      <c r="AC297" s="63">
        <f>+SUMIFS('[1]Pipeline Dental'!K:K,'[1]Pipeline Dental'!E:E,Tabla1[[#This Row],[Cliente]],'[1]Pipeline Dental'!B:B,"2026",'[1]Pipeline Dental'!J:J,"&gt;0")</f>
        <v>0</v>
      </c>
      <c r="AD297" s="64">
        <f>+SUMIFS('[1]Pipeline TS'!$AB:$AB,'[1]Pipeline TS'!$F:$F,Tabla1[[#This Row],[Cliente]])</f>
        <v>0</v>
      </c>
      <c r="AE297" s="65">
        <f>+SUM(Tabla1[[#This Row],[Pipeline 2026 $MM ESTERILIZACIÓN]:[Pipeline 2026 $MM TECSERVICE]])</f>
        <v>0</v>
      </c>
      <c r="AF297" s="43">
        <v>-35.436345221643798</v>
      </c>
      <c r="AG297" s="58">
        <v>-71.610744904693703</v>
      </c>
      <c r="AH297" s="57" t="str">
        <f>+IF(Tabla1[[#This Row],['# Contratos Vigentes ]]&gt;0,"SI","NO")</f>
        <v>NO</v>
      </c>
      <c r="AI297" s="66"/>
      <c r="AJ297" s="67">
        <f>+Tabla1[[#This Row],[Ingreso 2025 - 2026]]*Tabla1[[#This Row],[% Costo Serv. Directo]]</f>
        <v>0</v>
      </c>
      <c r="AK297" s="68"/>
      <c r="AL29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297" s="42">
        <f>+Tabla1[[#This Row],[Potencial Equipos]]+Tabla1[[#This Row],[Potencial Pipeline]]</f>
        <v>3594600</v>
      </c>
    </row>
    <row r="298" spans="1:40" ht="15.75" x14ac:dyDescent="0.25">
      <c r="A298" s="47" t="s">
        <v>629</v>
      </c>
      <c r="B298" t="str">
        <f>+VLOOKUP(Tabla1[[#This Row],[Cliente]],'[1]Público Privado'!$A$1:$B$325,2,FALSE)</f>
        <v>Público</v>
      </c>
      <c r="C298" s="23">
        <f>+SUMIFS('[1]Facturacion a Fecha'!$T:$T,'[1]Facturacion a Fecha'!$AY:$AY,Tabla1[[#This Row],[Cliente]])</f>
        <v>0</v>
      </c>
      <c r="D298" s="24">
        <f>+SUMIFS('[1]Facturacion a Fecha'!$T:$T,'[1]Facturacion a Fecha'!$AY:$AY,Tabla1[[#This Row],[Cliente]],'[1]Facturacion a Fecha'!$AX:$AX,"Correctivo")</f>
        <v>0</v>
      </c>
      <c r="E298" s="25">
        <f>+COUNTIFS('[1]Facturacion a Fecha'!AY:AY,Tabla1[[#This Row],[Cliente]],'[1]Facturacion a Fecha'!AX:AX,"Correctivo")</f>
        <v>0</v>
      </c>
      <c r="F298" s="25">
        <f>+SUMIFS('[1]Facturacion a Fecha'!$T:$T,'[1]Facturacion a Fecha'!$AY:$AY,Tabla1[[#This Row],[Cliente]],'[1]Facturacion a Fecha'!$AX:$AX,"Preventivo")</f>
        <v>0</v>
      </c>
      <c r="G298" s="25">
        <f>+COUNTIFS('[1]Facturacion a Fecha'!AY:AY,Tabla1[[#This Row],[Cliente]],'[1]Facturacion a Fecha'!AX:AX,"Preventivo")</f>
        <v>0</v>
      </c>
      <c r="H298" s="26">
        <f>+Tabla1[[#This Row],['# Preventivo]]+Tabla1[[#This Row],['# Correctivo]]</f>
        <v>0</v>
      </c>
      <c r="I298" s="23">
        <f>+IFERROR(Tabla1[[#This Row],[Ingreso 2025 - 2026 Correctivo]]/Tabla1[[#This Row],[Ingreso 2025 - 2026 Preventivo]],0)</f>
        <v>0</v>
      </c>
      <c r="J298" s="59">
        <f>+IFERROR(Tabla1[[#This Row],['# Correctivo]]/Tabla1[[#This Row],['# Preventivo]],0)</f>
        <v>0</v>
      </c>
      <c r="K298" s="60">
        <f>+IFERROR(Tabla1[[#This Row],[Ingreso 2025 - 2026 Preventivo]]/(Tabla1[[#This Row],[Ingreso 2025 - 2026 Correctivo]]+Tabla1[[#This Row],[Ingreso 2025 - 2026 Preventivo]]),0)</f>
        <v>0</v>
      </c>
      <c r="L298" s="60">
        <f>1-Tabla1[[#This Row],[% Preventivo $]]</f>
        <v>1</v>
      </c>
      <c r="M298" s="45">
        <f>+COUNTIFS('[1]Base Instalada'!AA:AA,Tabla1[[#This Row],[Cliente]])</f>
        <v>9</v>
      </c>
      <c r="N29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8" s="45">
        <f>+COUNTIFS('[1]Base Instalada'!AA:AA,Tabla1[[#This Row],[Cliente]],'[1]Base Instalada'!Z:Z,"ESTERILIZACIÓN")</f>
        <v>1</v>
      </c>
      <c r="P298" s="45">
        <f>+COUNTIFS('[1]Base Instalada'!AA:AA,Tabla1[[#This Row],[Cliente]],'[1]Base Instalada'!Z:Z,"DENTAL")</f>
        <v>8</v>
      </c>
      <c r="Q298" s="45">
        <f>+COUNTIFS('[1]Base Instalada'!AA:AA,Tabla1[[#This Row],[Cliente]],'[1]Base Instalada'!Z:Z,"ENDOSCOPÍA")</f>
        <v>0</v>
      </c>
      <c r="R298" s="45">
        <f>+COUNTIFS('[1]Base Instalada'!AA:AA,Tabla1[[#This Row],[Cliente]],'[1]Base Instalada'!Z:Z,"INCARDIA")</f>
        <v>0</v>
      </c>
      <c r="S298" s="45">
        <f>+COUNTIFS('[1]Base Instalada'!AA:AA,Tabla1[[#This Row],[Cliente]],'[1]Base Instalada'!Z:Z,"MMQ")</f>
        <v>0</v>
      </c>
      <c r="T298" s="45">
        <f>+COUNTIFS('[1]Base Instalada'!AA:AA,Tabla1[[#This Row],[Cliente]],'[1]Base Instalada'!Z:Z,"REAS")</f>
        <v>0</v>
      </c>
      <c r="U298" s="46">
        <f>+COUNTIFS('[1]Base Instalada'!AA:AA,Tabla1[[#This Row],[Cliente]],'[1]Base Instalada'!Z:Z,"MOBILIARIO CLINICO")</f>
        <v>0</v>
      </c>
      <c r="V298" s="29">
        <f>+COUNTIFS('[1]Base Instalada'!AA:AA,Tabla1[[#This Row],[Cliente]],'[1]Base Instalada'!Z:Z,"OTRO")</f>
        <v>0</v>
      </c>
      <c r="W298" s="61" t="str">
        <f t="shared" si="10"/>
        <v>Región Magallanes y la Antártica Chilena</v>
      </c>
      <c r="X298" s="61" t="str">
        <f t="shared" si="11"/>
        <v>Punta Arenas</v>
      </c>
      <c r="Y298" s="62" t="s">
        <v>630</v>
      </c>
      <c r="Z298" s="33">
        <f>+COUNTIFS('[1]Pipeline TS'!$F:$F,Tabla1[[#This Row],[Cliente]])</f>
        <v>0</v>
      </c>
      <c r="AA298" s="63">
        <f>SUMIFS('[1]Pipeline Esterilización'!M:M,'[1]Pipeline Esterilización'!E:E,Tabla1[[#This Row],[Cliente]],'[1]Pipeline Esterilización'!B:B,"2026",'[1]Pipeline Esterilización'!L:L,"&gt;0")</f>
        <v>0</v>
      </c>
      <c r="AB298" s="33">
        <f>+SUMIFS('[1]Pipeline Endoscopía'!K:K,'[1]Pipeline Endoscopía'!E:E,Tabla1[[#This Row],[Cliente]],'[1]Pipeline Endoscopía'!B:B,"2026",'[1]Pipeline Endoscopía'!J:J,"&gt;0")</f>
        <v>0</v>
      </c>
      <c r="AC298" s="63">
        <f>+SUMIFS('[1]Pipeline Dental'!K:K,'[1]Pipeline Dental'!E:E,Tabla1[[#This Row],[Cliente]],'[1]Pipeline Dental'!B:B,"2026",'[1]Pipeline Dental'!J:J,"&gt;0")</f>
        <v>0</v>
      </c>
      <c r="AD298" s="64">
        <f>+SUMIFS('[1]Pipeline TS'!$AB:$AB,'[1]Pipeline TS'!$F:$F,Tabla1[[#This Row],[Cliente]])</f>
        <v>0</v>
      </c>
      <c r="AE298" s="65">
        <f>+SUM(Tabla1[[#This Row],[Pipeline 2026 $MM ESTERILIZACIÓN]:[Pipeline 2026 $MM TECSERVICE]])</f>
        <v>0</v>
      </c>
      <c r="AF298" s="43">
        <v>-53.142718621169898</v>
      </c>
      <c r="AG298" s="58">
        <v>-70.880946835733198</v>
      </c>
      <c r="AH298" s="57" t="str">
        <f>+IF(Tabla1[[#This Row],['# Contratos Vigentes ]]&gt;0,"SI","NO")</f>
        <v>NO</v>
      </c>
      <c r="AI298" s="66"/>
      <c r="AJ298" s="67">
        <f>+Tabla1[[#This Row],[Ingreso 2025 - 2026]]*Tabla1[[#This Row],[% Costo Serv. Directo]]</f>
        <v>0</v>
      </c>
      <c r="AK298" s="68"/>
      <c r="AL29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6789800</v>
      </c>
      <c r="AN298" s="42">
        <f>+Tabla1[[#This Row],[Potencial Equipos]]+Tabla1[[#This Row],[Potencial Pipeline]]</f>
        <v>6789800</v>
      </c>
    </row>
    <row r="299" spans="1:40" ht="15.75" x14ac:dyDescent="0.25">
      <c r="A299" s="47" t="s">
        <v>631</v>
      </c>
      <c r="B299" t="str">
        <f>+VLOOKUP(Tabla1[[#This Row],[Cliente]],'[1]Público Privado'!$A$1:$B$325,2,FALSE)</f>
        <v>Público</v>
      </c>
      <c r="C299" s="23">
        <f>+SUMIFS('[1]Facturacion a Fecha'!$T:$T,'[1]Facturacion a Fecha'!$AY:$AY,Tabla1[[#This Row],[Cliente]])</f>
        <v>0</v>
      </c>
      <c r="D299" s="24">
        <f>+SUMIFS('[1]Facturacion a Fecha'!$T:$T,'[1]Facturacion a Fecha'!$AY:$AY,Tabla1[[#This Row],[Cliente]],'[1]Facturacion a Fecha'!$AX:$AX,"Correctivo")</f>
        <v>0</v>
      </c>
      <c r="E299" s="25">
        <f>+COUNTIFS('[1]Facturacion a Fecha'!AY:AY,Tabla1[[#This Row],[Cliente]],'[1]Facturacion a Fecha'!AX:AX,"Correctivo")</f>
        <v>0</v>
      </c>
      <c r="F299" s="25">
        <f>+SUMIFS('[1]Facturacion a Fecha'!$T:$T,'[1]Facturacion a Fecha'!$AY:$AY,Tabla1[[#This Row],[Cliente]],'[1]Facturacion a Fecha'!$AX:$AX,"Preventivo")</f>
        <v>0</v>
      </c>
      <c r="G299" s="25">
        <f>+COUNTIFS('[1]Facturacion a Fecha'!AY:AY,Tabla1[[#This Row],[Cliente]],'[1]Facturacion a Fecha'!AX:AX,"Preventivo")</f>
        <v>0</v>
      </c>
      <c r="H299" s="26">
        <f>+Tabla1[[#This Row],['# Preventivo]]+Tabla1[[#This Row],['# Correctivo]]</f>
        <v>0</v>
      </c>
      <c r="I299" s="23">
        <f>+IFERROR(Tabla1[[#This Row],[Ingreso 2025 - 2026 Correctivo]]/Tabla1[[#This Row],[Ingreso 2025 - 2026 Preventivo]],0)</f>
        <v>0</v>
      </c>
      <c r="J299" s="59">
        <f>+IFERROR(Tabla1[[#This Row],['# Correctivo]]/Tabla1[[#This Row],['# Preventivo]],0)</f>
        <v>0</v>
      </c>
      <c r="K299" s="60">
        <f>+IFERROR(Tabla1[[#This Row],[Ingreso 2025 - 2026 Preventivo]]/(Tabla1[[#This Row],[Ingreso 2025 - 2026 Correctivo]]+Tabla1[[#This Row],[Ingreso 2025 - 2026 Preventivo]]),0)</f>
        <v>0</v>
      </c>
      <c r="L299" s="60">
        <f>1-Tabla1[[#This Row],[% Preventivo $]]</f>
        <v>1</v>
      </c>
      <c r="M299" s="45">
        <f>+COUNTIFS('[1]Base Instalada'!AA:AA,Tabla1[[#This Row],[Cliente]])</f>
        <v>5</v>
      </c>
      <c r="N29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299" s="45">
        <f>+COUNTIFS('[1]Base Instalada'!AA:AA,Tabla1[[#This Row],[Cliente]],'[1]Base Instalada'!Z:Z,"ESTERILIZACIÓN")</f>
        <v>1</v>
      </c>
      <c r="P299" s="45">
        <f>+COUNTIFS('[1]Base Instalada'!AA:AA,Tabla1[[#This Row],[Cliente]],'[1]Base Instalada'!Z:Z,"DENTAL")</f>
        <v>4</v>
      </c>
      <c r="Q299" s="45">
        <f>+COUNTIFS('[1]Base Instalada'!AA:AA,Tabla1[[#This Row],[Cliente]],'[1]Base Instalada'!Z:Z,"ENDOSCOPÍA")</f>
        <v>0</v>
      </c>
      <c r="R299" s="45">
        <f>+COUNTIFS('[1]Base Instalada'!AA:AA,Tabla1[[#This Row],[Cliente]],'[1]Base Instalada'!Z:Z,"INCARDIA")</f>
        <v>0</v>
      </c>
      <c r="S299" s="45">
        <f>+COUNTIFS('[1]Base Instalada'!AA:AA,Tabla1[[#This Row],[Cliente]],'[1]Base Instalada'!Z:Z,"MMQ")</f>
        <v>0</v>
      </c>
      <c r="T299" s="45">
        <f>+COUNTIFS('[1]Base Instalada'!AA:AA,Tabla1[[#This Row],[Cliente]],'[1]Base Instalada'!Z:Z,"REAS")</f>
        <v>0</v>
      </c>
      <c r="U299" s="46">
        <f>+COUNTIFS('[1]Base Instalada'!AA:AA,Tabla1[[#This Row],[Cliente]],'[1]Base Instalada'!Z:Z,"MOBILIARIO CLINICO")</f>
        <v>0</v>
      </c>
      <c r="V299" s="29">
        <f>+COUNTIFS('[1]Base Instalada'!AA:AA,Tabla1[[#This Row],[Cliente]],'[1]Base Instalada'!Z:Z,"OTRO")</f>
        <v>0</v>
      </c>
      <c r="W299" s="61" t="str">
        <f t="shared" si="10"/>
        <v>Región Magallanes y la Antártica Chilena</v>
      </c>
      <c r="X299" s="61" t="str">
        <f t="shared" si="11"/>
        <v>Punta Arenas</v>
      </c>
      <c r="Y299" s="62" t="s">
        <v>632</v>
      </c>
      <c r="Z299" s="33">
        <f>+COUNTIFS('[1]Pipeline TS'!$F:$F,Tabla1[[#This Row],[Cliente]])</f>
        <v>0</v>
      </c>
      <c r="AA299" s="63">
        <f>SUMIFS('[1]Pipeline Esterilización'!M:M,'[1]Pipeline Esterilización'!E:E,Tabla1[[#This Row],[Cliente]],'[1]Pipeline Esterilización'!B:B,"2026",'[1]Pipeline Esterilización'!L:L,"&gt;0")</f>
        <v>0</v>
      </c>
      <c r="AB299" s="33">
        <f>+SUMIFS('[1]Pipeline Endoscopía'!K:K,'[1]Pipeline Endoscopía'!E:E,Tabla1[[#This Row],[Cliente]],'[1]Pipeline Endoscopía'!B:B,"2026",'[1]Pipeline Endoscopía'!J:J,"&gt;0")</f>
        <v>0</v>
      </c>
      <c r="AC299" s="63">
        <f>+SUMIFS('[1]Pipeline Dental'!K:K,'[1]Pipeline Dental'!E:E,Tabla1[[#This Row],[Cliente]],'[1]Pipeline Dental'!B:B,"2026",'[1]Pipeline Dental'!J:J,"&gt;0")</f>
        <v>0</v>
      </c>
      <c r="AD299" s="64">
        <f>+SUMIFS('[1]Pipeline TS'!$AB:$AB,'[1]Pipeline TS'!$F:$F,Tabla1[[#This Row],[Cliente]])</f>
        <v>0</v>
      </c>
      <c r="AE299" s="65">
        <f>+SUM(Tabla1[[#This Row],[Pipeline 2026 $MM ESTERILIZACIÓN]:[Pipeline 2026 $MM TECSERVICE]])</f>
        <v>0</v>
      </c>
      <c r="AF299" s="43">
        <v>-51.940990934968099</v>
      </c>
      <c r="AG299" s="58">
        <v>-71.030926986607895</v>
      </c>
      <c r="AH299" s="57" t="str">
        <f>+IF(Tabla1[[#This Row],['# Contratos Vigentes ]]&gt;0,"SI","NO")</f>
        <v>NO</v>
      </c>
      <c r="AI299" s="66"/>
      <c r="AJ299" s="67">
        <f>+Tabla1[[#This Row],[Ingreso 2025 - 2026]]*Tabla1[[#This Row],[% Costo Serv. Directo]]</f>
        <v>0</v>
      </c>
      <c r="AK299" s="68"/>
      <c r="AL29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29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4393400</v>
      </c>
      <c r="AN299" s="42">
        <f>+Tabla1[[#This Row],[Potencial Equipos]]+Tabla1[[#This Row],[Potencial Pipeline]]</f>
        <v>4393400</v>
      </c>
    </row>
    <row r="300" spans="1:40" ht="15.75" x14ac:dyDescent="0.25">
      <c r="A300" s="47" t="s">
        <v>633</v>
      </c>
      <c r="B300" t="str">
        <f>+VLOOKUP(Tabla1[[#This Row],[Cliente]],'[1]Público Privado'!$A$1:$B$325,2,FALSE)</f>
        <v>Público</v>
      </c>
      <c r="C300" s="23">
        <f>+SUMIFS('[1]Facturacion a Fecha'!$T:$T,'[1]Facturacion a Fecha'!$AY:$AY,Tabla1[[#This Row],[Cliente]])</f>
        <v>0</v>
      </c>
      <c r="D300" s="24">
        <f>+SUMIFS('[1]Facturacion a Fecha'!$T:$T,'[1]Facturacion a Fecha'!$AY:$AY,Tabla1[[#This Row],[Cliente]],'[1]Facturacion a Fecha'!$AX:$AX,"Correctivo")</f>
        <v>0</v>
      </c>
      <c r="E300" s="25">
        <f>+COUNTIFS('[1]Facturacion a Fecha'!AY:AY,Tabla1[[#This Row],[Cliente]],'[1]Facturacion a Fecha'!AX:AX,"Correctivo")</f>
        <v>0</v>
      </c>
      <c r="F300" s="25">
        <f>+SUMIFS('[1]Facturacion a Fecha'!$T:$T,'[1]Facturacion a Fecha'!$AY:$AY,Tabla1[[#This Row],[Cliente]],'[1]Facturacion a Fecha'!$AX:$AX,"Preventivo")</f>
        <v>0</v>
      </c>
      <c r="G300" s="25">
        <f>+COUNTIFS('[1]Facturacion a Fecha'!AY:AY,Tabla1[[#This Row],[Cliente]],'[1]Facturacion a Fecha'!AX:AX,"Preventivo")</f>
        <v>0</v>
      </c>
      <c r="H300" s="26">
        <f>+Tabla1[[#This Row],['# Preventivo]]+Tabla1[[#This Row],['# Correctivo]]</f>
        <v>0</v>
      </c>
      <c r="I300" s="23">
        <f>+IFERROR(Tabla1[[#This Row],[Ingreso 2025 - 2026 Correctivo]]/Tabla1[[#This Row],[Ingreso 2025 - 2026 Preventivo]],0)</f>
        <v>0</v>
      </c>
      <c r="J300" s="59">
        <f>+IFERROR(Tabla1[[#This Row],['# Correctivo]]/Tabla1[[#This Row],['# Preventivo]],0)</f>
        <v>0</v>
      </c>
      <c r="K300" s="60">
        <f>+IFERROR(Tabla1[[#This Row],[Ingreso 2025 - 2026 Preventivo]]/(Tabla1[[#This Row],[Ingreso 2025 - 2026 Correctivo]]+Tabla1[[#This Row],[Ingreso 2025 - 2026 Preventivo]]),0)</f>
        <v>0</v>
      </c>
      <c r="L300" s="60">
        <f>1-Tabla1[[#This Row],[% Preventivo $]]</f>
        <v>1</v>
      </c>
      <c r="M300" s="45">
        <f>+COUNTIFS('[1]Base Instalada'!AA:AA,Tabla1[[#This Row],[Cliente]])</f>
        <v>8</v>
      </c>
      <c r="N30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0" s="45">
        <f>+COUNTIFS('[1]Base Instalada'!AA:AA,Tabla1[[#This Row],[Cliente]],'[1]Base Instalada'!Z:Z,"ESTERILIZACIÓN")</f>
        <v>0</v>
      </c>
      <c r="P300" s="45">
        <f>+COUNTIFS('[1]Base Instalada'!AA:AA,Tabla1[[#This Row],[Cliente]],'[1]Base Instalada'!Z:Z,"DENTAL")</f>
        <v>8</v>
      </c>
      <c r="Q300" s="45">
        <f>+COUNTIFS('[1]Base Instalada'!AA:AA,Tabla1[[#This Row],[Cliente]],'[1]Base Instalada'!Z:Z,"ENDOSCOPÍA")</f>
        <v>0</v>
      </c>
      <c r="R300" s="45">
        <f>+COUNTIFS('[1]Base Instalada'!AA:AA,Tabla1[[#This Row],[Cliente]],'[1]Base Instalada'!Z:Z,"INCARDIA")</f>
        <v>0</v>
      </c>
      <c r="S300" s="45">
        <f>+COUNTIFS('[1]Base Instalada'!AA:AA,Tabla1[[#This Row],[Cliente]],'[1]Base Instalada'!Z:Z,"MMQ")</f>
        <v>0</v>
      </c>
      <c r="T300" s="45">
        <f>+COUNTIFS('[1]Base Instalada'!AA:AA,Tabla1[[#This Row],[Cliente]],'[1]Base Instalada'!Z:Z,"REAS")</f>
        <v>0</v>
      </c>
      <c r="U300" s="46">
        <f>+COUNTIFS('[1]Base Instalada'!AA:AA,Tabla1[[#This Row],[Cliente]],'[1]Base Instalada'!Z:Z,"MOBILIARIO CLINICO")</f>
        <v>0</v>
      </c>
      <c r="V300" s="29">
        <f>+COUNTIFS('[1]Base Instalada'!AA:AA,Tabla1[[#This Row],[Cliente]],'[1]Base Instalada'!Z:Z,"OTRO")</f>
        <v>0</v>
      </c>
      <c r="W300" s="61" t="str">
        <f t="shared" si="10"/>
        <v>Región Metropolitana</v>
      </c>
      <c r="X300" s="61" t="e">
        <f t="shared" si="11"/>
        <v>#VALUE!</v>
      </c>
      <c r="Y300" s="62" t="s">
        <v>634</v>
      </c>
      <c r="Z300" s="33">
        <f>+COUNTIFS('[1]Pipeline TS'!$F:$F,Tabla1[[#This Row],[Cliente]])</f>
        <v>0</v>
      </c>
      <c r="AA300" s="63">
        <f>SUMIFS('[1]Pipeline Esterilización'!M:M,'[1]Pipeline Esterilización'!E:E,Tabla1[[#This Row],[Cliente]],'[1]Pipeline Esterilización'!B:B,"2026",'[1]Pipeline Esterilización'!L:L,"&gt;0")</f>
        <v>0</v>
      </c>
      <c r="AB300" s="33">
        <f>+SUMIFS('[1]Pipeline Endoscopía'!K:K,'[1]Pipeline Endoscopía'!E:E,Tabla1[[#This Row],[Cliente]],'[1]Pipeline Endoscopía'!B:B,"2026",'[1]Pipeline Endoscopía'!J:J,"&gt;0")</f>
        <v>0</v>
      </c>
      <c r="AC300" s="63">
        <f>+SUMIFS('[1]Pipeline Dental'!K:K,'[1]Pipeline Dental'!E:E,Tabla1[[#This Row],[Cliente]],'[1]Pipeline Dental'!B:B,"2026",'[1]Pipeline Dental'!J:J,"&gt;0")</f>
        <v>0</v>
      </c>
      <c r="AD300" s="64">
        <f>+SUMIFS('[1]Pipeline TS'!$AB:$AB,'[1]Pipeline TS'!$F:$F,Tabla1[[#This Row],[Cliente]])</f>
        <v>0</v>
      </c>
      <c r="AE300" s="65">
        <f>+SUM(Tabla1[[#This Row],[Pipeline 2026 $MM ESTERILIZACIÓN]:[Pipeline 2026 $MM TECSERVICE]])</f>
        <v>0</v>
      </c>
      <c r="AF300" s="43">
        <v>-33.503852549027101</v>
      </c>
      <c r="AG300" s="58">
        <v>-70.578266018016095</v>
      </c>
      <c r="AH300" s="57" t="str">
        <f>+IF(Tabla1[[#This Row],['# Contratos Vigentes ]]&gt;0,"SI","NO")</f>
        <v>NO</v>
      </c>
      <c r="AI300" s="66"/>
      <c r="AJ300" s="67">
        <f>+Tabla1[[#This Row],[Ingreso 2025 - 2026]]*Tabla1[[#This Row],[% Costo Serv. Directo]]</f>
        <v>0</v>
      </c>
      <c r="AK300" s="68"/>
      <c r="AL30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0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4792800</v>
      </c>
      <c r="AN300" s="42">
        <f>+Tabla1[[#This Row],[Potencial Equipos]]+Tabla1[[#This Row],[Potencial Pipeline]]</f>
        <v>4792800</v>
      </c>
    </row>
    <row r="301" spans="1:40" ht="15.75" x14ac:dyDescent="0.25">
      <c r="A301" s="47" t="s">
        <v>635</v>
      </c>
      <c r="B301" t="str">
        <f>+VLOOKUP(Tabla1[[#This Row],[Cliente]],'[1]Público Privado'!$A$1:$B$325,2,FALSE)</f>
        <v>Privado</v>
      </c>
      <c r="C301" s="23">
        <f>+SUMIFS('[1]Facturacion a Fecha'!$T:$T,'[1]Facturacion a Fecha'!$AY:$AY,Tabla1[[#This Row],[Cliente]])</f>
        <v>0</v>
      </c>
      <c r="D301" s="24">
        <f>+SUMIFS('[1]Facturacion a Fecha'!$T:$T,'[1]Facturacion a Fecha'!$AY:$AY,Tabla1[[#This Row],[Cliente]],'[1]Facturacion a Fecha'!$AX:$AX,"Correctivo")</f>
        <v>0</v>
      </c>
      <c r="E301" s="25">
        <f>+COUNTIFS('[1]Facturacion a Fecha'!AY:AY,Tabla1[[#This Row],[Cliente]],'[1]Facturacion a Fecha'!AX:AX,"Correctivo")</f>
        <v>0</v>
      </c>
      <c r="F301" s="25">
        <f>+SUMIFS('[1]Facturacion a Fecha'!$T:$T,'[1]Facturacion a Fecha'!$AY:$AY,Tabla1[[#This Row],[Cliente]],'[1]Facturacion a Fecha'!$AX:$AX,"Preventivo")</f>
        <v>0</v>
      </c>
      <c r="G301" s="25">
        <f>+COUNTIFS('[1]Facturacion a Fecha'!AY:AY,Tabla1[[#This Row],[Cliente]],'[1]Facturacion a Fecha'!AX:AX,"Preventivo")</f>
        <v>0</v>
      </c>
      <c r="H301" s="26">
        <f>+Tabla1[[#This Row],['# Preventivo]]+Tabla1[[#This Row],['# Correctivo]]</f>
        <v>0</v>
      </c>
      <c r="I301" s="23">
        <f>+IFERROR(Tabla1[[#This Row],[Ingreso 2025 - 2026 Correctivo]]/Tabla1[[#This Row],[Ingreso 2025 - 2026 Preventivo]],0)</f>
        <v>0</v>
      </c>
      <c r="J301" s="59">
        <f>+IFERROR(Tabla1[[#This Row],['# Correctivo]]/Tabla1[[#This Row],['# Preventivo]],0)</f>
        <v>0</v>
      </c>
      <c r="K301" s="60">
        <f>+IFERROR(Tabla1[[#This Row],[Ingreso 2025 - 2026 Preventivo]]/(Tabla1[[#This Row],[Ingreso 2025 - 2026 Correctivo]]+Tabla1[[#This Row],[Ingreso 2025 - 2026 Preventivo]]),0)</f>
        <v>0</v>
      </c>
      <c r="L301" s="60">
        <f>1-Tabla1[[#This Row],[% Preventivo $]]</f>
        <v>1</v>
      </c>
      <c r="M301" s="45">
        <f>+COUNTIFS('[1]Base Instalada'!AA:AA,Tabla1[[#This Row],[Cliente]])</f>
        <v>7</v>
      </c>
      <c r="N30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1" s="45">
        <f>+COUNTIFS('[1]Base Instalada'!AA:AA,Tabla1[[#This Row],[Cliente]],'[1]Base Instalada'!Z:Z,"ESTERILIZACIÓN")</f>
        <v>0</v>
      </c>
      <c r="P301" s="45">
        <f>+COUNTIFS('[1]Base Instalada'!AA:AA,Tabla1[[#This Row],[Cliente]],'[1]Base Instalada'!Z:Z,"DENTAL")</f>
        <v>7</v>
      </c>
      <c r="Q301" s="45">
        <f>+COUNTIFS('[1]Base Instalada'!AA:AA,Tabla1[[#This Row],[Cliente]],'[1]Base Instalada'!Z:Z,"ENDOSCOPÍA")</f>
        <v>0</v>
      </c>
      <c r="R301" s="45">
        <f>+COUNTIFS('[1]Base Instalada'!AA:AA,Tabla1[[#This Row],[Cliente]],'[1]Base Instalada'!Z:Z,"INCARDIA")</f>
        <v>0</v>
      </c>
      <c r="S301" s="45">
        <f>+COUNTIFS('[1]Base Instalada'!AA:AA,Tabla1[[#This Row],[Cliente]],'[1]Base Instalada'!Z:Z,"MMQ")</f>
        <v>0</v>
      </c>
      <c r="T301" s="45">
        <f>+COUNTIFS('[1]Base Instalada'!AA:AA,Tabla1[[#This Row],[Cliente]],'[1]Base Instalada'!Z:Z,"REAS")</f>
        <v>0</v>
      </c>
      <c r="U301" s="46">
        <f>+COUNTIFS('[1]Base Instalada'!AA:AA,Tabla1[[#This Row],[Cliente]],'[1]Base Instalada'!Z:Z,"MOBILIARIO CLINICO")</f>
        <v>0</v>
      </c>
      <c r="V301" s="29">
        <f>+COUNTIFS('[1]Base Instalada'!AA:AA,Tabla1[[#This Row],[Cliente]],'[1]Base Instalada'!Z:Z,"OTRO")</f>
        <v>0</v>
      </c>
      <c r="W301" s="61" t="str">
        <f t="shared" si="10"/>
        <v>Región Metropolitana</v>
      </c>
      <c r="X301" s="61" t="str">
        <f t="shared" si="11"/>
        <v>San Bernardo</v>
      </c>
      <c r="Y301" s="62" t="s">
        <v>636</v>
      </c>
      <c r="Z301" s="33">
        <f>+COUNTIFS('[1]Pipeline TS'!$F:$F,Tabla1[[#This Row],[Cliente]])</f>
        <v>0</v>
      </c>
      <c r="AA301" s="63">
        <f>SUMIFS('[1]Pipeline Esterilización'!M:M,'[1]Pipeline Esterilización'!E:E,Tabla1[[#This Row],[Cliente]],'[1]Pipeline Esterilización'!B:B,"2026",'[1]Pipeline Esterilización'!L:L,"&gt;0")</f>
        <v>0</v>
      </c>
      <c r="AB301" s="33">
        <f>+SUMIFS('[1]Pipeline Endoscopía'!K:K,'[1]Pipeline Endoscopía'!E:E,Tabla1[[#This Row],[Cliente]],'[1]Pipeline Endoscopía'!B:B,"2026",'[1]Pipeline Endoscopía'!J:J,"&gt;0")</f>
        <v>0</v>
      </c>
      <c r="AC301" s="63">
        <f>+SUMIFS('[1]Pipeline Dental'!K:K,'[1]Pipeline Dental'!E:E,Tabla1[[#This Row],[Cliente]],'[1]Pipeline Dental'!B:B,"2026",'[1]Pipeline Dental'!J:J,"&gt;0")</f>
        <v>0</v>
      </c>
      <c r="AD301" s="64">
        <f>+SUMIFS('[1]Pipeline TS'!$AB:$AB,'[1]Pipeline TS'!$F:$F,Tabla1[[#This Row],[Cliente]])</f>
        <v>0</v>
      </c>
      <c r="AE301" s="65">
        <f>+SUM(Tabla1[[#This Row],[Pipeline 2026 $MM ESTERILIZACIÓN]:[Pipeline 2026 $MM TECSERVICE]])</f>
        <v>0</v>
      </c>
      <c r="AF301" s="43">
        <v>-33.592801483088003</v>
      </c>
      <c r="AG301" s="58">
        <v>-70.696363633071499</v>
      </c>
      <c r="AH301" s="57" t="str">
        <f>+IF(Tabla1[[#This Row],['# Contratos Vigentes ]]&gt;0,"SI","NO")</f>
        <v>NO</v>
      </c>
      <c r="AI301" s="66"/>
      <c r="AJ301" s="67">
        <f>+Tabla1[[#This Row],[Ingreso 2025 - 2026]]*Tabla1[[#This Row],[% Costo Serv. Directo]]</f>
        <v>0</v>
      </c>
      <c r="AK301" s="68"/>
      <c r="AL30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0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301" s="42">
        <f>+Tabla1[[#This Row],[Potencial Equipos]]+Tabla1[[#This Row],[Potencial Pipeline]]</f>
        <v>4193700</v>
      </c>
    </row>
    <row r="302" spans="1:40" ht="15.75" x14ac:dyDescent="0.25">
      <c r="A302" s="47" t="s">
        <v>637</v>
      </c>
      <c r="B302" t="str">
        <f>+VLOOKUP(Tabla1[[#This Row],[Cliente]],'[1]Público Privado'!$A$1:$B$325,2,FALSE)</f>
        <v>Público</v>
      </c>
      <c r="C302" s="23">
        <f>+SUMIFS('[1]Facturacion a Fecha'!$T:$T,'[1]Facturacion a Fecha'!$AY:$AY,Tabla1[[#This Row],[Cliente]])</f>
        <v>0</v>
      </c>
      <c r="D302" s="24">
        <f>+SUMIFS('[1]Facturacion a Fecha'!$T:$T,'[1]Facturacion a Fecha'!$AY:$AY,Tabla1[[#This Row],[Cliente]],'[1]Facturacion a Fecha'!$AX:$AX,"Correctivo")</f>
        <v>0</v>
      </c>
      <c r="E302" s="25">
        <f>+COUNTIFS('[1]Facturacion a Fecha'!AY:AY,Tabla1[[#This Row],[Cliente]],'[1]Facturacion a Fecha'!AX:AX,"Correctivo")</f>
        <v>0</v>
      </c>
      <c r="F302" s="25">
        <f>+SUMIFS('[1]Facturacion a Fecha'!$T:$T,'[1]Facturacion a Fecha'!$AY:$AY,Tabla1[[#This Row],[Cliente]],'[1]Facturacion a Fecha'!$AX:$AX,"Preventivo")</f>
        <v>0</v>
      </c>
      <c r="G302" s="25">
        <f>+COUNTIFS('[1]Facturacion a Fecha'!AY:AY,Tabla1[[#This Row],[Cliente]],'[1]Facturacion a Fecha'!AX:AX,"Preventivo")</f>
        <v>0</v>
      </c>
      <c r="H302" s="26">
        <f>+Tabla1[[#This Row],['# Preventivo]]+Tabla1[[#This Row],['# Correctivo]]</f>
        <v>0</v>
      </c>
      <c r="I302" s="23">
        <f>+IFERROR(Tabla1[[#This Row],[Ingreso 2025 - 2026 Correctivo]]/Tabla1[[#This Row],[Ingreso 2025 - 2026 Preventivo]],0)</f>
        <v>0</v>
      </c>
      <c r="J302" s="59">
        <f>+IFERROR(Tabla1[[#This Row],['# Correctivo]]/Tabla1[[#This Row],['# Preventivo]],0)</f>
        <v>0</v>
      </c>
      <c r="K302" s="60">
        <f>+IFERROR(Tabla1[[#This Row],[Ingreso 2025 - 2026 Preventivo]]/(Tabla1[[#This Row],[Ingreso 2025 - 2026 Correctivo]]+Tabla1[[#This Row],[Ingreso 2025 - 2026 Preventivo]]),0)</f>
        <v>0</v>
      </c>
      <c r="L302" s="60">
        <f>1-Tabla1[[#This Row],[% Preventivo $]]</f>
        <v>1</v>
      </c>
      <c r="M302" s="45">
        <f>+COUNTIFS('[1]Base Instalada'!AA:AA,Tabla1[[#This Row],[Cliente]])</f>
        <v>5</v>
      </c>
      <c r="N30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2" s="45">
        <f>+COUNTIFS('[1]Base Instalada'!AA:AA,Tabla1[[#This Row],[Cliente]],'[1]Base Instalada'!Z:Z,"ESTERILIZACIÓN")</f>
        <v>0</v>
      </c>
      <c r="P302" s="45">
        <f>+COUNTIFS('[1]Base Instalada'!AA:AA,Tabla1[[#This Row],[Cliente]],'[1]Base Instalada'!Z:Z,"DENTAL")</f>
        <v>5</v>
      </c>
      <c r="Q302" s="45">
        <f>+COUNTIFS('[1]Base Instalada'!AA:AA,Tabla1[[#This Row],[Cliente]],'[1]Base Instalada'!Z:Z,"ENDOSCOPÍA")</f>
        <v>0</v>
      </c>
      <c r="R302" s="45">
        <f>+COUNTIFS('[1]Base Instalada'!AA:AA,Tabla1[[#This Row],[Cliente]],'[1]Base Instalada'!Z:Z,"INCARDIA")</f>
        <v>0</v>
      </c>
      <c r="S302" s="45">
        <f>+COUNTIFS('[1]Base Instalada'!AA:AA,Tabla1[[#This Row],[Cliente]],'[1]Base Instalada'!Z:Z,"MMQ")</f>
        <v>0</v>
      </c>
      <c r="T302" s="45">
        <f>+COUNTIFS('[1]Base Instalada'!AA:AA,Tabla1[[#This Row],[Cliente]],'[1]Base Instalada'!Z:Z,"REAS")</f>
        <v>0</v>
      </c>
      <c r="U302" s="46">
        <f>+COUNTIFS('[1]Base Instalada'!AA:AA,Tabla1[[#This Row],[Cliente]],'[1]Base Instalada'!Z:Z,"MOBILIARIO CLINICO")</f>
        <v>0</v>
      </c>
      <c r="V302" s="29">
        <f>+COUNTIFS('[1]Base Instalada'!AA:AA,Tabla1[[#This Row],[Cliente]],'[1]Base Instalada'!Z:Z,"OTRO")</f>
        <v>0</v>
      </c>
      <c r="W302" s="61" t="str">
        <f t="shared" si="10"/>
        <v>Región Bío Bío</v>
      </c>
      <c r="X302" s="61" t="str">
        <f t="shared" si="11"/>
        <v>Negrete</v>
      </c>
      <c r="Y302" s="62" t="s">
        <v>638</v>
      </c>
      <c r="Z302" s="33">
        <f>+COUNTIFS('[1]Pipeline TS'!$F:$F,Tabla1[[#This Row],[Cliente]])</f>
        <v>0</v>
      </c>
      <c r="AA302" s="63">
        <f>SUMIFS('[1]Pipeline Esterilización'!M:M,'[1]Pipeline Esterilización'!E:E,Tabla1[[#This Row],[Cliente]],'[1]Pipeline Esterilización'!B:B,"2026",'[1]Pipeline Esterilización'!L:L,"&gt;0")</f>
        <v>0</v>
      </c>
      <c r="AB302" s="33">
        <f>+SUMIFS('[1]Pipeline Endoscopía'!K:K,'[1]Pipeline Endoscopía'!E:E,Tabla1[[#This Row],[Cliente]],'[1]Pipeline Endoscopía'!B:B,"2026",'[1]Pipeline Endoscopía'!J:J,"&gt;0")</f>
        <v>0</v>
      </c>
      <c r="AC302" s="63">
        <f>+SUMIFS('[1]Pipeline Dental'!K:K,'[1]Pipeline Dental'!E:E,Tabla1[[#This Row],[Cliente]],'[1]Pipeline Dental'!B:B,"2026",'[1]Pipeline Dental'!J:J,"&gt;0")</f>
        <v>0</v>
      </c>
      <c r="AD302" s="64">
        <f>+SUMIFS('[1]Pipeline TS'!$AB:$AB,'[1]Pipeline TS'!$F:$F,Tabla1[[#This Row],[Cliente]])</f>
        <v>0</v>
      </c>
      <c r="AE302" s="65">
        <f>+SUM(Tabla1[[#This Row],[Pipeline 2026 $MM ESTERILIZACIÓN]:[Pipeline 2026 $MM TECSERVICE]])</f>
        <v>0</v>
      </c>
      <c r="AF302" s="43">
        <v>-37.585212437576203</v>
      </c>
      <c r="AG302" s="58">
        <v>-72.533387461956096</v>
      </c>
      <c r="AH302" s="57" t="str">
        <f>+IF(Tabla1[[#This Row],['# Contratos Vigentes ]]&gt;0,"SI","NO")</f>
        <v>NO</v>
      </c>
      <c r="AI302" s="66"/>
      <c r="AJ302" s="67">
        <f>+Tabla1[[#This Row],[Ingreso 2025 - 2026]]*Tabla1[[#This Row],[% Costo Serv. Directo]]</f>
        <v>0</v>
      </c>
      <c r="AK302" s="68"/>
      <c r="AL30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0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302" s="42">
        <f>+Tabla1[[#This Row],[Potencial Equipos]]+Tabla1[[#This Row],[Potencial Pipeline]]</f>
        <v>2995500</v>
      </c>
    </row>
    <row r="303" spans="1:40" ht="15.75" x14ac:dyDescent="0.25">
      <c r="A303" s="47" t="s">
        <v>639</v>
      </c>
      <c r="B303" t="str">
        <f>+VLOOKUP(Tabla1[[#This Row],[Cliente]],'[1]Público Privado'!$A$1:$B$325,2,FALSE)</f>
        <v>Público</v>
      </c>
      <c r="C303" s="23">
        <f>+SUMIFS('[1]Facturacion a Fecha'!$T:$T,'[1]Facturacion a Fecha'!$AY:$AY,Tabla1[[#This Row],[Cliente]])</f>
        <v>0</v>
      </c>
      <c r="D303" s="24">
        <f>+SUMIFS('[1]Facturacion a Fecha'!$T:$T,'[1]Facturacion a Fecha'!$AY:$AY,Tabla1[[#This Row],[Cliente]],'[1]Facturacion a Fecha'!$AX:$AX,"Correctivo")</f>
        <v>0</v>
      </c>
      <c r="E303" s="25">
        <f>+COUNTIFS('[1]Facturacion a Fecha'!AY:AY,Tabla1[[#This Row],[Cliente]],'[1]Facturacion a Fecha'!AX:AX,"Correctivo")</f>
        <v>0</v>
      </c>
      <c r="F303" s="25">
        <f>+SUMIFS('[1]Facturacion a Fecha'!$T:$T,'[1]Facturacion a Fecha'!$AY:$AY,Tabla1[[#This Row],[Cliente]],'[1]Facturacion a Fecha'!$AX:$AX,"Preventivo")</f>
        <v>0</v>
      </c>
      <c r="G303" s="25">
        <f>+COUNTIFS('[1]Facturacion a Fecha'!AY:AY,Tabla1[[#This Row],[Cliente]],'[1]Facturacion a Fecha'!AX:AX,"Preventivo")</f>
        <v>0</v>
      </c>
      <c r="H303" s="26">
        <f>+Tabla1[[#This Row],['# Preventivo]]+Tabla1[[#This Row],['# Correctivo]]</f>
        <v>0</v>
      </c>
      <c r="I303" s="23">
        <f>+IFERROR(Tabla1[[#This Row],[Ingreso 2025 - 2026 Correctivo]]/Tabla1[[#This Row],[Ingreso 2025 - 2026 Preventivo]],0)</f>
        <v>0</v>
      </c>
      <c r="J303" s="59">
        <f>+IFERROR(Tabla1[[#This Row],['# Correctivo]]/Tabla1[[#This Row],['# Preventivo]],0)</f>
        <v>0</v>
      </c>
      <c r="K303" s="60">
        <f>+IFERROR(Tabla1[[#This Row],[Ingreso 2025 - 2026 Preventivo]]/(Tabla1[[#This Row],[Ingreso 2025 - 2026 Correctivo]]+Tabla1[[#This Row],[Ingreso 2025 - 2026 Preventivo]]),0)</f>
        <v>0</v>
      </c>
      <c r="L303" s="60">
        <f>1-Tabla1[[#This Row],[% Preventivo $]]</f>
        <v>1</v>
      </c>
      <c r="M303" s="45">
        <f>+COUNTIFS('[1]Base Instalada'!AA:AA,Tabla1[[#This Row],[Cliente]])</f>
        <v>5</v>
      </c>
      <c r="N30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3" s="45">
        <f>+COUNTIFS('[1]Base Instalada'!AA:AA,Tabla1[[#This Row],[Cliente]],'[1]Base Instalada'!Z:Z,"ESTERILIZACIÓN")</f>
        <v>0</v>
      </c>
      <c r="P303" s="45">
        <f>+COUNTIFS('[1]Base Instalada'!AA:AA,Tabla1[[#This Row],[Cliente]],'[1]Base Instalada'!Z:Z,"DENTAL")</f>
        <v>5</v>
      </c>
      <c r="Q303" s="45">
        <f>+COUNTIFS('[1]Base Instalada'!AA:AA,Tabla1[[#This Row],[Cliente]],'[1]Base Instalada'!Z:Z,"ENDOSCOPÍA")</f>
        <v>0</v>
      </c>
      <c r="R303" s="45">
        <f>+COUNTIFS('[1]Base Instalada'!AA:AA,Tabla1[[#This Row],[Cliente]],'[1]Base Instalada'!Z:Z,"INCARDIA")</f>
        <v>0</v>
      </c>
      <c r="S303" s="45">
        <f>+COUNTIFS('[1]Base Instalada'!AA:AA,Tabla1[[#This Row],[Cliente]],'[1]Base Instalada'!Z:Z,"MMQ")</f>
        <v>0</v>
      </c>
      <c r="T303" s="45">
        <f>+COUNTIFS('[1]Base Instalada'!AA:AA,Tabla1[[#This Row],[Cliente]],'[1]Base Instalada'!Z:Z,"REAS")</f>
        <v>0</v>
      </c>
      <c r="U303" s="46">
        <f>+COUNTIFS('[1]Base Instalada'!AA:AA,Tabla1[[#This Row],[Cliente]],'[1]Base Instalada'!Z:Z,"MOBILIARIO CLINICO")</f>
        <v>0</v>
      </c>
      <c r="V303" s="29">
        <f>+COUNTIFS('[1]Base Instalada'!AA:AA,Tabla1[[#This Row],[Cliente]],'[1]Base Instalada'!Z:Z,"OTRO")</f>
        <v>0</v>
      </c>
      <c r="W303" s="61" t="str">
        <f t="shared" si="10"/>
        <v>Región Ñuble</v>
      </c>
      <c r="X303" s="61" t="str">
        <f t="shared" si="11"/>
        <v>Chillán</v>
      </c>
      <c r="Y303" s="62" t="s">
        <v>640</v>
      </c>
      <c r="Z303" s="33">
        <f>+COUNTIFS('[1]Pipeline TS'!$F:$F,Tabla1[[#This Row],[Cliente]])</f>
        <v>0</v>
      </c>
      <c r="AA303" s="63">
        <f>SUMIFS('[1]Pipeline Esterilización'!M:M,'[1]Pipeline Esterilización'!E:E,Tabla1[[#This Row],[Cliente]],'[1]Pipeline Esterilización'!B:B,"2026",'[1]Pipeline Esterilización'!L:L,"&gt;0")</f>
        <v>0</v>
      </c>
      <c r="AB303" s="33">
        <f>+SUMIFS('[1]Pipeline Endoscopía'!K:K,'[1]Pipeline Endoscopía'!E:E,Tabla1[[#This Row],[Cliente]],'[1]Pipeline Endoscopía'!B:B,"2026",'[1]Pipeline Endoscopía'!J:J,"&gt;0")</f>
        <v>0</v>
      </c>
      <c r="AC303" s="63">
        <f>+SUMIFS('[1]Pipeline Dental'!K:K,'[1]Pipeline Dental'!E:E,Tabla1[[#This Row],[Cliente]],'[1]Pipeline Dental'!B:B,"2026",'[1]Pipeline Dental'!J:J,"&gt;0")</f>
        <v>0</v>
      </c>
      <c r="AD303" s="64">
        <f>+SUMIFS('[1]Pipeline TS'!$AB:$AB,'[1]Pipeline TS'!$F:$F,Tabla1[[#This Row],[Cliente]])</f>
        <v>0</v>
      </c>
      <c r="AE303" s="65">
        <f>+SUM(Tabla1[[#This Row],[Pipeline 2026 $MM ESTERILIZACIÓN]:[Pipeline 2026 $MM TECSERVICE]])</f>
        <v>0</v>
      </c>
      <c r="AF303" s="43">
        <v>-34.543304436460602</v>
      </c>
      <c r="AG303" s="58">
        <v>-72.535507712758701</v>
      </c>
      <c r="AH303" s="57" t="str">
        <f>+IF(Tabla1[[#This Row],['# Contratos Vigentes ]]&gt;0,"SI","NO")</f>
        <v>NO</v>
      </c>
      <c r="AI303" s="66"/>
      <c r="AJ303" s="67">
        <f>+Tabla1[[#This Row],[Ingreso 2025 - 2026]]*Tabla1[[#This Row],[% Costo Serv. Directo]]</f>
        <v>0</v>
      </c>
      <c r="AK303" s="68"/>
      <c r="AL30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0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303" s="42">
        <f>+Tabla1[[#This Row],[Potencial Equipos]]+Tabla1[[#This Row],[Potencial Pipeline]]</f>
        <v>2995500</v>
      </c>
    </row>
    <row r="304" spans="1:40" ht="15.75" x14ac:dyDescent="0.25">
      <c r="A304" s="47" t="s">
        <v>641</v>
      </c>
      <c r="B304" t="str">
        <f>+VLOOKUP(Tabla1[[#This Row],[Cliente]],'[1]Público Privado'!$A$1:$B$325,2,FALSE)</f>
        <v>Público</v>
      </c>
      <c r="C304" s="23">
        <f>+SUMIFS('[1]Facturacion a Fecha'!$T:$T,'[1]Facturacion a Fecha'!$AY:$AY,Tabla1[[#This Row],[Cliente]])</f>
        <v>36000</v>
      </c>
      <c r="D304" s="24">
        <f>+SUMIFS('[1]Facturacion a Fecha'!$T:$T,'[1]Facturacion a Fecha'!$AY:$AY,Tabla1[[#This Row],[Cliente]],'[1]Facturacion a Fecha'!$AX:$AX,"Correctivo")</f>
        <v>72000</v>
      </c>
      <c r="E304" s="25">
        <f>+COUNTIFS('[1]Facturacion a Fecha'!AY:AY,Tabla1[[#This Row],[Cliente]],'[1]Facturacion a Fecha'!AX:AX,"Correctivo")</f>
        <v>4</v>
      </c>
      <c r="F304" s="25">
        <f>+SUMIFS('[1]Facturacion a Fecha'!$T:$T,'[1]Facturacion a Fecha'!$AY:$AY,Tabla1[[#This Row],[Cliente]],'[1]Facturacion a Fecha'!$AX:$AX,"Preventivo")</f>
        <v>-36000</v>
      </c>
      <c r="G304" s="25">
        <f>+COUNTIFS('[1]Facturacion a Fecha'!AY:AY,Tabla1[[#This Row],[Cliente]],'[1]Facturacion a Fecha'!AX:AX,"Preventivo")</f>
        <v>1</v>
      </c>
      <c r="H304" s="26">
        <f>+Tabla1[[#This Row],['# Preventivo]]+Tabla1[[#This Row],['# Correctivo]]</f>
        <v>5</v>
      </c>
      <c r="I304" s="23">
        <f>+IFERROR(Tabla1[[#This Row],[Ingreso 2025 - 2026 Correctivo]]/Tabla1[[#This Row],[Ingreso 2025 - 2026 Preventivo]],0)</f>
        <v>-2</v>
      </c>
      <c r="J304" s="59">
        <f>+IFERROR(Tabla1[[#This Row],['# Correctivo]]/Tabla1[[#This Row],['# Preventivo]],0)</f>
        <v>4</v>
      </c>
      <c r="K304" s="60">
        <f>+IFERROR(Tabla1[[#This Row],[Ingreso 2025 - 2026 Preventivo]]/(Tabla1[[#This Row],[Ingreso 2025 - 2026 Correctivo]]+Tabla1[[#This Row],[Ingreso 2025 - 2026 Preventivo]]),0)</f>
        <v>-1</v>
      </c>
      <c r="L304" s="60">
        <f>1-Tabla1[[#This Row],[% Preventivo $]]</f>
        <v>2</v>
      </c>
      <c r="M304" s="45">
        <f>+COUNTIFS('[1]Base Instalada'!AA:AA,Tabla1[[#This Row],[Cliente]])</f>
        <v>8</v>
      </c>
      <c r="N30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4" s="45">
        <f>+COUNTIFS('[1]Base Instalada'!AA:AA,Tabla1[[#This Row],[Cliente]],'[1]Base Instalada'!Z:Z,"ESTERILIZACIÓN")</f>
        <v>3</v>
      </c>
      <c r="P304" s="45">
        <f>+COUNTIFS('[1]Base Instalada'!AA:AA,Tabla1[[#This Row],[Cliente]],'[1]Base Instalada'!Z:Z,"DENTAL")</f>
        <v>4</v>
      </c>
      <c r="Q304" s="45">
        <f>+COUNTIFS('[1]Base Instalada'!AA:AA,Tabla1[[#This Row],[Cliente]],'[1]Base Instalada'!Z:Z,"ENDOSCOPÍA")</f>
        <v>0</v>
      </c>
      <c r="R304" s="45">
        <f>+COUNTIFS('[1]Base Instalada'!AA:AA,Tabla1[[#This Row],[Cliente]],'[1]Base Instalada'!Z:Z,"INCARDIA")</f>
        <v>1</v>
      </c>
      <c r="S304" s="45">
        <f>+COUNTIFS('[1]Base Instalada'!AA:AA,Tabla1[[#This Row],[Cliente]],'[1]Base Instalada'!Z:Z,"MMQ")</f>
        <v>0</v>
      </c>
      <c r="T304" s="45">
        <f>+COUNTIFS('[1]Base Instalada'!AA:AA,Tabla1[[#This Row],[Cliente]],'[1]Base Instalada'!Z:Z,"REAS")</f>
        <v>0</v>
      </c>
      <c r="U304" s="46">
        <f>+COUNTIFS('[1]Base Instalada'!AA:AA,Tabla1[[#This Row],[Cliente]],'[1]Base Instalada'!Z:Z,"MOBILIARIO CLINICO")</f>
        <v>0</v>
      </c>
      <c r="V304" s="29">
        <f>+COUNTIFS('[1]Base Instalada'!AA:AA,Tabla1[[#This Row],[Cliente]],'[1]Base Instalada'!Z:Z,"OTRO")</f>
        <v>0</v>
      </c>
      <c r="W304" s="61" t="str">
        <f t="shared" si="10"/>
        <v>Región Ñuble</v>
      </c>
      <c r="X304" s="61" t="str">
        <f t="shared" si="11"/>
        <v>San Carlos</v>
      </c>
      <c r="Y304" s="62" t="s">
        <v>642</v>
      </c>
      <c r="Z304" s="33">
        <f>+COUNTIFS('[1]Pipeline TS'!$F:$F,Tabla1[[#This Row],[Cliente]])</f>
        <v>0</v>
      </c>
      <c r="AA304" s="63">
        <f>SUMIFS('[1]Pipeline Esterilización'!M:M,'[1]Pipeline Esterilización'!E:E,Tabla1[[#This Row],[Cliente]],'[1]Pipeline Esterilización'!B:B,"2026",'[1]Pipeline Esterilización'!L:L,"&gt;0")</f>
        <v>0</v>
      </c>
      <c r="AB304" s="33">
        <f>+SUMIFS('[1]Pipeline Endoscopía'!K:K,'[1]Pipeline Endoscopía'!E:E,Tabla1[[#This Row],[Cliente]],'[1]Pipeline Endoscopía'!B:B,"2026",'[1]Pipeline Endoscopía'!J:J,"&gt;0")</f>
        <v>250000000</v>
      </c>
      <c r="AC304" s="63">
        <f>+SUMIFS('[1]Pipeline Dental'!K:K,'[1]Pipeline Dental'!E:E,Tabla1[[#This Row],[Cliente]],'[1]Pipeline Dental'!B:B,"2026",'[1]Pipeline Dental'!J:J,"&gt;0")</f>
        <v>0</v>
      </c>
      <c r="AD304" s="64">
        <f>+SUMIFS('[1]Pipeline TS'!$AB:$AB,'[1]Pipeline TS'!$F:$F,Tabla1[[#This Row],[Cliente]])</f>
        <v>0</v>
      </c>
      <c r="AE304" s="65">
        <f>+SUM(Tabla1[[#This Row],[Pipeline 2026 $MM ESTERILIZACIÓN]:[Pipeline 2026 $MM TECSERVICE]])</f>
        <v>250000000</v>
      </c>
      <c r="AF304" s="43">
        <v>-36.186808051644</v>
      </c>
      <c r="AG304" s="58">
        <v>-72.003902316280602</v>
      </c>
      <c r="AH304" s="57" t="str">
        <f>+IF(Tabla1[[#This Row],['# Contratos Vigentes ]]&gt;0,"SI","NO")</f>
        <v>NO</v>
      </c>
      <c r="AI304" s="66"/>
      <c r="AJ304" s="67">
        <f>+Tabla1[[#This Row],[Ingreso 2025 - 2026]]*Tabla1[[#This Row],[% Costo Serv. Directo]]</f>
        <v>0</v>
      </c>
      <c r="AK304" s="68"/>
      <c r="AL30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15000000</v>
      </c>
      <c r="AM30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8387400</v>
      </c>
      <c r="AN304" s="42">
        <f>+Tabla1[[#This Row],[Potencial Equipos]]+Tabla1[[#This Row],[Potencial Pipeline]]</f>
        <v>23387400</v>
      </c>
    </row>
    <row r="305" spans="1:40" ht="15.75" x14ac:dyDescent="0.25">
      <c r="A305" s="47" t="s">
        <v>643</v>
      </c>
      <c r="B305" t="str">
        <f>+VLOOKUP(Tabla1[[#This Row],[Cliente]],'[1]Público Privado'!$A$1:$B$325,2,FALSE)</f>
        <v>Privado</v>
      </c>
      <c r="C305" s="23">
        <f>+SUMIFS('[1]Facturacion a Fecha'!$T:$T,'[1]Facturacion a Fecha'!$AY:$AY,Tabla1[[#This Row],[Cliente]])</f>
        <v>0</v>
      </c>
      <c r="D305" s="24">
        <f>+SUMIFS('[1]Facturacion a Fecha'!$T:$T,'[1]Facturacion a Fecha'!$AY:$AY,Tabla1[[#This Row],[Cliente]],'[1]Facturacion a Fecha'!$AX:$AX,"Correctivo")</f>
        <v>0</v>
      </c>
      <c r="E305" s="25">
        <f>+COUNTIFS('[1]Facturacion a Fecha'!AY:AY,Tabla1[[#This Row],[Cliente]],'[1]Facturacion a Fecha'!AX:AX,"Correctivo")</f>
        <v>0</v>
      </c>
      <c r="F305" s="25">
        <f>+SUMIFS('[1]Facturacion a Fecha'!$T:$T,'[1]Facturacion a Fecha'!$AY:$AY,Tabla1[[#This Row],[Cliente]],'[1]Facturacion a Fecha'!$AX:$AX,"Preventivo")</f>
        <v>0</v>
      </c>
      <c r="G305" s="25">
        <f>+COUNTIFS('[1]Facturacion a Fecha'!AY:AY,Tabla1[[#This Row],[Cliente]],'[1]Facturacion a Fecha'!AX:AX,"Preventivo")</f>
        <v>0</v>
      </c>
      <c r="H305" s="26">
        <f>+Tabla1[[#This Row],['# Preventivo]]+Tabla1[[#This Row],['# Correctivo]]</f>
        <v>0</v>
      </c>
      <c r="I305" s="23">
        <f>+IFERROR(Tabla1[[#This Row],[Ingreso 2025 - 2026 Correctivo]]/Tabla1[[#This Row],[Ingreso 2025 - 2026 Preventivo]],0)</f>
        <v>0</v>
      </c>
      <c r="J305" s="59">
        <f>+IFERROR(Tabla1[[#This Row],['# Correctivo]]/Tabla1[[#This Row],['# Preventivo]],0)</f>
        <v>0</v>
      </c>
      <c r="K305" s="60">
        <f>+IFERROR(Tabla1[[#This Row],[Ingreso 2025 - 2026 Preventivo]]/(Tabla1[[#This Row],[Ingreso 2025 - 2026 Correctivo]]+Tabla1[[#This Row],[Ingreso 2025 - 2026 Preventivo]]),0)</f>
        <v>0</v>
      </c>
      <c r="L305" s="60">
        <f>1-Tabla1[[#This Row],[% Preventivo $]]</f>
        <v>1</v>
      </c>
      <c r="M305" s="45">
        <f>+COUNTIFS('[1]Base Instalada'!AA:AA,Tabla1[[#This Row],[Cliente]])</f>
        <v>9</v>
      </c>
      <c r="N30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5" s="45">
        <f>+COUNTIFS('[1]Base Instalada'!AA:AA,Tabla1[[#This Row],[Cliente]],'[1]Base Instalada'!Z:Z,"ESTERILIZACIÓN")</f>
        <v>0</v>
      </c>
      <c r="P305" s="45">
        <f>+COUNTIFS('[1]Base Instalada'!AA:AA,Tabla1[[#This Row],[Cliente]],'[1]Base Instalada'!Z:Z,"DENTAL")</f>
        <v>9</v>
      </c>
      <c r="Q305" s="45">
        <f>+COUNTIFS('[1]Base Instalada'!AA:AA,Tabla1[[#This Row],[Cliente]],'[1]Base Instalada'!Z:Z,"ENDOSCOPÍA")</f>
        <v>0</v>
      </c>
      <c r="R305" s="45">
        <f>+COUNTIFS('[1]Base Instalada'!AA:AA,Tabla1[[#This Row],[Cliente]],'[1]Base Instalada'!Z:Z,"INCARDIA")</f>
        <v>0</v>
      </c>
      <c r="S305" s="45">
        <f>+COUNTIFS('[1]Base Instalada'!AA:AA,Tabla1[[#This Row],[Cliente]],'[1]Base Instalada'!Z:Z,"MMQ")</f>
        <v>0</v>
      </c>
      <c r="T305" s="45">
        <f>+COUNTIFS('[1]Base Instalada'!AA:AA,Tabla1[[#This Row],[Cliente]],'[1]Base Instalada'!Z:Z,"REAS")</f>
        <v>0</v>
      </c>
      <c r="U305" s="46">
        <f>+COUNTIFS('[1]Base Instalada'!AA:AA,Tabla1[[#This Row],[Cliente]],'[1]Base Instalada'!Z:Z,"MOBILIARIO CLINICO")</f>
        <v>0</v>
      </c>
      <c r="V305" s="29">
        <f>+COUNTIFS('[1]Base Instalada'!AA:AA,Tabla1[[#This Row],[Cliente]],'[1]Base Instalada'!Z:Z,"OTRO")</f>
        <v>0</v>
      </c>
      <c r="W305" s="61" t="str">
        <f t="shared" si="10"/>
        <v>Región Metropolitana</v>
      </c>
      <c r="X305" s="61" t="str">
        <f t="shared" si="11"/>
        <v>Quilicura</v>
      </c>
      <c r="Y305" s="62" t="s">
        <v>644</v>
      </c>
      <c r="Z305" s="33">
        <f>+COUNTIFS('[1]Pipeline TS'!$F:$F,Tabla1[[#This Row],[Cliente]])</f>
        <v>0</v>
      </c>
      <c r="AA305" s="63">
        <f>SUMIFS('[1]Pipeline Esterilización'!M:M,'[1]Pipeline Esterilización'!E:E,Tabla1[[#This Row],[Cliente]],'[1]Pipeline Esterilización'!B:B,"2026",'[1]Pipeline Esterilización'!L:L,"&gt;0")</f>
        <v>0</v>
      </c>
      <c r="AB305" s="33">
        <f>+SUMIFS('[1]Pipeline Endoscopía'!K:K,'[1]Pipeline Endoscopía'!E:E,Tabla1[[#This Row],[Cliente]],'[1]Pipeline Endoscopía'!B:B,"2026",'[1]Pipeline Endoscopía'!J:J,"&gt;0")</f>
        <v>0</v>
      </c>
      <c r="AC305" s="63">
        <f>+SUMIFS('[1]Pipeline Dental'!K:K,'[1]Pipeline Dental'!E:E,Tabla1[[#This Row],[Cliente]],'[1]Pipeline Dental'!B:B,"2026",'[1]Pipeline Dental'!J:J,"&gt;0")</f>
        <v>15000000</v>
      </c>
      <c r="AD305" s="64">
        <f>+SUMIFS('[1]Pipeline TS'!$AB:$AB,'[1]Pipeline TS'!$F:$F,Tabla1[[#This Row],[Cliente]])</f>
        <v>0</v>
      </c>
      <c r="AE305" s="65">
        <f>+SUM(Tabla1[[#This Row],[Pipeline 2026 $MM ESTERILIZACIÓN]:[Pipeline 2026 $MM TECSERVICE]])</f>
        <v>15000000</v>
      </c>
      <c r="AF305" s="43">
        <v>-33.339659873541798</v>
      </c>
      <c r="AG305" s="58">
        <v>-70.712786604531203</v>
      </c>
      <c r="AH305" s="57" t="str">
        <f>+IF(Tabla1[[#This Row],['# Contratos Vigentes ]]&gt;0,"SI","NO")</f>
        <v>NO</v>
      </c>
      <c r="AI305" s="66"/>
      <c r="AJ305" s="67">
        <f>+Tabla1[[#This Row],[Ingreso 2025 - 2026]]*Tabla1[[#This Row],[% Costo Serv. Directo]]</f>
        <v>0</v>
      </c>
      <c r="AK305" s="68"/>
      <c r="AL30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900000</v>
      </c>
      <c r="AM30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5391900</v>
      </c>
      <c r="AN305" s="42">
        <f>+Tabla1[[#This Row],[Potencial Equipos]]+Tabla1[[#This Row],[Potencial Pipeline]]</f>
        <v>6291900</v>
      </c>
    </row>
    <row r="306" spans="1:40" ht="15.75" x14ac:dyDescent="0.25">
      <c r="A306" s="47" t="s">
        <v>645</v>
      </c>
      <c r="B306" t="str">
        <f>+VLOOKUP(Tabla1[[#This Row],[Cliente]],'[1]Público Privado'!$A$1:$B$325,2,FALSE)</f>
        <v>Público</v>
      </c>
      <c r="C306" s="23">
        <f>+SUMIFS('[1]Facturacion a Fecha'!$T:$T,'[1]Facturacion a Fecha'!$AY:$AY,Tabla1[[#This Row],[Cliente]])</f>
        <v>0</v>
      </c>
      <c r="D306" s="24">
        <f>+SUMIFS('[1]Facturacion a Fecha'!$T:$T,'[1]Facturacion a Fecha'!$AY:$AY,Tabla1[[#This Row],[Cliente]],'[1]Facturacion a Fecha'!$AX:$AX,"Correctivo")</f>
        <v>0</v>
      </c>
      <c r="E306" s="25">
        <f>+COUNTIFS('[1]Facturacion a Fecha'!AY:AY,Tabla1[[#This Row],[Cliente]],'[1]Facturacion a Fecha'!AX:AX,"Correctivo")</f>
        <v>0</v>
      </c>
      <c r="F306" s="25">
        <f>+SUMIFS('[1]Facturacion a Fecha'!$T:$T,'[1]Facturacion a Fecha'!$AY:$AY,Tabla1[[#This Row],[Cliente]],'[1]Facturacion a Fecha'!$AX:$AX,"Preventivo")</f>
        <v>0</v>
      </c>
      <c r="G306" s="25">
        <f>+COUNTIFS('[1]Facturacion a Fecha'!AY:AY,Tabla1[[#This Row],[Cliente]],'[1]Facturacion a Fecha'!AX:AX,"Preventivo")</f>
        <v>0</v>
      </c>
      <c r="H306" s="26">
        <f>+Tabla1[[#This Row],['# Preventivo]]+Tabla1[[#This Row],['# Correctivo]]</f>
        <v>0</v>
      </c>
      <c r="I306" s="23">
        <f>+IFERROR(Tabla1[[#This Row],[Ingreso 2025 - 2026 Correctivo]]/Tabla1[[#This Row],[Ingreso 2025 - 2026 Preventivo]],0)</f>
        <v>0</v>
      </c>
      <c r="J306" s="59">
        <f>+IFERROR(Tabla1[[#This Row],['# Correctivo]]/Tabla1[[#This Row],['# Preventivo]],0)</f>
        <v>0</v>
      </c>
      <c r="K306" s="60">
        <f>+IFERROR(Tabla1[[#This Row],[Ingreso 2025 - 2026 Preventivo]]/(Tabla1[[#This Row],[Ingreso 2025 - 2026 Correctivo]]+Tabla1[[#This Row],[Ingreso 2025 - 2026 Preventivo]]),0)</f>
        <v>0</v>
      </c>
      <c r="L306" s="60">
        <f>1-Tabla1[[#This Row],[% Preventivo $]]</f>
        <v>1</v>
      </c>
      <c r="M306" s="45">
        <f>+COUNTIFS('[1]Base Instalada'!AA:AA,Tabla1[[#This Row],[Cliente]])</f>
        <v>24</v>
      </c>
      <c r="N30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6" s="45">
        <f>+COUNTIFS('[1]Base Instalada'!AA:AA,Tabla1[[#This Row],[Cliente]],'[1]Base Instalada'!Z:Z,"ESTERILIZACIÓN")</f>
        <v>0</v>
      </c>
      <c r="P306" s="45">
        <f>+COUNTIFS('[1]Base Instalada'!AA:AA,Tabla1[[#This Row],[Cliente]],'[1]Base Instalada'!Z:Z,"DENTAL")</f>
        <v>14</v>
      </c>
      <c r="Q306" s="45">
        <f>+COUNTIFS('[1]Base Instalada'!AA:AA,Tabla1[[#This Row],[Cliente]],'[1]Base Instalada'!Z:Z,"ENDOSCOPÍA")</f>
        <v>0</v>
      </c>
      <c r="R306" s="45">
        <f>+COUNTIFS('[1]Base Instalada'!AA:AA,Tabla1[[#This Row],[Cliente]],'[1]Base Instalada'!Z:Z,"INCARDIA")</f>
        <v>10</v>
      </c>
      <c r="S306" s="45">
        <f>+COUNTIFS('[1]Base Instalada'!AA:AA,Tabla1[[#This Row],[Cliente]],'[1]Base Instalada'!Z:Z,"MMQ")</f>
        <v>0</v>
      </c>
      <c r="T306" s="45">
        <f>+COUNTIFS('[1]Base Instalada'!AA:AA,Tabla1[[#This Row],[Cliente]],'[1]Base Instalada'!Z:Z,"REAS")</f>
        <v>0</v>
      </c>
      <c r="U306" s="46">
        <f>+COUNTIFS('[1]Base Instalada'!AA:AA,Tabla1[[#This Row],[Cliente]],'[1]Base Instalada'!Z:Z,"MOBILIARIO CLINICO")</f>
        <v>0</v>
      </c>
      <c r="V306" s="29">
        <f>+COUNTIFS('[1]Base Instalada'!AA:AA,Tabla1[[#This Row],[Cliente]],'[1]Base Instalada'!Z:Z,"OTRO")</f>
        <v>0</v>
      </c>
      <c r="W306" s="61" t="str">
        <f t="shared" si="10"/>
        <v>Región Metropolitana</v>
      </c>
      <c r="X306" s="61" t="str">
        <f t="shared" si="11"/>
        <v>Santiago</v>
      </c>
      <c r="Y306" s="62" t="s">
        <v>646</v>
      </c>
      <c r="Z306" s="33">
        <f>+COUNTIFS('[1]Pipeline TS'!$F:$F,Tabla1[[#This Row],[Cliente]])</f>
        <v>0</v>
      </c>
      <c r="AA306" s="63">
        <f>SUMIFS('[1]Pipeline Esterilización'!M:M,'[1]Pipeline Esterilización'!E:E,Tabla1[[#This Row],[Cliente]],'[1]Pipeline Esterilización'!B:B,"2026",'[1]Pipeline Esterilización'!L:L,"&gt;0")</f>
        <v>0</v>
      </c>
      <c r="AB306" s="33">
        <f>+SUMIFS('[1]Pipeline Endoscopía'!K:K,'[1]Pipeline Endoscopía'!E:E,Tabla1[[#This Row],[Cliente]],'[1]Pipeline Endoscopía'!B:B,"2026",'[1]Pipeline Endoscopía'!J:J,"&gt;0")</f>
        <v>0</v>
      </c>
      <c r="AC306" s="63">
        <f>+SUMIFS('[1]Pipeline Dental'!K:K,'[1]Pipeline Dental'!E:E,Tabla1[[#This Row],[Cliente]],'[1]Pipeline Dental'!B:B,"2026",'[1]Pipeline Dental'!J:J,"&gt;0")</f>
        <v>0</v>
      </c>
      <c r="AD306" s="64">
        <f>+SUMIFS('[1]Pipeline TS'!$AB:$AB,'[1]Pipeline TS'!$F:$F,Tabla1[[#This Row],[Cliente]])</f>
        <v>0</v>
      </c>
      <c r="AE306" s="65">
        <f>+SUM(Tabla1[[#This Row],[Pipeline 2026 $MM ESTERILIZACIÓN]:[Pipeline 2026 $MM TECSERVICE]])</f>
        <v>0</v>
      </c>
      <c r="AF306" s="43">
        <v>-33.437514046754401</v>
      </c>
      <c r="AG306" s="58">
        <v>-70.643127319867205</v>
      </c>
      <c r="AH306" s="57" t="str">
        <f>+IF(Tabla1[[#This Row],['# Contratos Vigentes ]]&gt;0,"SI","NO")</f>
        <v>NO</v>
      </c>
      <c r="AI306" s="66"/>
      <c r="AJ306" s="67">
        <f>+Tabla1[[#This Row],[Ingreso 2025 - 2026]]*Tabla1[[#This Row],[% Costo Serv. Directo]]</f>
        <v>0</v>
      </c>
      <c r="AK306" s="68"/>
      <c r="AL30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0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8387400</v>
      </c>
      <c r="AN306" s="42">
        <f>+Tabla1[[#This Row],[Potencial Equipos]]+Tabla1[[#This Row],[Potencial Pipeline]]</f>
        <v>8387400</v>
      </c>
    </row>
    <row r="307" spans="1:40" ht="15.75" x14ac:dyDescent="0.25">
      <c r="A307" s="47" t="s">
        <v>647</v>
      </c>
      <c r="B307" t="str">
        <f>+VLOOKUP(Tabla1[[#This Row],[Cliente]],'[1]Público Privado'!$A$1:$B$325,2,FALSE)</f>
        <v>Privado</v>
      </c>
      <c r="C307" s="23">
        <f>+SUMIFS('[1]Facturacion a Fecha'!$T:$T,'[1]Facturacion a Fecha'!$AY:$AY,Tabla1[[#This Row],[Cliente]])</f>
        <v>0</v>
      </c>
      <c r="D307" s="24">
        <f>+SUMIFS('[1]Facturacion a Fecha'!$T:$T,'[1]Facturacion a Fecha'!$AY:$AY,Tabla1[[#This Row],[Cliente]],'[1]Facturacion a Fecha'!$AX:$AX,"Correctivo")</f>
        <v>0</v>
      </c>
      <c r="E307" s="25">
        <f>+COUNTIFS('[1]Facturacion a Fecha'!AY:AY,Tabla1[[#This Row],[Cliente]],'[1]Facturacion a Fecha'!AX:AX,"Correctivo")</f>
        <v>0</v>
      </c>
      <c r="F307" s="25">
        <f>+SUMIFS('[1]Facturacion a Fecha'!$T:$T,'[1]Facturacion a Fecha'!$AY:$AY,Tabla1[[#This Row],[Cliente]],'[1]Facturacion a Fecha'!$AX:$AX,"Preventivo")</f>
        <v>0</v>
      </c>
      <c r="G307" s="25">
        <f>+COUNTIFS('[1]Facturacion a Fecha'!AY:AY,Tabla1[[#This Row],[Cliente]],'[1]Facturacion a Fecha'!AX:AX,"Preventivo")</f>
        <v>0</v>
      </c>
      <c r="H307" s="26">
        <f>+Tabla1[[#This Row],['# Preventivo]]+Tabla1[[#This Row],['# Correctivo]]</f>
        <v>0</v>
      </c>
      <c r="I307" s="23">
        <f>+IFERROR(Tabla1[[#This Row],[Ingreso 2025 - 2026 Correctivo]]/Tabla1[[#This Row],[Ingreso 2025 - 2026 Preventivo]],0)</f>
        <v>0</v>
      </c>
      <c r="J307" s="59">
        <f>+IFERROR(Tabla1[[#This Row],['# Correctivo]]/Tabla1[[#This Row],['# Preventivo]],0)</f>
        <v>0</v>
      </c>
      <c r="K307" s="60">
        <f>+IFERROR(Tabla1[[#This Row],[Ingreso 2025 - 2026 Preventivo]]/(Tabla1[[#This Row],[Ingreso 2025 - 2026 Correctivo]]+Tabla1[[#This Row],[Ingreso 2025 - 2026 Preventivo]]),0)</f>
        <v>0</v>
      </c>
      <c r="L307" s="60">
        <f>1-Tabla1[[#This Row],[% Preventivo $]]</f>
        <v>1</v>
      </c>
      <c r="M307" s="45">
        <f>+COUNTIFS('[1]Base Instalada'!AA:AA,Tabla1[[#This Row],[Cliente]])</f>
        <v>7</v>
      </c>
      <c r="N30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7" s="45">
        <f>+COUNTIFS('[1]Base Instalada'!AA:AA,Tabla1[[#This Row],[Cliente]],'[1]Base Instalada'!Z:Z,"ESTERILIZACIÓN")</f>
        <v>0</v>
      </c>
      <c r="P307" s="45">
        <f>+COUNTIFS('[1]Base Instalada'!AA:AA,Tabla1[[#This Row],[Cliente]],'[1]Base Instalada'!Z:Z,"DENTAL")</f>
        <v>7</v>
      </c>
      <c r="Q307" s="45">
        <f>+COUNTIFS('[1]Base Instalada'!AA:AA,Tabla1[[#This Row],[Cliente]],'[1]Base Instalada'!Z:Z,"ENDOSCOPÍA")</f>
        <v>0</v>
      </c>
      <c r="R307" s="45">
        <f>+COUNTIFS('[1]Base Instalada'!AA:AA,Tabla1[[#This Row],[Cliente]],'[1]Base Instalada'!Z:Z,"INCARDIA")</f>
        <v>0</v>
      </c>
      <c r="S307" s="45">
        <f>+COUNTIFS('[1]Base Instalada'!AA:AA,Tabla1[[#This Row],[Cliente]],'[1]Base Instalada'!Z:Z,"MMQ")</f>
        <v>0</v>
      </c>
      <c r="T307" s="45">
        <f>+COUNTIFS('[1]Base Instalada'!AA:AA,Tabla1[[#This Row],[Cliente]],'[1]Base Instalada'!Z:Z,"REAS")</f>
        <v>0</v>
      </c>
      <c r="U307" s="46">
        <f>+COUNTIFS('[1]Base Instalada'!AA:AA,Tabla1[[#This Row],[Cliente]],'[1]Base Instalada'!Z:Z,"MOBILIARIO CLINICO")</f>
        <v>0</v>
      </c>
      <c r="V307" s="29">
        <f>+COUNTIFS('[1]Base Instalada'!AA:AA,Tabla1[[#This Row],[Cliente]],'[1]Base Instalada'!Z:Z,"OTRO")</f>
        <v>0</v>
      </c>
      <c r="W307" s="61" t="str">
        <f t="shared" si="10"/>
        <v>Región Metropolitana</v>
      </c>
      <c r="X307" s="61" t="str">
        <f t="shared" si="11"/>
        <v>Las Condes</v>
      </c>
      <c r="Y307" s="62" t="s">
        <v>648</v>
      </c>
      <c r="Z307" s="33">
        <f>+COUNTIFS('[1]Pipeline TS'!$F:$F,Tabla1[[#This Row],[Cliente]])</f>
        <v>0</v>
      </c>
      <c r="AA307" s="63">
        <f>SUMIFS('[1]Pipeline Esterilización'!M:M,'[1]Pipeline Esterilización'!E:E,Tabla1[[#This Row],[Cliente]],'[1]Pipeline Esterilización'!B:B,"2026",'[1]Pipeline Esterilización'!L:L,"&gt;0")</f>
        <v>0</v>
      </c>
      <c r="AB307" s="33">
        <f>+SUMIFS('[1]Pipeline Endoscopía'!K:K,'[1]Pipeline Endoscopía'!E:E,Tabla1[[#This Row],[Cliente]],'[1]Pipeline Endoscopía'!B:B,"2026",'[1]Pipeline Endoscopía'!J:J,"&gt;0")</f>
        <v>0</v>
      </c>
      <c r="AC307" s="63">
        <f>+SUMIFS('[1]Pipeline Dental'!K:K,'[1]Pipeline Dental'!E:E,Tabla1[[#This Row],[Cliente]],'[1]Pipeline Dental'!B:B,"2026",'[1]Pipeline Dental'!J:J,"&gt;0")</f>
        <v>0</v>
      </c>
      <c r="AD307" s="64">
        <f>+SUMIFS('[1]Pipeline TS'!$AB:$AB,'[1]Pipeline TS'!$F:$F,Tabla1[[#This Row],[Cliente]])</f>
        <v>0</v>
      </c>
      <c r="AE307" s="65">
        <f>+SUM(Tabla1[[#This Row],[Pipeline 2026 $MM ESTERILIZACIÓN]:[Pipeline 2026 $MM TECSERVICE]])</f>
        <v>0</v>
      </c>
      <c r="AF307" s="43">
        <v>-33.385006079737899</v>
      </c>
      <c r="AG307" s="58">
        <v>-70.530855100922693</v>
      </c>
      <c r="AH307" s="57" t="str">
        <f>+IF(Tabla1[[#This Row],['# Contratos Vigentes ]]&gt;0,"SI","NO")</f>
        <v>NO</v>
      </c>
      <c r="AI307" s="66"/>
      <c r="AJ307" s="67">
        <f>+Tabla1[[#This Row],[Ingreso 2025 - 2026]]*Tabla1[[#This Row],[% Costo Serv. Directo]]</f>
        <v>0</v>
      </c>
      <c r="AK307" s="68"/>
      <c r="AL30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0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307" s="42">
        <f>+Tabla1[[#This Row],[Potencial Equipos]]+Tabla1[[#This Row],[Potencial Pipeline]]</f>
        <v>4193700</v>
      </c>
    </row>
    <row r="308" spans="1:40" ht="15.75" x14ac:dyDescent="0.25">
      <c r="A308" s="47" t="s">
        <v>649</v>
      </c>
      <c r="B308" t="str">
        <f>+VLOOKUP(Tabla1[[#This Row],[Cliente]],'[1]Público Privado'!$A$1:$B$325,2,FALSE)</f>
        <v>Privado</v>
      </c>
      <c r="C308" s="23">
        <f>+SUMIFS('[1]Facturacion a Fecha'!$T:$T,'[1]Facturacion a Fecha'!$AY:$AY,Tabla1[[#This Row],[Cliente]])</f>
        <v>0</v>
      </c>
      <c r="D308" s="24">
        <f>+SUMIFS('[1]Facturacion a Fecha'!$T:$T,'[1]Facturacion a Fecha'!$AY:$AY,Tabla1[[#This Row],[Cliente]],'[1]Facturacion a Fecha'!$AX:$AX,"Correctivo")</f>
        <v>0</v>
      </c>
      <c r="E308" s="25">
        <f>+COUNTIFS('[1]Facturacion a Fecha'!AY:AY,Tabla1[[#This Row],[Cliente]],'[1]Facturacion a Fecha'!AX:AX,"Correctivo")</f>
        <v>0</v>
      </c>
      <c r="F308" s="25">
        <f>+SUMIFS('[1]Facturacion a Fecha'!$T:$T,'[1]Facturacion a Fecha'!$AY:$AY,Tabla1[[#This Row],[Cliente]],'[1]Facturacion a Fecha'!$AX:$AX,"Preventivo")</f>
        <v>0</v>
      </c>
      <c r="G308" s="25">
        <f>+COUNTIFS('[1]Facturacion a Fecha'!AY:AY,Tabla1[[#This Row],[Cliente]],'[1]Facturacion a Fecha'!AX:AX,"Preventivo")</f>
        <v>0</v>
      </c>
      <c r="H308" s="26">
        <f>+Tabla1[[#This Row],['# Preventivo]]+Tabla1[[#This Row],['# Correctivo]]</f>
        <v>0</v>
      </c>
      <c r="I308" s="23">
        <f>+IFERROR(Tabla1[[#This Row],[Ingreso 2025 - 2026 Correctivo]]/Tabla1[[#This Row],[Ingreso 2025 - 2026 Preventivo]],0)</f>
        <v>0</v>
      </c>
      <c r="J308" s="59">
        <f>+IFERROR(Tabla1[[#This Row],['# Correctivo]]/Tabla1[[#This Row],['# Preventivo]],0)</f>
        <v>0</v>
      </c>
      <c r="K308" s="60">
        <f>+IFERROR(Tabla1[[#This Row],[Ingreso 2025 - 2026 Preventivo]]/(Tabla1[[#This Row],[Ingreso 2025 - 2026 Correctivo]]+Tabla1[[#This Row],[Ingreso 2025 - 2026 Preventivo]]),0)</f>
        <v>0</v>
      </c>
      <c r="L308" s="60">
        <f>1-Tabla1[[#This Row],[% Preventivo $]]</f>
        <v>1</v>
      </c>
      <c r="M308" s="45">
        <f>+COUNTIFS('[1]Base Instalada'!AA:AA,Tabla1[[#This Row],[Cliente]])</f>
        <v>6</v>
      </c>
      <c r="N30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8" s="45">
        <f>+COUNTIFS('[1]Base Instalada'!AA:AA,Tabla1[[#This Row],[Cliente]],'[1]Base Instalada'!Z:Z,"ESTERILIZACIÓN")</f>
        <v>0</v>
      </c>
      <c r="P308" s="45">
        <f>+COUNTIFS('[1]Base Instalada'!AA:AA,Tabla1[[#This Row],[Cliente]],'[1]Base Instalada'!Z:Z,"DENTAL")</f>
        <v>0</v>
      </c>
      <c r="Q308" s="45">
        <f>+COUNTIFS('[1]Base Instalada'!AA:AA,Tabla1[[#This Row],[Cliente]],'[1]Base Instalada'!Z:Z,"ENDOSCOPÍA")</f>
        <v>2</v>
      </c>
      <c r="R308" s="45">
        <f>+COUNTIFS('[1]Base Instalada'!AA:AA,Tabla1[[#This Row],[Cliente]],'[1]Base Instalada'!Z:Z,"INCARDIA")</f>
        <v>4</v>
      </c>
      <c r="S308" s="45">
        <f>+COUNTIFS('[1]Base Instalada'!AA:AA,Tabla1[[#This Row],[Cliente]],'[1]Base Instalada'!Z:Z,"MMQ")</f>
        <v>0</v>
      </c>
      <c r="T308" s="45">
        <f>+COUNTIFS('[1]Base Instalada'!AA:AA,Tabla1[[#This Row],[Cliente]],'[1]Base Instalada'!Z:Z,"REAS")</f>
        <v>0</v>
      </c>
      <c r="U308" s="46">
        <f>+COUNTIFS('[1]Base Instalada'!AA:AA,Tabla1[[#This Row],[Cliente]],'[1]Base Instalada'!Z:Z,"MOBILIARIO CLINICO")</f>
        <v>0</v>
      </c>
      <c r="V308" s="29">
        <f>+COUNTIFS('[1]Base Instalada'!AA:AA,Tabla1[[#This Row],[Cliente]],'[1]Base Instalada'!Z:Z,"OTRO")</f>
        <v>0</v>
      </c>
      <c r="W308" s="61" t="str">
        <f t="shared" si="10"/>
        <v>Región Metropolitana</v>
      </c>
      <c r="X308" s="61" t="str">
        <f t="shared" si="11"/>
        <v>Buin</v>
      </c>
      <c r="Y308" s="62" t="s">
        <v>650</v>
      </c>
      <c r="Z308" s="33">
        <f>+COUNTIFS('[1]Pipeline TS'!$F:$F,Tabla1[[#This Row],[Cliente]])</f>
        <v>0</v>
      </c>
      <c r="AA308" s="63">
        <f>SUMIFS('[1]Pipeline Esterilización'!M:M,'[1]Pipeline Esterilización'!E:E,Tabla1[[#This Row],[Cliente]],'[1]Pipeline Esterilización'!B:B,"2026",'[1]Pipeline Esterilización'!L:L,"&gt;0")</f>
        <v>0</v>
      </c>
      <c r="AB308" s="33">
        <f>+SUMIFS('[1]Pipeline Endoscopía'!K:K,'[1]Pipeline Endoscopía'!E:E,Tabla1[[#This Row],[Cliente]],'[1]Pipeline Endoscopía'!B:B,"2026",'[1]Pipeline Endoscopía'!J:J,"&gt;0")</f>
        <v>0</v>
      </c>
      <c r="AC308" s="63">
        <f>+SUMIFS('[1]Pipeline Dental'!K:K,'[1]Pipeline Dental'!E:E,Tabla1[[#This Row],[Cliente]],'[1]Pipeline Dental'!B:B,"2026",'[1]Pipeline Dental'!J:J,"&gt;0")</f>
        <v>0</v>
      </c>
      <c r="AD308" s="64">
        <f>+SUMIFS('[1]Pipeline TS'!$AB:$AB,'[1]Pipeline TS'!$F:$F,Tabla1[[#This Row],[Cliente]])</f>
        <v>0</v>
      </c>
      <c r="AE308" s="65">
        <f>+SUM(Tabla1[[#This Row],[Pipeline 2026 $MM ESTERILIZACIÓN]:[Pipeline 2026 $MM TECSERVICE]])</f>
        <v>0</v>
      </c>
      <c r="AF308" s="43">
        <v>-33.733109356987597</v>
      </c>
      <c r="AG308" s="58">
        <v>-70.744345560332704</v>
      </c>
      <c r="AH308" s="57" t="str">
        <f>+IF(Tabla1[[#This Row],['# Contratos Vigentes ]]&gt;0,"SI","NO")</f>
        <v>NO</v>
      </c>
      <c r="AI308" s="66"/>
      <c r="AJ308" s="67">
        <f>+Tabla1[[#This Row],[Ingreso 2025 - 2026]]*Tabla1[[#This Row],[% Costo Serv. Directo]]</f>
        <v>0</v>
      </c>
      <c r="AK308" s="68"/>
      <c r="AL30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0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1720492.3076923077</v>
      </c>
      <c r="AN308" s="42">
        <f>+Tabla1[[#This Row],[Potencial Equipos]]+Tabla1[[#This Row],[Potencial Pipeline]]</f>
        <v>1720492.3076923077</v>
      </c>
    </row>
    <row r="309" spans="1:40" ht="15.75" x14ac:dyDescent="0.25">
      <c r="A309" s="47" t="s">
        <v>651</v>
      </c>
      <c r="B309" t="str">
        <f>+VLOOKUP(Tabla1[[#This Row],[Cliente]],'[1]Público Privado'!$A$1:$B$325,2,FALSE)</f>
        <v>Privado</v>
      </c>
      <c r="C309" s="23">
        <f>+SUMIFS('[1]Facturacion a Fecha'!$T:$T,'[1]Facturacion a Fecha'!$AY:$AY,Tabla1[[#This Row],[Cliente]])</f>
        <v>0</v>
      </c>
      <c r="D309" s="24">
        <f>+SUMIFS('[1]Facturacion a Fecha'!$T:$T,'[1]Facturacion a Fecha'!$AY:$AY,Tabla1[[#This Row],[Cliente]],'[1]Facturacion a Fecha'!$AX:$AX,"Correctivo")</f>
        <v>0</v>
      </c>
      <c r="E309" s="25">
        <f>+COUNTIFS('[1]Facturacion a Fecha'!AY:AY,Tabla1[[#This Row],[Cliente]],'[1]Facturacion a Fecha'!AX:AX,"Correctivo")</f>
        <v>0</v>
      </c>
      <c r="F309" s="25">
        <f>+SUMIFS('[1]Facturacion a Fecha'!$T:$T,'[1]Facturacion a Fecha'!$AY:$AY,Tabla1[[#This Row],[Cliente]],'[1]Facturacion a Fecha'!$AX:$AX,"Preventivo")</f>
        <v>0</v>
      </c>
      <c r="G309" s="25">
        <f>+COUNTIFS('[1]Facturacion a Fecha'!AY:AY,Tabla1[[#This Row],[Cliente]],'[1]Facturacion a Fecha'!AX:AX,"Preventivo")</f>
        <v>0</v>
      </c>
      <c r="H309" s="26">
        <f>+Tabla1[[#This Row],['# Preventivo]]+Tabla1[[#This Row],['# Correctivo]]</f>
        <v>0</v>
      </c>
      <c r="I309" s="23">
        <f>+IFERROR(Tabla1[[#This Row],[Ingreso 2025 - 2026 Correctivo]]/Tabla1[[#This Row],[Ingreso 2025 - 2026 Preventivo]],0)</f>
        <v>0</v>
      </c>
      <c r="J309" s="59">
        <f>+IFERROR(Tabla1[[#This Row],['# Correctivo]]/Tabla1[[#This Row],['# Preventivo]],0)</f>
        <v>0</v>
      </c>
      <c r="K309" s="60">
        <f>+IFERROR(Tabla1[[#This Row],[Ingreso 2025 - 2026 Preventivo]]/(Tabla1[[#This Row],[Ingreso 2025 - 2026 Correctivo]]+Tabla1[[#This Row],[Ingreso 2025 - 2026 Preventivo]]),0)</f>
        <v>0</v>
      </c>
      <c r="L309" s="60">
        <f>1-Tabla1[[#This Row],[% Preventivo $]]</f>
        <v>1</v>
      </c>
      <c r="M309" s="45">
        <f>+COUNTIFS('[1]Base Instalada'!AA:AA,Tabla1[[#This Row],[Cliente]])</f>
        <v>7</v>
      </c>
      <c r="N30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09" s="45">
        <f>+COUNTIFS('[1]Base Instalada'!AA:AA,Tabla1[[#This Row],[Cliente]],'[1]Base Instalada'!Z:Z,"ESTERILIZACIÓN")</f>
        <v>0</v>
      </c>
      <c r="P309" s="45">
        <f>+COUNTIFS('[1]Base Instalada'!AA:AA,Tabla1[[#This Row],[Cliente]],'[1]Base Instalada'!Z:Z,"DENTAL")</f>
        <v>7</v>
      </c>
      <c r="Q309" s="45">
        <f>+COUNTIFS('[1]Base Instalada'!AA:AA,Tabla1[[#This Row],[Cliente]],'[1]Base Instalada'!Z:Z,"ENDOSCOPÍA")</f>
        <v>0</v>
      </c>
      <c r="R309" s="45">
        <f>+COUNTIFS('[1]Base Instalada'!AA:AA,Tabla1[[#This Row],[Cliente]],'[1]Base Instalada'!Z:Z,"INCARDIA")</f>
        <v>0</v>
      </c>
      <c r="S309" s="45">
        <f>+COUNTIFS('[1]Base Instalada'!AA:AA,Tabla1[[#This Row],[Cliente]],'[1]Base Instalada'!Z:Z,"MMQ")</f>
        <v>0</v>
      </c>
      <c r="T309" s="45">
        <f>+COUNTIFS('[1]Base Instalada'!AA:AA,Tabla1[[#This Row],[Cliente]],'[1]Base Instalada'!Z:Z,"REAS")</f>
        <v>0</v>
      </c>
      <c r="U309" s="46">
        <f>+COUNTIFS('[1]Base Instalada'!AA:AA,Tabla1[[#This Row],[Cliente]],'[1]Base Instalada'!Z:Z,"MOBILIARIO CLINICO")</f>
        <v>0</v>
      </c>
      <c r="V309" s="29">
        <f>+COUNTIFS('[1]Base Instalada'!AA:AA,Tabla1[[#This Row],[Cliente]],'[1]Base Instalada'!Z:Z,"OTRO")</f>
        <v>0</v>
      </c>
      <c r="W309" s="61" t="str">
        <f t="shared" si="10"/>
        <v>Región Metropolitana</v>
      </c>
      <c r="X309" s="61" t="str">
        <f t="shared" si="11"/>
        <v>San Miguel</v>
      </c>
      <c r="Y309" s="62" t="s">
        <v>652</v>
      </c>
      <c r="Z309" s="33">
        <f>+COUNTIFS('[1]Pipeline TS'!$F:$F,Tabla1[[#This Row],[Cliente]])</f>
        <v>0</v>
      </c>
      <c r="AA309" s="63">
        <f>SUMIFS('[1]Pipeline Esterilización'!M:M,'[1]Pipeline Esterilización'!E:E,Tabla1[[#This Row],[Cliente]],'[1]Pipeline Esterilización'!B:B,"2026",'[1]Pipeline Esterilización'!L:L,"&gt;0")</f>
        <v>0</v>
      </c>
      <c r="AB309" s="33">
        <f>+SUMIFS('[1]Pipeline Endoscopía'!K:K,'[1]Pipeline Endoscopía'!E:E,Tabla1[[#This Row],[Cliente]],'[1]Pipeline Endoscopía'!B:B,"2026",'[1]Pipeline Endoscopía'!J:J,"&gt;0")</f>
        <v>0</v>
      </c>
      <c r="AC309" s="63">
        <f>+SUMIFS('[1]Pipeline Dental'!K:K,'[1]Pipeline Dental'!E:E,Tabla1[[#This Row],[Cliente]],'[1]Pipeline Dental'!B:B,"2026",'[1]Pipeline Dental'!J:J,"&gt;0")</f>
        <v>0</v>
      </c>
      <c r="AD309" s="64">
        <f>+SUMIFS('[1]Pipeline TS'!$AB:$AB,'[1]Pipeline TS'!$F:$F,Tabla1[[#This Row],[Cliente]])</f>
        <v>0</v>
      </c>
      <c r="AE309" s="65">
        <f>+SUM(Tabla1[[#This Row],[Pipeline 2026 $MM ESTERILIZACIÓN]:[Pipeline 2026 $MM TECSERVICE]])</f>
        <v>0</v>
      </c>
      <c r="AF309" s="43">
        <v>-33.488646913164999</v>
      </c>
      <c r="AG309" s="58">
        <v>-70.651651191029103</v>
      </c>
      <c r="AH309" s="57" t="str">
        <f>+IF(Tabla1[[#This Row],['# Contratos Vigentes ]]&gt;0,"SI","NO")</f>
        <v>NO</v>
      </c>
      <c r="AI309" s="66"/>
      <c r="AJ309" s="67">
        <f>+Tabla1[[#This Row],[Ingreso 2025 - 2026]]*Tabla1[[#This Row],[% Costo Serv. Directo]]</f>
        <v>0</v>
      </c>
      <c r="AK309" s="68"/>
      <c r="AL30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0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4193700</v>
      </c>
      <c r="AN309" s="42">
        <f>+Tabla1[[#This Row],[Potencial Equipos]]+Tabla1[[#This Row],[Potencial Pipeline]]</f>
        <v>4193700</v>
      </c>
    </row>
    <row r="310" spans="1:40" ht="15.75" x14ac:dyDescent="0.25">
      <c r="A310" s="47" t="s">
        <v>653</v>
      </c>
      <c r="B310" t="str">
        <f>+VLOOKUP(Tabla1[[#This Row],[Cliente]],'[1]Público Privado'!$A$1:$B$325,2,FALSE)</f>
        <v>Público</v>
      </c>
      <c r="C310" s="23">
        <f>+SUMIFS('[1]Facturacion a Fecha'!$T:$T,'[1]Facturacion a Fecha'!$AY:$AY,Tabla1[[#This Row],[Cliente]])</f>
        <v>0</v>
      </c>
      <c r="D310" s="24">
        <f>+SUMIFS('[1]Facturacion a Fecha'!$T:$T,'[1]Facturacion a Fecha'!$AY:$AY,Tabla1[[#This Row],[Cliente]],'[1]Facturacion a Fecha'!$AX:$AX,"Correctivo")</f>
        <v>0</v>
      </c>
      <c r="E310" s="25">
        <f>+COUNTIFS('[1]Facturacion a Fecha'!AY:AY,Tabla1[[#This Row],[Cliente]],'[1]Facturacion a Fecha'!AX:AX,"Correctivo")</f>
        <v>0</v>
      </c>
      <c r="F310" s="25">
        <f>+SUMIFS('[1]Facturacion a Fecha'!$T:$T,'[1]Facturacion a Fecha'!$AY:$AY,Tabla1[[#This Row],[Cliente]],'[1]Facturacion a Fecha'!$AX:$AX,"Preventivo")</f>
        <v>0</v>
      </c>
      <c r="G310" s="25">
        <f>+COUNTIFS('[1]Facturacion a Fecha'!AY:AY,Tabla1[[#This Row],[Cliente]],'[1]Facturacion a Fecha'!AX:AX,"Preventivo")</f>
        <v>0</v>
      </c>
      <c r="H310" s="26">
        <f>+Tabla1[[#This Row],['# Preventivo]]+Tabla1[[#This Row],['# Correctivo]]</f>
        <v>0</v>
      </c>
      <c r="I310" s="23">
        <f>+IFERROR(Tabla1[[#This Row],[Ingreso 2025 - 2026 Correctivo]]/Tabla1[[#This Row],[Ingreso 2025 - 2026 Preventivo]],0)</f>
        <v>0</v>
      </c>
      <c r="J310" s="59">
        <f>+IFERROR(Tabla1[[#This Row],['# Correctivo]]/Tabla1[[#This Row],['# Preventivo]],0)</f>
        <v>0</v>
      </c>
      <c r="K310" s="60">
        <f>+IFERROR(Tabla1[[#This Row],[Ingreso 2025 - 2026 Preventivo]]/(Tabla1[[#This Row],[Ingreso 2025 - 2026 Correctivo]]+Tabla1[[#This Row],[Ingreso 2025 - 2026 Preventivo]]),0)</f>
        <v>0</v>
      </c>
      <c r="L310" s="60">
        <f>1-Tabla1[[#This Row],[% Preventivo $]]</f>
        <v>1</v>
      </c>
      <c r="M310" s="45">
        <f>+COUNTIFS('[1]Base Instalada'!AA:AA,Tabla1[[#This Row],[Cliente]])</f>
        <v>5</v>
      </c>
      <c r="N31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0" s="45">
        <f>+COUNTIFS('[1]Base Instalada'!AA:AA,Tabla1[[#This Row],[Cliente]],'[1]Base Instalada'!Z:Z,"ESTERILIZACIÓN")</f>
        <v>0</v>
      </c>
      <c r="P310" s="45">
        <f>+COUNTIFS('[1]Base Instalada'!AA:AA,Tabla1[[#This Row],[Cliente]],'[1]Base Instalada'!Z:Z,"DENTAL")</f>
        <v>5</v>
      </c>
      <c r="Q310" s="45">
        <f>+COUNTIFS('[1]Base Instalada'!AA:AA,Tabla1[[#This Row],[Cliente]],'[1]Base Instalada'!Z:Z,"ENDOSCOPÍA")</f>
        <v>0</v>
      </c>
      <c r="R310" s="45">
        <f>+COUNTIFS('[1]Base Instalada'!AA:AA,Tabla1[[#This Row],[Cliente]],'[1]Base Instalada'!Z:Z,"INCARDIA")</f>
        <v>0</v>
      </c>
      <c r="S310" s="45">
        <f>+COUNTIFS('[1]Base Instalada'!AA:AA,Tabla1[[#This Row],[Cliente]],'[1]Base Instalada'!Z:Z,"MMQ")</f>
        <v>0</v>
      </c>
      <c r="T310" s="45">
        <f>+COUNTIFS('[1]Base Instalada'!AA:AA,Tabla1[[#This Row],[Cliente]],'[1]Base Instalada'!Z:Z,"REAS")</f>
        <v>0</v>
      </c>
      <c r="U310" s="46">
        <f>+COUNTIFS('[1]Base Instalada'!AA:AA,Tabla1[[#This Row],[Cliente]],'[1]Base Instalada'!Z:Z,"MOBILIARIO CLINICO")</f>
        <v>0</v>
      </c>
      <c r="V310" s="29">
        <f>+COUNTIFS('[1]Base Instalada'!AA:AA,Tabla1[[#This Row],[Cliente]],'[1]Base Instalada'!Z:Z,"OTRO")</f>
        <v>0</v>
      </c>
      <c r="W310" s="61" t="str">
        <f t="shared" si="10"/>
        <v>Región Tarapacá</v>
      </c>
      <c r="X310" s="61" t="str">
        <f t="shared" si="11"/>
        <v>Pica</v>
      </c>
      <c r="Y310" s="62" t="s">
        <v>654</v>
      </c>
      <c r="Z310" s="33">
        <f>+COUNTIFS('[1]Pipeline TS'!$F:$F,Tabla1[[#This Row],[Cliente]])</f>
        <v>0</v>
      </c>
      <c r="AA310" s="63">
        <f>SUMIFS('[1]Pipeline Esterilización'!M:M,'[1]Pipeline Esterilización'!E:E,Tabla1[[#This Row],[Cliente]],'[1]Pipeline Esterilización'!B:B,"2026",'[1]Pipeline Esterilización'!L:L,"&gt;0")</f>
        <v>0</v>
      </c>
      <c r="AB310" s="33">
        <f>+SUMIFS('[1]Pipeline Endoscopía'!K:K,'[1]Pipeline Endoscopía'!E:E,Tabla1[[#This Row],[Cliente]],'[1]Pipeline Endoscopía'!B:B,"2026",'[1]Pipeline Endoscopía'!J:J,"&gt;0")</f>
        <v>0</v>
      </c>
      <c r="AC310" s="63">
        <f>+SUMIFS('[1]Pipeline Dental'!K:K,'[1]Pipeline Dental'!E:E,Tabla1[[#This Row],[Cliente]],'[1]Pipeline Dental'!B:B,"2026",'[1]Pipeline Dental'!J:J,"&gt;0")</f>
        <v>0</v>
      </c>
      <c r="AD310" s="64">
        <f>+SUMIFS('[1]Pipeline TS'!$AB:$AB,'[1]Pipeline TS'!$F:$F,Tabla1[[#This Row],[Cliente]])</f>
        <v>0</v>
      </c>
      <c r="AE310" s="65">
        <f>+SUM(Tabla1[[#This Row],[Pipeline 2026 $MM ESTERILIZACIÓN]:[Pipeline 2026 $MM TECSERVICE]])</f>
        <v>0</v>
      </c>
      <c r="AF310" s="43">
        <v>-20.4891222281449</v>
      </c>
      <c r="AG310" s="58">
        <v>-69.334004993478104</v>
      </c>
      <c r="AH310" s="57" t="str">
        <f>+IF(Tabla1[[#This Row],['# Contratos Vigentes ]]&gt;0,"SI","NO")</f>
        <v>NO</v>
      </c>
      <c r="AI310" s="66"/>
      <c r="AJ310" s="67">
        <f>+Tabla1[[#This Row],[Ingreso 2025 - 2026]]*Tabla1[[#This Row],[% Costo Serv. Directo]]</f>
        <v>0</v>
      </c>
      <c r="AK310" s="68"/>
      <c r="AL31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1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310" s="42">
        <f>+Tabla1[[#This Row],[Potencial Equipos]]+Tabla1[[#This Row],[Potencial Pipeline]]</f>
        <v>2995500</v>
      </c>
    </row>
    <row r="311" spans="1:40" ht="15.75" x14ac:dyDescent="0.25">
      <c r="A311" s="47" t="s">
        <v>655</v>
      </c>
      <c r="B311" t="str">
        <f>+VLOOKUP(Tabla1[[#This Row],[Cliente]],'[1]Público Privado'!$A$1:$B$325,2,FALSE)</f>
        <v>Público</v>
      </c>
      <c r="C311" s="23">
        <f>+SUMIFS('[1]Facturacion a Fecha'!$T:$T,'[1]Facturacion a Fecha'!$AY:$AY,Tabla1[[#This Row],[Cliente]])</f>
        <v>0</v>
      </c>
      <c r="D311" s="24">
        <f>+SUMIFS('[1]Facturacion a Fecha'!$T:$T,'[1]Facturacion a Fecha'!$AY:$AY,Tabla1[[#This Row],[Cliente]],'[1]Facturacion a Fecha'!$AX:$AX,"Correctivo")</f>
        <v>0</v>
      </c>
      <c r="E311" s="25">
        <f>+COUNTIFS('[1]Facturacion a Fecha'!AY:AY,Tabla1[[#This Row],[Cliente]],'[1]Facturacion a Fecha'!AX:AX,"Correctivo")</f>
        <v>0</v>
      </c>
      <c r="F311" s="25">
        <f>+SUMIFS('[1]Facturacion a Fecha'!$T:$T,'[1]Facturacion a Fecha'!$AY:$AY,Tabla1[[#This Row],[Cliente]],'[1]Facturacion a Fecha'!$AX:$AX,"Preventivo")</f>
        <v>0</v>
      </c>
      <c r="G311" s="25">
        <f>+COUNTIFS('[1]Facturacion a Fecha'!AY:AY,Tabla1[[#This Row],[Cliente]],'[1]Facturacion a Fecha'!AX:AX,"Preventivo")</f>
        <v>0</v>
      </c>
      <c r="H311" s="26">
        <f>+Tabla1[[#This Row],['# Preventivo]]+Tabla1[[#This Row],['# Correctivo]]</f>
        <v>0</v>
      </c>
      <c r="I311" s="23">
        <f>+IFERROR(Tabla1[[#This Row],[Ingreso 2025 - 2026 Correctivo]]/Tabla1[[#This Row],[Ingreso 2025 - 2026 Preventivo]],0)</f>
        <v>0</v>
      </c>
      <c r="J311" s="59">
        <f>+IFERROR(Tabla1[[#This Row],['# Correctivo]]/Tabla1[[#This Row],['# Preventivo]],0)</f>
        <v>0</v>
      </c>
      <c r="K311" s="60">
        <f>+IFERROR(Tabla1[[#This Row],[Ingreso 2025 - 2026 Preventivo]]/(Tabla1[[#This Row],[Ingreso 2025 - 2026 Correctivo]]+Tabla1[[#This Row],[Ingreso 2025 - 2026 Preventivo]]),0)</f>
        <v>0</v>
      </c>
      <c r="L311" s="60">
        <f>1-Tabla1[[#This Row],[% Preventivo $]]</f>
        <v>1</v>
      </c>
      <c r="M311" s="45">
        <f>+COUNTIFS('[1]Base Instalada'!AA:AA,Tabla1[[#This Row],[Cliente]])</f>
        <v>7</v>
      </c>
      <c r="N31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1" s="45">
        <f>+COUNTIFS('[1]Base Instalada'!AA:AA,Tabla1[[#This Row],[Cliente]],'[1]Base Instalada'!Z:Z,"ESTERILIZACIÓN")</f>
        <v>0</v>
      </c>
      <c r="P311" s="45">
        <f>+COUNTIFS('[1]Base Instalada'!AA:AA,Tabla1[[#This Row],[Cliente]],'[1]Base Instalada'!Z:Z,"DENTAL")</f>
        <v>0</v>
      </c>
      <c r="Q311" s="45">
        <f>+COUNTIFS('[1]Base Instalada'!AA:AA,Tabla1[[#This Row],[Cliente]],'[1]Base Instalada'!Z:Z,"ENDOSCOPÍA")</f>
        <v>7</v>
      </c>
      <c r="R311" s="45">
        <f>+COUNTIFS('[1]Base Instalada'!AA:AA,Tabla1[[#This Row],[Cliente]],'[1]Base Instalada'!Z:Z,"INCARDIA")</f>
        <v>0</v>
      </c>
      <c r="S311" s="45">
        <f>+COUNTIFS('[1]Base Instalada'!AA:AA,Tabla1[[#This Row],[Cliente]],'[1]Base Instalada'!Z:Z,"MMQ")</f>
        <v>0</v>
      </c>
      <c r="T311" s="45">
        <f>+COUNTIFS('[1]Base Instalada'!AA:AA,Tabla1[[#This Row],[Cliente]],'[1]Base Instalada'!Z:Z,"REAS")</f>
        <v>0</v>
      </c>
      <c r="U311" s="46">
        <f>+COUNTIFS('[1]Base Instalada'!AA:AA,Tabla1[[#This Row],[Cliente]],'[1]Base Instalada'!Z:Z,"MOBILIARIO CLINICO")</f>
        <v>0</v>
      </c>
      <c r="V311" s="29">
        <f>+COUNTIFS('[1]Base Instalada'!AA:AA,Tabla1[[#This Row],[Cliente]],'[1]Base Instalada'!Z:Z,"OTRO")</f>
        <v>0</v>
      </c>
      <c r="W311" s="61" t="str">
        <f t="shared" si="10"/>
        <v>Región Valparaíso</v>
      </c>
      <c r="X311" s="61" t="str">
        <f t="shared" si="11"/>
        <v>Viña del Mar</v>
      </c>
      <c r="Y311" s="62" t="s">
        <v>656</v>
      </c>
      <c r="Z311" s="33">
        <f>+COUNTIFS('[1]Pipeline TS'!$F:$F,Tabla1[[#This Row],[Cliente]])</f>
        <v>0</v>
      </c>
      <c r="AA311" s="63">
        <f>SUMIFS('[1]Pipeline Esterilización'!M:M,'[1]Pipeline Esterilización'!E:E,Tabla1[[#This Row],[Cliente]],'[1]Pipeline Esterilización'!B:B,"2026",'[1]Pipeline Esterilización'!L:L,"&gt;0")</f>
        <v>0</v>
      </c>
      <c r="AB311" s="33">
        <f>+SUMIFS('[1]Pipeline Endoscopía'!K:K,'[1]Pipeline Endoscopía'!E:E,Tabla1[[#This Row],[Cliente]],'[1]Pipeline Endoscopía'!B:B,"2026",'[1]Pipeline Endoscopía'!J:J,"&gt;0")</f>
        <v>0</v>
      </c>
      <c r="AC311" s="63">
        <f>+SUMIFS('[1]Pipeline Dental'!K:K,'[1]Pipeline Dental'!E:E,Tabla1[[#This Row],[Cliente]],'[1]Pipeline Dental'!B:B,"2026",'[1]Pipeline Dental'!J:J,"&gt;0")</f>
        <v>0</v>
      </c>
      <c r="AD311" s="64">
        <f>+SUMIFS('[1]Pipeline TS'!$AB:$AB,'[1]Pipeline TS'!$F:$F,Tabla1[[#This Row],[Cliente]])</f>
        <v>0</v>
      </c>
      <c r="AE311" s="65">
        <f>+SUM(Tabla1[[#This Row],[Pipeline 2026 $MM ESTERILIZACIÓN]:[Pipeline 2026 $MM TECSERVICE]])</f>
        <v>0</v>
      </c>
      <c r="AF311" s="43">
        <v>-33.026369063613998</v>
      </c>
      <c r="AG311" s="58">
        <v>-71.552863133383795</v>
      </c>
      <c r="AH311" s="57" t="str">
        <f>+IF(Tabla1[[#This Row],['# Contratos Vigentes ]]&gt;0,"SI","NO")</f>
        <v>NO</v>
      </c>
      <c r="AI311" s="66"/>
      <c r="AJ311" s="67">
        <f>+Tabla1[[#This Row],[Ingreso 2025 - 2026]]*Tabla1[[#This Row],[% Costo Serv. Directo]]</f>
        <v>0</v>
      </c>
      <c r="AK311" s="68"/>
      <c r="AL31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1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6021723.076923077</v>
      </c>
      <c r="AN311" s="42">
        <f>+Tabla1[[#This Row],[Potencial Equipos]]+Tabla1[[#This Row],[Potencial Pipeline]]</f>
        <v>6021723.076923077</v>
      </c>
    </row>
    <row r="312" spans="1:40" ht="15.75" x14ac:dyDescent="0.25">
      <c r="A312" s="47" t="s">
        <v>657</v>
      </c>
      <c r="B312" t="str">
        <f>+VLOOKUP(Tabla1[[#This Row],[Cliente]],'[1]Público Privado'!$A$1:$B$325,2,FALSE)</f>
        <v>Privado</v>
      </c>
      <c r="C312" s="23">
        <f>+SUMIFS('[1]Facturacion a Fecha'!$T:$T,'[1]Facturacion a Fecha'!$AY:$AY,Tabla1[[#This Row],[Cliente]])</f>
        <v>0</v>
      </c>
      <c r="D312" s="24">
        <f>+SUMIFS('[1]Facturacion a Fecha'!$T:$T,'[1]Facturacion a Fecha'!$AY:$AY,Tabla1[[#This Row],[Cliente]],'[1]Facturacion a Fecha'!$AX:$AX,"Correctivo")</f>
        <v>0</v>
      </c>
      <c r="E312" s="25">
        <f>+COUNTIFS('[1]Facturacion a Fecha'!AY:AY,Tabla1[[#This Row],[Cliente]],'[1]Facturacion a Fecha'!AX:AX,"Correctivo")</f>
        <v>0</v>
      </c>
      <c r="F312" s="25">
        <f>+SUMIFS('[1]Facturacion a Fecha'!$T:$T,'[1]Facturacion a Fecha'!$AY:$AY,Tabla1[[#This Row],[Cliente]],'[1]Facturacion a Fecha'!$AX:$AX,"Preventivo")</f>
        <v>0</v>
      </c>
      <c r="G312" s="25">
        <f>+COUNTIFS('[1]Facturacion a Fecha'!AY:AY,Tabla1[[#This Row],[Cliente]],'[1]Facturacion a Fecha'!AX:AX,"Preventivo")</f>
        <v>0</v>
      </c>
      <c r="H312" s="26">
        <f>+Tabla1[[#This Row],['# Preventivo]]+Tabla1[[#This Row],['# Correctivo]]</f>
        <v>0</v>
      </c>
      <c r="I312" s="23">
        <f>+IFERROR(Tabla1[[#This Row],[Ingreso 2025 - 2026 Correctivo]]/Tabla1[[#This Row],[Ingreso 2025 - 2026 Preventivo]],0)</f>
        <v>0</v>
      </c>
      <c r="J312" s="59">
        <f>+IFERROR(Tabla1[[#This Row],['# Correctivo]]/Tabla1[[#This Row],['# Preventivo]],0)</f>
        <v>0</v>
      </c>
      <c r="K312" s="60">
        <f>+IFERROR(Tabla1[[#This Row],[Ingreso 2025 - 2026 Preventivo]]/(Tabla1[[#This Row],[Ingreso 2025 - 2026 Correctivo]]+Tabla1[[#This Row],[Ingreso 2025 - 2026 Preventivo]]),0)</f>
        <v>0</v>
      </c>
      <c r="L312" s="60">
        <f>1-Tabla1[[#This Row],[% Preventivo $]]</f>
        <v>1</v>
      </c>
      <c r="M312" s="45">
        <f>+COUNTIFS('[1]Base Instalada'!AA:AA,Tabla1[[#This Row],[Cliente]])</f>
        <v>5</v>
      </c>
      <c r="N31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2" s="45">
        <f>+COUNTIFS('[1]Base Instalada'!AA:AA,Tabla1[[#This Row],[Cliente]],'[1]Base Instalada'!Z:Z,"ESTERILIZACIÓN")</f>
        <v>0</v>
      </c>
      <c r="P312" s="45">
        <f>+COUNTIFS('[1]Base Instalada'!AA:AA,Tabla1[[#This Row],[Cliente]],'[1]Base Instalada'!Z:Z,"DENTAL")</f>
        <v>5</v>
      </c>
      <c r="Q312" s="45">
        <f>+COUNTIFS('[1]Base Instalada'!AA:AA,Tabla1[[#This Row],[Cliente]],'[1]Base Instalada'!Z:Z,"ENDOSCOPÍA")</f>
        <v>0</v>
      </c>
      <c r="R312" s="45">
        <f>+COUNTIFS('[1]Base Instalada'!AA:AA,Tabla1[[#This Row],[Cliente]],'[1]Base Instalada'!Z:Z,"INCARDIA")</f>
        <v>0</v>
      </c>
      <c r="S312" s="45">
        <f>+COUNTIFS('[1]Base Instalada'!AA:AA,Tabla1[[#This Row],[Cliente]],'[1]Base Instalada'!Z:Z,"MMQ")</f>
        <v>0</v>
      </c>
      <c r="T312" s="45">
        <f>+COUNTIFS('[1]Base Instalada'!AA:AA,Tabla1[[#This Row],[Cliente]],'[1]Base Instalada'!Z:Z,"REAS")</f>
        <v>0</v>
      </c>
      <c r="U312" s="46">
        <f>+COUNTIFS('[1]Base Instalada'!AA:AA,Tabla1[[#This Row],[Cliente]],'[1]Base Instalada'!Z:Z,"MOBILIARIO CLINICO")</f>
        <v>0</v>
      </c>
      <c r="V312" s="29">
        <f>+COUNTIFS('[1]Base Instalada'!AA:AA,Tabla1[[#This Row],[Cliente]],'[1]Base Instalada'!Z:Z,"OTRO")</f>
        <v>0</v>
      </c>
      <c r="W312" s="61" t="str">
        <f t="shared" si="10"/>
        <v>Región Metropolitana</v>
      </c>
      <c r="X312" s="61" t="str">
        <f t="shared" si="11"/>
        <v>Santiago</v>
      </c>
      <c r="Y312" s="62" t="s">
        <v>658</v>
      </c>
      <c r="Z312" s="33">
        <f>+COUNTIFS('[1]Pipeline TS'!$F:$F,Tabla1[[#This Row],[Cliente]])</f>
        <v>0</v>
      </c>
      <c r="AA312" s="63">
        <f>SUMIFS('[1]Pipeline Esterilización'!M:M,'[1]Pipeline Esterilización'!E:E,Tabla1[[#This Row],[Cliente]],'[1]Pipeline Esterilización'!B:B,"2026",'[1]Pipeline Esterilización'!L:L,"&gt;0")</f>
        <v>0</v>
      </c>
      <c r="AB312" s="33">
        <f>+SUMIFS('[1]Pipeline Endoscopía'!K:K,'[1]Pipeline Endoscopía'!E:E,Tabla1[[#This Row],[Cliente]],'[1]Pipeline Endoscopía'!B:B,"2026",'[1]Pipeline Endoscopía'!J:J,"&gt;0")</f>
        <v>0</v>
      </c>
      <c r="AC312" s="63">
        <f>+SUMIFS('[1]Pipeline Dental'!K:K,'[1]Pipeline Dental'!E:E,Tabla1[[#This Row],[Cliente]],'[1]Pipeline Dental'!B:B,"2026",'[1]Pipeline Dental'!J:J,"&gt;0")</f>
        <v>0</v>
      </c>
      <c r="AD312" s="64">
        <f>+SUMIFS('[1]Pipeline TS'!$AB:$AB,'[1]Pipeline TS'!$F:$F,Tabla1[[#This Row],[Cliente]])</f>
        <v>0</v>
      </c>
      <c r="AE312" s="65">
        <f>+SUM(Tabla1[[#This Row],[Pipeline 2026 $MM ESTERILIZACIÓN]:[Pipeline 2026 $MM TECSERVICE]])</f>
        <v>0</v>
      </c>
      <c r="AF312" s="43">
        <v>-33.449277299252103</v>
      </c>
      <c r="AG312" s="58">
        <v>-70.652437893719593</v>
      </c>
      <c r="AH312" s="57" t="str">
        <f>+IF(Tabla1[[#This Row],['# Contratos Vigentes ]]&gt;0,"SI","NO")</f>
        <v>NO</v>
      </c>
      <c r="AI312" s="66"/>
      <c r="AJ312" s="67">
        <f>+Tabla1[[#This Row],[Ingreso 2025 - 2026]]*Tabla1[[#This Row],[% Costo Serv. Directo]]</f>
        <v>0</v>
      </c>
      <c r="AK312" s="68"/>
      <c r="AL31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1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312" s="42">
        <f>+Tabla1[[#This Row],[Potencial Equipos]]+Tabla1[[#This Row],[Potencial Pipeline]]</f>
        <v>2995500</v>
      </c>
    </row>
    <row r="313" spans="1:40" ht="15.75" x14ac:dyDescent="0.25">
      <c r="A313" s="47" t="s">
        <v>659</v>
      </c>
      <c r="B313" t="str">
        <f>+VLOOKUP(Tabla1[[#This Row],[Cliente]],'[1]Público Privado'!$A$1:$B$325,2,FALSE)</f>
        <v>Privado</v>
      </c>
      <c r="C313" s="23">
        <f>+SUMIFS('[1]Facturacion a Fecha'!$T:$T,'[1]Facturacion a Fecha'!$AY:$AY,Tabla1[[#This Row],[Cliente]])</f>
        <v>2175580</v>
      </c>
      <c r="D313" s="24">
        <f>+SUMIFS('[1]Facturacion a Fecha'!$T:$T,'[1]Facturacion a Fecha'!$AY:$AY,Tabla1[[#This Row],[Cliente]],'[1]Facturacion a Fecha'!$AX:$AX,"Correctivo")</f>
        <v>1452810</v>
      </c>
      <c r="E313" s="25">
        <f>+COUNTIFS('[1]Facturacion a Fecha'!AY:AY,Tabla1[[#This Row],[Cliente]],'[1]Facturacion a Fecha'!AX:AX,"Correctivo")</f>
        <v>4</v>
      </c>
      <c r="F313" s="25">
        <f>+SUMIFS('[1]Facturacion a Fecha'!$T:$T,'[1]Facturacion a Fecha'!$AY:$AY,Tabla1[[#This Row],[Cliente]],'[1]Facturacion a Fecha'!$AX:$AX,"Preventivo")</f>
        <v>722770</v>
      </c>
      <c r="G313" s="25">
        <f>+COUNTIFS('[1]Facturacion a Fecha'!AY:AY,Tabla1[[#This Row],[Cliente]],'[1]Facturacion a Fecha'!AX:AX,"Preventivo")</f>
        <v>2</v>
      </c>
      <c r="H313" s="26">
        <f>+Tabla1[[#This Row],['# Preventivo]]+Tabla1[[#This Row],['# Correctivo]]</f>
        <v>6</v>
      </c>
      <c r="I313" s="23">
        <f>+IFERROR(Tabla1[[#This Row],[Ingreso 2025 - 2026 Correctivo]]/Tabla1[[#This Row],[Ingreso 2025 - 2026 Preventivo]],0)</f>
        <v>2.0100585248419276</v>
      </c>
      <c r="J313" s="59">
        <f>+IFERROR(Tabla1[[#This Row],['# Correctivo]]/Tabla1[[#This Row],['# Preventivo]],0)</f>
        <v>2</v>
      </c>
      <c r="K313" s="60">
        <f>+IFERROR(Tabla1[[#This Row],[Ingreso 2025 - 2026 Preventivo]]/(Tabla1[[#This Row],[Ingreso 2025 - 2026 Correctivo]]+Tabla1[[#This Row],[Ingreso 2025 - 2026 Preventivo]]),0)</f>
        <v>0.33221945412257881</v>
      </c>
      <c r="L313" s="60">
        <f>1-Tabla1[[#This Row],[% Preventivo $]]</f>
        <v>0.66778054587742119</v>
      </c>
      <c r="M313" s="45">
        <f>+COUNTIFS('[1]Base Instalada'!AA:AA,Tabla1[[#This Row],[Cliente]])</f>
        <v>10</v>
      </c>
      <c r="N31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3" s="45">
        <f>+COUNTIFS('[1]Base Instalada'!AA:AA,Tabla1[[#This Row],[Cliente]],'[1]Base Instalada'!Z:Z,"ESTERILIZACIÓN")</f>
        <v>10</v>
      </c>
      <c r="P313" s="45">
        <f>+COUNTIFS('[1]Base Instalada'!AA:AA,Tabla1[[#This Row],[Cliente]],'[1]Base Instalada'!Z:Z,"DENTAL")</f>
        <v>0</v>
      </c>
      <c r="Q313" s="45">
        <f>+COUNTIFS('[1]Base Instalada'!AA:AA,Tabla1[[#This Row],[Cliente]],'[1]Base Instalada'!Z:Z,"ENDOSCOPÍA")</f>
        <v>0</v>
      </c>
      <c r="R313" s="45">
        <f>+COUNTIFS('[1]Base Instalada'!AA:AA,Tabla1[[#This Row],[Cliente]],'[1]Base Instalada'!Z:Z,"INCARDIA")</f>
        <v>0</v>
      </c>
      <c r="S313" s="45">
        <f>+COUNTIFS('[1]Base Instalada'!AA:AA,Tabla1[[#This Row],[Cliente]],'[1]Base Instalada'!Z:Z,"MMQ")</f>
        <v>0</v>
      </c>
      <c r="T313" s="45">
        <f>+COUNTIFS('[1]Base Instalada'!AA:AA,Tabla1[[#This Row],[Cliente]],'[1]Base Instalada'!Z:Z,"REAS")</f>
        <v>0</v>
      </c>
      <c r="U313" s="46">
        <f>+COUNTIFS('[1]Base Instalada'!AA:AA,Tabla1[[#This Row],[Cliente]],'[1]Base Instalada'!Z:Z,"MOBILIARIO CLINICO")</f>
        <v>0</v>
      </c>
      <c r="V313" s="29">
        <f>+COUNTIFS('[1]Base Instalada'!AA:AA,Tabla1[[#This Row],[Cliente]],'[1]Base Instalada'!Z:Z,"OTRO")</f>
        <v>0</v>
      </c>
      <c r="W313" s="61" t="str">
        <f t="shared" si="10"/>
        <v>Región Valparaíso</v>
      </c>
      <c r="X313" s="61" t="str">
        <f t="shared" si="11"/>
        <v>Valparaíso</v>
      </c>
      <c r="Y313" s="62" t="s">
        <v>660</v>
      </c>
      <c r="Z313" s="33">
        <f>+COUNTIFS('[1]Pipeline TS'!$F:$F,Tabla1[[#This Row],[Cliente]])</f>
        <v>0</v>
      </c>
      <c r="AA313" s="63">
        <f>SUMIFS('[1]Pipeline Esterilización'!M:M,'[1]Pipeline Esterilización'!E:E,Tabla1[[#This Row],[Cliente]],'[1]Pipeline Esterilización'!B:B,"2026",'[1]Pipeline Esterilización'!L:L,"&gt;0")</f>
        <v>0</v>
      </c>
      <c r="AB313" s="33">
        <f>+SUMIFS('[1]Pipeline Endoscopía'!K:K,'[1]Pipeline Endoscopía'!E:E,Tabla1[[#This Row],[Cliente]],'[1]Pipeline Endoscopía'!B:B,"2026",'[1]Pipeline Endoscopía'!J:J,"&gt;0")</f>
        <v>0</v>
      </c>
      <c r="AC313" s="63">
        <f>+SUMIFS('[1]Pipeline Dental'!K:K,'[1]Pipeline Dental'!E:E,Tabla1[[#This Row],[Cliente]],'[1]Pipeline Dental'!B:B,"2026",'[1]Pipeline Dental'!J:J,"&gt;0")</f>
        <v>0</v>
      </c>
      <c r="AD313" s="64">
        <f>+SUMIFS('[1]Pipeline TS'!$AB:$AB,'[1]Pipeline TS'!$F:$F,Tabla1[[#This Row],[Cliente]])</f>
        <v>0</v>
      </c>
      <c r="AE313" s="65">
        <f>+SUM(Tabla1[[#This Row],[Pipeline 2026 $MM ESTERILIZACIÓN]:[Pipeline 2026 $MM TECSERVICE]])</f>
        <v>0</v>
      </c>
      <c r="AF313" s="43">
        <v>-33.013404171324503</v>
      </c>
      <c r="AG313" s="58">
        <v>-71.549898510347802</v>
      </c>
      <c r="AH313" s="57" t="str">
        <f>+IF(Tabla1[[#This Row],['# Contratos Vigentes ]]&gt;0,"SI","NO")</f>
        <v>NO</v>
      </c>
      <c r="AI313" s="66"/>
      <c r="AJ313" s="67">
        <f>+Tabla1[[#This Row],[Ingreso 2025 - 2026]]*Tabla1[[#This Row],[% Costo Serv. Directo]]</f>
        <v>0</v>
      </c>
      <c r="AK313" s="68"/>
      <c r="AL31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1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19970000</v>
      </c>
      <c r="AN313" s="42">
        <f>+Tabla1[[#This Row],[Potencial Equipos]]+Tabla1[[#This Row],[Potencial Pipeline]]</f>
        <v>19970000</v>
      </c>
    </row>
    <row r="314" spans="1:40" ht="15.75" x14ac:dyDescent="0.25">
      <c r="A314" s="47" t="s">
        <v>661</v>
      </c>
      <c r="B314" t="str">
        <f>+VLOOKUP(Tabla1[[#This Row],[Cliente]],'[1]Público Privado'!$A$1:$B$325,2,FALSE)</f>
        <v>Público</v>
      </c>
      <c r="C314" s="23">
        <f>+SUMIFS('[1]Facturacion a Fecha'!$T:$T,'[1]Facturacion a Fecha'!$AY:$AY,Tabla1[[#This Row],[Cliente]])</f>
        <v>0</v>
      </c>
      <c r="D314" s="24">
        <f>+SUMIFS('[1]Facturacion a Fecha'!$T:$T,'[1]Facturacion a Fecha'!$AY:$AY,Tabla1[[#This Row],[Cliente]],'[1]Facturacion a Fecha'!$AX:$AX,"Correctivo")</f>
        <v>0</v>
      </c>
      <c r="E314" s="25">
        <f>+COUNTIFS('[1]Facturacion a Fecha'!AY:AY,Tabla1[[#This Row],[Cliente]],'[1]Facturacion a Fecha'!AX:AX,"Correctivo")</f>
        <v>0</v>
      </c>
      <c r="F314" s="25">
        <f>+SUMIFS('[1]Facturacion a Fecha'!$T:$T,'[1]Facturacion a Fecha'!$AY:$AY,Tabla1[[#This Row],[Cliente]],'[1]Facturacion a Fecha'!$AX:$AX,"Preventivo")</f>
        <v>0</v>
      </c>
      <c r="G314" s="25">
        <f>+COUNTIFS('[1]Facturacion a Fecha'!AY:AY,Tabla1[[#This Row],[Cliente]],'[1]Facturacion a Fecha'!AX:AX,"Preventivo")</f>
        <v>0</v>
      </c>
      <c r="H314" s="26">
        <f>+Tabla1[[#This Row],['# Preventivo]]+Tabla1[[#This Row],['# Correctivo]]</f>
        <v>0</v>
      </c>
      <c r="I314" s="23">
        <f>+IFERROR(Tabla1[[#This Row],[Ingreso 2025 - 2026 Correctivo]]/Tabla1[[#This Row],[Ingreso 2025 - 2026 Preventivo]],0)</f>
        <v>0</v>
      </c>
      <c r="J314" s="59">
        <f>+IFERROR(Tabla1[[#This Row],['# Correctivo]]/Tabla1[[#This Row],['# Preventivo]],0)</f>
        <v>0</v>
      </c>
      <c r="K314" s="60">
        <f>+IFERROR(Tabla1[[#This Row],[Ingreso 2025 - 2026 Preventivo]]/(Tabla1[[#This Row],[Ingreso 2025 - 2026 Correctivo]]+Tabla1[[#This Row],[Ingreso 2025 - 2026 Preventivo]]),0)</f>
        <v>0</v>
      </c>
      <c r="L314" s="60">
        <f>1-Tabla1[[#This Row],[% Preventivo $]]</f>
        <v>1</v>
      </c>
      <c r="M314" s="45">
        <f>+COUNTIFS('[1]Base Instalada'!AA:AA,Tabla1[[#This Row],[Cliente]])</f>
        <v>5</v>
      </c>
      <c r="N31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4" s="45">
        <f>+COUNTIFS('[1]Base Instalada'!AA:AA,Tabla1[[#This Row],[Cliente]],'[1]Base Instalada'!Z:Z,"ESTERILIZACIÓN")</f>
        <v>2</v>
      </c>
      <c r="P314" s="45">
        <f>+COUNTIFS('[1]Base Instalada'!AA:AA,Tabla1[[#This Row],[Cliente]],'[1]Base Instalada'!Z:Z,"DENTAL")</f>
        <v>2</v>
      </c>
      <c r="Q314" s="45">
        <f>+COUNTIFS('[1]Base Instalada'!AA:AA,Tabla1[[#This Row],[Cliente]],'[1]Base Instalada'!Z:Z,"ENDOSCOPÍA")</f>
        <v>0</v>
      </c>
      <c r="R314" s="45">
        <f>+COUNTIFS('[1]Base Instalada'!AA:AA,Tabla1[[#This Row],[Cliente]],'[1]Base Instalada'!Z:Z,"INCARDIA")</f>
        <v>0</v>
      </c>
      <c r="S314" s="45">
        <f>+COUNTIFS('[1]Base Instalada'!AA:AA,Tabla1[[#This Row],[Cliente]],'[1]Base Instalada'!Z:Z,"MMQ")</f>
        <v>0</v>
      </c>
      <c r="T314" s="45">
        <f>+COUNTIFS('[1]Base Instalada'!AA:AA,Tabla1[[#This Row],[Cliente]],'[1]Base Instalada'!Z:Z,"REAS")</f>
        <v>0</v>
      </c>
      <c r="U314" s="46">
        <f>+COUNTIFS('[1]Base Instalada'!AA:AA,Tabla1[[#This Row],[Cliente]],'[1]Base Instalada'!Z:Z,"MOBILIARIO CLINICO")</f>
        <v>1</v>
      </c>
      <c r="V314" s="29">
        <f>+COUNTIFS('[1]Base Instalada'!AA:AA,Tabla1[[#This Row],[Cliente]],'[1]Base Instalada'!Z:Z,"OTRO")</f>
        <v>0</v>
      </c>
      <c r="W314" s="61" t="str">
        <f t="shared" si="10"/>
        <v>Región Bío Bío</v>
      </c>
      <c r="X314" s="61" t="str">
        <f t="shared" si="11"/>
        <v>Concepción</v>
      </c>
      <c r="Y314" s="62" t="s">
        <v>662</v>
      </c>
      <c r="Z314" s="33">
        <f>+COUNTIFS('[1]Pipeline TS'!$F:$F,Tabla1[[#This Row],[Cliente]])</f>
        <v>0</v>
      </c>
      <c r="AA314" s="63">
        <f>SUMIFS('[1]Pipeline Esterilización'!M:M,'[1]Pipeline Esterilización'!E:E,Tabla1[[#This Row],[Cliente]],'[1]Pipeline Esterilización'!B:B,"2026",'[1]Pipeline Esterilización'!L:L,"&gt;0")</f>
        <v>0</v>
      </c>
      <c r="AB314" s="33">
        <f>+SUMIFS('[1]Pipeline Endoscopía'!K:K,'[1]Pipeline Endoscopía'!E:E,Tabla1[[#This Row],[Cliente]],'[1]Pipeline Endoscopía'!B:B,"2026",'[1]Pipeline Endoscopía'!J:J,"&gt;0")</f>
        <v>0</v>
      </c>
      <c r="AC314" s="63">
        <f>+SUMIFS('[1]Pipeline Dental'!K:K,'[1]Pipeline Dental'!E:E,Tabla1[[#This Row],[Cliente]],'[1]Pipeline Dental'!B:B,"2026",'[1]Pipeline Dental'!J:J,"&gt;0")</f>
        <v>0</v>
      </c>
      <c r="AD314" s="64">
        <f>+SUMIFS('[1]Pipeline TS'!$AB:$AB,'[1]Pipeline TS'!$F:$F,Tabla1[[#This Row],[Cliente]])</f>
        <v>0</v>
      </c>
      <c r="AE314" s="65">
        <f>+SUM(Tabla1[[#This Row],[Pipeline 2026 $MM ESTERILIZACIÓN]:[Pipeline 2026 $MM TECSERVICE]])</f>
        <v>0</v>
      </c>
      <c r="AF314" s="43">
        <v>-36.809832076180697</v>
      </c>
      <c r="AG314" s="58">
        <v>-73.054262319673398</v>
      </c>
      <c r="AH314" s="57" t="str">
        <f>+IF(Tabla1[[#This Row],['# Contratos Vigentes ]]&gt;0,"SI","NO")</f>
        <v>NO</v>
      </c>
      <c r="AI314" s="66"/>
      <c r="AJ314" s="67">
        <f>+Tabla1[[#This Row],[Ingreso 2025 - 2026]]*Tabla1[[#This Row],[% Costo Serv. Directo]]</f>
        <v>0</v>
      </c>
      <c r="AK314" s="68"/>
      <c r="AL31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1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5192200</v>
      </c>
      <c r="AN314" s="42">
        <f>+Tabla1[[#This Row],[Potencial Equipos]]+Tabla1[[#This Row],[Potencial Pipeline]]</f>
        <v>5192200</v>
      </c>
    </row>
    <row r="315" spans="1:40" ht="15.75" x14ac:dyDescent="0.25">
      <c r="A315" s="47" t="s">
        <v>663</v>
      </c>
      <c r="B315" t="str">
        <f>+VLOOKUP(Tabla1[[#This Row],[Cliente]],'[1]Público Privado'!$A$1:$B$325,2,FALSE)</f>
        <v>Público</v>
      </c>
      <c r="C315" s="23">
        <f>+SUMIFS('[1]Facturacion a Fecha'!$T:$T,'[1]Facturacion a Fecha'!$AY:$AY,Tabla1[[#This Row],[Cliente]])</f>
        <v>0</v>
      </c>
      <c r="D315" s="24">
        <f>+SUMIFS('[1]Facturacion a Fecha'!$T:$T,'[1]Facturacion a Fecha'!$AY:$AY,Tabla1[[#This Row],[Cliente]],'[1]Facturacion a Fecha'!$AX:$AX,"Correctivo")</f>
        <v>0</v>
      </c>
      <c r="E315" s="25">
        <f>+COUNTIFS('[1]Facturacion a Fecha'!AY:AY,Tabla1[[#This Row],[Cliente]],'[1]Facturacion a Fecha'!AX:AX,"Correctivo")</f>
        <v>0</v>
      </c>
      <c r="F315" s="25">
        <f>+SUMIFS('[1]Facturacion a Fecha'!$T:$T,'[1]Facturacion a Fecha'!$AY:$AY,Tabla1[[#This Row],[Cliente]],'[1]Facturacion a Fecha'!$AX:$AX,"Preventivo")</f>
        <v>0</v>
      </c>
      <c r="G315" s="25">
        <f>+COUNTIFS('[1]Facturacion a Fecha'!AY:AY,Tabla1[[#This Row],[Cliente]],'[1]Facturacion a Fecha'!AX:AX,"Preventivo")</f>
        <v>0</v>
      </c>
      <c r="H315" s="26">
        <f>+Tabla1[[#This Row],['# Preventivo]]+Tabla1[[#This Row],['# Correctivo]]</f>
        <v>0</v>
      </c>
      <c r="I315" s="23">
        <f>+IFERROR(Tabla1[[#This Row],[Ingreso 2025 - 2026 Correctivo]]/Tabla1[[#This Row],[Ingreso 2025 - 2026 Preventivo]],0)</f>
        <v>0</v>
      </c>
      <c r="J315" s="59">
        <f>+IFERROR(Tabla1[[#This Row],['# Correctivo]]/Tabla1[[#This Row],['# Preventivo]],0)</f>
        <v>0</v>
      </c>
      <c r="K315" s="60">
        <f>+IFERROR(Tabla1[[#This Row],[Ingreso 2025 - 2026 Preventivo]]/(Tabla1[[#This Row],[Ingreso 2025 - 2026 Correctivo]]+Tabla1[[#This Row],[Ingreso 2025 - 2026 Preventivo]]),0)</f>
        <v>0</v>
      </c>
      <c r="L315" s="60">
        <f>1-Tabla1[[#This Row],[% Preventivo $]]</f>
        <v>1</v>
      </c>
      <c r="M315" s="45">
        <f>+COUNTIFS('[1]Base Instalada'!AA:AA,Tabla1[[#This Row],[Cliente]])</f>
        <v>23</v>
      </c>
      <c r="N31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5" s="45">
        <f>+COUNTIFS('[1]Base Instalada'!AA:AA,Tabla1[[#This Row],[Cliente]],'[1]Base Instalada'!Z:Z,"ESTERILIZACIÓN")</f>
        <v>3</v>
      </c>
      <c r="P315" s="45">
        <f>+COUNTIFS('[1]Base Instalada'!AA:AA,Tabla1[[#This Row],[Cliente]],'[1]Base Instalada'!Z:Z,"DENTAL")</f>
        <v>0</v>
      </c>
      <c r="Q315" s="45">
        <f>+COUNTIFS('[1]Base Instalada'!AA:AA,Tabla1[[#This Row],[Cliente]],'[1]Base Instalada'!Z:Z,"ENDOSCOPÍA")</f>
        <v>0</v>
      </c>
      <c r="R315" s="45">
        <f>+COUNTIFS('[1]Base Instalada'!AA:AA,Tabla1[[#This Row],[Cliente]],'[1]Base Instalada'!Z:Z,"INCARDIA")</f>
        <v>20</v>
      </c>
      <c r="S315" s="45">
        <f>+COUNTIFS('[1]Base Instalada'!AA:AA,Tabla1[[#This Row],[Cliente]],'[1]Base Instalada'!Z:Z,"MMQ")</f>
        <v>0</v>
      </c>
      <c r="T315" s="45">
        <f>+COUNTIFS('[1]Base Instalada'!AA:AA,Tabla1[[#This Row],[Cliente]],'[1]Base Instalada'!Z:Z,"REAS")</f>
        <v>0</v>
      </c>
      <c r="U315" s="46">
        <f>+COUNTIFS('[1]Base Instalada'!AA:AA,Tabla1[[#This Row],[Cliente]],'[1]Base Instalada'!Z:Z,"MOBILIARIO CLINICO")</f>
        <v>0</v>
      </c>
      <c r="V315" s="29">
        <f>+COUNTIFS('[1]Base Instalada'!AA:AA,Tabla1[[#This Row],[Cliente]],'[1]Base Instalada'!Z:Z,"OTRO")</f>
        <v>0</v>
      </c>
      <c r="W315" s="61" t="str">
        <f t="shared" si="10"/>
        <v>Región Araucanía</v>
      </c>
      <c r="X315" s="61" t="str">
        <f t="shared" si="11"/>
        <v>Carahue</v>
      </c>
      <c r="Y315" s="62" t="s">
        <v>664</v>
      </c>
      <c r="Z315" s="33">
        <f>+COUNTIFS('[1]Pipeline TS'!$F:$F,Tabla1[[#This Row],[Cliente]])</f>
        <v>0</v>
      </c>
      <c r="AA315" s="63">
        <f>SUMIFS('[1]Pipeline Esterilización'!M:M,'[1]Pipeline Esterilización'!E:E,Tabla1[[#This Row],[Cliente]],'[1]Pipeline Esterilización'!B:B,"2026",'[1]Pipeline Esterilización'!L:L,"&gt;0")</f>
        <v>119000000</v>
      </c>
      <c r="AB315" s="33">
        <f>+SUMIFS('[1]Pipeline Endoscopía'!K:K,'[1]Pipeline Endoscopía'!E:E,Tabla1[[#This Row],[Cliente]],'[1]Pipeline Endoscopía'!B:B,"2026",'[1]Pipeline Endoscopía'!J:J,"&gt;0")</f>
        <v>0</v>
      </c>
      <c r="AC315" s="63">
        <f>+SUMIFS('[1]Pipeline Dental'!K:K,'[1]Pipeline Dental'!E:E,Tabla1[[#This Row],[Cliente]],'[1]Pipeline Dental'!B:B,"2026",'[1]Pipeline Dental'!J:J,"&gt;0")</f>
        <v>0</v>
      </c>
      <c r="AD315" s="64">
        <f>+SUMIFS('[1]Pipeline TS'!$AB:$AB,'[1]Pipeline TS'!$F:$F,Tabla1[[#This Row],[Cliente]])</f>
        <v>0</v>
      </c>
      <c r="AE315" s="65">
        <f>+SUM(Tabla1[[#This Row],[Pipeline 2026 $MM ESTERILIZACIÓN]:[Pipeline 2026 $MM TECSERVICE]])</f>
        <v>119000000</v>
      </c>
      <c r="AF315" s="43">
        <v>-38.709955536568302</v>
      </c>
      <c r="AG315" s="58">
        <v>-73.140913675381</v>
      </c>
      <c r="AH315" s="57" t="str">
        <f>+IF(Tabla1[[#This Row],['# Contratos Vigentes ]]&gt;0,"SI","NO")</f>
        <v>NO</v>
      </c>
      <c r="AI315" s="66"/>
      <c r="AJ315" s="67">
        <f>+Tabla1[[#This Row],[Ingreso 2025 - 2026]]*Tabla1[[#This Row],[% Costo Serv. Directo]]</f>
        <v>0</v>
      </c>
      <c r="AK315" s="68"/>
      <c r="AL31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11900000</v>
      </c>
      <c r="AM31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5991000</v>
      </c>
      <c r="AN315" s="42">
        <f>+Tabla1[[#This Row],[Potencial Equipos]]+Tabla1[[#This Row],[Potencial Pipeline]]</f>
        <v>17891000</v>
      </c>
    </row>
    <row r="316" spans="1:40" ht="15.75" x14ac:dyDescent="0.25">
      <c r="A316" s="47" t="s">
        <v>665</v>
      </c>
      <c r="B316" t="str">
        <f>+VLOOKUP(Tabla1[[#This Row],[Cliente]],'[1]Público Privado'!$A$1:$B$325,2,FALSE)</f>
        <v>Privado</v>
      </c>
      <c r="C316" s="23">
        <f>+SUMIFS('[1]Facturacion a Fecha'!$T:$T,'[1]Facturacion a Fecha'!$AY:$AY,Tabla1[[#This Row],[Cliente]])</f>
        <v>0</v>
      </c>
      <c r="D316" s="24">
        <f>+SUMIFS('[1]Facturacion a Fecha'!$T:$T,'[1]Facturacion a Fecha'!$AY:$AY,Tabla1[[#This Row],[Cliente]],'[1]Facturacion a Fecha'!$AX:$AX,"Correctivo")</f>
        <v>0</v>
      </c>
      <c r="E316" s="25">
        <f>+COUNTIFS('[1]Facturacion a Fecha'!AY:AY,Tabla1[[#This Row],[Cliente]],'[1]Facturacion a Fecha'!AX:AX,"Correctivo")</f>
        <v>0</v>
      </c>
      <c r="F316" s="25">
        <f>+SUMIFS('[1]Facturacion a Fecha'!$T:$T,'[1]Facturacion a Fecha'!$AY:$AY,Tabla1[[#This Row],[Cliente]],'[1]Facturacion a Fecha'!$AX:$AX,"Preventivo")</f>
        <v>0</v>
      </c>
      <c r="G316" s="25">
        <f>+COUNTIFS('[1]Facturacion a Fecha'!AY:AY,Tabla1[[#This Row],[Cliente]],'[1]Facturacion a Fecha'!AX:AX,"Preventivo")</f>
        <v>0</v>
      </c>
      <c r="H316" s="26">
        <f>+Tabla1[[#This Row],['# Preventivo]]+Tabla1[[#This Row],['# Correctivo]]</f>
        <v>0</v>
      </c>
      <c r="I316" s="23">
        <f>+IFERROR(Tabla1[[#This Row],[Ingreso 2025 - 2026 Correctivo]]/Tabla1[[#This Row],[Ingreso 2025 - 2026 Preventivo]],0)</f>
        <v>0</v>
      </c>
      <c r="J316" s="59">
        <f>+IFERROR(Tabla1[[#This Row],['# Correctivo]]/Tabla1[[#This Row],['# Preventivo]],0)</f>
        <v>0</v>
      </c>
      <c r="K316" s="60">
        <f>+IFERROR(Tabla1[[#This Row],[Ingreso 2025 - 2026 Preventivo]]/(Tabla1[[#This Row],[Ingreso 2025 - 2026 Correctivo]]+Tabla1[[#This Row],[Ingreso 2025 - 2026 Preventivo]]),0)</f>
        <v>0</v>
      </c>
      <c r="L316" s="60">
        <f>1-Tabla1[[#This Row],[% Preventivo $]]</f>
        <v>1</v>
      </c>
      <c r="M316" s="45">
        <f>+COUNTIFS('[1]Base Instalada'!AA:AA,Tabla1[[#This Row],[Cliente]])</f>
        <v>8</v>
      </c>
      <c r="N316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6" s="45">
        <f>+COUNTIFS('[1]Base Instalada'!AA:AA,Tabla1[[#This Row],[Cliente]],'[1]Base Instalada'!Z:Z,"ESTERILIZACIÓN")</f>
        <v>1</v>
      </c>
      <c r="P316" s="45">
        <f>+COUNTIFS('[1]Base Instalada'!AA:AA,Tabla1[[#This Row],[Cliente]],'[1]Base Instalada'!Z:Z,"DENTAL")</f>
        <v>0</v>
      </c>
      <c r="Q316" s="45">
        <f>+COUNTIFS('[1]Base Instalada'!AA:AA,Tabla1[[#This Row],[Cliente]],'[1]Base Instalada'!Z:Z,"ENDOSCOPÍA")</f>
        <v>0</v>
      </c>
      <c r="R316" s="45">
        <f>+COUNTIFS('[1]Base Instalada'!AA:AA,Tabla1[[#This Row],[Cliente]],'[1]Base Instalada'!Z:Z,"INCARDIA")</f>
        <v>0</v>
      </c>
      <c r="S316" s="45">
        <f>+COUNTIFS('[1]Base Instalada'!AA:AA,Tabla1[[#This Row],[Cliente]],'[1]Base Instalada'!Z:Z,"MMQ")</f>
        <v>0</v>
      </c>
      <c r="T316" s="45">
        <f>+COUNTIFS('[1]Base Instalada'!AA:AA,Tabla1[[#This Row],[Cliente]],'[1]Base Instalada'!Z:Z,"REAS")</f>
        <v>0</v>
      </c>
      <c r="U316" s="46">
        <f>+COUNTIFS('[1]Base Instalada'!AA:AA,Tabla1[[#This Row],[Cliente]],'[1]Base Instalada'!Z:Z,"MOBILIARIO CLINICO")</f>
        <v>7</v>
      </c>
      <c r="V316" s="29">
        <f>+COUNTIFS('[1]Base Instalada'!AA:AA,Tabla1[[#This Row],[Cliente]],'[1]Base Instalada'!Z:Z,"OTRO")</f>
        <v>0</v>
      </c>
      <c r="W316" s="61" t="str">
        <f t="shared" si="10"/>
        <v>Región Metropolitana</v>
      </c>
      <c r="X316" s="61" t="str">
        <f t="shared" si="11"/>
        <v>Providencia</v>
      </c>
      <c r="Y316" s="62" t="s">
        <v>666</v>
      </c>
      <c r="Z316" s="33">
        <f>+COUNTIFS('[1]Pipeline TS'!$F:$F,Tabla1[[#This Row],[Cliente]])</f>
        <v>0</v>
      </c>
      <c r="AA316" s="63">
        <f>SUMIFS('[1]Pipeline Esterilización'!M:M,'[1]Pipeline Esterilización'!E:E,Tabla1[[#This Row],[Cliente]],'[1]Pipeline Esterilización'!B:B,"2026",'[1]Pipeline Esterilización'!L:L,"&gt;0")</f>
        <v>65000000</v>
      </c>
      <c r="AB316" s="33">
        <f>+SUMIFS('[1]Pipeline Endoscopía'!K:K,'[1]Pipeline Endoscopía'!E:E,Tabla1[[#This Row],[Cliente]],'[1]Pipeline Endoscopía'!B:B,"2026",'[1]Pipeline Endoscopía'!J:J,"&gt;0")</f>
        <v>0</v>
      </c>
      <c r="AC316" s="63">
        <f>+SUMIFS('[1]Pipeline Dental'!K:K,'[1]Pipeline Dental'!E:E,Tabla1[[#This Row],[Cliente]],'[1]Pipeline Dental'!B:B,"2026",'[1]Pipeline Dental'!J:J,"&gt;0")</f>
        <v>0</v>
      </c>
      <c r="AD316" s="64">
        <f>+SUMIFS('[1]Pipeline TS'!$AB:$AB,'[1]Pipeline TS'!$F:$F,Tabla1[[#This Row],[Cliente]])</f>
        <v>0</v>
      </c>
      <c r="AE316" s="65">
        <f>+SUM(Tabla1[[#This Row],[Pipeline 2026 $MM ESTERILIZACIÓN]:[Pipeline 2026 $MM TECSERVICE]])</f>
        <v>65000000</v>
      </c>
      <c r="AF316" s="43">
        <v>-33.424535164117998</v>
      </c>
      <c r="AG316" s="58">
        <v>-70.611875803765997</v>
      </c>
      <c r="AH316" s="57" t="str">
        <f>+IF(Tabla1[[#This Row],['# Contratos Vigentes ]]&gt;0,"SI","NO")</f>
        <v>NO</v>
      </c>
      <c r="AI316" s="66"/>
      <c r="AJ316" s="67">
        <f>+Tabla1[[#This Row],[Ingreso 2025 - 2026]]*Tabla1[[#This Row],[% Costo Serv. Directo]]</f>
        <v>0</v>
      </c>
      <c r="AK316" s="68"/>
      <c r="AL316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6500000</v>
      </c>
      <c r="AM316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1997000</v>
      </c>
      <c r="AN316" s="42">
        <f>+Tabla1[[#This Row],[Potencial Equipos]]+Tabla1[[#This Row],[Potencial Pipeline]]</f>
        <v>8497000</v>
      </c>
    </row>
    <row r="317" spans="1:40" ht="15.75" x14ac:dyDescent="0.25">
      <c r="A317" s="47" t="s">
        <v>667</v>
      </c>
      <c r="B317" t="str">
        <f>+VLOOKUP(Tabla1[[#This Row],[Cliente]],'[1]Público Privado'!$A$1:$B$325,2,FALSE)</f>
        <v>Público</v>
      </c>
      <c r="C317" s="23">
        <f>+SUMIFS('[1]Facturacion a Fecha'!$T:$T,'[1]Facturacion a Fecha'!$AY:$AY,Tabla1[[#This Row],[Cliente]])</f>
        <v>0</v>
      </c>
      <c r="D317" s="24">
        <f>+SUMIFS('[1]Facturacion a Fecha'!$T:$T,'[1]Facturacion a Fecha'!$AY:$AY,Tabla1[[#This Row],[Cliente]],'[1]Facturacion a Fecha'!$AX:$AX,"Correctivo")</f>
        <v>0</v>
      </c>
      <c r="E317" s="25">
        <f>+COUNTIFS('[1]Facturacion a Fecha'!AY:AY,Tabla1[[#This Row],[Cliente]],'[1]Facturacion a Fecha'!AX:AX,"Correctivo")</f>
        <v>0</v>
      </c>
      <c r="F317" s="25">
        <f>+SUMIFS('[1]Facturacion a Fecha'!$T:$T,'[1]Facturacion a Fecha'!$AY:$AY,Tabla1[[#This Row],[Cliente]],'[1]Facturacion a Fecha'!$AX:$AX,"Preventivo")</f>
        <v>0</v>
      </c>
      <c r="G317" s="25">
        <f>+COUNTIFS('[1]Facturacion a Fecha'!AY:AY,Tabla1[[#This Row],[Cliente]],'[1]Facturacion a Fecha'!AX:AX,"Preventivo")</f>
        <v>0</v>
      </c>
      <c r="H317" s="26">
        <f>+Tabla1[[#This Row],['# Preventivo]]+Tabla1[[#This Row],['# Correctivo]]</f>
        <v>0</v>
      </c>
      <c r="I317" s="23">
        <f>+IFERROR(Tabla1[[#This Row],[Ingreso 2025 - 2026 Correctivo]]/Tabla1[[#This Row],[Ingreso 2025 - 2026 Preventivo]],0)</f>
        <v>0</v>
      </c>
      <c r="J317" s="59">
        <f>+IFERROR(Tabla1[[#This Row],['# Correctivo]]/Tabla1[[#This Row],['# Preventivo]],0)</f>
        <v>0</v>
      </c>
      <c r="K317" s="60">
        <f>+IFERROR(Tabla1[[#This Row],[Ingreso 2025 - 2026 Preventivo]]/(Tabla1[[#This Row],[Ingreso 2025 - 2026 Correctivo]]+Tabla1[[#This Row],[Ingreso 2025 - 2026 Preventivo]]),0)</f>
        <v>0</v>
      </c>
      <c r="L317" s="60">
        <f>1-Tabla1[[#This Row],[% Preventivo $]]</f>
        <v>1</v>
      </c>
      <c r="M317" s="45">
        <f>+COUNTIFS('[1]Base Instalada'!AA:AA,Tabla1[[#This Row],[Cliente]])</f>
        <v>5</v>
      </c>
      <c r="N317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7" s="45">
        <f>+COUNTIFS('[1]Base Instalada'!AA:AA,Tabla1[[#This Row],[Cliente]],'[1]Base Instalada'!Z:Z,"ESTERILIZACIÓN")</f>
        <v>0</v>
      </c>
      <c r="P317" s="45">
        <f>+COUNTIFS('[1]Base Instalada'!AA:AA,Tabla1[[#This Row],[Cliente]],'[1]Base Instalada'!Z:Z,"DENTAL")</f>
        <v>5</v>
      </c>
      <c r="Q317" s="45">
        <f>+COUNTIFS('[1]Base Instalada'!AA:AA,Tabla1[[#This Row],[Cliente]],'[1]Base Instalada'!Z:Z,"ENDOSCOPÍA")</f>
        <v>0</v>
      </c>
      <c r="R317" s="45">
        <f>+COUNTIFS('[1]Base Instalada'!AA:AA,Tabla1[[#This Row],[Cliente]],'[1]Base Instalada'!Z:Z,"INCARDIA")</f>
        <v>0</v>
      </c>
      <c r="S317" s="45">
        <f>+COUNTIFS('[1]Base Instalada'!AA:AA,Tabla1[[#This Row],[Cliente]],'[1]Base Instalada'!Z:Z,"MMQ")</f>
        <v>0</v>
      </c>
      <c r="T317" s="45">
        <f>+COUNTIFS('[1]Base Instalada'!AA:AA,Tabla1[[#This Row],[Cliente]],'[1]Base Instalada'!Z:Z,"REAS")</f>
        <v>0</v>
      </c>
      <c r="U317" s="46">
        <f>+COUNTIFS('[1]Base Instalada'!AA:AA,Tabla1[[#This Row],[Cliente]],'[1]Base Instalada'!Z:Z,"MOBILIARIO CLINICO")</f>
        <v>0</v>
      </c>
      <c r="V317" s="29">
        <f>+COUNTIFS('[1]Base Instalada'!AA:AA,Tabla1[[#This Row],[Cliente]],'[1]Base Instalada'!Z:Z,"OTRO")</f>
        <v>0</v>
      </c>
      <c r="W317" s="61" t="str">
        <f t="shared" si="10"/>
        <v>Región Maule</v>
      </c>
      <c r="X317" s="61" t="str">
        <f t="shared" si="11"/>
        <v>Sagrada Familia</v>
      </c>
      <c r="Y317" s="62" t="s">
        <v>668</v>
      </c>
      <c r="Z317" s="33">
        <f>+COUNTIFS('[1]Pipeline TS'!$F:$F,Tabla1[[#This Row],[Cliente]])</f>
        <v>0</v>
      </c>
      <c r="AA317" s="63">
        <f>SUMIFS('[1]Pipeline Esterilización'!M:M,'[1]Pipeline Esterilización'!E:E,Tabla1[[#This Row],[Cliente]],'[1]Pipeline Esterilización'!B:B,"2026",'[1]Pipeline Esterilización'!L:L,"&gt;0")</f>
        <v>0</v>
      </c>
      <c r="AB317" s="33">
        <f>+SUMIFS('[1]Pipeline Endoscopía'!K:K,'[1]Pipeline Endoscopía'!E:E,Tabla1[[#This Row],[Cliente]],'[1]Pipeline Endoscopía'!B:B,"2026",'[1]Pipeline Endoscopía'!J:J,"&gt;0")</f>
        <v>0</v>
      </c>
      <c r="AC317" s="63">
        <f>+SUMIFS('[1]Pipeline Dental'!K:K,'[1]Pipeline Dental'!E:E,Tabla1[[#This Row],[Cliente]],'[1]Pipeline Dental'!B:B,"2026",'[1]Pipeline Dental'!J:J,"&gt;0")</f>
        <v>0</v>
      </c>
      <c r="AD317" s="64">
        <f>+SUMIFS('[1]Pipeline TS'!$AB:$AB,'[1]Pipeline TS'!$F:$F,Tabla1[[#This Row],[Cliente]])</f>
        <v>0</v>
      </c>
      <c r="AE317" s="65">
        <f>+SUM(Tabla1[[#This Row],[Pipeline 2026 $MM ESTERILIZACIÓN]:[Pipeline 2026 $MM TECSERVICE]])</f>
        <v>0</v>
      </c>
      <c r="AF317" s="43">
        <v>-34.9991530034698</v>
      </c>
      <c r="AG317" s="58">
        <v>-71.381473519635193</v>
      </c>
      <c r="AH317" s="57" t="str">
        <f>+IF(Tabla1[[#This Row],['# Contratos Vigentes ]]&gt;0,"SI","NO")</f>
        <v>NO</v>
      </c>
      <c r="AI317" s="66"/>
      <c r="AJ317" s="67">
        <f>+Tabla1[[#This Row],[Ingreso 2025 - 2026]]*Tabla1[[#This Row],[% Costo Serv. Directo]]</f>
        <v>0</v>
      </c>
      <c r="AK317" s="68"/>
      <c r="AL317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17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2995500</v>
      </c>
      <c r="AN317" s="42">
        <f>+Tabla1[[#This Row],[Potencial Equipos]]+Tabla1[[#This Row],[Potencial Pipeline]]</f>
        <v>2995500</v>
      </c>
    </row>
    <row r="318" spans="1:40" ht="15.75" x14ac:dyDescent="0.25">
      <c r="A318" s="47" t="s">
        <v>669</v>
      </c>
      <c r="B318" t="str">
        <f>+VLOOKUP(Tabla1[[#This Row],[Cliente]],'[1]Público Privado'!$A$1:$B$325,2,FALSE)</f>
        <v>Privado</v>
      </c>
      <c r="C318" s="23">
        <f>+SUMIFS('[1]Facturacion a Fecha'!$T:$T,'[1]Facturacion a Fecha'!$AY:$AY,Tabla1[[#This Row],[Cliente]])</f>
        <v>817978</v>
      </c>
      <c r="D318" s="24">
        <f>+SUMIFS('[1]Facturacion a Fecha'!$T:$T,'[1]Facturacion a Fecha'!$AY:$AY,Tabla1[[#This Row],[Cliente]],'[1]Facturacion a Fecha'!$AX:$AX,"Correctivo")</f>
        <v>817978</v>
      </c>
      <c r="E318" s="25">
        <f>+COUNTIFS('[1]Facturacion a Fecha'!AY:AY,Tabla1[[#This Row],[Cliente]],'[1]Facturacion a Fecha'!AX:AX,"Correctivo")</f>
        <v>2</v>
      </c>
      <c r="F318" s="25">
        <f>+SUMIFS('[1]Facturacion a Fecha'!$T:$T,'[1]Facturacion a Fecha'!$AY:$AY,Tabla1[[#This Row],[Cliente]],'[1]Facturacion a Fecha'!$AX:$AX,"Preventivo")</f>
        <v>0</v>
      </c>
      <c r="G318" s="25">
        <f>+COUNTIFS('[1]Facturacion a Fecha'!AY:AY,Tabla1[[#This Row],[Cliente]],'[1]Facturacion a Fecha'!AX:AX,"Preventivo")</f>
        <v>0</v>
      </c>
      <c r="H318" s="26">
        <f>+Tabla1[[#This Row],['# Preventivo]]+Tabla1[[#This Row],['# Correctivo]]</f>
        <v>2</v>
      </c>
      <c r="I318" s="23">
        <f>+IFERROR(Tabla1[[#This Row],[Ingreso 2025 - 2026 Correctivo]]/Tabla1[[#This Row],[Ingreso 2025 - 2026 Preventivo]],0)</f>
        <v>0</v>
      </c>
      <c r="J318" s="59">
        <f>+IFERROR(Tabla1[[#This Row],['# Correctivo]]/Tabla1[[#This Row],['# Preventivo]],0)</f>
        <v>0</v>
      </c>
      <c r="K318" s="60">
        <f>+IFERROR(Tabla1[[#This Row],[Ingreso 2025 - 2026 Preventivo]]/(Tabla1[[#This Row],[Ingreso 2025 - 2026 Correctivo]]+Tabla1[[#This Row],[Ingreso 2025 - 2026 Preventivo]]),0)</f>
        <v>0</v>
      </c>
      <c r="L318" s="60">
        <f>1-Tabla1[[#This Row],[% Preventivo $]]</f>
        <v>1</v>
      </c>
      <c r="M318" s="45">
        <f>+COUNTIFS('[1]Base Instalada'!AA:AA,Tabla1[[#This Row],[Cliente]])</f>
        <v>5</v>
      </c>
      <c r="N318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8" s="45">
        <f>+COUNTIFS('[1]Base Instalada'!AA:AA,Tabla1[[#This Row],[Cliente]],'[1]Base Instalada'!Z:Z,"ESTERILIZACIÓN")</f>
        <v>5</v>
      </c>
      <c r="P318" s="45">
        <f>+COUNTIFS('[1]Base Instalada'!AA:AA,Tabla1[[#This Row],[Cliente]],'[1]Base Instalada'!Z:Z,"DENTAL")</f>
        <v>0</v>
      </c>
      <c r="Q318" s="45">
        <f>+COUNTIFS('[1]Base Instalada'!AA:AA,Tabla1[[#This Row],[Cliente]],'[1]Base Instalada'!Z:Z,"ENDOSCOPÍA")</f>
        <v>0</v>
      </c>
      <c r="R318" s="45">
        <f>+COUNTIFS('[1]Base Instalada'!AA:AA,Tabla1[[#This Row],[Cliente]],'[1]Base Instalada'!Z:Z,"INCARDIA")</f>
        <v>0</v>
      </c>
      <c r="S318" s="45">
        <f>+COUNTIFS('[1]Base Instalada'!AA:AA,Tabla1[[#This Row],[Cliente]],'[1]Base Instalada'!Z:Z,"MMQ")</f>
        <v>0</v>
      </c>
      <c r="T318" s="45">
        <f>+COUNTIFS('[1]Base Instalada'!AA:AA,Tabla1[[#This Row],[Cliente]],'[1]Base Instalada'!Z:Z,"REAS")</f>
        <v>0</v>
      </c>
      <c r="U318" s="46">
        <f>+COUNTIFS('[1]Base Instalada'!AA:AA,Tabla1[[#This Row],[Cliente]],'[1]Base Instalada'!Z:Z,"MOBILIARIO CLINICO")</f>
        <v>0</v>
      </c>
      <c r="V318" s="29">
        <f>+COUNTIFS('[1]Base Instalada'!AA:AA,Tabla1[[#This Row],[Cliente]],'[1]Base Instalada'!Z:Z,"OTRO")</f>
        <v>0</v>
      </c>
      <c r="W318" s="61" t="str">
        <f t="shared" si="10"/>
        <v>Región Metropolitana</v>
      </c>
      <c r="X318" s="61" t="str">
        <f t="shared" si="11"/>
        <v>Estación Central</v>
      </c>
      <c r="Y318" s="62" t="s">
        <v>670</v>
      </c>
      <c r="Z318" s="33">
        <f>+COUNTIFS('[1]Pipeline TS'!$F:$F,Tabla1[[#This Row],[Cliente]])</f>
        <v>0</v>
      </c>
      <c r="AA318" s="63">
        <f>SUMIFS('[1]Pipeline Esterilización'!M:M,'[1]Pipeline Esterilización'!E:E,Tabla1[[#This Row],[Cliente]],'[1]Pipeline Esterilización'!B:B,"2026",'[1]Pipeline Esterilización'!L:L,"&gt;0")</f>
        <v>0</v>
      </c>
      <c r="AB318" s="33">
        <f>+SUMIFS('[1]Pipeline Endoscopía'!K:K,'[1]Pipeline Endoscopía'!E:E,Tabla1[[#This Row],[Cliente]],'[1]Pipeline Endoscopía'!B:B,"2026",'[1]Pipeline Endoscopía'!J:J,"&gt;0")</f>
        <v>0</v>
      </c>
      <c r="AC318" s="63">
        <f>+SUMIFS('[1]Pipeline Dental'!K:K,'[1]Pipeline Dental'!E:E,Tabla1[[#This Row],[Cliente]],'[1]Pipeline Dental'!B:B,"2026",'[1]Pipeline Dental'!J:J,"&gt;0")</f>
        <v>0</v>
      </c>
      <c r="AD318" s="64">
        <f>+SUMIFS('[1]Pipeline TS'!$AB:$AB,'[1]Pipeline TS'!$F:$F,Tabla1[[#This Row],[Cliente]])</f>
        <v>0</v>
      </c>
      <c r="AE318" s="65">
        <f>+SUM(Tabla1[[#This Row],[Pipeline 2026 $MM ESTERILIZACIÓN]:[Pipeline 2026 $MM TECSERVICE]])</f>
        <v>0</v>
      </c>
      <c r="AF318" s="43">
        <v>-33.428363153178097</v>
      </c>
      <c r="AG318" s="58">
        <v>-70.782916091032305</v>
      </c>
      <c r="AH318" s="57" t="str">
        <f>+IF(Tabla1[[#This Row],['# Contratos Vigentes ]]&gt;0,"SI","NO")</f>
        <v>NO</v>
      </c>
      <c r="AI318" s="66"/>
      <c r="AJ318" s="67">
        <f>+Tabla1[[#This Row],[Ingreso 2025 - 2026]]*Tabla1[[#This Row],[% Costo Serv. Directo]]</f>
        <v>0</v>
      </c>
      <c r="AK318" s="68"/>
      <c r="AL318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18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9985000</v>
      </c>
      <c r="AN318" s="42">
        <f>+Tabla1[[#This Row],[Potencial Equipos]]+Tabla1[[#This Row],[Potencial Pipeline]]</f>
        <v>9985000</v>
      </c>
    </row>
    <row r="319" spans="1:40" ht="15.75" x14ac:dyDescent="0.25">
      <c r="A319" s="47" t="s">
        <v>671</v>
      </c>
      <c r="B319" t="str">
        <f>+VLOOKUP(Tabla1[[#This Row],[Cliente]],'[1]Público Privado'!$A$1:$B$325,2,FALSE)</f>
        <v>Privado</v>
      </c>
      <c r="C319" s="23">
        <f>+SUMIFS('[1]Facturacion a Fecha'!$T:$T,'[1]Facturacion a Fecha'!$AY:$AY,Tabla1[[#This Row],[Cliente]])</f>
        <v>0</v>
      </c>
      <c r="D319" s="24">
        <f>+SUMIFS('[1]Facturacion a Fecha'!$T:$T,'[1]Facturacion a Fecha'!$AY:$AY,Tabla1[[#This Row],[Cliente]],'[1]Facturacion a Fecha'!$AX:$AX,"Correctivo")</f>
        <v>0</v>
      </c>
      <c r="E319" s="25">
        <f>+COUNTIFS('[1]Facturacion a Fecha'!AY:AY,Tabla1[[#This Row],[Cliente]],'[1]Facturacion a Fecha'!AX:AX,"Correctivo")</f>
        <v>0</v>
      </c>
      <c r="F319" s="25">
        <f>+SUMIFS('[1]Facturacion a Fecha'!$T:$T,'[1]Facturacion a Fecha'!$AY:$AY,Tabla1[[#This Row],[Cliente]],'[1]Facturacion a Fecha'!$AX:$AX,"Preventivo")</f>
        <v>0</v>
      </c>
      <c r="G319" s="25">
        <f>+COUNTIFS('[1]Facturacion a Fecha'!AY:AY,Tabla1[[#This Row],[Cliente]],'[1]Facturacion a Fecha'!AX:AX,"Preventivo")</f>
        <v>0</v>
      </c>
      <c r="H319" s="26">
        <f>+Tabla1[[#This Row],['# Preventivo]]+Tabla1[[#This Row],['# Correctivo]]</f>
        <v>0</v>
      </c>
      <c r="I319" s="23">
        <f>+IFERROR(Tabla1[[#This Row],[Ingreso 2025 - 2026 Correctivo]]/Tabla1[[#This Row],[Ingreso 2025 - 2026 Preventivo]],0)</f>
        <v>0</v>
      </c>
      <c r="J319" s="59">
        <f>+IFERROR(Tabla1[[#This Row],['# Correctivo]]/Tabla1[[#This Row],['# Preventivo]],0)</f>
        <v>0</v>
      </c>
      <c r="K319" s="60">
        <f>+IFERROR(Tabla1[[#This Row],[Ingreso 2025 - 2026 Preventivo]]/(Tabla1[[#This Row],[Ingreso 2025 - 2026 Correctivo]]+Tabla1[[#This Row],[Ingreso 2025 - 2026 Preventivo]]),0)</f>
        <v>0</v>
      </c>
      <c r="L319" s="60">
        <f>1-Tabla1[[#This Row],[% Preventivo $]]</f>
        <v>1</v>
      </c>
      <c r="M319" s="45">
        <f>+COUNTIFS('[1]Base Instalada'!AA:AA,Tabla1[[#This Row],[Cliente]])</f>
        <v>8</v>
      </c>
      <c r="N319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19" s="45">
        <f>+COUNTIFS('[1]Base Instalada'!AA:AA,Tabla1[[#This Row],[Cliente]],'[1]Base Instalada'!Z:Z,"ESTERILIZACIÓN")</f>
        <v>0</v>
      </c>
      <c r="P319" s="45">
        <f>+COUNTIFS('[1]Base Instalada'!AA:AA,Tabla1[[#This Row],[Cliente]],'[1]Base Instalada'!Z:Z,"DENTAL")</f>
        <v>7</v>
      </c>
      <c r="Q319" s="45">
        <f>+COUNTIFS('[1]Base Instalada'!AA:AA,Tabla1[[#This Row],[Cliente]],'[1]Base Instalada'!Z:Z,"ENDOSCOPÍA")</f>
        <v>1</v>
      </c>
      <c r="R319" s="45">
        <f>+COUNTIFS('[1]Base Instalada'!AA:AA,Tabla1[[#This Row],[Cliente]],'[1]Base Instalada'!Z:Z,"INCARDIA")</f>
        <v>0</v>
      </c>
      <c r="S319" s="45">
        <f>+COUNTIFS('[1]Base Instalada'!AA:AA,Tabla1[[#This Row],[Cliente]],'[1]Base Instalada'!Z:Z,"MMQ")</f>
        <v>0</v>
      </c>
      <c r="T319" s="45">
        <f>+COUNTIFS('[1]Base Instalada'!AA:AA,Tabla1[[#This Row],[Cliente]],'[1]Base Instalada'!Z:Z,"REAS")</f>
        <v>0</v>
      </c>
      <c r="U319" s="46">
        <f>+COUNTIFS('[1]Base Instalada'!AA:AA,Tabla1[[#This Row],[Cliente]],'[1]Base Instalada'!Z:Z,"MOBILIARIO CLINICO")</f>
        <v>0</v>
      </c>
      <c r="V319" s="29">
        <f>+COUNTIFS('[1]Base Instalada'!AA:AA,Tabla1[[#This Row],[Cliente]],'[1]Base Instalada'!Z:Z,"OTRO")</f>
        <v>0</v>
      </c>
      <c r="W319" s="61" t="str">
        <f t="shared" si="10"/>
        <v>Región Metropolitana</v>
      </c>
      <c r="X319" s="61" t="str">
        <f t="shared" si="11"/>
        <v>Santiago</v>
      </c>
      <c r="Y319" s="62" t="s">
        <v>672</v>
      </c>
      <c r="Z319" s="33">
        <f>+COUNTIFS('[1]Pipeline TS'!$F:$F,Tabla1[[#This Row],[Cliente]])</f>
        <v>0</v>
      </c>
      <c r="AA319" s="63">
        <f>SUMIFS('[1]Pipeline Esterilización'!M:M,'[1]Pipeline Esterilización'!E:E,Tabla1[[#This Row],[Cliente]],'[1]Pipeline Esterilización'!B:B,"2026",'[1]Pipeline Esterilización'!L:L,"&gt;0")</f>
        <v>0</v>
      </c>
      <c r="AB319" s="33">
        <f>+SUMIFS('[1]Pipeline Endoscopía'!K:K,'[1]Pipeline Endoscopía'!E:E,Tabla1[[#This Row],[Cliente]],'[1]Pipeline Endoscopía'!B:B,"2026",'[1]Pipeline Endoscopía'!J:J,"&gt;0")</f>
        <v>0</v>
      </c>
      <c r="AC319" s="63">
        <f>+SUMIFS('[1]Pipeline Dental'!K:K,'[1]Pipeline Dental'!E:E,Tabla1[[#This Row],[Cliente]],'[1]Pipeline Dental'!B:B,"2026",'[1]Pipeline Dental'!J:J,"&gt;0")</f>
        <v>0</v>
      </c>
      <c r="AD319" s="64">
        <f>+SUMIFS('[1]Pipeline TS'!$AB:$AB,'[1]Pipeline TS'!$F:$F,Tabla1[[#This Row],[Cliente]])</f>
        <v>0</v>
      </c>
      <c r="AE319" s="65">
        <f>+SUM(Tabla1[[#This Row],[Pipeline 2026 $MM ESTERILIZACIÓN]:[Pipeline 2026 $MM TECSERVICE]])</f>
        <v>0</v>
      </c>
      <c r="AF319" s="43">
        <v>-33.444426064583197</v>
      </c>
      <c r="AG319" s="58">
        <v>-70.646066846854794</v>
      </c>
      <c r="AH319" s="57" t="str">
        <f>+IF(Tabla1[[#This Row],['# Contratos Vigentes ]]&gt;0,"SI","NO")</f>
        <v>NO</v>
      </c>
      <c r="AI319" s="66"/>
      <c r="AJ319" s="67">
        <f>+Tabla1[[#This Row],[Ingreso 2025 - 2026]]*Tabla1[[#This Row],[% Costo Serv. Directo]]</f>
        <v>0</v>
      </c>
      <c r="AK319" s="68"/>
      <c r="AL319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19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5053946.153846154</v>
      </c>
      <c r="AN319" s="42">
        <f>+Tabla1[[#This Row],[Potencial Equipos]]+Tabla1[[#This Row],[Potencial Pipeline]]</f>
        <v>5053946.153846154</v>
      </c>
    </row>
    <row r="320" spans="1:40" ht="15.75" x14ac:dyDescent="0.25">
      <c r="A320" s="47" t="s">
        <v>673</v>
      </c>
      <c r="B320" t="str">
        <f>+VLOOKUP(Tabla1[[#This Row],[Cliente]],'[1]Público Privado'!$A$1:$B$325,2,FALSE)</f>
        <v>Privado</v>
      </c>
      <c r="C320" s="23">
        <f>+SUMIFS('[1]Facturacion a Fecha'!$T:$T,'[1]Facturacion a Fecha'!$AY:$AY,Tabla1[[#This Row],[Cliente]])</f>
        <v>3551373</v>
      </c>
      <c r="D320" s="24">
        <f>+SUMIFS('[1]Facturacion a Fecha'!$T:$T,'[1]Facturacion a Fecha'!$AY:$AY,Tabla1[[#This Row],[Cliente]],'[1]Facturacion a Fecha'!$AX:$AX,"Correctivo")</f>
        <v>2726765</v>
      </c>
      <c r="E320" s="25">
        <f>+COUNTIFS('[1]Facturacion a Fecha'!AY:AY,Tabla1[[#This Row],[Cliente]],'[1]Facturacion a Fecha'!AX:AX,"Correctivo")</f>
        <v>4</v>
      </c>
      <c r="F320" s="25">
        <f>+SUMIFS('[1]Facturacion a Fecha'!$T:$T,'[1]Facturacion a Fecha'!$AY:$AY,Tabla1[[#This Row],[Cliente]],'[1]Facturacion a Fecha'!$AX:$AX,"Preventivo")</f>
        <v>824608</v>
      </c>
      <c r="G320" s="25">
        <f>+COUNTIFS('[1]Facturacion a Fecha'!AY:AY,Tabla1[[#This Row],[Cliente]],'[1]Facturacion a Fecha'!AX:AX,"Preventivo")</f>
        <v>1</v>
      </c>
      <c r="H320" s="26">
        <f>+Tabla1[[#This Row],['# Preventivo]]+Tabla1[[#This Row],['# Correctivo]]</f>
        <v>5</v>
      </c>
      <c r="I320" s="23">
        <f>+IFERROR(Tabla1[[#This Row],[Ingreso 2025 - 2026 Correctivo]]/Tabla1[[#This Row],[Ingreso 2025 - 2026 Preventivo]],0)</f>
        <v>3.3067408999185068</v>
      </c>
      <c r="J320" s="59">
        <f>+IFERROR(Tabla1[[#This Row],['# Correctivo]]/Tabla1[[#This Row],['# Preventivo]],0)</f>
        <v>4</v>
      </c>
      <c r="K320" s="60">
        <f>+IFERROR(Tabla1[[#This Row],[Ingreso 2025 - 2026 Preventivo]]/(Tabla1[[#This Row],[Ingreso 2025 - 2026 Correctivo]]+Tabla1[[#This Row],[Ingreso 2025 - 2026 Preventivo]]),0)</f>
        <v>0.23219414012552328</v>
      </c>
      <c r="L320" s="60">
        <f>1-Tabla1[[#This Row],[% Preventivo $]]</f>
        <v>0.76780585987447669</v>
      </c>
      <c r="M320" s="45">
        <f>+COUNTIFS('[1]Base Instalada'!AA:AA,Tabla1[[#This Row],[Cliente]])</f>
        <v>10</v>
      </c>
      <c r="N320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20" s="45">
        <f>+COUNTIFS('[1]Base Instalada'!AA:AA,Tabla1[[#This Row],[Cliente]],'[1]Base Instalada'!Z:Z,"ESTERILIZACIÓN")</f>
        <v>0</v>
      </c>
      <c r="P320" s="45">
        <f>+COUNTIFS('[1]Base Instalada'!AA:AA,Tabla1[[#This Row],[Cliente]],'[1]Base Instalada'!Z:Z,"DENTAL")</f>
        <v>0</v>
      </c>
      <c r="Q320" s="45">
        <f>+COUNTIFS('[1]Base Instalada'!AA:AA,Tabla1[[#This Row],[Cliente]],'[1]Base Instalada'!Z:Z,"ENDOSCOPÍA")</f>
        <v>6</v>
      </c>
      <c r="R320" s="45">
        <f>+COUNTIFS('[1]Base Instalada'!AA:AA,Tabla1[[#This Row],[Cliente]],'[1]Base Instalada'!Z:Z,"INCARDIA")</f>
        <v>4</v>
      </c>
      <c r="S320" s="45">
        <f>+COUNTIFS('[1]Base Instalada'!AA:AA,Tabla1[[#This Row],[Cliente]],'[1]Base Instalada'!Z:Z,"MMQ")</f>
        <v>0</v>
      </c>
      <c r="T320" s="45">
        <f>+COUNTIFS('[1]Base Instalada'!AA:AA,Tabla1[[#This Row],[Cliente]],'[1]Base Instalada'!Z:Z,"REAS")</f>
        <v>0</v>
      </c>
      <c r="U320" s="46">
        <f>+COUNTIFS('[1]Base Instalada'!AA:AA,Tabla1[[#This Row],[Cliente]],'[1]Base Instalada'!Z:Z,"MOBILIARIO CLINICO")</f>
        <v>0</v>
      </c>
      <c r="V320" s="29">
        <f>+COUNTIFS('[1]Base Instalada'!AA:AA,Tabla1[[#This Row],[Cliente]],'[1]Base Instalada'!Z:Z,"OTRO")</f>
        <v>0</v>
      </c>
      <c r="W320" s="61" t="str">
        <f t="shared" si="10"/>
        <v>Región Coquimbo</v>
      </c>
      <c r="X320" s="61" t="str">
        <f t="shared" si="11"/>
        <v>La Serena</v>
      </c>
      <c r="Y320" s="62" t="s">
        <v>674</v>
      </c>
      <c r="Z320" s="33">
        <f>+COUNTIFS('[1]Pipeline TS'!$F:$F,Tabla1[[#This Row],[Cliente]])</f>
        <v>0</v>
      </c>
      <c r="AA320" s="63">
        <f>SUMIFS('[1]Pipeline Esterilización'!M:M,'[1]Pipeline Esterilización'!E:E,Tabla1[[#This Row],[Cliente]],'[1]Pipeline Esterilización'!B:B,"2026",'[1]Pipeline Esterilización'!L:L,"&gt;0")</f>
        <v>0</v>
      </c>
      <c r="AB320" s="33">
        <f>+SUMIFS('[1]Pipeline Endoscopía'!K:K,'[1]Pipeline Endoscopía'!E:E,Tabla1[[#This Row],[Cliente]],'[1]Pipeline Endoscopía'!B:B,"2026",'[1]Pipeline Endoscopía'!J:J,"&gt;0")</f>
        <v>0</v>
      </c>
      <c r="AC320" s="63">
        <f>+SUMIFS('[1]Pipeline Dental'!K:K,'[1]Pipeline Dental'!E:E,Tabla1[[#This Row],[Cliente]],'[1]Pipeline Dental'!B:B,"2026",'[1]Pipeline Dental'!J:J,"&gt;0")</f>
        <v>0</v>
      </c>
      <c r="AD320" s="64">
        <f>+SUMIFS('[1]Pipeline TS'!$AB:$AB,'[1]Pipeline TS'!$F:$F,Tabla1[[#This Row],[Cliente]])</f>
        <v>0</v>
      </c>
      <c r="AE320" s="65">
        <f>+SUM(Tabla1[[#This Row],[Pipeline 2026 $MM ESTERILIZACIÓN]:[Pipeline 2026 $MM TECSERVICE]])</f>
        <v>0</v>
      </c>
      <c r="AF320" s="43">
        <v>-29.9089112760518</v>
      </c>
      <c r="AG320" s="58">
        <v>-71.253861216358999</v>
      </c>
      <c r="AH320" s="57" t="str">
        <f>+IF(Tabla1[[#This Row],['# Contratos Vigentes ]]&gt;0,"SI","NO")</f>
        <v>NO</v>
      </c>
      <c r="AI320" s="66"/>
      <c r="AJ320" s="67">
        <f>+Tabla1[[#This Row],[Ingreso 2025 - 2026]]*Tabla1[[#This Row],[% Costo Serv. Directo]]</f>
        <v>0</v>
      </c>
      <c r="AK320" s="68"/>
      <c r="AL320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20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5161476.923076923</v>
      </c>
      <c r="AN320" s="42">
        <f>+Tabla1[[#This Row],[Potencial Equipos]]+Tabla1[[#This Row],[Potencial Pipeline]]</f>
        <v>5161476.923076923</v>
      </c>
    </row>
    <row r="321" spans="1:40" ht="15.75" x14ac:dyDescent="0.25">
      <c r="A321" s="47" t="s">
        <v>675</v>
      </c>
      <c r="B321" t="str">
        <f>+VLOOKUP(Tabla1[[#This Row],[Cliente]],'[1]Público Privado'!$A$1:$B$325,2,FALSE)</f>
        <v>Público</v>
      </c>
      <c r="C321" s="23">
        <f>+SUMIFS('[1]Facturacion a Fecha'!$T:$T,'[1]Facturacion a Fecha'!$AY:$AY,Tabla1[[#This Row],[Cliente]])</f>
        <v>0</v>
      </c>
      <c r="D321" s="24">
        <f>+SUMIFS('[1]Facturacion a Fecha'!$T:$T,'[1]Facturacion a Fecha'!$AY:$AY,Tabla1[[#This Row],[Cliente]],'[1]Facturacion a Fecha'!$AX:$AX,"Correctivo")</f>
        <v>0</v>
      </c>
      <c r="E321" s="25">
        <f>+COUNTIFS('[1]Facturacion a Fecha'!AY:AY,Tabla1[[#This Row],[Cliente]],'[1]Facturacion a Fecha'!AX:AX,"Correctivo")</f>
        <v>0</v>
      </c>
      <c r="F321" s="25">
        <f>+SUMIFS('[1]Facturacion a Fecha'!$T:$T,'[1]Facturacion a Fecha'!$AY:$AY,Tabla1[[#This Row],[Cliente]],'[1]Facturacion a Fecha'!$AX:$AX,"Preventivo")</f>
        <v>0</v>
      </c>
      <c r="G321" s="25">
        <f>+COUNTIFS('[1]Facturacion a Fecha'!AY:AY,Tabla1[[#This Row],[Cliente]],'[1]Facturacion a Fecha'!AX:AX,"Preventivo")</f>
        <v>0</v>
      </c>
      <c r="H321" s="26">
        <f>+Tabla1[[#This Row],['# Preventivo]]+Tabla1[[#This Row],['# Correctivo]]</f>
        <v>0</v>
      </c>
      <c r="I321" s="23">
        <f>+IFERROR(Tabla1[[#This Row],[Ingreso 2025 - 2026 Correctivo]]/Tabla1[[#This Row],[Ingreso 2025 - 2026 Preventivo]],0)</f>
        <v>0</v>
      </c>
      <c r="J321" s="59">
        <f>+IFERROR(Tabla1[[#This Row],['# Correctivo]]/Tabla1[[#This Row],['# Preventivo]],0)</f>
        <v>0</v>
      </c>
      <c r="K321" s="60">
        <f>+IFERROR(Tabla1[[#This Row],[Ingreso 2025 - 2026 Preventivo]]/(Tabla1[[#This Row],[Ingreso 2025 - 2026 Correctivo]]+Tabla1[[#This Row],[Ingreso 2025 - 2026 Preventivo]]),0)</f>
        <v>0</v>
      </c>
      <c r="L321" s="60">
        <f>1-Tabla1[[#This Row],[% Preventivo $]]</f>
        <v>1</v>
      </c>
      <c r="M321" s="45">
        <f>+COUNTIFS('[1]Base Instalada'!AA:AA,Tabla1[[#This Row],[Cliente]])</f>
        <v>7</v>
      </c>
      <c r="N321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21" s="45">
        <f>+COUNTIFS('[1]Base Instalada'!AA:AA,Tabla1[[#This Row],[Cliente]],'[1]Base Instalada'!Z:Z,"ESTERILIZACIÓN")</f>
        <v>0</v>
      </c>
      <c r="P321" s="45">
        <f>+COUNTIFS('[1]Base Instalada'!AA:AA,Tabla1[[#This Row],[Cliente]],'[1]Base Instalada'!Z:Z,"DENTAL")</f>
        <v>6</v>
      </c>
      <c r="Q321" s="45">
        <f>+COUNTIFS('[1]Base Instalada'!AA:AA,Tabla1[[#This Row],[Cliente]],'[1]Base Instalada'!Z:Z,"ENDOSCOPÍA")</f>
        <v>1</v>
      </c>
      <c r="R321" s="45">
        <f>+COUNTIFS('[1]Base Instalada'!AA:AA,Tabla1[[#This Row],[Cliente]],'[1]Base Instalada'!Z:Z,"INCARDIA")</f>
        <v>0</v>
      </c>
      <c r="S321" s="45">
        <f>+COUNTIFS('[1]Base Instalada'!AA:AA,Tabla1[[#This Row],[Cliente]],'[1]Base Instalada'!Z:Z,"MMQ")</f>
        <v>0</v>
      </c>
      <c r="T321" s="45">
        <f>+COUNTIFS('[1]Base Instalada'!AA:AA,Tabla1[[#This Row],[Cliente]],'[1]Base Instalada'!Z:Z,"REAS")</f>
        <v>0</v>
      </c>
      <c r="U321" s="46">
        <f>+COUNTIFS('[1]Base Instalada'!AA:AA,Tabla1[[#This Row],[Cliente]],'[1]Base Instalada'!Z:Z,"MOBILIARIO CLINICO")</f>
        <v>0</v>
      </c>
      <c r="V321" s="29">
        <f>+COUNTIFS('[1]Base Instalada'!AA:AA,Tabla1[[#This Row],[Cliente]],'[1]Base Instalada'!Z:Z,"OTRO")</f>
        <v>0</v>
      </c>
      <c r="W321" s="61" t="str">
        <f t="shared" si="10"/>
        <v>Región Metropolitana</v>
      </c>
      <c r="X321" s="61" t="str">
        <f t="shared" si="11"/>
        <v>Santiago</v>
      </c>
      <c r="Y321" s="62" t="s">
        <v>676</v>
      </c>
      <c r="Z321" s="33">
        <f>+COUNTIFS('[1]Pipeline TS'!$F:$F,Tabla1[[#This Row],[Cliente]])</f>
        <v>0</v>
      </c>
      <c r="AA321" s="63">
        <f>SUMIFS('[1]Pipeline Esterilización'!M:M,'[1]Pipeline Esterilización'!E:E,Tabla1[[#This Row],[Cliente]],'[1]Pipeline Esterilización'!B:B,"2026",'[1]Pipeline Esterilización'!L:L,"&gt;0")</f>
        <v>0</v>
      </c>
      <c r="AB321" s="33">
        <f>+SUMIFS('[1]Pipeline Endoscopía'!K:K,'[1]Pipeline Endoscopía'!E:E,Tabla1[[#This Row],[Cliente]],'[1]Pipeline Endoscopía'!B:B,"2026",'[1]Pipeline Endoscopía'!J:J,"&gt;0")</f>
        <v>0</v>
      </c>
      <c r="AC321" s="63">
        <f>+SUMIFS('[1]Pipeline Dental'!K:K,'[1]Pipeline Dental'!E:E,Tabla1[[#This Row],[Cliente]],'[1]Pipeline Dental'!B:B,"2026",'[1]Pipeline Dental'!J:J,"&gt;0")</f>
        <v>0</v>
      </c>
      <c r="AD321" s="64">
        <f>+SUMIFS('[1]Pipeline TS'!$AB:$AB,'[1]Pipeline TS'!$F:$F,Tabla1[[#This Row],[Cliente]])</f>
        <v>0</v>
      </c>
      <c r="AE321" s="65">
        <f>+SUM(Tabla1[[#This Row],[Pipeline 2026 $MM ESTERILIZACIÓN]:[Pipeline 2026 $MM TECSERVICE]])</f>
        <v>0</v>
      </c>
      <c r="AF321" s="43">
        <v>-33.445241484767003</v>
      </c>
      <c r="AG321" s="58">
        <v>-70.740811562196001</v>
      </c>
      <c r="AH321" s="57" t="str">
        <f>+IF(Tabla1[[#This Row],['# Contratos Vigentes ]]&gt;0,"SI","NO")</f>
        <v>NO</v>
      </c>
      <c r="AI321" s="66"/>
      <c r="AJ321" s="67">
        <f>+Tabla1[[#This Row],[Ingreso 2025 - 2026]]*Tabla1[[#This Row],[% Costo Serv. Directo]]</f>
        <v>0</v>
      </c>
      <c r="AK321" s="68"/>
      <c r="AL321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21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4454846.153846154</v>
      </c>
      <c r="AN321" s="42">
        <f>+Tabla1[[#This Row],[Potencial Equipos]]+Tabla1[[#This Row],[Potencial Pipeline]]</f>
        <v>4454846.153846154</v>
      </c>
    </row>
    <row r="322" spans="1:40" ht="15.75" x14ac:dyDescent="0.25">
      <c r="A322" s="47" t="s">
        <v>677</v>
      </c>
      <c r="B322" t="str">
        <f>+VLOOKUP(Tabla1[[#This Row],[Cliente]],'[1]Público Privado'!$A$1:$B$325,2,FALSE)</f>
        <v>Público</v>
      </c>
      <c r="C322" s="23">
        <f>+SUMIFS('[1]Facturacion a Fecha'!$T:$T,'[1]Facturacion a Fecha'!$AY:$AY,Tabla1[[#This Row],[Cliente]])</f>
        <v>0</v>
      </c>
      <c r="D322" s="24">
        <f>+SUMIFS('[1]Facturacion a Fecha'!$T:$T,'[1]Facturacion a Fecha'!$AY:$AY,Tabla1[[#This Row],[Cliente]],'[1]Facturacion a Fecha'!$AX:$AX,"Correctivo")</f>
        <v>0</v>
      </c>
      <c r="E322" s="25">
        <f>+COUNTIFS('[1]Facturacion a Fecha'!AY:AY,Tabla1[[#This Row],[Cliente]],'[1]Facturacion a Fecha'!AX:AX,"Correctivo")</f>
        <v>0</v>
      </c>
      <c r="F322" s="25">
        <f>+SUMIFS('[1]Facturacion a Fecha'!$T:$T,'[1]Facturacion a Fecha'!$AY:$AY,Tabla1[[#This Row],[Cliente]],'[1]Facturacion a Fecha'!$AX:$AX,"Preventivo")</f>
        <v>0</v>
      </c>
      <c r="G322" s="25">
        <f>+COUNTIFS('[1]Facturacion a Fecha'!AY:AY,Tabla1[[#This Row],[Cliente]],'[1]Facturacion a Fecha'!AX:AX,"Preventivo")</f>
        <v>0</v>
      </c>
      <c r="H322" s="26">
        <f>+Tabla1[[#This Row],['# Preventivo]]+Tabla1[[#This Row],['# Correctivo]]</f>
        <v>0</v>
      </c>
      <c r="I322" s="23">
        <f>+IFERROR(Tabla1[[#This Row],[Ingreso 2025 - 2026 Correctivo]]/Tabla1[[#This Row],[Ingreso 2025 - 2026 Preventivo]],0)</f>
        <v>0</v>
      </c>
      <c r="J322" s="59">
        <f>+IFERROR(Tabla1[[#This Row],['# Correctivo]]/Tabla1[[#This Row],['# Preventivo]],0)</f>
        <v>0</v>
      </c>
      <c r="K322" s="60">
        <f>+IFERROR(Tabla1[[#This Row],[Ingreso 2025 - 2026 Preventivo]]/(Tabla1[[#This Row],[Ingreso 2025 - 2026 Correctivo]]+Tabla1[[#This Row],[Ingreso 2025 - 2026 Preventivo]]),0)</f>
        <v>0</v>
      </c>
      <c r="L322" s="60">
        <f>1-Tabla1[[#This Row],[% Preventivo $]]</f>
        <v>1</v>
      </c>
      <c r="M322" s="45">
        <f>+COUNTIFS('[1]Base Instalada'!AA:AA,Tabla1[[#This Row],[Cliente]])</f>
        <v>7</v>
      </c>
      <c r="N322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22" s="45">
        <f>+COUNTIFS('[1]Base Instalada'!AA:AA,Tabla1[[#This Row],[Cliente]],'[1]Base Instalada'!Z:Z,"ESTERILIZACIÓN")</f>
        <v>7</v>
      </c>
      <c r="P322" s="45">
        <f>+COUNTIFS('[1]Base Instalada'!AA:AA,Tabla1[[#This Row],[Cliente]],'[1]Base Instalada'!Z:Z,"DENTAL")</f>
        <v>0</v>
      </c>
      <c r="Q322" s="45">
        <f>+COUNTIFS('[1]Base Instalada'!AA:AA,Tabla1[[#This Row],[Cliente]],'[1]Base Instalada'!Z:Z,"ENDOSCOPÍA")</f>
        <v>0</v>
      </c>
      <c r="R322" s="45">
        <f>+COUNTIFS('[1]Base Instalada'!AA:AA,Tabla1[[#This Row],[Cliente]],'[1]Base Instalada'!Z:Z,"INCARDIA")</f>
        <v>0</v>
      </c>
      <c r="S322" s="45">
        <f>+COUNTIFS('[1]Base Instalada'!AA:AA,Tabla1[[#This Row],[Cliente]],'[1]Base Instalada'!Z:Z,"MMQ")</f>
        <v>0</v>
      </c>
      <c r="T322" s="45">
        <f>+COUNTIFS('[1]Base Instalada'!AA:AA,Tabla1[[#This Row],[Cliente]],'[1]Base Instalada'!Z:Z,"REAS")</f>
        <v>0</v>
      </c>
      <c r="U322" s="46">
        <f>+COUNTIFS('[1]Base Instalada'!AA:AA,Tabla1[[#This Row],[Cliente]],'[1]Base Instalada'!Z:Z,"MOBILIARIO CLINICO")</f>
        <v>0</v>
      </c>
      <c r="V322" s="29">
        <f>+COUNTIFS('[1]Base Instalada'!AA:AA,Tabla1[[#This Row],[Cliente]],'[1]Base Instalada'!Z:Z,"OTRO")</f>
        <v>0</v>
      </c>
      <c r="W322" s="61" t="str">
        <f t="shared" si="10"/>
        <v>Región Los Ríos</v>
      </c>
      <c r="X322" s="61" t="str">
        <f t="shared" si="11"/>
        <v>Valdivia</v>
      </c>
      <c r="Y322" s="62" t="s">
        <v>678</v>
      </c>
      <c r="Z322" s="33">
        <f>+COUNTIFS('[1]Pipeline TS'!$F:$F,Tabla1[[#This Row],[Cliente]])</f>
        <v>0</v>
      </c>
      <c r="AA322" s="63">
        <f>SUMIFS('[1]Pipeline Esterilización'!M:M,'[1]Pipeline Esterilización'!E:E,Tabla1[[#This Row],[Cliente]],'[1]Pipeline Esterilización'!B:B,"2026",'[1]Pipeline Esterilización'!L:L,"&gt;0")</f>
        <v>198000000</v>
      </c>
      <c r="AB322" s="33">
        <f>+SUMIFS('[1]Pipeline Endoscopía'!K:K,'[1]Pipeline Endoscopía'!E:E,Tabla1[[#This Row],[Cliente]],'[1]Pipeline Endoscopía'!B:B,"2026",'[1]Pipeline Endoscopía'!J:J,"&gt;0")</f>
        <v>0</v>
      </c>
      <c r="AC322" s="63">
        <f>+SUMIFS('[1]Pipeline Dental'!K:K,'[1]Pipeline Dental'!E:E,Tabla1[[#This Row],[Cliente]],'[1]Pipeline Dental'!B:B,"2026",'[1]Pipeline Dental'!J:J,"&gt;0")</f>
        <v>0</v>
      </c>
      <c r="AD322" s="64">
        <f>+SUMIFS('[1]Pipeline TS'!$AB:$AB,'[1]Pipeline TS'!$F:$F,Tabla1[[#This Row],[Cliente]])</f>
        <v>0</v>
      </c>
      <c r="AE322" s="65">
        <f>+SUM(Tabla1[[#This Row],[Pipeline 2026 $MM ESTERILIZACIÓN]:[Pipeline 2026 $MM TECSERVICE]])</f>
        <v>198000000</v>
      </c>
      <c r="AF322" s="43">
        <v>-39.814048267493902</v>
      </c>
      <c r="AG322" s="58">
        <v>-73.246410046476399</v>
      </c>
      <c r="AH322" s="57" t="str">
        <f>+IF(Tabla1[[#This Row],['# Contratos Vigentes ]]&gt;0,"SI","NO")</f>
        <v>NO</v>
      </c>
      <c r="AI322" s="66"/>
      <c r="AJ322" s="67">
        <f>+Tabla1[[#This Row],[Ingreso 2025 - 2026]]*Tabla1[[#This Row],[% Costo Serv. Directo]]</f>
        <v>0</v>
      </c>
      <c r="AK322" s="68"/>
      <c r="AL322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19800000</v>
      </c>
      <c r="AM322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13979000</v>
      </c>
      <c r="AN322" s="42">
        <f>+Tabla1[[#This Row],[Potencial Equipos]]+Tabla1[[#This Row],[Potencial Pipeline]]</f>
        <v>33779000</v>
      </c>
    </row>
    <row r="323" spans="1:40" ht="15.75" x14ac:dyDescent="0.25">
      <c r="A323" s="47" t="s">
        <v>679</v>
      </c>
      <c r="B323" t="str">
        <f>+VLOOKUP(Tabla1[[#This Row],[Cliente]],'[1]Público Privado'!$A$1:$B$325,2,FALSE)</f>
        <v>Público</v>
      </c>
      <c r="C323" s="23">
        <f>+SUMIFS('[1]Facturacion a Fecha'!$T:$T,'[1]Facturacion a Fecha'!$AY:$AY,Tabla1[[#This Row],[Cliente]])</f>
        <v>0</v>
      </c>
      <c r="D323" s="24">
        <f>+SUMIFS('[1]Facturacion a Fecha'!$T:$T,'[1]Facturacion a Fecha'!$AY:$AY,Tabla1[[#This Row],[Cliente]],'[1]Facturacion a Fecha'!$AX:$AX,"Correctivo")</f>
        <v>0</v>
      </c>
      <c r="E323" s="25">
        <f>+COUNTIFS('[1]Facturacion a Fecha'!AY:AY,Tabla1[[#This Row],[Cliente]],'[1]Facturacion a Fecha'!AX:AX,"Correctivo")</f>
        <v>0</v>
      </c>
      <c r="F323" s="25">
        <f>+SUMIFS('[1]Facturacion a Fecha'!$T:$T,'[1]Facturacion a Fecha'!$AY:$AY,Tabla1[[#This Row],[Cliente]],'[1]Facturacion a Fecha'!$AX:$AX,"Preventivo")</f>
        <v>0</v>
      </c>
      <c r="G323" s="25">
        <f>+COUNTIFS('[1]Facturacion a Fecha'!AY:AY,Tabla1[[#This Row],[Cliente]],'[1]Facturacion a Fecha'!AX:AX,"Preventivo")</f>
        <v>0</v>
      </c>
      <c r="H323" s="26">
        <f>+Tabla1[[#This Row],['# Preventivo]]+Tabla1[[#This Row],['# Correctivo]]</f>
        <v>0</v>
      </c>
      <c r="I323" s="23">
        <f>+IFERROR(Tabla1[[#This Row],[Ingreso 2025 - 2026 Correctivo]]/Tabla1[[#This Row],[Ingreso 2025 - 2026 Preventivo]],0)</f>
        <v>0</v>
      </c>
      <c r="J323" s="59">
        <f>+IFERROR(Tabla1[[#This Row],['# Correctivo]]/Tabla1[[#This Row],['# Preventivo]],0)</f>
        <v>0</v>
      </c>
      <c r="K323" s="60">
        <f>+IFERROR(Tabla1[[#This Row],[Ingreso 2025 - 2026 Preventivo]]/(Tabla1[[#This Row],[Ingreso 2025 - 2026 Correctivo]]+Tabla1[[#This Row],[Ingreso 2025 - 2026 Preventivo]]),0)</f>
        <v>0</v>
      </c>
      <c r="L323" s="60">
        <f>1-Tabla1[[#This Row],[% Preventivo $]]</f>
        <v>1</v>
      </c>
      <c r="M323" s="45">
        <f>+COUNTIFS('[1]Base Instalada'!AA:AA,Tabla1[[#This Row],[Cliente]])</f>
        <v>6</v>
      </c>
      <c r="N323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23" s="45">
        <f>+COUNTIFS('[1]Base Instalada'!AA:AA,Tabla1[[#This Row],[Cliente]],'[1]Base Instalada'!Z:Z,"ESTERILIZACIÓN")</f>
        <v>0</v>
      </c>
      <c r="P323" s="45">
        <f>+COUNTIFS('[1]Base Instalada'!AA:AA,Tabla1[[#This Row],[Cliente]],'[1]Base Instalada'!Z:Z,"DENTAL")</f>
        <v>6</v>
      </c>
      <c r="Q323" s="45">
        <f>+COUNTIFS('[1]Base Instalada'!AA:AA,Tabla1[[#This Row],[Cliente]],'[1]Base Instalada'!Z:Z,"ENDOSCOPÍA")</f>
        <v>0</v>
      </c>
      <c r="R323" s="45">
        <f>+COUNTIFS('[1]Base Instalada'!AA:AA,Tabla1[[#This Row],[Cliente]],'[1]Base Instalada'!Z:Z,"INCARDIA")</f>
        <v>0</v>
      </c>
      <c r="S323" s="45">
        <f>+COUNTIFS('[1]Base Instalada'!AA:AA,Tabla1[[#This Row],[Cliente]],'[1]Base Instalada'!Z:Z,"MMQ")</f>
        <v>0</v>
      </c>
      <c r="T323" s="45">
        <f>+COUNTIFS('[1]Base Instalada'!AA:AA,Tabla1[[#This Row],[Cliente]],'[1]Base Instalada'!Z:Z,"REAS")</f>
        <v>0</v>
      </c>
      <c r="U323" s="46">
        <f>+COUNTIFS('[1]Base Instalada'!AA:AA,Tabla1[[#This Row],[Cliente]],'[1]Base Instalada'!Z:Z,"MOBILIARIO CLINICO")</f>
        <v>0</v>
      </c>
      <c r="V323" s="29">
        <f>+COUNTIFS('[1]Base Instalada'!AA:AA,Tabla1[[#This Row],[Cliente]],'[1]Base Instalada'!Z:Z,"OTRO")</f>
        <v>0</v>
      </c>
      <c r="W323" s="61" t="str">
        <f t="shared" si="10"/>
        <v>Región Metropolitana</v>
      </c>
      <c r="X323" s="61" t="str">
        <f t="shared" si="11"/>
        <v>Vitacura</v>
      </c>
      <c r="Y323" s="62" t="s">
        <v>680</v>
      </c>
      <c r="Z323" s="33">
        <f>+COUNTIFS('[1]Pipeline TS'!$F:$F,Tabla1[[#This Row],[Cliente]])</f>
        <v>0</v>
      </c>
      <c r="AA323" s="63">
        <f>SUMIFS('[1]Pipeline Esterilización'!M:M,'[1]Pipeline Esterilización'!E:E,Tabla1[[#This Row],[Cliente]],'[1]Pipeline Esterilización'!B:B,"2026",'[1]Pipeline Esterilización'!L:L,"&gt;0")</f>
        <v>0</v>
      </c>
      <c r="AB323" s="33">
        <f>+SUMIFS('[1]Pipeline Endoscopía'!K:K,'[1]Pipeline Endoscopía'!E:E,Tabla1[[#This Row],[Cliente]],'[1]Pipeline Endoscopía'!B:B,"2026",'[1]Pipeline Endoscopía'!J:J,"&gt;0")</f>
        <v>0</v>
      </c>
      <c r="AC323" s="63">
        <f>+SUMIFS('[1]Pipeline Dental'!K:K,'[1]Pipeline Dental'!E:E,Tabla1[[#This Row],[Cliente]],'[1]Pipeline Dental'!B:B,"2026",'[1]Pipeline Dental'!J:J,"&gt;0")</f>
        <v>0</v>
      </c>
      <c r="AD323" s="64">
        <f>+SUMIFS('[1]Pipeline TS'!$AB:$AB,'[1]Pipeline TS'!$F:$F,Tabla1[[#This Row],[Cliente]])</f>
        <v>0</v>
      </c>
      <c r="AE323" s="65">
        <f>+SUM(Tabla1[[#This Row],[Pipeline 2026 $MM ESTERILIZACIÓN]:[Pipeline 2026 $MM TECSERVICE]])</f>
        <v>0</v>
      </c>
      <c r="AF323" s="43">
        <v>-33.398364017110602</v>
      </c>
      <c r="AG323" s="58">
        <v>-70.601297104528001</v>
      </c>
      <c r="AH323" s="57" t="str">
        <f>+IF(Tabla1[[#This Row],['# Contratos Vigentes ]]&gt;0,"SI","NO")</f>
        <v>NO</v>
      </c>
      <c r="AI323" s="66"/>
      <c r="AJ323" s="67">
        <f>+Tabla1[[#This Row],[Ingreso 2025 - 2026]]*Tabla1[[#This Row],[% Costo Serv. Directo]]</f>
        <v>0</v>
      </c>
      <c r="AK323" s="68"/>
      <c r="AL323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23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323" s="42">
        <f>+Tabla1[[#This Row],[Potencial Equipos]]+Tabla1[[#This Row],[Potencial Pipeline]]</f>
        <v>3594600</v>
      </c>
    </row>
    <row r="324" spans="1:40" ht="15.75" x14ac:dyDescent="0.25">
      <c r="A324" s="47" t="s">
        <v>681</v>
      </c>
      <c r="B324" t="str">
        <f>+VLOOKUP(Tabla1[[#This Row],[Cliente]],'[1]Público Privado'!$A$1:$B$325,2,FALSE)</f>
        <v>Privado</v>
      </c>
      <c r="C324" s="23">
        <f>+SUMIFS('[1]Facturacion a Fecha'!$T:$T,'[1]Facturacion a Fecha'!$AY:$AY,Tabla1[[#This Row],[Cliente]])</f>
        <v>0</v>
      </c>
      <c r="D324" s="24">
        <f>+SUMIFS('[1]Facturacion a Fecha'!$T:$T,'[1]Facturacion a Fecha'!$AY:$AY,Tabla1[[#This Row],[Cliente]],'[1]Facturacion a Fecha'!$AX:$AX,"Correctivo")</f>
        <v>0</v>
      </c>
      <c r="E324" s="25">
        <f>+COUNTIFS('[1]Facturacion a Fecha'!AY:AY,Tabla1[[#This Row],[Cliente]],'[1]Facturacion a Fecha'!AX:AX,"Correctivo")</f>
        <v>0</v>
      </c>
      <c r="F324" s="25">
        <f>+SUMIFS('[1]Facturacion a Fecha'!$T:$T,'[1]Facturacion a Fecha'!$AY:$AY,Tabla1[[#This Row],[Cliente]],'[1]Facturacion a Fecha'!$AX:$AX,"Preventivo")</f>
        <v>0</v>
      </c>
      <c r="G324" s="25">
        <f>+COUNTIFS('[1]Facturacion a Fecha'!AY:AY,Tabla1[[#This Row],[Cliente]],'[1]Facturacion a Fecha'!AX:AX,"Preventivo")</f>
        <v>0</v>
      </c>
      <c r="H324" s="26">
        <f>+Tabla1[[#This Row],['# Preventivo]]+Tabla1[[#This Row],['# Correctivo]]</f>
        <v>0</v>
      </c>
      <c r="I324" s="23">
        <f>+IFERROR(Tabla1[[#This Row],[Ingreso 2025 - 2026 Correctivo]]/Tabla1[[#This Row],[Ingreso 2025 - 2026 Preventivo]],0)</f>
        <v>0</v>
      </c>
      <c r="J324" s="59">
        <f>+IFERROR(Tabla1[[#This Row],['# Correctivo]]/Tabla1[[#This Row],['# Preventivo]],0)</f>
        <v>0</v>
      </c>
      <c r="K324" s="60">
        <f>+IFERROR(Tabla1[[#This Row],[Ingreso 2025 - 2026 Preventivo]]/(Tabla1[[#This Row],[Ingreso 2025 - 2026 Correctivo]]+Tabla1[[#This Row],[Ingreso 2025 - 2026 Preventivo]]),0)</f>
        <v>0</v>
      </c>
      <c r="L324" s="60">
        <f>1-Tabla1[[#This Row],[% Preventivo $]]</f>
        <v>1</v>
      </c>
      <c r="M324" s="45">
        <f>+COUNTIFS('[1]Base Instalada'!AA:AA,Tabla1[[#This Row],[Cliente]])</f>
        <v>6</v>
      </c>
      <c r="N324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24" s="45">
        <f>+COUNTIFS('[1]Base Instalada'!AA:AA,Tabla1[[#This Row],[Cliente]],'[1]Base Instalada'!Z:Z,"ESTERILIZACIÓN")</f>
        <v>0</v>
      </c>
      <c r="P324" s="45">
        <f>+COUNTIFS('[1]Base Instalada'!AA:AA,Tabla1[[#This Row],[Cliente]],'[1]Base Instalada'!Z:Z,"DENTAL")</f>
        <v>6</v>
      </c>
      <c r="Q324" s="45">
        <f>+COUNTIFS('[1]Base Instalada'!AA:AA,Tabla1[[#This Row],[Cliente]],'[1]Base Instalada'!Z:Z,"ENDOSCOPÍA")</f>
        <v>0</v>
      </c>
      <c r="R324" s="45">
        <f>+COUNTIFS('[1]Base Instalada'!AA:AA,Tabla1[[#This Row],[Cliente]],'[1]Base Instalada'!Z:Z,"INCARDIA")</f>
        <v>0</v>
      </c>
      <c r="S324" s="45">
        <f>+COUNTIFS('[1]Base Instalada'!AA:AA,Tabla1[[#This Row],[Cliente]],'[1]Base Instalada'!Z:Z,"MMQ")</f>
        <v>0</v>
      </c>
      <c r="T324" s="45">
        <f>+COUNTIFS('[1]Base Instalada'!AA:AA,Tabla1[[#This Row],[Cliente]],'[1]Base Instalada'!Z:Z,"REAS")</f>
        <v>0</v>
      </c>
      <c r="U324" s="46">
        <f>+COUNTIFS('[1]Base Instalada'!AA:AA,Tabla1[[#This Row],[Cliente]],'[1]Base Instalada'!Z:Z,"MOBILIARIO CLINICO")</f>
        <v>0</v>
      </c>
      <c r="V324" s="29">
        <f>+COUNTIFS('[1]Base Instalada'!AA:AA,Tabla1[[#This Row],[Cliente]],'[1]Base Instalada'!Z:Z,"OTRO")</f>
        <v>0</v>
      </c>
      <c r="W324" s="61" t="str">
        <f t="shared" si="10"/>
        <v>Región Metropolitana</v>
      </c>
      <c r="X324" s="61" t="str">
        <f t="shared" si="11"/>
        <v>Providencia</v>
      </c>
      <c r="Y324" s="62" t="s">
        <v>682</v>
      </c>
      <c r="Z324" s="33">
        <f>+COUNTIFS('[1]Pipeline TS'!$F:$F,Tabla1[[#This Row],[Cliente]])</f>
        <v>0</v>
      </c>
      <c r="AA324" s="63">
        <f>SUMIFS('[1]Pipeline Esterilización'!M:M,'[1]Pipeline Esterilización'!E:E,Tabla1[[#This Row],[Cliente]],'[1]Pipeline Esterilización'!B:B,"2026",'[1]Pipeline Esterilización'!L:L,"&gt;0")</f>
        <v>0</v>
      </c>
      <c r="AB324" s="33">
        <f>+SUMIFS('[1]Pipeline Endoscopía'!K:K,'[1]Pipeline Endoscopía'!E:E,Tabla1[[#This Row],[Cliente]],'[1]Pipeline Endoscopía'!B:B,"2026",'[1]Pipeline Endoscopía'!J:J,"&gt;0")</f>
        <v>0</v>
      </c>
      <c r="AC324" s="63">
        <f>+SUMIFS('[1]Pipeline Dental'!K:K,'[1]Pipeline Dental'!E:E,Tabla1[[#This Row],[Cliente]],'[1]Pipeline Dental'!B:B,"2026",'[1]Pipeline Dental'!J:J,"&gt;0")</f>
        <v>0</v>
      </c>
      <c r="AD324" s="64">
        <f>+SUMIFS('[1]Pipeline TS'!$AB:$AB,'[1]Pipeline TS'!$F:$F,Tabla1[[#This Row],[Cliente]])</f>
        <v>0</v>
      </c>
      <c r="AE324" s="65">
        <f>+SUM(Tabla1[[#This Row],[Pipeline 2026 $MM ESTERILIZACIÓN]:[Pipeline 2026 $MM TECSERVICE]])</f>
        <v>0</v>
      </c>
      <c r="AF324" s="43">
        <v>-33.434575325754899</v>
      </c>
      <c r="AG324" s="58">
        <v>-70.626352289184496</v>
      </c>
      <c r="AH324" s="57" t="str">
        <f>+IF(Tabla1[[#This Row],['# Contratos Vigentes ]]&gt;0,"SI","NO")</f>
        <v>NO</v>
      </c>
      <c r="AI324" s="66"/>
      <c r="AJ324" s="67">
        <f>+Tabla1[[#This Row],[Ingreso 2025 - 2026]]*Tabla1[[#This Row],[% Costo Serv. Directo]]</f>
        <v>0</v>
      </c>
      <c r="AK324" s="68"/>
      <c r="AL324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24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3594600</v>
      </c>
      <c r="AN324" s="42">
        <f>+Tabla1[[#This Row],[Potencial Equipos]]+Tabla1[[#This Row],[Potencial Pipeline]]</f>
        <v>3594600</v>
      </c>
    </row>
    <row r="325" spans="1:40" ht="15.75" x14ac:dyDescent="0.25">
      <c r="A325" s="47" t="s">
        <v>683</v>
      </c>
      <c r="B325" t="str">
        <f>+VLOOKUP(Tabla1[[#This Row],[Cliente]],'[1]Público Privado'!$A$1:$B$325,2,FALSE)</f>
        <v>Privado</v>
      </c>
      <c r="C325" s="23">
        <f>+SUMIFS('[1]Facturacion a Fecha'!$T:$T,'[1]Facturacion a Fecha'!$AY:$AY,Tabla1[[#This Row],[Cliente]])</f>
        <v>0</v>
      </c>
      <c r="D325" s="24">
        <f>+SUMIFS('[1]Facturacion a Fecha'!$T:$T,'[1]Facturacion a Fecha'!$AY:$AY,Tabla1[[#This Row],[Cliente]],'[1]Facturacion a Fecha'!$AX:$AX,"Correctivo")</f>
        <v>0</v>
      </c>
      <c r="E325" s="25">
        <f>+COUNTIFS('[1]Facturacion a Fecha'!AY:AY,Tabla1[[#This Row],[Cliente]],'[1]Facturacion a Fecha'!AX:AX,"Correctivo")</f>
        <v>0</v>
      </c>
      <c r="F325" s="25">
        <f>+SUMIFS('[1]Facturacion a Fecha'!$T:$T,'[1]Facturacion a Fecha'!$AY:$AY,Tabla1[[#This Row],[Cliente]],'[1]Facturacion a Fecha'!$AX:$AX,"Preventivo")</f>
        <v>0</v>
      </c>
      <c r="G325" s="25">
        <f>+COUNTIFS('[1]Facturacion a Fecha'!AY:AY,Tabla1[[#This Row],[Cliente]],'[1]Facturacion a Fecha'!AX:AX,"Preventivo")</f>
        <v>0</v>
      </c>
      <c r="H325" s="26">
        <f>+Tabla1[[#This Row],['# Preventivo]]+Tabla1[[#This Row],['# Correctivo]]</f>
        <v>0</v>
      </c>
      <c r="I325" s="23">
        <f>+IFERROR(Tabla1[[#This Row],[Ingreso 2025 - 2026 Correctivo]]/Tabla1[[#This Row],[Ingreso 2025 - 2026 Preventivo]],0)</f>
        <v>0</v>
      </c>
      <c r="J325" s="59">
        <f>+IFERROR(Tabla1[[#This Row],['# Correctivo]]/Tabla1[[#This Row],['# Preventivo]],0)</f>
        <v>0</v>
      </c>
      <c r="K325" s="60">
        <f>+IFERROR(Tabla1[[#This Row],[Ingreso 2025 - 2026 Preventivo]]/(Tabla1[[#This Row],[Ingreso 2025 - 2026 Correctivo]]+Tabla1[[#This Row],[Ingreso 2025 - 2026 Preventivo]]),0)</f>
        <v>0</v>
      </c>
      <c r="L325" s="60">
        <f>1-Tabla1[[#This Row],[% Preventivo $]]</f>
        <v>1</v>
      </c>
      <c r="M325" s="45">
        <f>+COUNTIFS('[1]Base Instalada'!AA:AA,Tabla1[[#This Row],[Cliente]])</f>
        <v>5</v>
      </c>
      <c r="N325" s="45">
        <f>+Tabla1[[#This Row],[BI Total]]-Tabla1[[#This Row],['# Equipos Instalados Esterilización]]-Tabla1[[#This Row],['# Equipos Instalados Dental]]-Tabla1[[#This Row],['# Equipos Instalados Endoscopía]]-Tabla1[[#This Row],['# Equipos Instalados MMQ]]-Tabla1[[#This Row],['# Equipos Instalados REAS]]-Tabla1[[#This Row],['# Equipos Instalados Incardia]]-Tabla1[[#This Row],['# Equipos Instalados Mobiliario Otros]]-Tabla1[[#This Row],['# Equipos Instalados Mobiliario Clinico]]</f>
        <v>0</v>
      </c>
      <c r="O325" s="45">
        <f>+COUNTIFS('[1]Base Instalada'!AA:AA,Tabla1[[#This Row],[Cliente]],'[1]Base Instalada'!Z:Z,"ESTERILIZACIÓN")</f>
        <v>0</v>
      </c>
      <c r="P325" s="45">
        <f>+COUNTIFS('[1]Base Instalada'!AA:AA,Tabla1[[#This Row],[Cliente]],'[1]Base Instalada'!Z:Z,"DENTAL")</f>
        <v>0</v>
      </c>
      <c r="Q325" s="45">
        <f>+COUNTIFS('[1]Base Instalada'!AA:AA,Tabla1[[#This Row],[Cliente]],'[1]Base Instalada'!Z:Z,"ENDOSCOPÍA")</f>
        <v>5</v>
      </c>
      <c r="R325" s="45">
        <f>+COUNTIFS('[1]Base Instalada'!AA:AA,Tabla1[[#This Row],[Cliente]],'[1]Base Instalada'!Z:Z,"INCARDIA")</f>
        <v>0</v>
      </c>
      <c r="S325" s="45">
        <f>+COUNTIFS('[1]Base Instalada'!AA:AA,Tabla1[[#This Row],[Cliente]],'[1]Base Instalada'!Z:Z,"MMQ")</f>
        <v>0</v>
      </c>
      <c r="T325" s="45">
        <f>+COUNTIFS('[1]Base Instalada'!AA:AA,Tabla1[[#This Row],[Cliente]],'[1]Base Instalada'!Z:Z,"REAS")</f>
        <v>0</v>
      </c>
      <c r="U325" s="46">
        <f>+COUNTIFS('[1]Base Instalada'!AA:AA,Tabla1[[#This Row],[Cliente]],'[1]Base Instalada'!Z:Z,"MOBILIARIO CLINICO")</f>
        <v>0</v>
      </c>
      <c r="V325" s="29">
        <f>+COUNTIFS('[1]Base Instalada'!AA:AA,Tabla1[[#This Row],[Cliente]],'[1]Base Instalada'!Z:Z,"OTRO")</f>
        <v>0</v>
      </c>
      <c r="W325" s="61" t="str">
        <f t="shared" si="10"/>
        <v>Región Metropolitana</v>
      </c>
      <c r="X325" s="61" t="str">
        <f t="shared" si="11"/>
        <v>San Bernardo</v>
      </c>
      <c r="Y325" s="62" t="s">
        <v>684</v>
      </c>
      <c r="Z325" s="33">
        <f>+COUNTIFS('[1]Pipeline TS'!$F:$F,Tabla1[[#This Row],[Cliente]])</f>
        <v>0</v>
      </c>
      <c r="AA325" s="63">
        <f>SUMIFS('[1]Pipeline Esterilización'!M:M,'[1]Pipeline Esterilización'!E:E,Tabla1[[#This Row],[Cliente]],'[1]Pipeline Esterilización'!B:B,"2026",'[1]Pipeline Esterilización'!L:L,"&gt;0")</f>
        <v>0</v>
      </c>
      <c r="AB325" s="33">
        <f>+SUMIFS('[1]Pipeline Endoscopía'!K:K,'[1]Pipeline Endoscopía'!E:E,Tabla1[[#This Row],[Cliente]],'[1]Pipeline Endoscopía'!B:B,"2026",'[1]Pipeline Endoscopía'!J:J,"&gt;0")</f>
        <v>0</v>
      </c>
      <c r="AC325" s="63">
        <f>+SUMIFS('[1]Pipeline Dental'!K:K,'[1]Pipeline Dental'!E:E,Tabla1[[#This Row],[Cliente]],'[1]Pipeline Dental'!B:B,"2026",'[1]Pipeline Dental'!J:J,"&gt;0")</f>
        <v>0</v>
      </c>
      <c r="AD325" s="64">
        <f>+SUMIFS('[1]Pipeline TS'!$AB:$AB,'[1]Pipeline TS'!$F:$F,Tabla1[[#This Row],[Cliente]])</f>
        <v>0</v>
      </c>
      <c r="AE325" s="65">
        <f>+SUM(Tabla1[[#This Row],[Pipeline 2026 $MM ESTERILIZACIÓN]:[Pipeline 2026 $MM TECSERVICE]])</f>
        <v>0</v>
      </c>
      <c r="AF325" s="43">
        <v>-33.5926671107269</v>
      </c>
      <c r="AG325" s="58">
        <v>-70.700168160340496</v>
      </c>
      <c r="AH325" s="57" t="str">
        <f>+IF(Tabla1[[#This Row],['# Contratos Vigentes ]]&gt;0,"SI","NO")</f>
        <v>NO</v>
      </c>
      <c r="AI325" s="66"/>
      <c r="AJ325" s="67">
        <f>+Tabla1[[#This Row],[Ingreso 2025 - 2026]]*Tabla1[[#This Row],[% Costo Serv. Directo]]</f>
        <v>0</v>
      </c>
      <c r="AK325" s="68"/>
      <c r="AL325" s="42">
        <f>+Tabla1[[#This Row],[Pipeline 2026 $MM ESTERILIZACIÓN]]*[1]Inputs!$C$7+[1]Inputs!$C$8*Tabla1[[#This Row],[Pipeline 2026 $MM ENDOSCOPÍA]]+[1]Inputs!$C$9*Tabla1[[#This Row],[Pipeline 2026 $MM DENTAL]]+Tabla1[[#This Row],[Pipeline 2026 $MM TECSERVICE]]</f>
        <v>0</v>
      </c>
      <c r="AM325" s="42">
        <f>+(Tabla1[[#This Row],[Pipeline 2026 $MM TECSERVICE]]&lt;1000000)*(Tabla1[[#This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4301230.7692307699</v>
      </c>
      <c r="AN325" s="42">
        <f>+Tabla1[[#This Row],[Potencial Equipos]]+Tabla1[[#This Row],[Potencial Pipeline]]</f>
        <v>4301230.7692307699</v>
      </c>
    </row>
    <row r="326" spans="1:40" s="87" customFormat="1" x14ac:dyDescent="0.25">
      <c r="A326" s="70" t="s">
        <v>7</v>
      </c>
      <c r="B326"/>
      <c r="C326" s="71">
        <f t="shared" ref="C326:H326" si="12">+SUM(C2:C325)</f>
        <v>2997767652.52</v>
      </c>
      <c r="D326" s="72">
        <f t="shared" si="12"/>
        <v>2308017497.52</v>
      </c>
      <c r="E326" s="73">
        <f t="shared" si="12"/>
        <v>1487</v>
      </c>
      <c r="F326" s="73">
        <f t="shared" si="12"/>
        <v>689750155</v>
      </c>
      <c r="G326" s="73">
        <f t="shared" si="12"/>
        <v>492</v>
      </c>
      <c r="H326" s="74">
        <f t="shared" si="12"/>
        <v>1979</v>
      </c>
      <c r="I326" s="75">
        <f>+IFERROR(Tabla1[[#This Row],[Ingreso 2025 - 2026 Correctivo]]/Tabla1[[#This Row],[Ingreso 2025 - 2026 Preventivo]],0)</f>
        <v>3.3461645217317857</v>
      </c>
      <c r="J326" s="76">
        <f>+IFERROR(Tabla1[[#This Row],['# Correctivo]]/Tabla1[[#This Row],['# Preventivo]],0)</f>
        <v>3.0223577235772359</v>
      </c>
      <c r="K326" s="77">
        <f>+IFERROR(Tabla1[[#This Row],[Ingreso 2025 - 2026 Preventivo]]/(Tabla1[[#This Row],[Ingreso 2025 - 2026 Correctivo]]+Tabla1[[#This Row],[Ingreso 2025 - 2026 Preventivo]]),0)</f>
        <v>0.23008793040387182</v>
      </c>
      <c r="L326" s="78">
        <f>1-Tabla1[[#This Row],[% Preventivo $]]</f>
        <v>0.76991206959612812</v>
      </c>
      <c r="M326" s="71">
        <f t="shared" ref="M326:V326" si="13">+SUM(M2:M325)</f>
        <v>8459</v>
      </c>
      <c r="N326" s="71">
        <f t="shared" si="13"/>
        <v>0</v>
      </c>
      <c r="O326" s="71">
        <f t="shared" si="13"/>
        <v>1226</v>
      </c>
      <c r="P326" s="71">
        <f t="shared" si="13"/>
        <v>2606</v>
      </c>
      <c r="Q326" s="71">
        <f t="shared" si="13"/>
        <v>290</v>
      </c>
      <c r="R326" s="71">
        <f t="shared" si="13"/>
        <v>433</v>
      </c>
      <c r="S326" s="71">
        <f t="shared" si="13"/>
        <v>11</v>
      </c>
      <c r="T326" s="71">
        <f t="shared" si="13"/>
        <v>6</v>
      </c>
      <c r="U326" s="71">
        <f t="shared" si="13"/>
        <v>3853</v>
      </c>
      <c r="V326" s="72">
        <f t="shared" si="13"/>
        <v>34</v>
      </c>
      <c r="W326" s="79"/>
      <c r="X326" s="79"/>
      <c r="Y326" s="80"/>
      <c r="Z326" s="81"/>
      <c r="AA326" s="82"/>
      <c r="AB326" s="81"/>
      <c r="AC326" s="82"/>
      <c r="AD326" s="83"/>
      <c r="AE326" s="84"/>
      <c r="AF326" s="85"/>
      <c r="AG326" s="86"/>
      <c r="AI326" s="88"/>
      <c r="AJ326" s="88"/>
      <c r="AK326" s="88"/>
      <c r="AL326" s="89">
        <f>+SUM(AL2:AL325)</f>
        <v>2620536137.9400005</v>
      </c>
      <c r="AM326" s="89">
        <f>+(Tabla1[[#This Row],[Pipeline 2026 $MM TECSERVICE]]=0)*(Tabla1[[#This Row],['# Equipos Instalados Esterilización]]*[1]Inputs!$C$3+[1]Inputs!$C$4*Tabla1[[#This Row],['# Equipos Instalados Endoscopía]]+[1]Inputs!$C$5*Tabla1[[#This Row],['# Equipos Instalados Dental]]+(Tabla1[[#This Row],['# Equipos Instalados Mobiliario Otros]]*[1]Inputs!$C$6))*[1]Inputs!$C$2</f>
        <v>4261763904.6153846</v>
      </c>
      <c r="AN326" s="89">
        <f>+Tabla1[[#This Row],[Potencial Equipos]]+Tabla1[[#This Row],[Potencial Pipeline]]</f>
        <v>6882300042.5553856</v>
      </c>
    </row>
  </sheetData>
  <hyperlinks>
    <hyperlink ref="Y40" r:id="rId1" display="https://www.google.cl/maps/place/Hospital+San+Luis+de+Buin/@-33.7350413,-70.7396257,15z/data=!4m6!3m5!1s0x9663213e09b1ae8d:0xd3c9bd6dfb659f7b!8m2!3d-33.7350413!4d-70.7396257!16s%2Fg%2F11fp8yw1xb?entry=ttu" xr:uid="{BC5367CC-B1B4-4C0F-8050-5339E4DD856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Situ Situ</dc:creator>
  <cp:lastModifiedBy>Situ Situ</cp:lastModifiedBy>
  <dcterms:created xsi:type="dcterms:W3CDTF">2026-05-29T19:13:27Z</dcterms:created>
  <dcterms:modified xsi:type="dcterms:W3CDTF">2026-05-29T19:16:19Z</dcterms:modified>
</cp:coreProperties>
</file>