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Users\Cmuñoz\Downloads\"/>
    </mc:Choice>
  </mc:AlternateContent>
  <xr:revisionPtr revIDLastSave="0" documentId="13_ncr:20001_{23163CD2-A3AC-4747-BFEC-3B7FF700A0C4}" xr6:coauthVersionLast="47" xr6:coauthVersionMax="47" xr10:uidLastSave="{00000000-0000-0000-0000-000000000000}"/>
  <bookViews>
    <workbookView xWindow="28680" yWindow="-120" windowWidth="29040" windowHeight="15720" tabRatio="891" xr2:uid="{00000000-000D-0000-FFFF-FFFF00000000}"/>
  </bookViews>
  <sheets>
    <sheet name="Consolidado" sheetId="17" r:id="rId1"/>
    <sheet name="Carta Gantt" sheetId="18" r:id="rId2"/>
    <sheet name="Metropolitana" sheetId="1" r:id="rId3"/>
    <sheet name="Bío Bío" sheetId="2" r:id="rId4"/>
    <sheet name="Valparaíso" sheetId="3" r:id="rId5"/>
    <sheet name="Araucanía" sheetId="4" r:id="rId6"/>
    <sheet name="Maule" sheetId="5" r:id="rId7"/>
    <sheet name="Los Lagos" sheetId="6" r:id="rId8"/>
    <sheet name="Coquimbo" sheetId="7" r:id="rId9"/>
    <sheet name="O'Higgins" sheetId="8" r:id="rId10"/>
    <sheet name="Antofagasta" sheetId="9" r:id="rId11"/>
    <sheet name="Ñuble" sheetId="10" r:id="rId12"/>
    <sheet name="Magallanes" sheetId="11" r:id="rId13"/>
    <sheet name="Tarapacá" sheetId="12" r:id="rId14"/>
    <sheet name="Los Ríos" sheetId="13" r:id="rId15"/>
    <sheet name="Arica y Parinacota" sheetId="14" r:id="rId16"/>
    <sheet name="Aysén" sheetId="15" r:id="rId17"/>
    <sheet name="Atacama" sheetId="16" r:id="rId18"/>
  </sheets>
  <definedNames>
    <definedName name="_xlnm._FilterDatabase" localSheetId="10">Antofagasta!A2:L12</definedName>
    <definedName name="_xlnm._FilterDatabase" localSheetId="5">Araucanía!A2:L12</definedName>
    <definedName name="_xlnm._FilterDatabase" localSheetId="15">'Arica y Parinacota'!A2:J8</definedName>
    <definedName name="_xlnm._FilterDatabase" localSheetId="17">Atacama!A2:J8</definedName>
    <definedName name="_xlnm._FilterDatabase" localSheetId="16">Aysén!A2:L8</definedName>
    <definedName name="_xlnm._FilterDatabase" localSheetId="3">'Bío Bío'!A2:L12</definedName>
    <definedName name="_xlnm._FilterDatabase" localSheetId="8">Coquimbo!A2:L12</definedName>
    <definedName name="_xlnm._FilterDatabase" localSheetId="7">'Los Lagos'!A2:L12</definedName>
    <definedName name="_xlnm._FilterDatabase" localSheetId="14">'Los Ríos'!A2:J11</definedName>
    <definedName name="_xlnm._FilterDatabase" localSheetId="12">Magallanes!A2:J12</definedName>
    <definedName name="_xlnm._FilterDatabase" localSheetId="6">Maule!A2:L12</definedName>
    <definedName name="_xlnm._FilterDatabase" localSheetId="2">Metropolitana!A2:L12</definedName>
    <definedName name="_xlnm._FilterDatabase" localSheetId="11">Ñuble!A2:J12</definedName>
    <definedName name="_xlnm._FilterDatabase" localSheetId="13">Tarapacá!A2:J12</definedName>
    <definedName name="_xlnm._FilterDatabase" localSheetId="4">Valparaíso!A2:L12</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17" l="1"/>
  <c r="A6" i="17" s="1"/>
  <c r="A7" i="17" s="1"/>
  <c r="A8" i="17" s="1"/>
  <c r="A9" i="17" s="1"/>
  <c r="A10" i="17" s="1"/>
  <c r="A11" i="17" s="1"/>
  <c r="A12" i="17" s="1"/>
  <c r="A13" i="17" s="1"/>
  <c r="A14" i="17" s="1"/>
  <c r="A15" i="17" s="1"/>
  <c r="A16" i="17" s="1"/>
  <c r="A17" i="17" s="1"/>
  <c r="A18" i="17" s="1"/>
  <c r="A19" i="17" s="1"/>
  <c r="E18" i="17"/>
  <c r="F18" i="17" s="1"/>
  <c r="D18" i="17"/>
  <c r="E19" i="17"/>
  <c r="F19" i="17" s="1"/>
  <c r="D19" i="17"/>
  <c r="E17" i="17"/>
  <c r="F17" i="17" s="1"/>
  <c r="D17" i="17"/>
  <c r="E16" i="17"/>
  <c r="F16" i="17" s="1"/>
  <c r="D16" i="17"/>
  <c r="E15" i="17"/>
  <c r="F15" i="17" s="1"/>
  <c r="D15" i="17"/>
  <c r="E14" i="17"/>
  <c r="F14" i="17" s="1"/>
  <c r="D14" i="17"/>
  <c r="E13" i="17"/>
  <c r="F13" i="17" s="1"/>
  <c r="D13" i="17"/>
  <c r="E12" i="17"/>
  <c r="F12" i="17" s="1"/>
  <c r="D12" i="17"/>
  <c r="E11" i="17"/>
  <c r="F11" i="17" s="1"/>
  <c r="D11" i="17"/>
  <c r="E10" i="17"/>
  <c r="F10" i="17" s="1"/>
  <c r="D10" i="17"/>
  <c r="E8" i="17"/>
  <c r="F8" i="17" s="1"/>
  <c r="D8" i="17"/>
  <c r="E7" i="17"/>
  <c r="F7" i="17" s="1"/>
  <c r="D7" i="17"/>
  <c r="E9" i="17"/>
  <c r="F9" i="17" s="1"/>
  <c r="D9" i="17"/>
  <c r="E6" i="17"/>
  <c r="D6" i="17"/>
  <c r="E5" i="17"/>
  <c r="D5" i="17"/>
  <c r="D4" i="17"/>
  <c r="E4" i="17"/>
  <c r="D5" i="18"/>
  <c r="D6" i="18"/>
  <c r="D7" i="18"/>
  <c r="D8" i="18"/>
  <c r="D9" i="18"/>
  <c r="D10" i="18"/>
  <c r="D11" i="18"/>
  <c r="D12" i="18"/>
  <c r="D13" i="18"/>
  <c r="D14" i="18"/>
  <c r="D15" i="18"/>
  <c r="D16" i="18"/>
  <c r="D17" i="18"/>
  <c r="D18" i="18"/>
  <c r="D19" i="18"/>
  <c r="D4" i="18"/>
  <c r="C5" i="18"/>
  <c r="C6" i="18"/>
  <c r="C7" i="18"/>
  <c r="C8" i="18"/>
  <c r="C9" i="18"/>
  <c r="C10" i="18"/>
  <c r="C11" i="18"/>
  <c r="C12" i="18"/>
  <c r="C13" i="18"/>
  <c r="C14" i="18"/>
  <c r="C15" i="18"/>
  <c r="C16" i="18"/>
  <c r="C17" i="18"/>
  <c r="C18" i="18"/>
  <c r="C19" i="18"/>
  <c r="C4" i="18"/>
  <c r="C18" i="17"/>
  <c r="C19" i="17"/>
  <c r="C17" i="17"/>
  <c r="C16" i="17"/>
  <c r="C15" i="17"/>
  <c r="C14" i="17"/>
  <c r="C13" i="17"/>
  <c r="C12" i="17"/>
  <c r="C11" i="17"/>
  <c r="C10" i="17"/>
  <c r="C8" i="17"/>
  <c r="C7" i="17"/>
  <c r="C9" i="17"/>
  <c r="C6" i="17"/>
  <c r="C5" i="17"/>
  <c r="C4" i="17"/>
  <c r="G20" i="17"/>
  <c r="E20" i="17"/>
  <c r="D20" i="17"/>
  <c r="I18" i="17"/>
  <c r="H18" i="17"/>
  <c r="I19" i="17"/>
  <c r="H19" i="17"/>
  <c r="I17" i="17"/>
  <c r="H17" i="17"/>
  <c r="I16" i="17"/>
  <c r="H16" i="17"/>
  <c r="I15" i="17"/>
  <c r="H15" i="17"/>
  <c r="I14" i="17"/>
  <c r="H14" i="17"/>
  <c r="I13" i="17"/>
  <c r="H13" i="17"/>
  <c r="I12" i="17"/>
  <c r="H12" i="17"/>
  <c r="I11" i="17"/>
  <c r="H11" i="17"/>
  <c r="I10" i="17"/>
  <c r="H10" i="17"/>
  <c r="I8" i="17"/>
  <c r="H8" i="17"/>
  <c r="I7" i="17"/>
  <c r="H7" i="17"/>
  <c r="I9" i="17"/>
  <c r="H9" i="17"/>
  <c r="I6" i="17"/>
  <c r="H6" i="17"/>
  <c r="F6" i="17"/>
  <c r="I5" i="17"/>
  <c r="H5" i="17"/>
  <c r="F5" i="17"/>
  <c r="I4" i="17"/>
  <c r="H4" i="17"/>
  <c r="F4" i="17"/>
  <c r="J9" i="16"/>
  <c r="L9" i="15"/>
  <c r="J9" i="14"/>
  <c r="J12" i="13"/>
  <c r="J13" i="12"/>
  <c r="J13" i="11"/>
  <c r="J13" i="10"/>
  <c r="L13" i="9"/>
  <c r="L13" i="8"/>
  <c r="L13" i="7"/>
  <c r="L13" i="6"/>
  <c r="L13" i="5"/>
  <c r="J6" i="16"/>
  <c r="J7" i="16"/>
  <c r="J8" i="16"/>
  <c r="L6" i="15"/>
  <c r="L7" i="15"/>
  <c r="L8" i="15"/>
  <c r="J6" i="14"/>
  <c r="J7" i="14"/>
  <c r="J8" i="14"/>
  <c r="J6" i="13"/>
  <c r="J7" i="13"/>
  <c r="J8" i="13"/>
  <c r="J9" i="13"/>
  <c r="J10" i="13"/>
  <c r="J11" i="13"/>
  <c r="J6" i="12"/>
  <c r="J7" i="12"/>
  <c r="J8" i="12"/>
  <c r="J9" i="12"/>
  <c r="J10" i="12"/>
  <c r="J11" i="12"/>
  <c r="J12" i="12"/>
  <c r="J6" i="11"/>
  <c r="J7" i="11"/>
  <c r="J8" i="11"/>
  <c r="J9" i="11"/>
  <c r="J10" i="11"/>
  <c r="J11" i="11"/>
  <c r="J12" i="11"/>
  <c r="J6" i="10"/>
  <c r="J7" i="10"/>
  <c r="J8" i="10"/>
  <c r="J9" i="10"/>
  <c r="J10" i="10"/>
  <c r="J11" i="10"/>
  <c r="J12" i="10"/>
  <c r="L6" i="9"/>
  <c r="L7" i="9"/>
  <c r="L8" i="9"/>
  <c r="L9" i="9"/>
  <c r="L10" i="9"/>
  <c r="L11" i="9"/>
  <c r="L12" i="9"/>
  <c r="L6" i="8"/>
  <c r="L7" i="8"/>
  <c r="L8" i="8"/>
  <c r="L9" i="8"/>
  <c r="L10" i="8"/>
  <c r="L11" i="8"/>
  <c r="L12" i="8"/>
  <c r="L6" i="7"/>
  <c r="L7" i="7"/>
  <c r="L8" i="7"/>
  <c r="L9" i="7"/>
  <c r="L10" i="7"/>
  <c r="L11" i="7"/>
  <c r="L12" i="7"/>
  <c r="L6" i="6"/>
  <c r="L7" i="6"/>
  <c r="L8" i="6"/>
  <c r="L9" i="6"/>
  <c r="L10" i="6"/>
  <c r="L11" i="6"/>
  <c r="L12" i="6"/>
  <c r="L6" i="5"/>
  <c r="L7" i="5"/>
  <c r="L8" i="5"/>
  <c r="L9" i="5"/>
  <c r="L10" i="5"/>
  <c r="L11" i="5"/>
  <c r="L12" i="5"/>
  <c r="J5" i="16"/>
  <c r="J4" i="16"/>
  <c r="J3" i="16"/>
  <c r="L5" i="15"/>
  <c r="L4" i="15"/>
  <c r="L3" i="15"/>
  <c r="J5" i="14"/>
  <c r="J4" i="14"/>
  <c r="J3" i="14"/>
  <c r="J5" i="13"/>
  <c r="J4" i="13"/>
  <c r="J3" i="13"/>
  <c r="J5" i="12"/>
  <c r="J4" i="12"/>
  <c r="J3" i="12"/>
  <c r="J5" i="11"/>
  <c r="J4" i="11"/>
  <c r="J3" i="11"/>
  <c r="J5" i="10"/>
  <c r="J4" i="10"/>
  <c r="J3" i="10"/>
  <c r="L5" i="9"/>
  <c r="L4" i="9"/>
  <c r="L3" i="9"/>
  <c r="L5" i="8"/>
  <c r="L4" i="8"/>
  <c r="L3" i="8"/>
  <c r="L5" i="7"/>
  <c r="L4" i="7"/>
  <c r="L3" i="7"/>
  <c r="L5" i="6"/>
  <c r="L4" i="6"/>
  <c r="L3" i="6"/>
  <c r="L5" i="5"/>
  <c r="L4" i="5"/>
  <c r="L3" i="5"/>
  <c r="L12" i="4"/>
  <c r="L11" i="4"/>
  <c r="L10" i="4"/>
  <c r="L9" i="4"/>
  <c r="L8" i="4"/>
  <c r="L7" i="4"/>
  <c r="L6" i="4"/>
  <c r="L5" i="4"/>
  <c r="L4" i="4"/>
  <c r="L3" i="4"/>
  <c r="L13" i="4"/>
  <c r="L12" i="3"/>
  <c r="L11" i="3"/>
  <c r="L10" i="3"/>
  <c r="L9" i="3"/>
  <c r="L8" i="3"/>
  <c r="L7" i="3"/>
  <c r="L6" i="3"/>
  <c r="L5" i="3"/>
  <c r="L4" i="3"/>
  <c r="L3" i="3"/>
  <c r="L4" i="2"/>
  <c r="L5" i="2"/>
  <c r="L6" i="2"/>
  <c r="L7" i="2"/>
  <c r="L8" i="2"/>
  <c r="L9" i="2"/>
  <c r="L10" i="2"/>
  <c r="L11" i="2"/>
  <c r="L12" i="2"/>
  <c r="L3" i="2"/>
  <c r="L13" i="2" s="1"/>
  <c r="L13" i="3"/>
  <c r="L13" i="1"/>
  <c r="L12" i="1"/>
  <c r="L11" i="1"/>
  <c r="L10" i="1"/>
  <c r="L9" i="1"/>
  <c r="L8" i="1"/>
  <c r="L7" i="1"/>
  <c r="L6" i="1"/>
  <c r="L5" i="1"/>
  <c r="L4" i="1"/>
  <c r="L3" i="1"/>
  <c r="I20" i="17" l="1"/>
  <c r="H20" i="17"/>
  <c r="F20" i="17"/>
</calcChain>
</file>

<file path=xl/sharedStrings.xml><?xml version="1.0" encoding="utf-8"?>
<sst xmlns="http://schemas.openxmlformats.org/spreadsheetml/2006/main" count="1478" uniqueCount="382">
  <si>
    <t>#</t>
  </si>
  <si>
    <t>Cliente</t>
  </si>
  <si>
    <t>Dental</t>
  </si>
  <si>
    <t/>
  </si>
  <si>
    <t>Esterilización</t>
  </si>
  <si>
    <t>Endoscopía</t>
  </si>
  <si>
    <t>Base Instalada Total</t>
  </si>
  <si>
    <t>Pot. Mantenimiento MM$</t>
  </si>
  <si>
    <t>Plan de Acción</t>
  </si>
  <si>
    <t>Equipos</t>
  </si>
  <si>
    <t>% Vida Útil</t>
  </si>
  <si>
    <t>CLINICA MOVIL CENTINELA</t>
  </si>
  <si>
    <t>HOSPITAL CLINICO SAN BORJA-ARRIARAN</t>
  </si>
  <si>
    <t>CLINICA ALEMANA DE SANTIAGO S A</t>
  </si>
  <si>
    <t>HOSPITAL SAN JUAN DE DIOS</t>
  </si>
  <si>
    <t>JUNAEB ESCUELA NUEVA ZELANDIA</t>
  </si>
  <si>
    <t>CESFAM STEGGER</t>
  </si>
  <si>
    <t>MUTUAL DE SEGURIDAD SANTIAGO</t>
  </si>
  <si>
    <t>CLINICA HOGAR BUENA SALUD S.P.A</t>
  </si>
  <si>
    <t>EJERCITO DE CHILE CENTRAL ODONTOLOGICA D</t>
  </si>
  <si>
    <t>NORDEN</t>
  </si>
  <si>
    <t>TOTAL · 10 clientes</t>
  </si>
  <si>
    <t>CLINICA SANATORIO ALEMAN S.A</t>
  </si>
  <si>
    <t>CE LOS TILOS</t>
  </si>
  <si>
    <t>UNIVERSIDAD DEL DESARROLLO CONCEPCION</t>
  </si>
  <si>
    <t>CENTRAL ODONTOLGICA II ZONA NAVAL TALCAHUANO</t>
  </si>
  <si>
    <t>CONSULTORIO NORTE</t>
  </si>
  <si>
    <t>CLINICA UNIVERSITARIA CONCEPCION</t>
  </si>
  <si>
    <t>UNIVERSIDAD DE CONCEPCION</t>
  </si>
  <si>
    <t>LABORATORIO CLINICO CENTRAL LTDA.</t>
  </si>
  <si>
    <t>CLINICA BIO BIO SPA</t>
  </si>
  <si>
    <t>I MUNICIPALIDAD DE TALCAHUANO</t>
  </si>
  <si>
    <t>CLINICA REÑACA</t>
  </si>
  <si>
    <t>CENTRAL ODONTOLOGICA PRIMERA ZONA NAVAL VIÑA</t>
  </si>
  <si>
    <t>CENT. ODONT. DE VALPARAISO 1° ZONA NAVAL</t>
  </si>
  <si>
    <t>HOSPITAL CLINICO IST VIÑA DEL MAR</t>
  </si>
  <si>
    <t>CESFAM RAUL SILVA HENRIQUEZ</t>
  </si>
  <si>
    <t>HOSPITAL DE QUILLOTA</t>
  </si>
  <si>
    <t>CESFAM LLOLLEO</t>
  </si>
  <si>
    <t>HOSPITAL LA LIGUA</t>
  </si>
  <si>
    <t>HOSPITAL DE QUILPUE</t>
  </si>
  <si>
    <t>HOSPITAL DE HANGA ROA</t>
  </si>
  <si>
    <t>HOSPITAL DE ANGOL</t>
  </si>
  <si>
    <t>UNIVERSIDAD DE LA FRONTERA</t>
  </si>
  <si>
    <t>HOSPITAL DE LAUTARO</t>
  </si>
  <si>
    <t>HOSPITAL VICTORIA</t>
  </si>
  <si>
    <t>CESFAM PUCON</t>
  </si>
  <si>
    <t>HOSPITAL DE TRAIGUEN</t>
  </si>
  <si>
    <t>HOSPITAL COLLIPULLI</t>
  </si>
  <si>
    <t>HOSPITAL DE LONQUIMAY</t>
  </si>
  <si>
    <t>CESFAM ERCILLA</t>
  </si>
  <si>
    <t>GOBIERNO REGIONAL DE LA ARAUCANIA</t>
  </si>
  <si>
    <t>I. MUNICIPALIDAD DE PARRAL - DPTO SALUD</t>
  </si>
  <si>
    <t>HOSPITAL DE CURICO</t>
  </si>
  <si>
    <t>HOSPITAL BASE CURICO</t>
  </si>
  <si>
    <t>CARABINEROS CURICO</t>
  </si>
  <si>
    <t>CESFAM LONGAVI</t>
  </si>
  <si>
    <t>CESFAM COLBUN</t>
  </si>
  <si>
    <t>CESFAM RIO CLARO</t>
  </si>
  <si>
    <t>CESFAM YERBAS BUENAS</t>
  </si>
  <si>
    <t>CESFAM LAS AMERICAS TALCA</t>
  </si>
  <si>
    <t>CLINICA PICHIMAPU SPA</t>
  </si>
  <si>
    <t>CESFAM ALERCE</t>
  </si>
  <si>
    <t>JUNAEB MODULO FRUTILLAR</t>
  </si>
  <si>
    <t>HOSPITAL FUTALEUFU</t>
  </si>
  <si>
    <t>CESFAM CHUYACA</t>
  </si>
  <si>
    <t>REDSALUD PUERTO MONTT</t>
  </si>
  <si>
    <t>HOSPITAL DE FRUTILLAR</t>
  </si>
  <si>
    <t>CESFAM ANTONIO VARAS</t>
  </si>
  <si>
    <t>POSTA CHAUCHIL</t>
  </si>
  <si>
    <t>POLICLINICO NAVAL DE PUERTO MONTT</t>
  </si>
  <si>
    <t>CESFAM ENTRE LAGOS</t>
  </si>
  <si>
    <t>HOSPITAL LA SERENA</t>
  </si>
  <si>
    <t>CESFAM EL SAUCE COQUIMBO</t>
  </si>
  <si>
    <t>HOSPITAL DE OVALLE</t>
  </si>
  <si>
    <t>VENTA ENDOSCOPIA</t>
  </si>
  <si>
    <t>CESFAM SAN JUAN</t>
  </si>
  <si>
    <t>CESFAM LILA CORTES (TIERRAS BLANCAS)</t>
  </si>
  <si>
    <t>CESFAM PUNITAQUI</t>
  </si>
  <si>
    <t>HOSPITAL DE SALAMANCA</t>
  </si>
  <si>
    <t>CESFAM URBANO III OVALLE</t>
  </si>
  <si>
    <t>CESFAM FRAY JORGE OVALLE</t>
  </si>
  <si>
    <t>CESFAM N° 2 RANCAGUA</t>
  </si>
  <si>
    <t>REDSALUD RANCAGUA</t>
  </si>
  <si>
    <t>HOSPITAL REGIONAL DE RANCAGUA</t>
  </si>
  <si>
    <t>HOSPITAL SAN VICENTE TAGUA TAGUA</t>
  </si>
  <si>
    <t>CESFAM N°1 RANCAGUA</t>
  </si>
  <si>
    <t>POSTA PAILIMO</t>
  </si>
  <si>
    <t>HOSPITAL DE RENGO</t>
  </si>
  <si>
    <t>CESFAM RENGO ORIENTE</t>
  </si>
  <si>
    <t>HOSPITAL LITUECHE</t>
  </si>
  <si>
    <t>SERVICIO SALUD O'HIGGINS</t>
  </si>
  <si>
    <t>HOSPITAL REGIONAL DE ANTOFAGASTA</t>
  </si>
  <si>
    <t>HOSPITAL CARLOS CISTERNA DE CALAMA</t>
  </si>
  <si>
    <t>DIAGNORAD ANTOFAGASTA</t>
  </si>
  <si>
    <t>CLINICA REGIONAL LA PORTADA DE ANTOFAGASTA S.A</t>
  </si>
  <si>
    <t>HOSPITAL MEJILLONES</t>
  </si>
  <si>
    <t>SOCIEDAD VERDEJO Y VERDEJO LIMITADA</t>
  </si>
  <si>
    <t>CENTRO OFTALMOLOGICO LASER CEOLA ANTOFAGASTA S.A</t>
  </si>
  <si>
    <t>E.CL S.A.</t>
  </si>
  <si>
    <t>POSTA RURAL CALETA PAPOSO</t>
  </si>
  <si>
    <t>CENTRO CLINICO BIOIMAGEN DENTAL Y CIA LTDA</t>
  </si>
  <si>
    <t>CLINICA ANDES SALUD CHILLAN</t>
  </si>
  <si>
    <t>HOSPITAL CLINICO HERMINDA MARTIN</t>
  </si>
  <si>
    <t>CESFAM COBQUECURA</t>
  </si>
  <si>
    <t>CESFAM SAN NICOLAS</t>
  </si>
  <si>
    <t>CESFAM PORTEZUELO ÑUBLE</t>
  </si>
  <si>
    <t>CESFAM ULTRAESTACION CHILLAN</t>
  </si>
  <si>
    <t>HOSPITAL EL CARMEN DE CHILLAN</t>
  </si>
  <si>
    <t>JUNAEB SAN NICOLAS</t>
  </si>
  <si>
    <t>POSTA ÑUBLE SAN NICOLAS</t>
  </si>
  <si>
    <t>CESFAM CHILLAN VIEJO</t>
  </si>
  <si>
    <t>CESFAM THOMAS FENTON</t>
  </si>
  <si>
    <t>SOCIEDAD CMA-COSTANERA S.A.</t>
  </si>
  <si>
    <t>SERVICIOS ODONTOLOGICOS AMAR SPA</t>
  </si>
  <si>
    <t>HOSPITAL CLINICO DE MAGALLANES</t>
  </si>
  <si>
    <t>HOSPITAL  PUERTO WILLIAMS</t>
  </si>
  <si>
    <t>HOSPITAL PUERTO NATALES</t>
  </si>
  <si>
    <t>HOSPITAL DE PORVENIR</t>
  </si>
  <si>
    <t>SERVICIO SALUD MAGALLANES, HOSPITAL DE PUNTA ARENA</t>
  </si>
  <si>
    <t>CLINICA MAGALLANES</t>
  </si>
  <si>
    <t>CENTROS MEDICO IMET</t>
  </si>
  <si>
    <t>HOSPITAL DE IQUIQUE</t>
  </si>
  <si>
    <t>HOSPITAL DOCTOR ERNESTO TORRES GALDAMES</t>
  </si>
  <si>
    <t>CESFAM PICA</t>
  </si>
  <si>
    <t>POSTA PACHICA</t>
  </si>
  <si>
    <t>SERVICIO SALUD IQUIQUE</t>
  </si>
  <si>
    <t>SERVICLINICA IQUIQUE INMOBILIARIA S.A.</t>
  </si>
  <si>
    <t>CESFAM PEDRO PULGAR DE ALTO HOSPICIO</t>
  </si>
  <si>
    <t>POSTA HUARA</t>
  </si>
  <si>
    <t>FACHS IQUIQUE</t>
  </si>
  <si>
    <t>CESFAM DR. PEDRO PULGAR MELGAREJO</t>
  </si>
  <si>
    <t>HOSPITAL DE LANCO</t>
  </si>
  <si>
    <t>HOSPITAL BASE DE VALDIVIA</t>
  </si>
  <si>
    <t>CLINICA COSTANERA VALDIVIA</t>
  </si>
  <si>
    <t>I.MUNICIPALIDAD DE LA UNION</t>
  </si>
  <si>
    <t>HOSPITAL DE LA UNION</t>
  </si>
  <si>
    <t>SOCIEDAD DE SERVICIOS MEDICOS Y ODONTOLOGICOS MERI</t>
  </si>
  <si>
    <t>CLINICA ALEMANA DE VALDIVIA</t>
  </si>
  <si>
    <t>UNIVERSIDAD AUSTRAL DE VALDIVIA</t>
  </si>
  <si>
    <t>CESFAM FUTRONO</t>
  </si>
  <si>
    <t>TOTAL · 9 clientes</t>
  </si>
  <si>
    <t>CENTRO CLINICO MILITAR ARICA</t>
  </si>
  <si>
    <t>SOCIEDAD ARICA SALUD LTDA. (ARICA)</t>
  </si>
  <si>
    <t>ARICALAB SPA</t>
  </si>
  <si>
    <t>POLICLINICO GENARMERIA DE ARICA</t>
  </si>
  <si>
    <t>GENDARMERIA DE ARICA</t>
  </si>
  <si>
    <t>REDSALUD ARICA</t>
  </si>
  <si>
    <t>TOTAL · 6 clientes</t>
  </si>
  <si>
    <t>HOSPITAL DE COCHRANE</t>
  </si>
  <si>
    <t>CESFAM LA JUNTA</t>
  </si>
  <si>
    <t>MUN. DE CHILE CHICO</t>
  </si>
  <si>
    <t>HOSPITAL DE COYHAIQUE</t>
  </si>
  <si>
    <t>CECOSF CHACABUCO</t>
  </si>
  <si>
    <t>POSTA BAHÍA MURTA</t>
  </si>
  <si>
    <t>CLINICA ATACAMA</t>
  </si>
  <si>
    <t>CESFAM PEDRO LEON GALLO COPIAPO</t>
  </si>
  <si>
    <t>HOSPITAL DE VALLENAR</t>
  </si>
  <si>
    <t>VARGAS ROJAS SOC.RESP. LTDA</t>
  </si>
  <si>
    <t>HOSPITAL FLORENCIO VARGAS DIAZ</t>
  </si>
  <si>
    <t>CESFAM FREIRINA</t>
  </si>
  <si>
    <t>Visita Comercial/Fecha</t>
  </si>
  <si>
    <t>Responsable Comercial</t>
  </si>
  <si>
    <t>Reunión gerencial.
Levantamiento técnico completo.
Oferta corporativa multiequipamiento.
Contrato marco trianual.
Programa de renovación escalonada para los equipos más antiguos.</t>
  </si>
  <si>
    <t>Cristian Pérez</t>
  </si>
  <si>
    <t>Visita conjunta Comercial + Servicio.
Presentar análisis de riesgo asociado a antigüedad.
Contrato preventivo por familias tecnológicas.</t>
  </si>
  <si>
    <t>Revisión de equipos sin cobertura.
Presentar indicadores de disponibilidad.
Buscar acuerdo marco de mantenimiento</t>
  </si>
  <si>
    <t>Levantamiento técnico completo y propuesta de cobertura institucional.</t>
  </si>
  <si>
    <t>Programa preventivo anual, capacitación a usuarios y seguimiento para futuras renovaciones.</t>
  </si>
  <si>
    <t>Integrar a rutas programadas de mantenimiento y oferta preventiva anual.</t>
  </si>
  <si>
    <t>Programa de disponibilidad operacional y mantenimiento preventivo periódico.</t>
  </si>
  <si>
    <t>Presentar riesgos de obsolescencia.
Paquete PM + correctivos.
Potenciar venta de repuestos.</t>
  </si>
  <si>
    <t>Eglys Ramírez</t>
  </si>
  <si>
    <t>Convenio de soporte, auditoría técnica y programa preventivo anual.</t>
  </si>
  <si>
    <t>Convenio académico y de soporte.
Cobertura para laboratorios y simulación.</t>
  </si>
  <si>
    <t>Programa anual preventivo, gestión institucional y stock de repuestos críticos.</t>
  </si>
  <si>
    <t>Incorporación a rutas regionales y programa preventivo anual.</t>
  </si>
  <si>
    <t>Auditoría técnica completa de todos los equipos.
Identificación de equipos fuera de cobertura.
Presentación de contrato preventivo anual.
Programa de visitas semestrales desde la base Biobío.
Propuesta de stock crítico de repuestos.
Construcción de indicadores de disponibilidad para la administración clínica.</t>
  </si>
  <si>
    <t>Levantamiento de toda la base instalada.
Recuperar equipos sin seguimiento técnico.</t>
  </si>
  <si>
    <t>Programa de disponibilidad operacional y mantenimiento preventivo.</t>
  </si>
  <si>
    <t>Auditoría técnica y propuesta de contrato preventivo.</t>
  </si>
  <si>
    <t>Auditoría preventiva.
Contrato anual de mantenimiento.</t>
  </si>
  <si>
    <t>Cristián Perez</t>
  </si>
  <si>
    <t>Convenio institucional de mantenimiento y soporte especializado.</t>
  </si>
  <si>
    <t>Programa preventivo anual y fortalecimiento de vínculo institucional.</t>
  </si>
  <si>
    <t>Levantamiento técnico y propuesta de cobertura preventiva.</t>
  </si>
  <si>
    <t>Gestión mediante ruta regional preventiva programada.</t>
  </si>
  <si>
    <t>Levantamiento de equipos.
Contrato parcial por criticidad.</t>
  </si>
  <si>
    <t>Cobertura preventiva mediante planificación de rutas.</t>
  </si>
  <si>
    <t>Levantamiento técnico y propuesta preventiva básica.</t>
  </si>
  <si>
    <t>Evaluación de cobertura y propuesta de mantenimiento anual.</t>
  </si>
  <si>
    <t>Programa preventivo anual coordinado desde Santiago.</t>
  </si>
  <si>
    <t>Campaña de recuperación de BI.
Oferta de contrato preventivo.
Identificación de equipos cercanos a renovación.</t>
  </si>
  <si>
    <t>Convenio institucional.
Cobertura preventiva anual.</t>
  </si>
  <si>
    <t>Evaluación de riesgo operativo y propuesta de mantenimiento.</t>
  </si>
  <si>
    <t>Programa preventivo anual y reuniones periódicas.</t>
  </si>
  <si>
    <t>Cobertura regional preventiva programada.</t>
  </si>
  <si>
    <t>Levantamiento técnico y cobertura planificada.</t>
  </si>
  <si>
    <t>Programa preventivo y evaluación de renovación.</t>
  </si>
  <si>
    <t>Incorporación a rutas regionales de soporte.</t>
  </si>
  <si>
    <t>Programa preventivo básico.</t>
  </si>
  <si>
    <t>Convenio institucional y programa preventivo anual.</t>
  </si>
  <si>
    <t>Levantamiento técnico institucional y propuesta de cobertura anual.</t>
  </si>
  <si>
    <t>Contrato preventivo institucional y soporte programado.</t>
  </si>
  <si>
    <t>Convenio institucional de soporte técnico.</t>
  </si>
  <si>
    <t>Incorporación a rutas preventivas regionales.</t>
  </si>
  <si>
    <t>Programa preventivo y seguimiento anual.</t>
  </si>
  <si>
    <t>Cobertura preventiva básica.</t>
  </si>
  <si>
    <t>Programa anual de mantenimiento.</t>
  </si>
  <si>
    <t>Cobertura preventiva regional.</t>
  </si>
  <si>
    <t>Auditoría técnica y propuesta preventiva.</t>
  </si>
  <si>
    <t>Programa preventivo utilizando base Puerto Montt.</t>
  </si>
  <si>
    <t>Programa preventivo anual y capacitación usuarios.</t>
  </si>
  <si>
    <t>Cobertura programada en rondas regionales.</t>
  </si>
  <si>
    <t>Cobertura preventiva programada desde Osorno.</t>
  </si>
  <si>
    <t>Recuperación de activos sin cobertura.
Contrato preventivo programado.</t>
  </si>
  <si>
    <t>Ruta técnica trimestral.
Programa de inspección preventiva.</t>
  </si>
  <si>
    <t>Integración en rutas técnicas programadas.</t>
  </si>
  <si>
    <t>Levantamiento técnico y propuesta institucional.</t>
  </si>
  <si>
    <t>Contrato institucional preventivo.</t>
  </si>
  <si>
    <t>Auditoría técnica y propuesta de soporte anual.</t>
  </si>
  <si>
    <t>Cobertura preventiva programada.</t>
  </si>
  <si>
    <t>Evaluación de activos y propuesta preventiva.</t>
  </si>
  <si>
    <t>Cobertura regional preventiva.</t>
  </si>
  <si>
    <t>Programa preventivo anual.</t>
  </si>
  <si>
    <t>Convenio institucional regional.</t>
  </si>
  <si>
    <t>Desarrollo de cuenta estratégica y propuesta institucional.</t>
  </si>
  <si>
    <t>Evaluación completa de base instalada.</t>
  </si>
  <si>
    <t>Levantamiento comercial y generación de contratos.</t>
  </si>
  <si>
    <t>Incorporación a rutas regionales.</t>
  </si>
  <si>
    <t>Programa preventivo institucional.</t>
  </si>
  <si>
    <t>Cuenta estratégica regional y propuesta integral de mantenimiento.</t>
  </si>
  <si>
    <t>Levantamiento técnico y cobertura institucional.</t>
  </si>
  <si>
    <t>Cobertura preventiva y disponibilidad operacional.</t>
  </si>
  <si>
    <t>Programa preventivo regional.</t>
  </si>
  <si>
    <t>Programa básico de mantenimiento anual.</t>
  </si>
  <si>
    <t>Programa preventivo y soporte especializado.</t>
  </si>
  <si>
    <t>Levantamiento técnico y seguimiento comercial.</t>
  </si>
  <si>
    <t>Cobertura programada anual.</t>
  </si>
  <si>
    <t>Servicio preventivo y soporte técnico.</t>
  </si>
  <si>
    <t>Auditoría técnica de base instalada, propuesta de mantenimiento preventivo anual y presentación de indicadores de continuidad operacional.</t>
  </si>
  <si>
    <t>Levantamiento técnico institucional, identificación de equipos sin cobertura y propuesta de contrato preventivo.</t>
  </si>
  <si>
    <t>Incorporación a rutas preventivas regionales y programa anual de mantención.</t>
  </si>
  <si>
    <t>Programa preventivo anual y seguimiento de necesidades de renovación.</t>
  </si>
  <si>
    <t>Cobertura preventiva mediante visitas programadas.</t>
  </si>
  <si>
    <t>Integración a rutas técnicas regionales y programa de inspección preventiva.</t>
  </si>
  <si>
    <t>Evaluación de base instalada y propuesta de cobertura institucional.</t>
  </si>
  <si>
    <t>Programa preventivo anual, capacitación de usuarios y preparación para futuras renovaciones.</t>
  </si>
  <si>
    <t>Programa preventivo básico anual.</t>
  </si>
  <si>
    <t>Programa preventivo anual y soporte remoto prioritario.</t>
  </si>
  <si>
    <t>Levantamiento técnico y propuesta preventiva.</t>
  </si>
  <si>
    <t>Programa preventivo y seguimiento comercial.</t>
  </si>
  <si>
    <t>Contrato institucional de mantenimiento y continuidad operacional.</t>
  </si>
  <si>
    <t>Cobertura preventiva anual programada.</t>
  </si>
  <si>
    <t>Programa preventivo periódico y evaluación de renovación.</t>
  </si>
  <si>
    <t>Convenio institucional regional para soporte técnico y renovación tecnológica futura.</t>
  </si>
  <si>
    <t>Auditoría técnica y propuesta anual de soporte.</t>
  </si>
  <si>
    <t>Levantamiento completo de activos, propuesta institucional de mantenimiento y análisis de criticidad.</t>
  </si>
  <si>
    <t>En Revisión/ Por Definir</t>
  </si>
  <si>
    <t>Programa preventivo institucional y evaluación de renovación tecnológica.</t>
  </si>
  <si>
    <t>Cobertura preventiva programada durante rondas zonales.</t>
  </si>
  <si>
    <t>Convenio institucional regional y soporte para futuros proyectos.</t>
  </si>
  <si>
    <t>Programa preventivo y seguimiento de activos.</t>
  </si>
  <si>
    <t>Convenio institucional y planificación anual de servicios.</t>
  </si>
  <si>
    <t>Evaluación técnica de activos y propuesta preventiva anual.</t>
  </si>
  <si>
    <t>Cuenta estratégica regional, propuesta integral de mantenimiento y plan de renovación tecnológica.</t>
  </si>
  <si>
    <t>Auditoría técnica y propuesta preventiva anual.</t>
  </si>
  <si>
    <t>Convenio institucional para soporte de equipamiento y servicios asociados.</t>
  </si>
  <si>
    <t>Programa preventivo y fortalecimiento de relación institucional.</t>
  </si>
  <si>
    <t>Programa preventivo básico y soporte programado.</t>
  </si>
  <si>
    <t>Auditoría preventiva y propuesta de cobertura anual.</t>
  </si>
  <si>
    <t>Convenio institucional, soporte para laboratorios y cobertura preventiva anual.</t>
  </si>
  <si>
    <t>Integración a rutas regionales programadas.</t>
  </si>
  <si>
    <t>Convenio institucional y programa anual de mantenimiento preventivo.</t>
  </si>
  <si>
    <t>Auditoría técnica de equipos e identificación de oportunidades de contrato.</t>
  </si>
  <si>
    <t>Programa institucional de soporte técnico.</t>
  </si>
  <si>
    <t>Convenio institucional y planificación anual de mantenimiento.</t>
  </si>
  <si>
    <t>Evaluación de base instalada y generación de propuesta preventiva.</t>
  </si>
  <si>
    <t>Programa preventivo anual y evaluación periódica de equipos.</t>
  </si>
  <si>
    <t>Programa preventivo programado e integración a rutas regionales.</t>
  </si>
  <si>
    <t>Cuenta regional principal, propuesta institucional de mantenimiento y renovación tecnológica.</t>
  </si>
  <si>
    <t>Mantención preventiva básica y seguimiento anual.</t>
  </si>
  <si>
    <t>Cobertura preventiva anual y soporte remoto prioritario.</t>
  </si>
  <si>
    <t>Auditoría técnica, propuesta preventiva y evaluación de renovación tecnológica.</t>
  </si>
  <si>
    <t>Programa preventivo anual y seguimiento técnico.</t>
  </si>
  <si>
    <t>Levantamiento institucional y propuesta anual de cobertura.</t>
  </si>
  <si>
    <t>Programa básico de mantenimiento preventivo.</t>
  </si>
  <si>
    <t>Programa preventivo institucional y análisis de criticidad.</t>
  </si>
  <si>
    <t>Margen</t>
  </si>
  <si>
    <t>CARTA GANTT — PLAN TEMPORAL DE VISITAS TECSERVICE (SEP 2026 – FEB 2027)</t>
  </si>
  <si>
    <t>Prior.</t>
  </si>
  <si>
    <t>Región</t>
  </si>
  <si>
    <t>Eq.</t>
  </si>
  <si>
    <t>Pot.
MM$</t>
  </si>
  <si>
    <t>Acciones Clave</t>
  </si>
  <si>
    <t>Sep 2026</t>
  </si>
  <si>
    <t>Oct 2026</t>
  </si>
  <si>
    <t>Nov 2026</t>
  </si>
  <si>
    <t>Dic 2026</t>
  </si>
  <si>
    <t>Ene 2027</t>
  </si>
  <si>
    <t>Feb 2027</t>
  </si>
  <si>
    <t>Metropolitana</t>
  </si>
  <si>
    <t>Reunión / Visita gerencial · Levantamiento técnico · Auditor…</t>
  </si>
  <si>
    <t>EN EJECUCIÓN</t>
  </si>
  <si>
    <t>SEGUIMIENTO</t>
  </si>
  <si>
    <t>Bío Bío</t>
  </si>
  <si>
    <t>Levantamiento técnico · Auditoría técnica · Contrato prevent…</t>
  </si>
  <si>
    <t>Araucanía</t>
  </si>
  <si>
    <t>Levantamiento técnico · Contrato preventivo · Convenio insti…</t>
  </si>
  <si>
    <t>Los Lagos</t>
  </si>
  <si>
    <t>Reunión / Visita gerencial · Contrato preventivo · Programa …</t>
  </si>
  <si>
    <t>Maule</t>
  </si>
  <si>
    <t>Ñuble</t>
  </si>
  <si>
    <t>Los Ríos</t>
  </si>
  <si>
    <t>Auditoría técnica · Convenio institucional · Programa preven…</t>
  </si>
  <si>
    <t>Valparaíso</t>
  </si>
  <si>
    <t>CAMPAÑA</t>
  </si>
  <si>
    <t>Magallanes</t>
  </si>
  <si>
    <t>Levantamiento técnico · Auditoría técnica · Convenio institu…</t>
  </si>
  <si>
    <t>TÉC. SUR</t>
  </si>
  <si>
    <t>Aysén</t>
  </si>
  <si>
    <t>Programa preventivo · Evaluación de renovación</t>
  </si>
  <si>
    <t>O'Higgins</t>
  </si>
  <si>
    <t>Antofagasta</t>
  </si>
  <si>
    <t>Levantamiento técnico · Auditoría técnica · Programa prevent…</t>
  </si>
  <si>
    <t>ZONA NORTE</t>
  </si>
  <si>
    <t>Coquimbo</t>
  </si>
  <si>
    <t>Levantamiento técnico · Programa preventivo</t>
  </si>
  <si>
    <t>TÉC. NORTE</t>
  </si>
  <si>
    <t>Tarapacá</t>
  </si>
  <si>
    <t>Arica y Parinacota</t>
  </si>
  <si>
    <t>Atacama</t>
  </si>
  <si>
    <t>■</t>
  </si>
  <si>
    <t>EN EJECUCIÓN: Campaña ya iniciada</t>
  </si>
  <si>
    <t>SEGUIMIENTO: Región Metropolitana – continuo</t>
  </si>
  <si>
    <t>CAMPAÑA: Campaña programada</t>
  </si>
  <si>
    <t>TÉC. SUR: Apoya técnico de la zona sur</t>
  </si>
  <si>
    <t>TÉC. NORTE: Propuesta: técnico norte (base La Serena)</t>
  </si>
  <si>
    <t>ZONA NORTE: Ronda zona norte coordinada</t>
  </si>
  <si>
    <t>PLAN DE VISITAS TECSERVICE — RESUMEN CONSOLIDADO POR REGIÓN</t>
  </si>
  <si>
    <t>N° Clientes
Foco</t>
  </si>
  <si>
    <t>Equipos
Foco</t>
  </si>
  <si>
    <t>Pot. Foco
MM$</t>
  </si>
  <si>
    <t>Margen (MM$)</t>
  </si>
  <si>
    <t>Pot. Total
Región MM$</t>
  </si>
  <si>
    <t>% Plan Atacado</t>
  </si>
  <si>
    <t>Ticket Promedio por Cliente</t>
  </si>
  <si>
    <t>Período
Campaña</t>
  </si>
  <si>
    <t>Estado</t>
  </si>
  <si>
    <t>Obs.</t>
  </si>
  <si>
    <t>Sep–Oct 2026 (inmediato) + continuo</t>
  </si>
  <si>
    <t>Planificado</t>
  </si>
  <si>
    <t>Reunión / Visita gerencial · Levantamiento técnico · Auditoría técnica · Contrato preventivo · Oferta comercial · Programa preventivo · Evaluación de renovación</t>
  </si>
  <si>
    <t>Prioridad máxima. Inicio inmediato.</t>
  </si>
  <si>
    <t>Sep 2026 – EN EJECUCIÓN</t>
  </si>
  <si>
    <t>En ejecución</t>
  </si>
  <si>
    <t>Levantamiento técnico · Auditoría técnica · Contrato preventivo · Convenio institucional · Oferta comercial · Programa preventivo · Evaluación de renovación</t>
  </si>
  <si>
    <t>Campaña en curso.</t>
  </si>
  <si>
    <t>Levantamiento técnico · Contrato preventivo · Convenio institucional · Oferta comercial · Programa preventivo · Evaluación de renovación</t>
  </si>
  <si>
    <t>Reunión / Visita gerencial · Contrato preventivo · Programa preventivo</t>
  </si>
  <si>
    <t>Oct–Nov 2026</t>
  </si>
  <si>
    <t>Levantamiento técnico · Auditoría técnica · Contrato preventivo · Convenio institucional · Programa preventivo</t>
  </si>
  <si>
    <t>Inicio oct con foco Zona Naval.</t>
  </si>
  <si>
    <t>Nov–Dic 2026</t>
  </si>
  <si>
    <t>Levantamiento técnico · Auditoría técnica · Convenio institucional · Programa preventivo</t>
  </si>
  <si>
    <t>Campaña nov–dic, post RM.</t>
  </si>
  <si>
    <t>Ene 2027 (Zona Norte)</t>
  </si>
  <si>
    <t>Levantamiento técnico · Auditoría técnica · Programa preventivo</t>
  </si>
  <si>
    <t>Coordinar con técnico norte.</t>
  </si>
  <si>
    <t>Ene 2027 (Téc. Norte)</t>
  </si>
  <si>
    <t>★ Base del técnico norte. Foco H. La Serena.</t>
  </si>
  <si>
    <t>Oct–Nov 2026 (Téc. Sur)</t>
  </si>
  <si>
    <t>Levantamiento técnico · Auditoría técnica · Convenio institucional · Programa preventivo · Evaluación de renovación</t>
  </si>
  <si>
    <t>Apoya técnico sur.</t>
  </si>
  <si>
    <t>Levantamiento técnico · Auditoría técnica · Contrato preventivo · Convenio institucional · Programa preventivo · Evaluación de renovación</t>
  </si>
  <si>
    <t>Ronda zona norte.</t>
  </si>
  <si>
    <t>Levantamiento técnico · Auditoría técnica · Contrato preventivo · Programa preventivo · Evaluación de renovación</t>
  </si>
  <si>
    <t>Auditoría técnica · Convenio institucional · Programa preventivo · Evaluación de renovación</t>
  </si>
  <si>
    <t>Feb 2027 (Zona Norte)</t>
  </si>
  <si>
    <t>Auditoría técnica · Convenio institucional · Programa preventivo</t>
  </si>
  <si>
    <t>Levantamiento técnico · Auditoría técnica · Programa preventivo · Evaluación de renovación</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</si>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</sst>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quot;%&quot;"/>
    <numFmt numFmtId="165" formatCode="#,##0.0"/>
    <numFmt numFmtId="167" formatCode="0.0%"/>
  </numFmts>
  <fonts count="49" x14ac:knownFonts="1">
    <font>
      <sz val="11"/>
      <name val="Calibri"/>
    </font>
    <font>
      <sz val="11"/>
      <name val="Calibri"/>
    </font>
    <font>
      <b/>
      <sz val="9"/>
      <color rgb="FFFFFFFF"/>
      <name val="Calibri"/>
    </font>
    <font>
      <b/>
      <sz val="9"/>
      <color rgb="FFFFFFFF"/>
      <name val="Calibri"/>
    </font>
    <font>
      <b/>
      <sz val="9"/>
      <color rgb="FF1A1A1A"/>
      <name val="Calibri"/>
    </font>
    <font>
      <b/>
      <sz val="9"/>
      <color rgb="FF1A1A1A"/>
      <name val="Calibri"/>
    </font>
    <font>
      <b/>
      <sz val="9"/>
      <color rgb="FFFFFFFF"/>
      <name val="Calibri"/>
    </font>
    <font>
      <sz val="9"/>
      <name val="Calibri"/>
    </font>
    <font>
      <sz val="9"/>
      <name val="Calibri"/>
    </font>
    <font>
      <sz val="9"/>
      <name val="Calibri"/>
    </font>
    <font>
      <sz val="9"/>
      <name val="Calibri"/>
    </font>
    <font>
      <sz val="9"/>
      <name val="Calibri"/>
    </font>
    <font>
      <sz val="9"/>
      <name val="Calibri"/>
    </font>
    <font>
      <sz val="9"/>
      <name val="Calibri"/>
    </font>
    <font>
      <sz val="9"/>
      <name val="Calibri"/>
    </font>
    <font>
      <b/>
      <sz val="9"/>
      <color rgb="FFFFFFFF"/>
      <name val="Calibri"/>
    </font>
    <font>
      <b/>
      <sz val="9"/>
      <color rgb="FFFFFFFF"/>
      <name val="Calibri"/>
    </font>
    <font>
      <b/>
      <sz val="9"/>
      <color rgb="FFFFFFFF"/>
      <name val="Calibri"/>
    </font>
    <font>
      <b/>
      <sz val="9"/>
      <color rgb="FFFFFFFF"/>
      <name val="Calibri"/>
    </font>
    <font>
      <b/>
      <sz val="9"/>
      <color rgb="FFFFFFFF"/>
      <name val="Calibri"/>
    </font>
    <font>
      <b/>
      <sz val="9"/>
      <color rgb="FFFFFFFF"/>
      <name val="Roboto"/>
    </font>
    <font>
      <sz val="11"/>
      <color theme="1"/>
      <name val="Roboto"/>
    </font>
    <font>
      <b/>
      <sz val="13"/>
      <color theme="0"/>
      <name val="Roboto"/>
    </font>
    <font>
      <sz val="11"/>
      <color theme="0"/>
      <name val="Roboto"/>
    </font>
    <font>
      <i/>
      <sz val="7.5"/>
      <color theme="0"/>
      <name val="Roboto"/>
    </font>
    <font>
      <b/>
      <sz val="8"/>
      <color theme="0"/>
      <name val="Roboto"/>
    </font>
    <font>
      <b/>
      <sz val="8"/>
      <color rgb="FFFFFFFF"/>
      <name val="Roboto"/>
    </font>
    <font>
      <b/>
      <sz val="8"/>
      <color rgb="FF1F1F1F"/>
      <name val="Roboto"/>
    </font>
    <font>
      <b/>
      <sz val="7.5"/>
      <color rgb="FF1F1F1F"/>
      <name val="Roboto"/>
    </font>
    <font>
      <b/>
      <sz val="6.5"/>
      <color rgb="FFFFFFFF"/>
      <name val="Roboto"/>
    </font>
    <font>
      <sz val="8"/>
      <color rgb="FF1F1F1F"/>
      <name val="Roboto"/>
    </font>
    <font>
      <sz val="7.5"/>
      <color rgb="FF1F1F1F"/>
      <name val="Roboto"/>
    </font>
    <font>
      <b/>
      <sz val="14"/>
      <color rgb="FF006B3C"/>
      <name val="Roboto"/>
    </font>
    <font>
      <b/>
      <sz val="14"/>
      <color rgb="FF2E5D9F"/>
      <name val="Roboto"/>
    </font>
    <font>
      <b/>
      <sz val="14"/>
      <color rgb="FF7030A0"/>
      <name val="Roboto"/>
    </font>
    <font>
      <b/>
      <sz val="14"/>
      <color rgb="FF00B0F0"/>
      <name val="Roboto"/>
    </font>
    <font>
      <b/>
      <sz val="14"/>
      <color rgb="FFC00000"/>
      <name val="Roboto"/>
    </font>
    <font>
      <b/>
      <sz val="14"/>
      <color rgb="FFED7D31"/>
      <name val="Roboto"/>
    </font>
    <font>
      <sz val="9"/>
      <color theme="1"/>
      <name val="Roboto"/>
    </font>
    <font>
      <i/>
      <sz val="9"/>
      <color rgb="FFBDD7EE"/>
      <name val="Roboto"/>
    </font>
    <font>
      <b/>
      <sz val="9"/>
      <color rgb="FF1F1F1F"/>
      <name val="Roboto"/>
    </font>
    <font>
      <b/>
      <sz val="9"/>
      <color theme="1"/>
      <name val="Roboto"/>
    </font>
    <font>
      <b/>
      <sz val="9"/>
      <color rgb="FF375623"/>
      <name val="Roboto"/>
    </font>
    <font>
      <sz val="9"/>
      <color rgb="FF7F6000"/>
      <name val="Roboto"/>
    </font>
    <font>
      <sz val="9"/>
      <color rgb="FF1F1F1F"/>
      <name val="Roboto"/>
    </font>
    <font>
      <b/>
      <sz val="9"/>
      <color theme="0"/>
      <name val="Roboto"/>
    </font>
    <font>
      <i/>
      <sz val="9"/>
      <color rgb="FF595959"/>
      <name val="Roboto"/>
    </font>
    <font>
      <b/>
      <sz val="9"/>
      <color rgb="FFFF0000"/>
      <name val="Roboto"/>
    </font>
    <font>
      <sz val="9"/>
      <color rgb="FFFF0000"/>
      <name val="Roboto"/>
    </font>
  </fonts>
  <fills count="35">
    <fill>
      <patternFill patternType="none"/>
    </fill>
    <fill>
      <patternFill patternType="gray125"/>
    </fill>
    <fill>
      <patternFill patternType="solid">
        <fgColor rgb="FF002D73"/>
      </patternFill>
    </fill>
    <fill>
      <patternFill patternType="solid">
        <fgColor rgb="FF002D73"/>
      </patternFill>
    </fill>
    <fill>
      <patternFill patternType="solid">
        <fgColor rgb="FFFFC000"/>
      </patternFill>
    </fill>
    <fill>
      <patternFill patternType="solid">
        <fgColor rgb="FF28D2C3"/>
      </patternFill>
    </fill>
    <fill>
      <patternFill patternType="solid">
        <fgColor rgb="FFB26A00"/>
      </patternFill>
    </fill>
    <fill>
      <patternFill patternType="solid">
        <fgColor rgb="FFFFFFFF"/>
      </patternFill>
    </fill>
    <fill>
      <patternFill patternType="solid">
        <fgColor rgb="FFFFFFFF"/>
      </patternFill>
    </fill>
    <fill>
      <patternFill patternType="solid">
        <fgColor rgb="FFFFFFFF"/>
      </patternFill>
    </fill>
    <fill>
      <patternFill patternType="solid">
        <fgColor rgb="FFE8F5EC"/>
      </patternFill>
    </fill>
    <fill>
      <patternFill patternType="solid">
        <fgColor rgb="FFFFF8E1"/>
      </patternFill>
    </fill>
    <fill>
      <patternFill patternType="solid">
        <fgColor rgb="FFF7F9FC"/>
      </patternFill>
    </fill>
    <fill>
      <patternFill patternType="solid">
        <fgColor rgb="FFF7F9FC"/>
      </patternFill>
    </fill>
    <fill>
      <patternFill patternType="solid">
        <fgColor rgb="FFF7F9FC"/>
      </patternFill>
    </fill>
    <fill>
      <patternFill patternType="solid">
        <fgColor rgb="FF0E2D55"/>
      </patternFill>
    </fill>
    <fill>
      <patternFill patternType="solid">
        <fgColor rgb="FF0E2D55"/>
      </patternFill>
    </fill>
    <fill>
      <patternFill patternType="solid">
        <fgColor rgb="FF0E2D55"/>
      </patternFill>
    </fill>
    <fill>
      <patternFill patternType="solid">
        <fgColor rgb="FF0E2D55"/>
      </patternFill>
    </fill>
    <fill>
      <patternFill patternType="solid">
        <fgColor rgb="FF0E2D55"/>
      </patternFill>
    </fill>
    <fill>
      <patternFill patternType="solid">
        <fgColor rgb="FF4B0082"/>
      </patternFill>
    </fill>
    <fill>
      <patternFill patternType="solid">
        <fgColor rgb="FFFFFF00"/>
        <bgColor indexed="64"/>
      </patternFill>
    </fill>
    <fill>
      <patternFill patternType="solid">
        <fgColor theme="1"/>
        <bgColor indexed="64"/>
      </patternFill>
    </fill>
    <fill>
      <patternFill patternType="solid">
        <fgColor rgb="FFC00000"/>
      </patternFill>
    </fill>
    <fill>
      <patternFill patternType="solid">
        <fgColor rgb="FFFCE4D6"/>
      </patternFill>
    </fill>
    <fill>
      <patternFill patternType="solid">
        <fgColor rgb="FF006B3C"/>
      </patternFill>
    </fill>
    <fill>
      <patternFill patternType="solid">
        <fgColor rgb="FF2E5D9F"/>
      </patternFill>
    </fill>
    <fill>
      <patternFill patternType="solid">
        <fgColor rgb="FFEEF4FB"/>
      </patternFill>
    </fill>
    <fill>
      <patternFill patternType="solid">
        <fgColor rgb="FF7030A0"/>
      </patternFill>
    </fill>
    <fill>
      <patternFill patternType="solid">
        <fgColor rgb="FF00B0F0"/>
      </patternFill>
    </fill>
    <fill>
      <patternFill patternType="solid">
        <fgColor rgb="FFED7D31"/>
      </patternFill>
    </fill>
    <fill>
      <patternFill patternType="solid">
        <fgColor rgb="FFFFE699"/>
      </patternFill>
    </fill>
    <fill>
      <patternFill patternType="solid">
        <fgColor rgb="FF1F3864"/>
      </patternFill>
    </fill>
    <fill>
      <patternFill patternType="solid">
        <fgColor rgb="FFF0F7FE"/>
        <bgColor indexed="64"/>
      </patternFill>
    </fill>
    <fill>
      <patternFill patternType="solid">
        <fgColor theme="0"/>
        <bgColor indexed="64"/>
      </patternFill>
    </fill>
  </fills>
  <borders count="31">
    <border>
      <left/>
      <right/>
      <top/>
      <bottom/>
      <diagonal/>
    </border>
    <border>
      <left style="thin">
        <color rgb="FFD4D5E8"/>
      </left>
      <right style="thin">
        <color rgb="FFD4D5E8"/>
      </right>
      <top style="thin">
        <color rgb="FFD4D5E8"/>
      </top>
      <bottom style="thin">
        <color rgb="FFD4D5E8"/>
      </bottom>
      <diagonal/>
    </border>
    <border>
      <left style="thin">
        <color rgb="FFD4D5E8"/>
      </left>
      <right style="thin">
        <color rgb="FFD4D5E8"/>
      </right>
      <top style="thin">
        <color rgb="FFD4D5E8"/>
      </top>
      <bottom style="thin">
        <color rgb="FFD4D5E8"/>
      </bottom>
      <diagonal/>
    </border>
    <border>
      <left style="thin">
        <color rgb="FFD4D5E8"/>
      </left>
      <right style="thin">
        <color rgb="FFD4D5E8"/>
      </right>
      <top style="thin">
        <color rgb="FFD4D5E8"/>
      </top>
      <bottom style="thin">
        <color rgb="FFD4D5E8"/>
      </bottom>
      <diagonal/>
    </border>
    <border>
      <left style="thin">
        <color rgb="FFD4D5E8"/>
      </left>
      <right style="thin">
        <color rgb="FFD4D5E8"/>
      </right>
      <top style="thin">
        <color rgb="FFD4D5E8"/>
      </top>
      <bottom style="thin">
        <color rgb="FFD4D5E8"/>
      </bottom>
      <diagonal/>
    </border>
    <border>
      <left style="thin">
        <color rgb="FFD4D5E8"/>
      </left>
      <right style="thin">
        <color rgb="FFD4D5E8"/>
      </right>
      <top style="thin">
        <color rgb="FFD4D5E8"/>
      </top>
      <bottom style="thin">
        <color rgb="FFD4D5E8"/>
      </bottom>
      <diagonal/>
    </border>
    <border>
      <left style="thin">
        <color rgb="FFD4D5E8"/>
      </left>
      <right style="thin">
        <color rgb="FFD4D5E8"/>
      </right>
      <top style="thin">
        <color rgb="FFD4D5E8"/>
      </top>
      <bottom style="thin">
        <color rgb="FFD4D5E8"/>
      </bottom>
      <diagonal/>
    </border>
    <border>
      <left style="thin">
        <color rgb="FFD4D5E8"/>
      </left>
      <right style="thin">
        <color rgb="FFD4D5E8"/>
      </right>
      <top style="thin">
        <color rgb="FFD4D5E8"/>
      </top>
      <bottom style="thin">
        <color rgb="FFD4D5E8"/>
      </bottom>
      <diagonal/>
    </border>
    <border>
      <left style="thin">
        <color rgb="FFD4D5E8"/>
      </left>
      <right style="thin">
        <color rgb="FFD4D5E8"/>
      </right>
      <top style="thin">
        <color rgb="FFD4D5E8"/>
      </top>
      <bottom style="thin">
        <color rgb="FFD4D5E8"/>
      </bottom>
      <diagonal/>
    </border>
    <border>
      <left style="thin">
        <color rgb="FFD4D5E8"/>
      </left>
      <right style="thin">
        <color rgb="FFD4D5E8"/>
      </right>
      <top style="thin">
        <color rgb="FFD4D5E8"/>
      </top>
      <bottom style="thin">
        <color rgb="FFD4D5E8"/>
      </bottom>
      <diagonal/>
    </border>
    <border>
      <left style="thin">
        <color rgb="FFD4D5E8"/>
      </left>
      <right style="thin">
        <color rgb="FFD4D5E8"/>
      </right>
      <top style="thin">
        <color rgb="FFD4D5E8"/>
      </top>
      <bottom style="thin">
        <color rgb="FFD4D5E8"/>
      </bottom>
      <diagonal/>
    </border>
    <border>
      <left style="thin">
        <color rgb="FFD4D5E8"/>
      </left>
      <right style="thin">
        <color rgb="FFD4D5E8"/>
      </right>
      <top style="thin">
        <color rgb="FFD4D5E8"/>
      </top>
      <bottom style="thin">
        <color rgb="FFD4D5E8"/>
      </bottom>
      <diagonal/>
    </border>
    <border>
      <left style="thin">
        <color rgb="FFD4D5E8"/>
      </left>
      <right style="thin">
        <color rgb="FFD4D5E8"/>
      </right>
      <top style="thin">
        <color rgb="FFD4D5E8"/>
      </top>
      <bottom style="thin">
        <color rgb="FFD4D5E8"/>
      </bottom>
      <diagonal/>
    </border>
    <border>
      <left style="thin">
        <color rgb="FFD4D5E8"/>
      </left>
      <right style="thin">
        <color rgb="FFD4D5E8"/>
      </right>
      <top style="thin">
        <color rgb="FFD4D5E8"/>
      </top>
      <bottom style="thin">
        <color rgb="FFD4D5E8"/>
      </bottom>
      <diagonal/>
    </border>
    <border>
      <left style="thin">
        <color rgb="FFD4D5E8"/>
      </left>
      <right style="thin">
        <color rgb="FFD4D5E8"/>
      </right>
      <top style="thin">
        <color rgb="FFD4D5E8"/>
      </top>
      <bottom style="thin">
        <color rgb="FFD4D5E8"/>
      </bottom>
      <diagonal/>
    </border>
    <border>
      <left style="thin">
        <color rgb="FFD4D5E8"/>
      </left>
      <right style="thin">
        <color rgb="FFD4D5E8"/>
      </right>
      <top style="thin">
        <color rgb="FFD4D5E8"/>
      </top>
      <bottom style="thin">
        <color rgb="FFD4D5E8"/>
      </bottom>
      <diagonal/>
    </border>
    <border>
      <left style="thin">
        <color rgb="FFD4D5E8"/>
      </left>
      <right style="thin">
        <color rgb="FFD4D5E8"/>
      </right>
      <top style="thin">
        <color rgb="FFD4D5E8"/>
      </top>
      <bottom style="thin">
        <color rgb="FFD4D5E8"/>
      </bottom>
      <diagonal/>
    </border>
    <border>
      <left style="thin">
        <color rgb="FFD4D5E8"/>
      </left>
      <right style="thin">
        <color rgb="FFD4D5E8"/>
      </right>
      <top style="thin">
        <color rgb="FFD4D5E8"/>
      </top>
      <bottom style="thin">
        <color rgb="FFD4D5E8"/>
      </bottom>
      <diagonal/>
    </border>
    <border>
      <left style="thin">
        <color rgb="FFD4D5E8"/>
      </left>
      <right style="thin">
        <color rgb="FFD4D5E8"/>
      </right>
      <top style="thin">
        <color rgb="FFD4D5E8"/>
      </top>
      <bottom style="thin">
        <color rgb="FFD4D5E8"/>
      </bottom>
      <diagonal/>
    </border>
    <border>
      <left style="thin">
        <color rgb="FFBFBFBF"/>
      </left>
      <right style="thin">
        <color rgb="FFBFBFBF"/>
      </right>
      <top style="thin">
        <color rgb="FFBFBFBF"/>
      </top>
      <bottom style="thin">
        <color rgb="FFBFBFBF"/>
      </bottom>
      <diagonal/>
    </border>
    <border>
      <left style="thin">
        <color rgb="FFD4D5E8"/>
      </left>
      <right style="thin">
        <color rgb="FFD4D5E8"/>
      </right>
      <top/>
      <bottom style="thin">
        <color rgb="FFD4D5E8"/>
      </bottom>
      <diagonal/>
    </border>
    <border>
      <left style="thin">
        <color rgb="FFBFBFBF"/>
      </left>
      <right style="thin">
        <color rgb="FFBFBFBF"/>
      </right>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diagonal/>
    </border>
    <border>
      <left/>
      <right/>
      <top style="thin">
        <color rgb="FFBFBFBF"/>
      </top>
      <bottom/>
      <diagonal/>
    </border>
    <border>
      <left/>
      <right style="thin">
        <color rgb="FFBFBFBF"/>
      </right>
      <top style="thin">
        <color rgb="FFBFBFBF"/>
      </top>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style="thin">
        <color rgb="FFBFBFBF"/>
      </bottom>
      <diagonal/>
    </border>
  </borders>
  <cellStyleXfs count="2">
    <xf numFmtId="0" fontId="0" fillId="0" borderId="0"/>
    <xf numFmtId="9" fontId="1" fillId="0" borderId="0" applyFont="0" applyFill="0" applyBorder="0" applyAlignment="0" applyProtection="0"/>
  </cellStyleXfs>
  <cellXfs count="147">
    <xf numFmtId="0" fontId="0" fillId="0" borderId="0" xfId="0"/>
    <xf numFmtId="0" fontId="2" fillId="2"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7" fillId="7" borderId="6" xfId="0" applyFont="1" applyFill="1" applyBorder="1"/>
    <xf numFmtId="3" fontId="8" fillId="8" borderId="7" xfId="0" applyNumberFormat="1" applyFont="1" applyFill="1" applyBorder="1" applyAlignment="1">
      <alignment horizontal="right"/>
    </xf>
    <xf numFmtId="164" fontId="9" fillId="9" borderId="8" xfId="0" applyNumberFormat="1" applyFont="1" applyFill="1" applyBorder="1" applyAlignment="1">
      <alignment horizontal="right"/>
    </xf>
    <xf numFmtId="165" fontId="10" fillId="10" borderId="9" xfId="0" applyNumberFormat="1" applyFont="1" applyFill="1" applyBorder="1" applyAlignment="1">
      <alignment horizontal="right"/>
    </xf>
    <xf numFmtId="0" fontId="11" fillId="11" borderId="10" xfId="0" applyFont="1" applyFill="1" applyBorder="1"/>
    <xf numFmtId="0" fontId="12" fillId="12" borderId="11" xfId="0" applyFont="1" applyFill="1" applyBorder="1"/>
    <xf numFmtId="3" fontId="13" fillId="13" borderId="12" xfId="0" applyNumberFormat="1" applyFont="1" applyFill="1" applyBorder="1" applyAlignment="1">
      <alignment horizontal="right"/>
    </xf>
    <xf numFmtId="164" fontId="14" fillId="14" borderId="13" xfId="0" applyNumberFormat="1" applyFont="1" applyFill="1" applyBorder="1" applyAlignment="1">
      <alignment horizontal="right"/>
    </xf>
    <xf numFmtId="0" fontId="16" fillId="16" borderId="15" xfId="0" applyFont="1" applyFill="1" applyBorder="1"/>
    <xf numFmtId="3" fontId="17" fillId="17" borderId="16" xfId="0" applyNumberFormat="1" applyFont="1" applyFill="1" applyBorder="1" applyAlignment="1">
      <alignment horizontal="right"/>
    </xf>
    <xf numFmtId="164" fontId="18" fillId="18" borderId="17" xfId="0" applyNumberFormat="1" applyFont="1" applyFill="1" applyBorder="1" applyAlignment="1">
      <alignment horizontal="right"/>
    </xf>
    <xf numFmtId="165" fontId="19" fillId="19" borderId="18" xfId="0" applyNumberFormat="1" applyFont="1" applyFill="1" applyBorder="1" applyAlignment="1">
      <alignment horizontal="right"/>
    </xf>
    <xf numFmtId="0" fontId="2" fillId="2"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6" fillId="6" borderId="5" xfId="0" applyFont="1" applyFill="1" applyBorder="1" applyAlignment="1">
      <alignment horizontal="center" vertical="center" wrapText="1"/>
    </xf>
    <xf numFmtId="17" fontId="20" fillId="6" borderId="18" xfId="0" applyNumberFormat="1" applyFont="1" applyFill="1" applyBorder="1" applyAlignment="1">
      <alignment horizontal="center" vertical="center" wrapText="1"/>
    </xf>
    <xf numFmtId="0" fontId="20" fillId="20" borderId="19" xfId="0" applyFont="1" applyFill="1" applyBorder="1" applyAlignment="1">
      <alignment horizontal="center" vertical="center"/>
    </xf>
    <xf numFmtId="17" fontId="21" fillId="0" borderId="20" xfId="0" applyNumberFormat="1" applyFont="1" applyBorder="1" applyAlignment="1">
      <alignment vertical="center"/>
    </xf>
    <xf numFmtId="0" fontId="21" fillId="0" borderId="21" xfId="0" applyFont="1" applyBorder="1" applyAlignment="1">
      <alignment vertical="center"/>
    </xf>
    <xf numFmtId="0" fontId="11" fillId="21" borderId="10" xfId="0" applyFont="1" applyFill="1" applyBorder="1"/>
    <xf numFmtId="0" fontId="11" fillId="11" borderId="10" xfId="0" applyFont="1" applyFill="1" applyBorder="1" applyAlignment="1">
      <alignment wrapText="1"/>
    </xf>
    <xf numFmtId="0" fontId="0" fillId="0" borderId="0" xfId="0" applyAlignment="1">
      <alignment vertical="center"/>
    </xf>
    <xf numFmtId="0" fontId="7" fillId="7" borderId="6" xfId="0" applyFont="1" applyFill="1" applyBorder="1" applyAlignment="1">
      <alignment vertical="center"/>
    </xf>
    <xf numFmtId="3" fontId="8" fillId="8" borderId="7" xfId="0" applyNumberFormat="1" applyFont="1" applyFill="1" applyBorder="1" applyAlignment="1">
      <alignment horizontal="right" vertical="center"/>
    </xf>
    <xf numFmtId="164" fontId="9" fillId="9" borderId="8" xfId="0" applyNumberFormat="1" applyFont="1" applyFill="1" applyBorder="1" applyAlignment="1">
      <alignment horizontal="right" vertical="center"/>
    </xf>
    <xf numFmtId="165" fontId="10" fillId="10" borderId="9" xfId="0" applyNumberFormat="1" applyFont="1" applyFill="1" applyBorder="1" applyAlignment="1">
      <alignment horizontal="right" vertical="center"/>
    </xf>
    <xf numFmtId="0" fontId="11" fillId="11" borderId="10" xfId="0" applyFont="1" applyFill="1" applyBorder="1" applyAlignment="1">
      <alignment vertical="center" wrapText="1"/>
    </xf>
    <xf numFmtId="0" fontId="12" fillId="12" borderId="11" xfId="0" applyFont="1" applyFill="1" applyBorder="1" applyAlignment="1">
      <alignment vertical="center"/>
    </xf>
    <xf numFmtId="3" fontId="13" fillId="13" borderId="12" xfId="0" applyNumberFormat="1" applyFont="1" applyFill="1" applyBorder="1" applyAlignment="1">
      <alignment horizontal="right" vertical="center"/>
    </xf>
    <xf numFmtId="164" fontId="14" fillId="14" borderId="13" xfId="0" applyNumberFormat="1" applyFont="1" applyFill="1" applyBorder="1" applyAlignment="1">
      <alignment horizontal="right" vertical="center"/>
    </xf>
    <xf numFmtId="0" fontId="11" fillId="21" borderId="10" xfId="0" applyFont="1" applyFill="1" applyBorder="1" applyAlignment="1">
      <alignment vertical="center" wrapText="1"/>
    </xf>
    <xf numFmtId="0" fontId="11" fillId="21" borderId="10" xfId="0" applyFont="1" applyFill="1" applyBorder="1" applyAlignment="1">
      <alignment vertical="center"/>
    </xf>
    <xf numFmtId="0" fontId="15" fillId="15" borderId="14" xfId="0" applyFont="1" applyFill="1" applyBorder="1" applyAlignment="1">
      <alignment vertical="center"/>
    </xf>
    <xf numFmtId="0" fontId="16" fillId="16" borderId="15" xfId="0" applyFont="1" applyFill="1" applyBorder="1" applyAlignment="1">
      <alignment vertical="center"/>
    </xf>
    <xf numFmtId="3" fontId="17" fillId="17" borderId="16" xfId="0" applyNumberFormat="1" applyFont="1" applyFill="1" applyBorder="1" applyAlignment="1">
      <alignment horizontal="right" vertical="center"/>
    </xf>
    <xf numFmtId="164" fontId="18" fillId="18" borderId="17" xfId="0" applyNumberFormat="1" applyFont="1" applyFill="1" applyBorder="1" applyAlignment="1">
      <alignment horizontal="right" vertical="center"/>
    </xf>
    <xf numFmtId="165" fontId="19" fillId="19" borderId="18" xfId="0" applyNumberFormat="1" applyFont="1" applyFill="1" applyBorder="1" applyAlignment="1">
      <alignment horizontal="right" vertical="center"/>
    </xf>
    <xf numFmtId="14" fontId="17" fillId="17" borderId="16" xfId="0" applyNumberFormat="1" applyFont="1" applyFill="1" applyBorder="1" applyAlignment="1">
      <alignment horizontal="right" vertical="center"/>
    </xf>
    <xf numFmtId="17" fontId="8" fillId="8" borderId="7" xfId="0" applyNumberFormat="1" applyFont="1" applyFill="1" applyBorder="1" applyAlignment="1">
      <alignment horizontal="right" vertical="center"/>
    </xf>
    <xf numFmtId="17" fontId="13" fillId="13" borderId="12" xfId="0" applyNumberFormat="1" applyFont="1" applyFill="1" applyBorder="1" applyAlignment="1">
      <alignment horizontal="right" vertical="center"/>
    </xf>
    <xf numFmtId="17" fontId="13" fillId="21" borderId="12" xfId="0" applyNumberFormat="1" applyFont="1" applyFill="1" applyBorder="1" applyAlignment="1">
      <alignment horizontal="right" vertical="center"/>
    </xf>
    <xf numFmtId="3" fontId="13" fillId="21" borderId="12" xfId="0" applyNumberFormat="1" applyFont="1" applyFill="1" applyBorder="1" applyAlignment="1">
      <alignment horizontal="right" vertical="center"/>
    </xf>
    <xf numFmtId="17" fontId="8" fillId="21" borderId="7" xfId="0" applyNumberFormat="1" applyFont="1" applyFill="1" applyBorder="1" applyAlignment="1">
      <alignment horizontal="right" vertical="center"/>
    </xf>
    <xf numFmtId="3" fontId="8" fillId="21" borderId="7" xfId="0" applyNumberFormat="1" applyFont="1" applyFill="1" applyBorder="1" applyAlignment="1">
      <alignment horizontal="right" vertical="center"/>
    </xf>
    <xf numFmtId="0" fontId="12" fillId="21" borderId="11" xfId="0" applyFont="1" applyFill="1" applyBorder="1" applyAlignment="1">
      <alignment vertical="center"/>
    </xf>
    <xf numFmtId="164" fontId="14" fillId="21" borderId="13" xfId="0" applyNumberFormat="1" applyFont="1" applyFill="1" applyBorder="1" applyAlignment="1">
      <alignment horizontal="right" vertical="center"/>
    </xf>
    <xf numFmtId="165" fontId="10" fillId="21" borderId="9" xfId="0" applyNumberFormat="1" applyFont="1" applyFill="1" applyBorder="1" applyAlignment="1">
      <alignment horizontal="right" vertical="center"/>
    </xf>
    <xf numFmtId="0" fontId="7" fillId="21" borderId="6" xfId="0" applyFont="1" applyFill="1" applyBorder="1"/>
    <xf numFmtId="3" fontId="8" fillId="21" borderId="7" xfId="0" applyNumberFormat="1" applyFont="1" applyFill="1" applyBorder="1" applyAlignment="1">
      <alignment horizontal="right"/>
    </xf>
    <xf numFmtId="164" fontId="9" fillId="21" borderId="8" xfId="0" applyNumberFormat="1" applyFont="1" applyFill="1" applyBorder="1" applyAlignment="1">
      <alignment horizontal="right"/>
    </xf>
    <xf numFmtId="165" fontId="10" fillId="21" borderId="9" xfId="0" applyNumberFormat="1" applyFont="1" applyFill="1" applyBorder="1" applyAlignment="1">
      <alignment horizontal="right"/>
    </xf>
    <xf numFmtId="0" fontId="12" fillId="21" borderId="11" xfId="0" applyFont="1" applyFill="1" applyBorder="1"/>
    <xf numFmtId="3" fontId="13" fillId="21" borderId="12" xfId="0" applyNumberFormat="1" applyFont="1" applyFill="1" applyBorder="1" applyAlignment="1">
      <alignment horizontal="right"/>
    </xf>
    <xf numFmtId="164" fontId="14" fillId="21" borderId="13" xfId="0" applyNumberFormat="1" applyFont="1" applyFill="1" applyBorder="1" applyAlignment="1">
      <alignment horizontal="right"/>
    </xf>
    <xf numFmtId="0" fontId="7" fillId="21" borderId="6" xfId="0" applyFont="1" applyFill="1" applyBorder="1" applyAlignment="1">
      <alignment vertical="center"/>
    </xf>
    <xf numFmtId="164" fontId="9" fillId="21" borderId="8" xfId="0" applyNumberFormat="1" applyFont="1" applyFill="1" applyBorder="1" applyAlignment="1">
      <alignment horizontal="right" vertical="center"/>
    </xf>
    <xf numFmtId="0" fontId="11" fillId="11" borderId="10" xfId="0" applyFont="1" applyFill="1" applyBorder="1" applyAlignment="1">
      <alignment vertical="center"/>
    </xf>
    <xf numFmtId="14" fontId="11" fillId="11" borderId="10" xfId="0" applyNumberFormat="1" applyFont="1" applyFill="1" applyBorder="1" applyAlignment="1">
      <alignment vertical="center"/>
    </xf>
    <xf numFmtId="14" fontId="11" fillId="21" borderId="10" xfId="0" applyNumberFormat="1" applyFont="1" applyFill="1" applyBorder="1" applyAlignment="1">
      <alignment vertical="center"/>
    </xf>
    <xf numFmtId="165" fontId="10" fillId="10" borderId="18" xfId="0" applyNumberFormat="1" applyFont="1" applyFill="1" applyBorder="1" applyAlignment="1">
      <alignment horizontal="right" vertical="center"/>
    </xf>
    <xf numFmtId="165" fontId="10" fillId="21" borderId="18" xfId="0" applyNumberFormat="1" applyFont="1" applyFill="1" applyBorder="1" applyAlignment="1">
      <alignment horizontal="right" vertical="center"/>
    </xf>
    <xf numFmtId="0" fontId="20" fillId="3" borderId="18" xfId="0" applyFont="1" applyFill="1" applyBorder="1" applyAlignment="1">
      <alignment horizontal="center" vertical="center" wrapText="1"/>
    </xf>
    <xf numFmtId="0" fontId="21" fillId="0" borderId="20" xfId="0" applyFont="1" applyBorder="1" applyAlignment="1">
      <alignment vertical="center"/>
    </xf>
    <xf numFmtId="0" fontId="22" fillId="22" borderId="0" xfId="0" applyFont="1" applyFill="1" applyAlignment="1">
      <alignment vertical="center"/>
    </xf>
    <xf numFmtId="0" fontId="23" fillId="22" borderId="0" xfId="0" applyFont="1" applyFill="1"/>
    <xf numFmtId="0" fontId="21" fillId="0" borderId="0" xfId="0" applyFont="1"/>
    <xf numFmtId="0" fontId="24" fillId="22" borderId="0" xfId="0" applyFont="1" applyFill="1" applyAlignment="1">
      <alignment vertical="center"/>
    </xf>
    <xf numFmtId="0" fontId="25" fillId="22" borderId="19" xfId="0" applyFont="1" applyFill="1" applyBorder="1" applyAlignment="1">
      <alignment horizontal="center" vertical="center" wrapText="1"/>
    </xf>
    <xf numFmtId="0" fontId="26" fillId="23" borderId="19" xfId="0" applyFont="1" applyFill="1" applyBorder="1" applyAlignment="1">
      <alignment horizontal="center" vertical="center"/>
    </xf>
    <xf numFmtId="0" fontId="27" fillId="24" borderId="19" xfId="0" applyFont="1" applyFill="1" applyBorder="1" applyAlignment="1">
      <alignment horizontal="left" vertical="center"/>
    </xf>
    <xf numFmtId="0" fontId="28" fillId="24" borderId="19" xfId="0" applyFont="1" applyFill="1" applyBorder="1" applyAlignment="1">
      <alignment horizontal="left" vertical="center" wrapText="1"/>
    </xf>
    <xf numFmtId="0" fontId="29" fillId="25" borderId="19" xfId="0" applyFont="1" applyFill="1" applyBorder="1" applyAlignment="1">
      <alignment horizontal="center" vertical="center"/>
    </xf>
    <xf numFmtId="0" fontId="29" fillId="26" borderId="22" xfId="0" applyFont="1" applyFill="1" applyBorder="1" applyAlignment="1">
      <alignment vertical="center"/>
    </xf>
    <xf numFmtId="0" fontId="29" fillId="26" borderId="23" xfId="0" applyFont="1" applyFill="1" applyBorder="1" applyAlignment="1">
      <alignment vertical="center"/>
    </xf>
    <xf numFmtId="0" fontId="29" fillId="26" borderId="24" xfId="0" applyFont="1" applyFill="1" applyBorder="1" applyAlignment="1">
      <alignment vertical="center"/>
    </xf>
    <xf numFmtId="0" fontId="21" fillId="27" borderId="19" xfId="0" applyFont="1" applyFill="1" applyBorder="1"/>
    <xf numFmtId="0" fontId="30" fillId="9" borderId="19" xfId="0" applyFont="1" applyFill="1" applyBorder="1" applyAlignment="1">
      <alignment horizontal="center" vertical="center"/>
    </xf>
    <xf numFmtId="0" fontId="30" fillId="9" borderId="19" xfId="0" applyFont="1" applyFill="1" applyBorder="1" applyAlignment="1">
      <alignment horizontal="left" vertical="center"/>
    </xf>
    <xf numFmtId="0" fontId="31" fillId="9" borderId="19" xfId="0" applyFont="1" applyFill="1" applyBorder="1" applyAlignment="1">
      <alignment horizontal="left" vertical="center" wrapText="1"/>
    </xf>
    <xf numFmtId="0" fontId="29" fillId="25" borderId="22" xfId="0" applyFont="1" applyFill="1" applyBorder="1" applyAlignment="1">
      <alignment vertical="center"/>
    </xf>
    <xf numFmtId="0" fontId="29" fillId="25" borderId="23" xfId="0" applyFont="1" applyFill="1" applyBorder="1" applyAlignment="1">
      <alignment vertical="center"/>
    </xf>
    <xf numFmtId="0" fontId="29" fillId="25" borderId="24" xfId="0" applyFont="1" applyFill="1" applyBorder="1" applyAlignment="1">
      <alignment vertical="center"/>
    </xf>
    <xf numFmtId="0" fontId="21" fillId="9" borderId="19" xfId="0" applyFont="1" applyFill="1" applyBorder="1"/>
    <xf numFmtId="0" fontId="30" fillId="27" borderId="19" xfId="0" applyFont="1" applyFill="1" applyBorder="1" applyAlignment="1">
      <alignment horizontal="center" vertical="center"/>
    </xf>
    <xf numFmtId="0" fontId="30" fillId="27" borderId="19" xfId="0" applyFont="1" applyFill="1" applyBorder="1" applyAlignment="1">
      <alignment horizontal="left" vertical="center"/>
    </xf>
    <xf numFmtId="0" fontId="31" fillId="27" borderId="19" xfId="0" applyFont="1" applyFill="1" applyBorder="1" applyAlignment="1">
      <alignment horizontal="left" vertical="center" wrapText="1"/>
    </xf>
    <xf numFmtId="0" fontId="29" fillId="28" borderId="22" xfId="0" applyFont="1" applyFill="1" applyBorder="1" applyAlignment="1">
      <alignment horizontal="center" vertical="center"/>
    </xf>
    <xf numFmtId="0" fontId="29" fillId="28" borderId="23" xfId="0" applyFont="1" applyFill="1" applyBorder="1" applyAlignment="1">
      <alignment horizontal="center" vertical="center"/>
    </xf>
    <xf numFmtId="0" fontId="29" fillId="28" borderId="24" xfId="0" applyFont="1" applyFill="1" applyBorder="1" applyAlignment="1">
      <alignment horizontal="center" vertical="center"/>
    </xf>
    <xf numFmtId="0" fontId="29" fillId="29" borderId="25" xfId="0" applyFont="1" applyFill="1" applyBorder="1" applyAlignment="1">
      <alignment horizontal="center" vertical="center"/>
    </xf>
    <xf numFmtId="0" fontId="29" fillId="29" borderId="26" xfId="0" applyFont="1" applyFill="1" applyBorder="1" applyAlignment="1">
      <alignment horizontal="center" vertical="center"/>
    </xf>
    <xf numFmtId="0" fontId="29" fillId="29" borderId="27" xfId="0" applyFont="1" applyFill="1" applyBorder="1" applyAlignment="1">
      <alignment horizontal="center" vertical="center"/>
    </xf>
    <xf numFmtId="0" fontId="29" fillId="29" borderId="28" xfId="0" applyFont="1" applyFill="1" applyBorder="1" applyAlignment="1">
      <alignment horizontal="center" vertical="center"/>
    </xf>
    <xf numFmtId="0" fontId="29" fillId="29" borderId="29" xfId="0" applyFont="1" applyFill="1" applyBorder="1" applyAlignment="1">
      <alignment horizontal="center" vertical="center"/>
    </xf>
    <xf numFmtId="0" fontId="29" fillId="29" borderId="30" xfId="0" applyFont="1" applyFill="1" applyBorder="1" applyAlignment="1">
      <alignment horizontal="center" vertical="center"/>
    </xf>
    <xf numFmtId="0" fontId="29" fillId="30" borderId="19" xfId="0" applyFont="1" applyFill="1" applyBorder="1" applyAlignment="1">
      <alignment horizontal="center" vertical="center"/>
    </xf>
    <xf numFmtId="0" fontId="29" fillId="23" borderId="19" xfId="0" applyFont="1" applyFill="1" applyBorder="1" applyAlignment="1">
      <alignment horizontal="center" vertical="center"/>
    </xf>
    <xf numFmtId="0" fontId="32" fillId="0" borderId="0" xfId="0" applyFont="1"/>
    <xf numFmtId="0" fontId="30" fillId="0" borderId="0" xfId="0" applyFont="1"/>
    <xf numFmtId="0" fontId="33" fillId="0" borderId="0" xfId="0" applyFont="1"/>
    <xf numFmtId="0" fontId="34" fillId="0" borderId="0" xfId="0" applyFont="1"/>
    <xf numFmtId="0" fontId="35" fillId="0" borderId="0" xfId="0" applyFont="1"/>
    <xf numFmtId="0" fontId="36" fillId="0" borderId="0" xfId="0" applyFont="1"/>
    <xf numFmtId="0" fontId="37" fillId="0" borderId="0" xfId="0" applyFont="1"/>
    <xf numFmtId="0" fontId="20" fillId="22" borderId="0" xfId="0" applyFont="1" applyFill="1" applyAlignment="1">
      <alignment horizontal="left" vertical="center"/>
    </xf>
    <xf numFmtId="0" fontId="38" fillId="22" borderId="0" xfId="0" applyFont="1" applyFill="1" applyAlignment="1">
      <alignment horizontal="left" vertical="center"/>
    </xf>
    <xf numFmtId="0" fontId="38" fillId="0" borderId="0" xfId="0" applyFont="1" applyAlignment="1">
      <alignment horizontal="left" vertical="center"/>
    </xf>
    <xf numFmtId="0" fontId="20" fillId="22" borderId="19" xfId="0" applyFont="1" applyFill="1" applyBorder="1" applyAlignment="1">
      <alignment horizontal="left" vertical="center" wrapText="1"/>
    </xf>
    <xf numFmtId="0" fontId="40" fillId="24" borderId="19" xfId="0" applyFont="1" applyFill="1" applyBorder="1" applyAlignment="1">
      <alignment horizontal="left" vertical="center"/>
    </xf>
    <xf numFmtId="0" fontId="40" fillId="24" borderId="19" xfId="0" applyFont="1" applyFill="1" applyBorder="1" applyAlignment="1">
      <alignment horizontal="left" vertical="center" wrapText="1"/>
    </xf>
    <xf numFmtId="0" fontId="43" fillId="31" borderId="19" xfId="0" applyFont="1" applyFill="1" applyBorder="1" applyAlignment="1">
      <alignment horizontal="left" vertical="center"/>
    </xf>
    <xf numFmtId="0" fontId="44" fillId="24" borderId="19" xfId="0" applyFont="1" applyFill="1" applyBorder="1" applyAlignment="1">
      <alignment horizontal="left" vertical="center" wrapText="1"/>
    </xf>
    <xf numFmtId="0" fontId="20" fillId="25" borderId="19" xfId="0" applyFont="1" applyFill="1" applyBorder="1" applyAlignment="1">
      <alignment horizontal="left" vertical="center"/>
    </xf>
    <xf numFmtId="0" fontId="45" fillId="32" borderId="19" xfId="0" applyFont="1" applyFill="1" applyBorder="1" applyAlignment="1">
      <alignment horizontal="left" vertical="center"/>
    </xf>
    <xf numFmtId="3" fontId="45" fillId="32" borderId="19" xfId="0" applyNumberFormat="1" applyFont="1" applyFill="1" applyBorder="1" applyAlignment="1">
      <alignment horizontal="left" vertical="center"/>
    </xf>
    <xf numFmtId="165" fontId="42" fillId="21" borderId="19" xfId="0" applyNumberFormat="1" applyFont="1" applyFill="1" applyBorder="1" applyAlignment="1">
      <alignment horizontal="left" vertical="center"/>
    </xf>
    <xf numFmtId="165" fontId="44" fillId="21" borderId="19" xfId="0" applyNumberFormat="1" applyFont="1" applyFill="1" applyBorder="1" applyAlignment="1">
      <alignment horizontal="left" vertical="center"/>
    </xf>
    <xf numFmtId="0" fontId="27" fillId="24" borderId="19" xfId="0" applyFont="1" applyFill="1" applyBorder="1" applyAlignment="1">
      <alignment horizontal="center" vertical="center"/>
    </xf>
    <xf numFmtId="165" fontId="40" fillId="0" borderId="19" xfId="0" applyNumberFormat="1" applyFont="1" applyFill="1" applyBorder="1" applyAlignment="1">
      <alignment horizontal="left" vertical="center"/>
    </xf>
    <xf numFmtId="165" fontId="47" fillId="21" borderId="19" xfId="0" applyNumberFormat="1" applyFont="1" applyFill="1" applyBorder="1" applyAlignment="1">
      <alignment horizontal="left" vertical="center"/>
    </xf>
    <xf numFmtId="165" fontId="48" fillId="21" borderId="19" xfId="0" applyNumberFormat="1" applyFont="1" applyFill="1" applyBorder="1" applyAlignment="1">
      <alignment horizontal="left" vertical="center"/>
    </xf>
    <xf numFmtId="0" fontId="44" fillId="0" borderId="19" xfId="0" applyFont="1" applyFill="1" applyBorder="1" applyAlignment="1">
      <alignment horizontal="left" vertical="center"/>
    </xf>
    <xf numFmtId="167" fontId="41" fillId="0" borderId="19" xfId="1" applyNumberFormat="1" applyFont="1" applyFill="1" applyBorder="1" applyAlignment="1">
      <alignment horizontal="left" vertical="center"/>
    </xf>
    <xf numFmtId="0" fontId="44" fillId="0" borderId="19" xfId="0" applyFont="1" applyFill="1" applyBorder="1" applyAlignment="1">
      <alignment horizontal="left" vertical="center" wrapText="1"/>
    </xf>
    <xf numFmtId="0" fontId="44" fillId="33" borderId="19" xfId="0" applyFont="1" applyFill="1" applyBorder="1" applyAlignment="1">
      <alignment horizontal="left" vertical="center"/>
    </xf>
    <xf numFmtId="0" fontId="44" fillId="33" borderId="19" xfId="0" applyFont="1" applyFill="1" applyBorder="1" applyAlignment="1">
      <alignment horizontal="left" vertical="center" wrapText="1"/>
    </xf>
    <xf numFmtId="3" fontId="44" fillId="33" borderId="19" xfId="0" applyNumberFormat="1" applyFont="1" applyFill="1" applyBorder="1" applyAlignment="1">
      <alignment horizontal="left" vertical="center"/>
    </xf>
    <xf numFmtId="0" fontId="44" fillId="34" borderId="19" xfId="0" applyFont="1" applyFill="1" applyBorder="1" applyAlignment="1">
      <alignment horizontal="left" vertical="center"/>
    </xf>
    <xf numFmtId="0" fontId="39" fillId="22" borderId="0" xfId="0" applyFont="1" applyFill="1" applyAlignment="1">
      <alignment horizontal="center" vertical="center"/>
    </xf>
    <xf numFmtId="0" fontId="20" fillId="22" borderId="19" xfId="0" applyFont="1" applyFill="1" applyBorder="1" applyAlignment="1">
      <alignment horizontal="center" vertical="center" wrapText="1"/>
    </xf>
    <xf numFmtId="0" fontId="20" fillId="23" borderId="19" xfId="0" applyFont="1" applyFill="1" applyBorder="1" applyAlignment="1">
      <alignment horizontal="center" vertical="center"/>
    </xf>
    <xf numFmtId="0" fontId="44" fillId="34" borderId="19" xfId="0" applyFont="1" applyFill="1" applyBorder="1" applyAlignment="1">
      <alignment horizontal="center" vertical="center"/>
    </xf>
    <xf numFmtId="0" fontId="44" fillId="33" borderId="19" xfId="0" applyFont="1" applyFill="1" applyBorder="1" applyAlignment="1">
      <alignment horizontal="center" vertical="center"/>
    </xf>
    <xf numFmtId="0" fontId="44" fillId="0" borderId="19" xfId="0" applyFont="1" applyFill="1" applyBorder="1" applyAlignment="1">
      <alignment horizontal="center" vertical="center"/>
    </xf>
    <xf numFmtId="0" fontId="45" fillId="32" borderId="19" xfId="0" applyFont="1" applyFill="1" applyBorder="1" applyAlignment="1">
      <alignment horizontal="center" vertical="center"/>
    </xf>
    <xf numFmtId="0" fontId="46" fillId="0" borderId="0" xfId="0" applyFont="1" applyAlignment="1">
      <alignment horizontal="center" vertical="center"/>
    </xf>
    <xf numFmtId="0" fontId="38" fillId="0" borderId="0" xfId="0" applyFont="1" applyAlignment="1">
      <alignment horizontal="center" vertical="center"/>
    </xf>
    <xf numFmtId="165" fontId="41" fillId="34" borderId="19" xfId="0" applyNumberFormat="1" applyFont="1" applyFill="1" applyBorder="1" applyAlignment="1">
      <alignment horizontal="left" vertical="center"/>
    </xf>
    <xf numFmtId="167" fontId="45" fillId="32" borderId="19" xfId="1" applyNumberFormat="1" applyFont="1" applyFill="1" applyBorder="1" applyAlignment="1">
      <alignment horizontal="left" vertical="center"/>
    </xf>
    <xf numFmtId="4" fontId="38" fillId="0" borderId="0" xfId="0" applyNumberFormat="1" applyFont="1" applyAlignment="1">
      <alignment horizontal="left" vertical="center"/>
    </xf>
  </cellXfs>
  <cellStyles count="2">
    <cellStyle name="Normal" xfId="0" builtinId="0"/>
    <cellStyle name="Porcentaje" xfId="1" builtinId="5"/>
  </cellStyles>
  <dxfs count="0"/>
  <tableStyles count="0" defaultTableStyle="TableStyleMedium9" defaultPivotStyle="PivotStyleMedium4"/>
  <colors>
    <mruColors>
      <color rgb="FFF0F7FE"/>
      <color rgb="FFE8EF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CF8B7-BC19-4403-9949-80BF0BC65282}">
  <dimension ref="A1:M21"/>
  <sheetViews>
    <sheetView showGridLines="0" tabSelected="1" workbookViewId="0">
      <selection activeCell="B4" sqref="B4"/>
    </sheetView>
  </sheetViews>
  <sheetFormatPr baseColWidth="10" defaultColWidth="9.140625" defaultRowHeight="12" x14ac:dyDescent="0.25"/>
  <cols>
    <col min="1" max="1" width="10" style="143" customWidth="1"/>
    <col min="2" max="2" width="22" style="113" customWidth="1"/>
    <col min="3" max="4" width="11" style="113" customWidth="1"/>
    <col min="5" max="6" width="12" style="113" customWidth="1"/>
    <col min="7" max="8" width="14" style="113" customWidth="1"/>
    <col min="9" max="9" width="13" style="113" customWidth="1"/>
    <col min="10" max="10" width="22" style="113" customWidth="1"/>
    <col min="11" max="11" width="12" style="113" customWidth="1"/>
    <col min="12" max="12" width="64.7109375" style="113" bestFit="1" customWidth="1"/>
    <col min="13" max="13" width="20" style="113" customWidth="1"/>
    <col min="14" max="16384" width="9.140625" style="113"/>
  </cols>
  <sheetData>
    <row r="1" spans="1:13" x14ac:dyDescent="0.25">
      <c r="A1" s="111" t="s">
        <v>339</v>
      </c>
      <c r="B1" s="112"/>
      <c r="C1" s="112"/>
      <c r="D1" s="112"/>
      <c r="E1" s="112"/>
      <c r="F1" s="112"/>
      <c r="G1" s="112"/>
      <c r="H1" s="112"/>
      <c r="I1" s="112"/>
      <c r="J1" s="112"/>
      <c r="K1" s="112"/>
      <c r="L1" s="112"/>
      <c r="M1" s="112"/>
    </row>
    <row r="2" spans="1:13" x14ac:dyDescent="0.25">
      <c r="A2" s="135"/>
      <c r="B2" s="112"/>
      <c r="C2" s="112"/>
      <c r="D2" s="112"/>
      <c r="E2" s="112"/>
      <c r="F2" s="112"/>
      <c r="G2" s="112"/>
      <c r="H2" s="112"/>
      <c r="I2" s="112"/>
      <c r="J2" s="112"/>
      <c r="K2" s="112"/>
      <c r="L2" s="112"/>
      <c r="M2" s="112"/>
    </row>
    <row r="3" spans="1:13" ht="36" x14ac:dyDescent="0.25">
      <c r="A3" s="136" t="s">
        <v>290</v>
      </c>
      <c r="B3" s="114" t="s">
        <v>291</v>
      </c>
      <c r="C3" s="114" t="s">
        <v>340</v>
      </c>
      <c r="D3" s="114" t="s">
        <v>341</v>
      </c>
      <c r="E3" s="114" t="s">
        <v>342</v>
      </c>
      <c r="F3" s="114" t="s">
        <v>343</v>
      </c>
      <c r="G3" s="114" t="s">
        <v>344</v>
      </c>
      <c r="H3" s="114" t="s">
        <v>345</v>
      </c>
      <c r="I3" s="114" t="s">
        <v>346</v>
      </c>
      <c r="J3" s="114" t="s">
        <v>347</v>
      </c>
      <c r="K3" s="114" t="s">
        <v>348</v>
      </c>
      <c r="L3" s="114" t="s">
        <v>294</v>
      </c>
      <c r="M3" s="114" t="s">
        <v>349</v>
      </c>
    </row>
    <row r="4" spans="1:13" ht="24" x14ac:dyDescent="0.25">
      <c r="A4" s="137">
        <v>1</v>
      </c>
      <c r="B4" s="115" t="s">
        <v>301</v>
      </c>
      <c r="C4" s="115">
        <f>+Metropolitana!A12</f>
        <v>10</v>
      </c>
      <c r="D4" s="115">
        <f>+Metropolitana!I13</f>
        <v>215</v>
      </c>
      <c r="E4" s="125">
        <f>+Metropolitana!K13</f>
        <v>259.3</v>
      </c>
      <c r="F4" s="126">
        <f>+E4*55%</f>
        <v>142.61500000000001</v>
      </c>
      <c r="G4" s="144">
        <v>808.2</v>
      </c>
      <c r="H4" s="129">
        <f>+E4/G4</f>
        <v>0.32083642662707251</v>
      </c>
      <c r="I4" s="122">
        <f>+G4/D4</f>
        <v>3.7590697674418605</v>
      </c>
      <c r="J4" s="116" t="s">
        <v>350</v>
      </c>
      <c r="K4" s="117" t="s">
        <v>351</v>
      </c>
      <c r="L4" s="118" t="s">
        <v>352</v>
      </c>
      <c r="M4" s="118" t="s">
        <v>353</v>
      </c>
    </row>
    <row r="5" spans="1:13" ht="24" x14ac:dyDescent="0.25">
      <c r="A5" s="138">
        <f>+A4+1</f>
        <v>2</v>
      </c>
      <c r="B5" s="134" t="s">
        <v>305</v>
      </c>
      <c r="C5" s="134">
        <f>+'Bío Bío'!A12</f>
        <v>10</v>
      </c>
      <c r="D5" s="134">
        <f>+'Bío Bío'!I13</f>
        <v>79</v>
      </c>
      <c r="E5" s="123">
        <f>+'Bío Bío'!K13</f>
        <v>125.4</v>
      </c>
      <c r="F5" s="127">
        <f>+E5*50%</f>
        <v>62.7</v>
      </c>
      <c r="G5" s="144">
        <v>284.3</v>
      </c>
      <c r="H5" s="129">
        <f>+E5/G5</f>
        <v>0.44108336264509324</v>
      </c>
      <c r="I5" s="122">
        <f>+G5/D5</f>
        <v>3.59873417721519</v>
      </c>
      <c r="J5" s="130" t="s">
        <v>354</v>
      </c>
      <c r="K5" s="119" t="s">
        <v>355</v>
      </c>
      <c r="L5" s="130" t="s">
        <v>356</v>
      </c>
      <c r="M5" s="130" t="s">
        <v>357</v>
      </c>
    </row>
    <row r="6" spans="1:13" ht="24" x14ac:dyDescent="0.25">
      <c r="A6" s="139">
        <f t="shared" ref="A6:A20" si="0">+A5+1</f>
        <v>3</v>
      </c>
      <c r="B6" s="131" t="s">
        <v>307</v>
      </c>
      <c r="C6" s="131">
        <f>+Araucanía!A12</f>
        <v>10</v>
      </c>
      <c r="D6" s="131">
        <f>+Araucanía!I13</f>
        <v>80</v>
      </c>
      <c r="E6" s="123">
        <f>+Araucanía!K13</f>
        <v>123.7</v>
      </c>
      <c r="F6" s="127">
        <f>+E6*50%</f>
        <v>61.85</v>
      </c>
      <c r="G6" s="144">
        <v>159.19999999999999</v>
      </c>
      <c r="H6" s="129">
        <f>+E6/G6</f>
        <v>0.77701005025125636</v>
      </c>
      <c r="I6" s="122">
        <f>+G6/D6</f>
        <v>1.9899999999999998</v>
      </c>
      <c r="J6" s="132" t="s">
        <v>354</v>
      </c>
      <c r="K6" s="119" t="s">
        <v>355</v>
      </c>
      <c r="L6" s="132" t="s">
        <v>358</v>
      </c>
      <c r="M6" s="132" t="s">
        <v>357</v>
      </c>
    </row>
    <row r="7" spans="1:13" ht="24" x14ac:dyDescent="0.25">
      <c r="A7" s="140">
        <f t="shared" si="0"/>
        <v>4</v>
      </c>
      <c r="B7" s="128" t="s">
        <v>315</v>
      </c>
      <c r="C7" s="128">
        <f>+Valparaíso!A12</f>
        <v>10</v>
      </c>
      <c r="D7" s="128">
        <f>+Valparaíso!I13</f>
        <v>50</v>
      </c>
      <c r="E7" s="123">
        <f>+Valparaíso!K13</f>
        <v>77</v>
      </c>
      <c r="F7" s="127">
        <f>+E7*50%</f>
        <v>38.5</v>
      </c>
      <c r="G7" s="144">
        <v>188.6</v>
      </c>
      <c r="H7" s="129">
        <f>+E7/G7</f>
        <v>0.40827147401908803</v>
      </c>
      <c r="I7" s="122">
        <f>+G7/D7</f>
        <v>3.7719999999999998</v>
      </c>
      <c r="J7" s="130" t="s">
        <v>360</v>
      </c>
      <c r="K7" s="117" t="s">
        <v>351</v>
      </c>
      <c r="L7" s="130" t="s">
        <v>361</v>
      </c>
      <c r="M7" s="130" t="s">
        <v>362</v>
      </c>
    </row>
    <row r="8" spans="1:13" ht="24" x14ac:dyDescent="0.25">
      <c r="A8" s="139">
        <f t="shared" si="0"/>
        <v>5</v>
      </c>
      <c r="B8" s="131" t="s">
        <v>311</v>
      </c>
      <c r="C8" s="131">
        <f>+Maule!A12</f>
        <v>10</v>
      </c>
      <c r="D8" s="131">
        <f>+Maule!I13</f>
        <v>49</v>
      </c>
      <c r="E8" s="123">
        <f>+Maule!K13</f>
        <v>64.900000000000006</v>
      </c>
      <c r="F8" s="127">
        <f t="shared" ref="F8:F19" si="1">+E8*50%</f>
        <v>32.450000000000003</v>
      </c>
      <c r="G8" s="144">
        <v>132.6</v>
      </c>
      <c r="H8" s="129">
        <f>+E8/G8</f>
        <v>0.48944193061840124</v>
      </c>
      <c r="I8" s="122">
        <f>+G8/D8</f>
        <v>2.7061224489795919</v>
      </c>
      <c r="J8" s="132" t="s">
        <v>354</v>
      </c>
      <c r="K8" s="119" t="s">
        <v>355</v>
      </c>
      <c r="L8" s="132" t="s">
        <v>361</v>
      </c>
      <c r="M8" s="132" t="s">
        <v>357</v>
      </c>
    </row>
    <row r="9" spans="1:13" ht="24" x14ac:dyDescent="0.25">
      <c r="A9" s="140">
        <f t="shared" si="0"/>
        <v>6</v>
      </c>
      <c r="B9" s="128" t="s">
        <v>309</v>
      </c>
      <c r="C9" s="128">
        <f>+'Los Lagos'!A12</f>
        <v>10</v>
      </c>
      <c r="D9" s="128">
        <f>+'Los Lagos'!I13</f>
        <v>29</v>
      </c>
      <c r="E9" s="123">
        <f>+'Los Lagos'!K13</f>
        <v>48.1</v>
      </c>
      <c r="F9" s="127">
        <f t="shared" si="1"/>
        <v>24.05</v>
      </c>
      <c r="G9" s="144">
        <v>77.3</v>
      </c>
      <c r="H9" s="129">
        <f>+E9/G9</f>
        <v>0.62225097024579568</v>
      </c>
      <c r="I9" s="122">
        <f>+G9/D9</f>
        <v>2.6655172413793102</v>
      </c>
      <c r="J9" s="130" t="s">
        <v>354</v>
      </c>
      <c r="K9" s="119" t="s">
        <v>355</v>
      </c>
      <c r="L9" s="130" t="s">
        <v>359</v>
      </c>
      <c r="M9" s="130" t="s">
        <v>357</v>
      </c>
    </row>
    <row r="10" spans="1:13" ht="24" x14ac:dyDescent="0.25">
      <c r="A10" s="139">
        <f t="shared" si="0"/>
        <v>7</v>
      </c>
      <c r="B10" s="131" t="s">
        <v>322</v>
      </c>
      <c r="C10" s="131">
        <f>+'O''Higgins'!A12</f>
        <v>10</v>
      </c>
      <c r="D10" s="131">
        <f>+'O''Higgins'!I13</f>
        <v>47</v>
      </c>
      <c r="E10" s="123">
        <f>+'O''Higgins'!K13</f>
        <v>46.8</v>
      </c>
      <c r="F10" s="127">
        <f t="shared" si="1"/>
        <v>23.4</v>
      </c>
      <c r="G10" s="144">
        <v>71.2</v>
      </c>
      <c r="H10" s="129">
        <f>+E10/G10</f>
        <v>0.65730337078651679</v>
      </c>
      <c r="I10" s="122">
        <f>+G10/D10</f>
        <v>1.5148936170212766</v>
      </c>
      <c r="J10" s="132" t="s">
        <v>363</v>
      </c>
      <c r="K10" s="117" t="s">
        <v>351</v>
      </c>
      <c r="L10" s="132" t="s">
        <v>364</v>
      </c>
      <c r="M10" s="132" t="s">
        <v>365</v>
      </c>
    </row>
    <row r="11" spans="1:13" ht="24" x14ac:dyDescent="0.25">
      <c r="A11" s="140">
        <f t="shared" si="0"/>
        <v>8</v>
      </c>
      <c r="B11" s="128" t="s">
        <v>323</v>
      </c>
      <c r="C11" s="128">
        <f>+Antofagasta!A12</f>
        <v>10</v>
      </c>
      <c r="D11" s="128">
        <f>+Antofagasta!I13</f>
        <v>39</v>
      </c>
      <c r="E11" s="123">
        <f>+Antofagasta!K13</f>
        <v>46.2</v>
      </c>
      <c r="F11" s="127">
        <f t="shared" si="1"/>
        <v>23.1</v>
      </c>
      <c r="G11" s="144">
        <v>59</v>
      </c>
      <c r="H11" s="129">
        <f>+E11/G11</f>
        <v>0.78305084745762721</v>
      </c>
      <c r="I11" s="122">
        <f>+G11/D11</f>
        <v>1.5128205128205128</v>
      </c>
      <c r="J11" s="130" t="s">
        <v>366</v>
      </c>
      <c r="K11" s="117" t="s">
        <v>351</v>
      </c>
      <c r="L11" s="130" t="s">
        <v>367</v>
      </c>
      <c r="M11" s="130" t="s">
        <v>368</v>
      </c>
    </row>
    <row r="12" spans="1:13" ht="36" x14ac:dyDescent="0.25">
      <c r="A12" s="139">
        <f t="shared" si="0"/>
        <v>9</v>
      </c>
      <c r="B12" s="131" t="s">
        <v>326</v>
      </c>
      <c r="C12" s="131">
        <f>+Coquimbo!A12</f>
        <v>10</v>
      </c>
      <c r="D12" s="131">
        <f>+Coquimbo!I13</f>
        <v>29</v>
      </c>
      <c r="E12" s="123">
        <f>+Coquimbo!K13</f>
        <v>45.8</v>
      </c>
      <c r="F12" s="127">
        <f t="shared" si="1"/>
        <v>22.9</v>
      </c>
      <c r="G12" s="144">
        <v>83.4</v>
      </c>
      <c r="H12" s="129">
        <f>+E12/G12</f>
        <v>0.54916067146282965</v>
      </c>
      <c r="I12" s="122">
        <f>+G12/D12</f>
        <v>2.8758620689655174</v>
      </c>
      <c r="J12" s="132" t="s">
        <v>369</v>
      </c>
      <c r="K12" s="117" t="s">
        <v>351</v>
      </c>
      <c r="L12" s="132" t="s">
        <v>327</v>
      </c>
      <c r="M12" s="132" t="s">
        <v>370</v>
      </c>
    </row>
    <row r="13" spans="1:13" ht="24" x14ac:dyDescent="0.25">
      <c r="A13" s="140">
        <f t="shared" si="0"/>
        <v>10</v>
      </c>
      <c r="B13" s="128" t="s">
        <v>317</v>
      </c>
      <c r="C13" s="128">
        <f>+Magallanes!A12</f>
        <v>10</v>
      </c>
      <c r="D13" s="128">
        <f>+Magallanes!G13</f>
        <v>28</v>
      </c>
      <c r="E13" s="123">
        <f>+Magallanes!I13</f>
        <v>40</v>
      </c>
      <c r="F13" s="127">
        <f t="shared" si="1"/>
        <v>20</v>
      </c>
      <c r="G13" s="144">
        <v>40</v>
      </c>
      <c r="H13" s="129">
        <f>+E13/G13</f>
        <v>1</v>
      </c>
      <c r="I13" s="122">
        <f>+G13/D13</f>
        <v>1.4285714285714286</v>
      </c>
      <c r="J13" s="130" t="s">
        <v>371</v>
      </c>
      <c r="K13" s="117" t="s">
        <v>351</v>
      </c>
      <c r="L13" s="130" t="s">
        <v>372</v>
      </c>
      <c r="M13" s="130" t="s">
        <v>373</v>
      </c>
    </row>
    <row r="14" spans="1:13" ht="24" x14ac:dyDescent="0.25">
      <c r="A14" s="139">
        <f t="shared" si="0"/>
        <v>11</v>
      </c>
      <c r="B14" s="131" t="s">
        <v>329</v>
      </c>
      <c r="C14" s="131">
        <f>+Tarapacá!A12</f>
        <v>10</v>
      </c>
      <c r="D14" s="131">
        <f>+Tarapacá!G13</f>
        <v>26</v>
      </c>
      <c r="E14" s="123">
        <f>+Tarapacá!I13</f>
        <v>37.4</v>
      </c>
      <c r="F14" s="127">
        <f t="shared" si="1"/>
        <v>18.7</v>
      </c>
      <c r="G14" s="144">
        <v>39.799999999999997</v>
      </c>
      <c r="H14" s="129">
        <f>+E14/G14</f>
        <v>0.93969849246231163</v>
      </c>
      <c r="I14" s="122">
        <f>+G14/D14</f>
        <v>1.5307692307692307</v>
      </c>
      <c r="J14" s="132" t="s">
        <v>366</v>
      </c>
      <c r="K14" s="117" t="s">
        <v>351</v>
      </c>
      <c r="L14" s="132" t="s">
        <v>374</v>
      </c>
      <c r="M14" s="132" t="s">
        <v>375</v>
      </c>
    </row>
    <row r="15" spans="1:13" ht="24" x14ac:dyDescent="0.25">
      <c r="A15" s="140">
        <f t="shared" si="0"/>
        <v>12</v>
      </c>
      <c r="B15" s="128" t="s">
        <v>312</v>
      </c>
      <c r="C15" s="128">
        <f>+Ñuble!A12</f>
        <v>10</v>
      </c>
      <c r="D15" s="128">
        <f>+Ñuble!G13</f>
        <v>25</v>
      </c>
      <c r="E15" s="123">
        <f>+Ñuble!I13</f>
        <v>35.299999999999997</v>
      </c>
      <c r="F15" s="127">
        <f t="shared" si="1"/>
        <v>17.649999999999999</v>
      </c>
      <c r="G15" s="144">
        <v>52.7</v>
      </c>
      <c r="H15" s="129">
        <f>+E15/G15</f>
        <v>0.66982922201138506</v>
      </c>
      <c r="I15" s="122">
        <f>+G15/D15</f>
        <v>2.1080000000000001</v>
      </c>
      <c r="J15" s="130" t="s">
        <v>354</v>
      </c>
      <c r="K15" s="119" t="s">
        <v>355</v>
      </c>
      <c r="L15" s="130" t="s">
        <v>376</v>
      </c>
      <c r="M15" s="130" t="s">
        <v>357</v>
      </c>
    </row>
    <row r="16" spans="1:13" ht="24" x14ac:dyDescent="0.25">
      <c r="A16" s="139">
        <f t="shared" si="0"/>
        <v>13</v>
      </c>
      <c r="B16" s="131" t="s">
        <v>313</v>
      </c>
      <c r="C16" s="131">
        <f>+'Los Ríos'!A11</f>
        <v>9</v>
      </c>
      <c r="D16" s="131">
        <f>+'Los Ríos'!G12</f>
        <v>15</v>
      </c>
      <c r="E16" s="123">
        <f>+'Los Ríos'!I12</f>
        <v>26.4</v>
      </c>
      <c r="F16" s="127">
        <f t="shared" si="1"/>
        <v>13.2</v>
      </c>
      <c r="G16" s="144">
        <v>28.4</v>
      </c>
      <c r="H16" s="129">
        <f>+E16/G16</f>
        <v>0.92957746478873238</v>
      </c>
      <c r="I16" s="122">
        <f>+G16/D16</f>
        <v>1.8933333333333333</v>
      </c>
      <c r="J16" s="132" t="s">
        <v>354</v>
      </c>
      <c r="K16" s="119" t="s">
        <v>355</v>
      </c>
      <c r="L16" s="132" t="s">
        <v>377</v>
      </c>
      <c r="M16" s="132" t="s">
        <v>357</v>
      </c>
    </row>
    <row r="17" spans="1:13" x14ac:dyDescent="0.25">
      <c r="A17" s="140">
        <f t="shared" si="0"/>
        <v>14</v>
      </c>
      <c r="B17" s="128" t="s">
        <v>330</v>
      </c>
      <c r="C17" s="128">
        <f>+'Arica y Parinacota'!A8</f>
        <v>6</v>
      </c>
      <c r="D17" s="128">
        <f>+'Arica y Parinacota'!G9</f>
        <v>10</v>
      </c>
      <c r="E17" s="123">
        <f>+'Arica y Parinacota'!I9</f>
        <v>16.100000000000001</v>
      </c>
      <c r="F17" s="127">
        <f t="shared" si="1"/>
        <v>8.0500000000000007</v>
      </c>
      <c r="G17" s="144">
        <v>19.399999999999999</v>
      </c>
      <c r="H17" s="129">
        <f>+E17/G17</f>
        <v>0.82989690721649501</v>
      </c>
      <c r="I17" s="122">
        <f>+G17/D17</f>
        <v>1.94</v>
      </c>
      <c r="J17" s="130" t="s">
        <v>378</v>
      </c>
      <c r="K17" s="117" t="s">
        <v>351</v>
      </c>
      <c r="L17" s="130" t="s">
        <v>379</v>
      </c>
      <c r="M17" s="130" t="s">
        <v>375</v>
      </c>
    </row>
    <row r="18" spans="1:13" x14ac:dyDescent="0.25">
      <c r="A18" s="139">
        <f t="shared" si="0"/>
        <v>15</v>
      </c>
      <c r="B18" s="131" t="s">
        <v>320</v>
      </c>
      <c r="C18" s="131">
        <f>+Aysén!A8</f>
        <v>6</v>
      </c>
      <c r="D18" s="133">
        <f>+Aysén!I9</f>
        <v>11</v>
      </c>
      <c r="E18" s="123">
        <f>+Aysén!K9</f>
        <v>14.2</v>
      </c>
      <c r="F18" s="127">
        <f t="shared" si="1"/>
        <v>7.1</v>
      </c>
      <c r="G18" s="144">
        <v>16</v>
      </c>
      <c r="H18" s="129">
        <f>+E18/G18</f>
        <v>0.88749999999999996</v>
      </c>
      <c r="I18" s="122">
        <f>+G18/D18</f>
        <v>1.4545454545454546</v>
      </c>
      <c r="J18" s="132" t="s">
        <v>371</v>
      </c>
      <c r="K18" s="117" t="s">
        <v>351</v>
      </c>
      <c r="L18" s="132" t="s">
        <v>321</v>
      </c>
      <c r="M18" s="132" t="s">
        <v>373</v>
      </c>
    </row>
    <row r="19" spans="1:13" ht="24" x14ac:dyDescent="0.25">
      <c r="A19" s="140">
        <f t="shared" si="0"/>
        <v>16</v>
      </c>
      <c r="B19" s="128" t="s">
        <v>331</v>
      </c>
      <c r="C19" s="128">
        <f>+Atacama!A8</f>
        <v>6</v>
      </c>
      <c r="D19" s="128">
        <f>+Atacama!G9</f>
        <v>7</v>
      </c>
      <c r="E19" s="123">
        <f>+Atacama!I9</f>
        <v>10</v>
      </c>
      <c r="F19" s="127">
        <f t="shared" si="1"/>
        <v>5</v>
      </c>
      <c r="G19" s="144">
        <v>12.1</v>
      </c>
      <c r="H19" s="129">
        <f>+E19/G19</f>
        <v>0.82644628099173556</v>
      </c>
      <c r="I19" s="122">
        <f>+G19/D19</f>
        <v>1.7285714285714284</v>
      </c>
      <c r="J19" s="130" t="s">
        <v>378</v>
      </c>
      <c r="K19" s="117" t="s">
        <v>351</v>
      </c>
      <c r="L19" s="130" t="s">
        <v>380</v>
      </c>
      <c r="M19" s="130" t="s">
        <v>375</v>
      </c>
    </row>
    <row r="20" spans="1:13" x14ac:dyDescent="0.25">
      <c r="A20" s="141"/>
      <c r="B20" s="120" t="s">
        <v>381</v>
      </c>
      <c r="C20" s="120"/>
      <c r="D20" s="121">
        <f>+SUM(D4:D19)</f>
        <v>739</v>
      </c>
      <c r="E20" s="121">
        <f>+SUM(E4:E19)</f>
        <v>1016.6</v>
      </c>
      <c r="F20" s="121">
        <f>+SUM(F4:F19)</f>
        <v>521.26499999999999</v>
      </c>
      <c r="G20" s="121">
        <f>+SUM(G4:G19)</f>
        <v>2072.2000000000003</v>
      </c>
      <c r="H20" s="145">
        <f>+E20/G20</f>
        <v>0.49058971141781677</v>
      </c>
      <c r="I20" s="121">
        <f>+G20/D20</f>
        <v>2.8040595399188097</v>
      </c>
      <c r="J20" s="120"/>
      <c r="K20" s="120"/>
      <c r="L20" s="120"/>
      <c r="M20" s="120"/>
    </row>
    <row r="21" spans="1:13" x14ac:dyDescent="0.25">
      <c r="A21" s="142"/>
      <c r="G21" s="146"/>
    </row>
  </sheetData>
  <conditionalFormatting sqref="I4:I19">
    <cfRule type="colorScale" priority="4">
      <colorScale>
        <cfvo type="min"/>
        <cfvo type="max"/>
        <color rgb="FFFFFFFF"/>
        <color theme="3" tint="0.59999389629810485"/>
      </colorScale>
    </cfRule>
  </conditionalFormatting>
  <conditionalFormatting sqref="E4:F19">
    <cfRule type="colorScale" priority="7">
      <colorScale>
        <cfvo type="min"/>
        <cfvo type="max"/>
        <color rgb="FFFFFFFF"/>
        <color rgb="FF2E5D9F"/>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1D5B2-1255-4AC1-8242-50AA59ABAE97}">
  <dimension ref="A1:K24"/>
  <sheetViews>
    <sheetView showGridLines="0" workbookViewId="0">
      <selection activeCell="E8" sqref="E8"/>
    </sheetView>
  </sheetViews>
  <sheetFormatPr baseColWidth="10" defaultColWidth="9.140625" defaultRowHeight="15" x14ac:dyDescent="0.25"/>
  <cols>
    <col min="1" max="1" width="7" style="72" customWidth="1"/>
    <col min="2" max="2" width="20" style="72" customWidth="1"/>
    <col min="3" max="4" width="8" style="72" customWidth="1"/>
    <col min="5" max="5" width="36" style="72" customWidth="1"/>
    <col min="6" max="6" width="12.5703125" style="72" bestFit="1" customWidth="1"/>
    <col min="7" max="11" width="10.42578125" style="72" customWidth="1"/>
    <col min="12" max="16384" width="9.140625" style="72"/>
  </cols>
  <sheetData>
    <row r="1" spans="1:11" ht="16.5" x14ac:dyDescent="0.25">
      <c r="A1" s="70" t="s">
        <v>289</v>
      </c>
      <c r="B1" s="71"/>
      <c r="C1" s="71"/>
      <c r="D1" s="71"/>
      <c r="E1" s="71"/>
      <c r="F1" s="71"/>
      <c r="G1" s="71"/>
      <c r="H1" s="71"/>
      <c r="I1" s="71"/>
      <c r="J1" s="71"/>
      <c r="K1" s="71"/>
    </row>
    <row r="2" spans="1:11" ht="14.1" customHeight="1" x14ac:dyDescent="0.25">
      <c r="A2" s="73"/>
      <c r="B2" s="71"/>
      <c r="C2" s="71"/>
      <c r="D2" s="71"/>
      <c r="E2" s="71"/>
      <c r="F2" s="71"/>
      <c r="G2" s="71"/>
      <c r="H2" s="71"/>
      <c r="I2" s="71"/>
      <c r="J2" s="71"/>
      <c r="K2" s="71"/>
    </row>
    <row r="3" spans="1:11" ht="22.5" x14ac:dyDescent="0.25">
      <c r="A3" s="74" t="s">
        <v>290</v>
      </c>
      <c r="B3" s="74" t="s">
        <v>291</v>
      </c>
      <c r="C3" s="74" t="s">
        <v>292</v>
      </c>
      <c r="D3" s="74" t="s">
        <v>293</v>
      </c>
      <c r="E3" s="74" t="s">
        <v>294</v>
      </c>
      <c r="F3" s="74" t="s">
        <v>295</v>
      </c>
      <c r="G3" s="74" t="s">
        <v>296</v>
      </c>
      <c r="H3" s="74" t="s">
        <v>297</v>
      </c>
      <c r="I3" s="74" t="s">
        <v>298</v>
      </c>
      <c r="J3" s="74" t="s">
        <v>299</v>
      </c>
      <c r="K3" s="74" t="s">
        <v>300</v>
      </c>
    </row>
    <row r="4" spans="1:11" ht="19.5" x14ac:dyDescent="0.25">
      <c r="A4" s="75">
        <v>1</v>
      </c>
      <c r="B4" s="76" t="s">
        <v>301</v>
      </c>
      <c r="C4" s="76">
        <f>+_xlfn.XLOOKUP(B4,Consolidado!B:B,Consolidado!D:D)</f>
        <v>215</v>
      </c>
      <c r="D4" s="124">
        <f>+_xlfn.XLOOKUP(B4,Consolidado!B:B,Consolidado!E:E)</f>
        <v>259.3</v>
      </c>
      <c r="E4" s="77" t="s">
        <v>302</v>
      </c>
      <c r="F4" s="78" t="s">
        <v>303</v>
      </c>
      <c r="G4" s="79" t="s">
        <v>304</v>
      </c>
      <c r="H4" s="80"/>
      <c r="I4" s="81"/>
      <c r="J4" s="82"/>
      <c r="K4" s="82"/>
    </row>
    <row r="5" spans="1:11" ht="19.5" x14ac:dyDescent="0.25">
      <c r="A5" s="83">
        <v>2</v>
      </c>
      <c r="B5" s="84" t="s">
        <v>305</v>
      </c>
      <c r="C5" s="84">
        <f>+_xlfn.XLOOKUP(B5,Consolidado!B:B,Consolidado!D:D)</f>
        <v>79</v>
      </c>
      <c r="D5" s="83">
        <f>+_xlfn.XLOOKUP(B5,Consolidado!B:B,Consolidado!E:E)</f>
        <v>125.4</v>
      </c>
      <c r="E5" s="85" t="s">
        <v>306</v>
      </c>
      <c r="F5" s="86" t="s">
        <v>303</v>
      </c>
      <c r="G5" s="87"/>
      <c r="H5" s="87"/>
      <c r="I5" s="88"/>
      <c r="J5" s="89"/>
      <c r="K5" s="89"/>
    </row>
    <row r="6" spans="1:11" ht="19.5" x14ac:dyDescent="0.25">
      <c r="A6" s="90">
        <v>3</v>
      </c>
      <c r="B6" s="91" t="s">
        <v>307</v>
      </c>
      <c r="C6" s="91">
        <f>+_xlfn.XLOOKUP(B6,Consolidado!B:B,Consolidado!D:D)</f>
        <v>80</v>
      </c>
      <c r="D6" s="90">
        <f>+_xlfn.XLOOKUP(B6,Consolidado!B:B,Consolidado!E:E)</f>
        <v>123.7</v>
      </c>
      <c r="E6" s="92" t="s">
        <v>308</v>
      </c>
      <c r="F6" s="86" t="s">
        <v>303</v>
      </c>
      <c r="G6" s="87"/>
      <c r="H6" s="87"/>
      <c r="I6" s="88"/>
      <c r="J6" s="82"/>
      <c r="K6" s="82"/>
    </row>
    <row r="7" spans="1:11" ht="19.5" x14ac:dyDescent="0.25">
      <c r="A7" s="83">
        <v>4</v>
      </c>
      <c r="B7" s="84" t="s">
        <v>309</v>
      </c>
      <c r="C7" s="84">
        <f>+_xlfn.XLOOKUP(B7,Consolidado!B:B,Consolidado!D:D)</f>
        <v>29</v>
      </c>
      <c r="D7" s="83">
        <f>+_xlfn.XLOOKUP(B7,Consolidado!B:B,Consolidado!E:E)</f>
        <v>48.1</v>
      </c>
      <c r="E7" s="85" t="s">
        <v>310</v>
      </c>
      <c r="F7" s="86" t="s">
        <v>303</v>
      </c>
      <c r="G7" s="87"/>
      <c r="H7" s="87"/>
      <c r="I7" s="88"/>
      <c r="J7" s="89"/>
      <c r="K7" s="89"/>
    </row>
    <row r="8" spans="1:11" ht="19.5" x14ac:dyDescent="0.25">
      <c r="A8" s="90">
        <v>6</v>
      </c>
      <c r="B8" s="91" t="s">
        <v>311</v>
      </c>
      <c r="C8" s="91">
        <f>+_xlfn.XLOOKUP(B8,Consolidado!B:B,Consolidado!D:D)</f>
        <v>49</v>
      </c>
      <c r="D8" s="90">
        <f>+_xlfn.XLOOKUP(B8,Consolidado!B:B,Consolidado!E:E)</f>
        <v>64.900000000000006</v>
      </c>
      <c r="E8" s="92" t="s">
        <v>306</v>
      </c>
      <c r="F8" s="86" t="s">
        <v>303</v>
      </c>
      <c r="G8" s="87"/>
      <c r="H8" s="87"/>
      <c r="I8" s="88"/>
      <c r="J8" s="82"/>
      <c r="K8" s="82"/>
    </row>
    <row r="9" spans="1:11" ht="19.5" x14ac:dyDescent="0.25">
      <c r="A9" s="83">
        <v>12</v>
      </c>
      <c r="B9" s="84" t="s">
        <v>312</v>
      </c>
      <c r="C9" s="84">
        <f>+_xlfn.XLOOKUP(B9,Consolidado!B:B,Consolidado!D:D)</f>
        <v>25</v>
      </c>
      <c r="D9" s="83">
        <f>+_xlfn.XLOOKUP(B9,Consolidado!B:B,Consolidado!E:E)</f>
        <v>35.299999999999997</v>
      </c>
      <c r="E9" s="85" t="s">
        <v>306</v>
      </c>
      <c r="F9" s="86" t="s">
        <v>303</v>
      </c>
      <c r="G9" s="87"/>
      <c r="H9" s="87"/>
      <c r="I9" s="88"/>
      <c r="J9" s="89"/>
      <c r="K9" s="89"/>
    </row>
    <row r="10" spans="1:11" ht="19.5" x14ac:dyDescent="0.25">
      <c r="A10" s="90">
        <v>13</v>
      </c>
      <c r="B10" s="91" t="s">
        <v>313</v>
      </c>
      <c r="C10" s="91">
        <f>+_xlfn.XLOOKUP(B10,Consolidado!B:B,Consolidado!D:D)</f>
        <v>15</v>
      </c>
      <c r="D10" s="90">
        <f>+_xlfn.XLOOKUP(B10,Consolidado!B:B,Consolidado!E:E)</f>
        <v>26.4</v>
      </c>
      <c r="E10" s="92" t="s">
        <v>314</v>
      </c>
      <c r="F10" s="86" t="s">
        <v>303</v>
      </c>
      <c r="G10" s="87"/>
      <c r="H10" s="87"/>
      <c r="I10" s="88"/>
      <c r="J10" s="82"/>
      <c r="K10" s="82"/>
    </row>
    <row r="11" spans="1:11" ht="19.5" x14ac:dyDescent="0.25">
      <c r="A11" s="83">
        <v>5</v>
      </c>
      <c r="B11" s="84" t="s">
        <v>315</v>
      </c>
      <c r="C11" s="84">
        <f>+_xlfn.XLOOKUP(B11,Consolidado!B:B,Consolidado!D:D)</f>
        <v>50</v>
      </c>
      <c r="D11" s="83">
        <f>+_xlfn.XLOOKUP(B11,Consolidado!B:B,Consolidado!E:E)</f>
        <v>77</v>
      </c>
      <c r="E11" s="85" t="s">
        <v>306</v>
      </c>
      <c r="F11" s="89"/>
      <c r="G11" s="93" t="s">
        <v>316</v>
      </c>
      <c r="H11" s="94"/>
      <c r="I11" s="95"/>
      <c r="J11" s="89"/>
      <c r="K11" s="89"/>
    </row>
    <row r="12" spans="1:11" ht="19.5" x14ac:dyDescent="0.25">
      <c r="A12" s="90">
        <v>10</v>
      </c>
      <c r="B12" s="91" t="s">
        <v>317</v>
      </c>
      <c r="C12" s="91">
        <f>+_xlfn.XLOOKUP(B12,Consolidado!B:B,Consolidado!D:D)</f>
        <v>28</v>
      </c>
      <c r="D12" s="90">
        <f>+_xlfn.XLOOKUP(B12,Consolidado!B:B,Consolidado!E:E)</f>
        <v>40</v>
      </c>
      <c r="E12" s="92" t="s">
        <v>318</v>
      </c>
      <c r="F12" s="82"/>
      <c r="G12" s="96" t="s">
        <v>319</v>
      </c>
      <c r="H12" s="97"/>
      <c r="I12" s="98"/>
      <c r="J12" s="82"/>
      <c r="K12" s="82"/>
    </row>
    <row r="13" spans="1:11" x14ac:dyDescent="0.25">
      <c r="A13" s="83">
        <v>16</v>
      </c>
      <c r="B13" s="84" t="s">
        <v>320</v>
      </c>
      <c r="C13" s="84">
        <f>+_xlfn.XLOOKUP(B13,Consolidado!B:B,Consolidado!D:D)</f>
        <v>11</v>
      </c>
      <c r="D13" s="83">
        <f>+_xlfn.XLOOKUP(B13,Consolidado!B:B,Consolidado!E:E)</f>
        <v>14.2</v>
      </c>
      <c r="E13" s="85" t="s">
        <v>321</v>
      </c>
      <c r="F13" s="89"/>
      <c r="G13" s="99"/>
      <c r="H13" s="100"/>
      <c r="I13" s="101"/>
      <c r="J13" s="89"/>
      <c r="K13" s="89"/>
    </row>
    <row r="14" spans="1:11" ht="19.5" x14ac:dyDescent="0.25">
      <c r="A14" s="90">
        <v>7</v>
      </c>
      <c r="B14" s="91" t="s">
        <v>322</v>
      </c>
      <c r="C14" s="91">
        <f>+_xlfn.XLOOKUP(B14,Consolidado!B:B,Consolidado!D:D)</f>
        <v>47</v>
      </c>
      <c r="D14" s="90">
        <f>+_xlfn.XLOOKUP(B14,Consolidado!B:B,Consolidado!E:E)</f>
        <v>46.8</v>
      </c>
      <c r="E14" s="92" t="s">
        <v>318</v>
      </c>
      <c r="F14" s="82"/>
      <c r="G14" s="82"/>
      <c r="H14" s="93" t="s">
        <v>316</v>
      </c>
      <c r="I14" s="94"/>
      <c r="J14" s="95"/>
      <c r="K14" s="82"/>
    </row>
    <row r="15" spans="1:11" ht="19.5" x14ac:dyDescent="0.25">
      <c r="A15" s="83">
        <v>8</v>
      </c>
      <c r="B15" s="84" t="s">
        <v>323</v>
      </c>
      <c r="C15" s="84">
        <f>+_xlfn.XLOOKUP(B15,Consolidado!B:B,Consolidado!D:D)</f>
        <v>39</v>
      </c>
      <c r="D15" s="83">
        <f>+_xlfn.XLOOKUP(B15,Consolidado!B:B,Consolidado!E:E)</f>
        <v>46.2</v>
      </c>
      <c r="E15" s="85" t="s">
        <v>324</v>
      </c>
      <c r="F15" s="89"/>
      <c r="G15" s="89"/>
      <c r="H15" s="89"/>
      <c r="I15" s="89"/>
      <c r="J15" s="102" t="s">
        <v>325</v>
      </c>
      <c r="K15" s="89"/>
    </row>
    <row r="16" spans="1:11" x14ac:dyDescent="0.25">
      <c r="A16" s="90">
        <v>9</v>
      </c>
      <c r="B16" s="91" t="s">
        <v>326</v>
      </c>
      <c r="C16" s="91">
        <f>+_xlfn.XLOOKUP(B16,Consolidado!B:B,Consolidado!D:D)</f>
        <v>29</v>
      </c>
      <c r="D16" s="90">
        <f>+_xlfn.XLOOKUP(B16,Consolidado!B:B,Consolidado!E:E)</f>
        <v>45.8</v>
      </c>
      <c r="E16" s="92" t="s">
        <v>327</v>
      </c>
      <c r="F16" s="82"/>
      <c r="G16" s="82"/>
      <c r="H16" s="82"/>
      <c r="I16" s="82"/>
      <c r="J16" s="103" t="s">
        <v>328</v>
      </c>
      <c r="K16" s="82"/>
    </row>
    <row r="17" spans="1:11" ht="19.5" x14ac:dyDescent="0.25">
      <c r="A17" s="83">
        <v>11</v>
      </c>
      <c r="B17" s="84" t="s">
        <v>329</v>
      </c>
      <c r="C17" s="84">
        <f>+_xlfn.XLOOKUP(B17,Consolidado!B:B,Consolidado!D:D)</f>
        <v>26</v>
      </c>
      <c r="D17" s="83">
        <f>+_xlfn.XLOOKUP(B17,Consolidado!B:B,Consolidado!E:E)</f>
        <v>37.4</v>
      </c>
      <c r="E17" s="85" t="s">
        <v>306</v>
      </c>
      <c r="F17" s="89"/>
      <c r="G17" s="89"/>
      <c r="H17" s="89"/>
      <c r="I17" s="89"/>
      <c r="J17" s="102" t="s">
        <v>325</v>
      </c>
      <c r="K17" s="89"/>
    </row>
    <row r="18" spans="1:11" ht="19.5" x14ac:dyDescent="0.25">
      <c r="A18" s="90">
        <v>14</v>
      </c>
      <c r="B18" s="91" t="s">
        <v>330</v>
      </c>
      <c r="C18" s="91">
        <f>+_xlfn.XLOOKUP(B18,Consolidado!B:B,Consolidado!D:D)</f>
        <v>10</v>
      </c>
      <c r="D18" s="90">
        <f>+_xlfn.XLOOKUP(B18,Consolidado!B:B,Consolidado!E:E)</f>
        <v>16.100000000000001</v>
      </c>
      <c r="E18" s="92" t="s">
        <v>314</v>
      </c>
      <c r="F18" s="82"/>
      <c r="G18" s="82"/>
      <c r="H18" s="82"/>
      <c r="I18" s="82"/>
      <c r="J18" s="82"/>
      <c r="K18" s="102" t="s">
        <v>325</v>
      </c>
    </row>
    <row r="19" spans="1:11" ht="19.5" x14ac:dyDescent="0.25">
      <c r="A19" s="83">
        <v>15</v>
      </c>
      <c r="B19" s="84" t="s">
        <v>331</v>
      </c>
      <c r="C19" s="84">
        <f>+_xlfn.XLOOKUP(B19,Consolidado!B:B,Consolidado!D:D)</f>
        <v>7</v>
      </c>
      <c r="D19" s="83">
        <f>+_xlfn.XLOOKUP(B19,Consolidado!B:B,Consolidado!E:E)</f>
        <v>10</v>
      </c>
      <c r="E19" s="85" t="s">
        <v>324</v>
      </c>
      <c r="F19" s="89"/>
      <c r="G19" s="89"/>
      <c r="H19" s="89"/>
      <c r="I19" s="89"/>
      <c r="J19" s="89"/>
      <c r="K19" s="102" t="s">
        <v>325</v>
      </c>
    </row>
    <row r="21" spans="1:11" ht="8.1" customHeight="1" x14ac:dyDescent="0.25"/>
    <row r="22" spans="1:11" ht="18.75" x14ac:dyDescent="0.3">
      <c r="A22" s="104" t="s">
        <v>332</v>
      </c>
      <c r="B22" s="105" t="s">
        <v>333</v>
      </c>
      <c r="D22" s="106" t="s">
        <v>332</v>
      </c>
      <c r="E22" s="105" t="s">
        <v>334</v>
      </c>
      <c r="G22" s="107" t="s">
        <v>332</v>
      </c>
      <c r="H22" s="105" t="s">
        <v>335</v>
      </c>
    </row>
    <row r="23" spans="1:11" ht="18.75" x14ac:dyDescent="0.3">
      <c r="A23" s="108" t="s">
        <v>332</v>
      </c>
      <c r="B23" s="105" t="s">
        <v>336</v>
      </c>
      <c r="D23" s="109" t="s">
        <v>332</v>
      </c>
      <c r="E23" s="105" t="s">
        <v>337</v>
      </c>
      <c r="G23" s="110" t="s">
        <v>332</v>
      </c>
      <c r="H23" s="105" t="s">
        <v>338</v>
      </c>
    </row>
    <row r="24" spans="1:11" ht="15.95" customHeight="1" x14ac:dyDescent="0.25"/>
  </sheetData>
  <mergeCells count="3">
    <mergeCell ref="G11:I11"/>
    <mergeCell ref="G12:I13"/>
    <mergeCell ref="H14:J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3"/>
  <sheetViews>
    <sheetView showGridLines="0" workbookViewId="0">
      <selection activeCell="K3" sqref="K3:K11"/>
    </sheetView>
  </sheetViews>
  <sheetFormatPr baseColWidth="10" defaultRowHeight="15" x14ac:dyDescent="0.25"/>
  <cols>
    <col min="1" max="1" width="4.85546875" style="28" customWidth="1"/>
    <col min="2" max="2" width="44.85546875" style="28" customWidth="1"/>
    <col min="3" max="3" width="9.85546875" style="28" customWidth="1"/>
    <col min="4" max="4" width="11.85546875" style="28" customWidth="1"/>
    <col min="5" max="5" width="9.85546875" style="28" customWidth="1"/>
    <col min="6" max="6" width="11.85546875" style="28" customWidth="1"/>
    <col min="7" max="7" width="9.85546875" style="28" customWidth="1"/>
    <col min="8" max="8" width="11.85546875" style="28" customWidth="1"/>
    <col min="9" max="9" width="10.85546875" style="28" customWidth="1"/>
    <col min="10" max="10" width="13.85546875" style="28" customWidth="1"/>
    <col min="11" max="12" width="20.85546875" style="28" customWidth="1"/>
    <col min="13" max="13" width="46.85546875" style="28" customWidth="1"/>
    <col min="14" max="14" width="18.5703125" style="28" bestFit="1" customWidth="1"/>
    <col min="15" max="15" width="19" style="28" bestFit="1" customWidth="1"/>
    <col min="16" max="16384" width="11.42578125" style="28"/>
  </cols>
  <sheetData>
    <row r="1" spans="1:15" ht="20.100000000000001" customHeight="1" x14ac:dyDescent="0.25">
      <c r="A1" s="17" t="s">
        <v>0</v>
      </c>
      <c r="B1" s="18" t="s">
        <v>1</v>
      </c>
      <c r="C1" s="19" t="s">
        <v>2</v>
      </c>
      <c r="D1" s="19" t="s">
        <v>3</v>
      </c>
      <c r="E1" s="17" t="s">
        <v>4</v>
      </c>
      <c r="F1" s="17" t="s">
        <v>3</v>
      </c>
      <c r="G1" s="20" t="s">
        <v>5</v>
      </c>
      <c r="H1" s="20" t="s">
        <v>3</v>
      </c>
      <c r="I1" s="18" t="s">
        <v>6</v>
      </c>
      <c r="J1" s="18" t="s">
        <v>3</v>
      </c>
      <c r="K1" s="18" t="s">
        <v>7</v>
      </c>
      <c r="L1" s="68" t="s">
        <v>288</v>
      </c>
      <c r="M1" s="21" t="s">
        <v>8</v>
      </c>
      <c r="N1" s="22" t="s">
        <v>161</v>
      </c>
      <c r="O1" s="23" t="s">
        <v>162</v>
      </c>
    </row>
    <row r="2" spans="1:15" ht="30" customHeight="1" x14ac:dyDescent="0.25">
      <c r="A2" s="18" t="s">
        <v>3</v>
      </c>
      <c r="B2" s="18" t="s">
        <v>3</v>
      </c>
      <c r="C2" s="3" t="s">
        <v>9</v>
      </c>
      <c r="D2" s="3" t="s">
        <v>10</v>
      </c>
      <c r="E2" s="1" t="s">
        <v>9</v>
      </c>
      <c r="F2" s="1" t="s">
        <v>10</v>
      </c>
      <c r="G2" s="4" t="s">
        <v>9</v>
      </c>
      <c r="H2" s="4" t="s">
        <v>10</v>
      </c>
      <c r="I2" s="2" t="s">
        <v>9</v>
      </c>
      <c r="J2" s="2" t="s">
        <v>10</v>
      </c>
      <c r="K2" s="18" t="s">
        <v>3</v>
      </c>
      <c r="L2" s="69"/>
      <c r="M2" s="21" t="s">
        <v>3</v>
      </c>
      <c r="N2" s="24"/>
      <c r="O2" s="25"/>
    </row>
    <row r="3" spans="1:15" ht="72" x14ac:dyDescent="0.25">
      <c r="A3" s="29">
        <v>1</v>
      </c>
      <c r="B3" s="29" t="s">
        <v>11</v>
      </c>
      <c r="C3" s="30">
        <v>76</v>
      </c>
      <c r="D3" s="31">
        <v>153.5</v>
      </c>
      <c r="E3" s="30">
        <v>46</v>
      </c>
      <c r="F3" s="31">
        <v>58.3</v>
      </c>
      <c r="G3" s="30" t="s">
        <v>3</v>
      </c>
      <c r="H3" s="31" t="s">
        <v>3</v>
      </c>
      <c r="I3" s="30">
        <v>122</v>
      </c>
      <c r="J3" s="31">
        <v>107.9</v>
      </c>
      <c r="K3" s="32">
        <v>140.6</v>
      </c>
      <c r="L3" s="66">
        <f>+K3*0.55</f>
        <v>77.33</v>
      </c>
      <c r="M3" s="33" t="s">
        <v>163</v>
      </c>
      <c r="N3" s="45">
        <v>46266</v>
      </c>
      <c r="O3" s="30" t="s">
        <v>164</v>
      </c>
    </row>
    <row r="4" spans="1:15" ht="36" x14ac:dyDescent="0.25">
      <c r="A4" s="34">
        <v>2</v>
      </c>
      <c r="B4" s="34" t="s">
        <v>12</v>
      </c>
      <c r="C4" s="35" t="s">
        <v>3</v>
      </c>
      <c r="D4" s="36" t="s">
        <v>3</v>
      </c>
      <c r="E4" s="35">
        <v>11</v>
      </c>
      <c r="F4" s="36">
        <v>86.9</v>
      </c>
      <c r="G4" s="35" t="s">
        <v>3</v>
      </c>
      <c r="H4" s="36" t="s">
        <v>3</v>
      </c>
      <c r="I4" s="35">
        <v>11</v>
      </c>
      <c r="J4" s="36">
        <v>95.9</v>
      </c>
      <c r="K4" s="32">
        <v>22.5</v>
      </c>
      <c r="L4" s="66">
        <f t="shared" ref="L4:L12" si="0">+K4*0.55</f>
        <v>12.375000000000002</v>
      </c>
      <c r="M4" s="33" t="s">
        <v>165</v>
      </c>
      <c r="N4" s="46">
        <v>46267</v>
      </c>
      <c r="O4" s="35" t="s">
        <v>164</v>
      </c>
    </row>
    <row r="5" spans="1:15" ht="36" x14ac:dyDescent="0.25">
      <c r="A5" s="29">
        <v>3</v>
      </c>
      <c r="B5" s="29" t="s">
        <v>13</v>
      </c>
      <c r="C5" s="30">
        <v>1</v>
      </c>
      <c r="D5" s="31">
        <v>64.599999999999994</v>
      </c>
      <c r="E5" s="30">
        <v>2</v>
      </c>
      <c r="F5" s="31">
        <v>71.900000000000006</v>
      </c>
      <c r="G5" s="30">
        <v>15</v>
      </c>
      <c r="H5" s="31">
        <v>52.2</v>
      </c>
      <c r="I5" s="30">
        <v>18</v>
      </c>
      <c r="J5" s="31">
        <v>56.5</v>
      </c>
      <c r="K5" s="32">
        <v>18.2</v>
      </c>
      <c r="L5" s="66">
        <f t="shared" si="0"/>
        <v>10.01</v>
      </c>
      <c r="M5" s="33" t="s">
        <v>166</v>
      </c>
      <c r="N5" s="45">
        <v>46296</v>
      </c>
      <c r="O5" s="30" t="s">
        <v>164</v>
      </c>
    </row>
    <row r="6" spans="1:15" ht="24" x14ac:dyDescent="0.25">
      <c r="A6" s="34">
        <v>4</v>
      </c>
      <c r="B6" s="34" t="s">
        <v>14</v>
      </c>
      <c r="C6" s="35">
        <v>6</v>
      </c>
      <c r="D6" s="36">
        <v>84.4</v>
      </c>
      <c r="E6" s="35">
        <v>3</v>
      </c>
      <c r="F6" s="36">
        <v>92.8</v>
      </c>
      <c r="G6" s="35">
        <v>6</v>
      </c>
      <c r="H6" s="36">
        <v>81.900000000000006</v>
      </c>
      <c r="I6" s="35">
        <v>15</v>
      </c>
      <c r="J6" s="36">
        <v>87.6</v>
      </c>
      <c r="K6" s="32">
        <v>15.2</v>
      </c>
      <c r="L6" s="66">
        <f t="shared" si="0"/>
        <v>8.36</v>
      </c>
      <c r="M6" s="33" t="s">
        <v>167</v>
      </c>
      <c r="N6" s="46">
        <v>46327</v>
      </c>
      <c r="O6" s="35" t="s">
        <v>164</v>
      </c>
    </row>
    <row r="7" spans="1:15" ht="24" x14ac:dyDescent="0.25">
      <c r="A7" s="29">
        <v>5</v>
      </c>
      <c r="B7" s="29" t="s">
        <v>15</v>
      </c>
      <c r="C7" s="30">
        <v>17</v>
      </c>
      <c r="D7" s="31">
        <v>130.1</v>
      </c>
      <c r="E7" s="30">
        <v>2</v>
      </c>
      <c r="F7" s="31">
        <v>57.6</v>
      </c>
      <c r="G7" s="30" t="s">
        <v>3</v>
      </c>
      <c r="H7" s="31" t="s">
        <v>3</v>
      </c>
      <c r="I7" s="30">
        <v>19</v>
      </c>
      <c r="J7" s="31">
        <v>122.8</v>
      </c>
      <c r="K7" s="32">
        <v>14.5</v>
      </c>
      <c r="L7" s="66">
        <f t="shared" si="0"/>
        <v>7.9750000000000005</v>
      </c>
      <c r="M7" s="33" t="s">
        <v>168</v>
      </c>
      <c r="N7" s="45">
        <v>46296</v>
      </c>
      <c r="O7" s="30" t="s">
        <v>164</v>
      </c>
    </row>
    <row r="8" spans="1:15" ht="24" x14ac:dyDescent="0.25">
      <c r="A8" s="34">
        <v>6</v>
      </c>
      <c r="B8" s="34" t="s">
        <v>16</v>
      </c>
      <c r="C8" s="35" t="s">
        <v>3</v>
      </c>
      <c r="D8" s="36" t="s">
        <v>3</v>
      </c>
      <c r="E8" s="35">
        <v>6</v>
      </c>
      <c r="F8" s="36">
        <v>71.7</v>
      </c>
      <c r="G8" s="35" t="s">
        <v>3</v>
      </c>
      <c r="H8" s="36" t="s">
        <v>3</v>
      </c>
      <c r="I8" s="35">
        <v>6</v>
      </c>
      <c r="J8" s="36">
        <v>71.7</v>
      </c>
      <c r="K8" s="32">
        <v>12.3</v>
      </c>
      <c r="L8" s="66">
        <f t="shared" si="0"/>
        <v>6.7650000000000006</v>
      </c>
      <c r="M8" s="33" t="s">
        <v>169</v>
      </c>
      <c r="N8" s="46">
        <v>46327</v>
      </c>
      <c r="O8" s="35" t="s">
        <v>164</v>
      </c>
    </row>
    <row r="9" spans="1:15" ht="24" x14ac:dyDescent="0.25">
      <c r="A9" s="29">
        <v>7</v>
      </c>
      <c r="B9" s="29" t="s">
        <v>17</v>
      </c>
      <c r="C9" s="30" t="s">
        <v>3</v>
      </c>
      <c r="D9" s="31" t="s">
        <v>3</v>
      </c>
      <c r="E9" s="30">
        <v>5</v>
      </c>
      <c r="F9" s="31">
        <v>59.4</v>
      </c>
      <c r="G9" s="30" t="s">
        <v>3</v>
      </c>
      <c r="H9" s="31" t="s">
        <v>3</v>
      </c>
      <c r="I9" s="30">
        <v>5</v>
      </c>
      <c r="J9" s="31">
        <v>59.4</v>
      </c>
      <c r="K9" s="32">
        <v>10.199999999999999</v>
      </c>
      <c r="L9" s="66">
        <f t="shared" si="0"/>
        <v>5.61</v>
      </c>
      <c r="M9" s="33" t="s">
        <v>170</v>
      </c>
      <c r="N9" s="45">
        <v>46327</v>
      </c>
      <c r="O9" s="30" t="s">
        <v>164</v>
      </c>
    </row>
    <row r="10" spans="1:15" x14ac:dyDescent="0.25">
      <c r="A10" s="51">
        <v>8</v>
      </c>
      <c r="B10" s="51" t="s">
        <v>18</v>
      </c>
      <c r="C10" s="48">
        <v>1</v>
      </c>
      <c r="D10" s="52">
        <v>54.2</v>
      </c>
      <c r="E10" s="48">
        <v>4</v>
      </c>
      <c r="F10" s="52">
        <v>47.3</v>
      </c>
      <c r="G10" s="48" t="s">
        <v>3</v>
      </c>
      <c r="H10" s="52" t="s">
        <v>3</v>
      </c>
      <c r="I10" s="48">
        <v>5</v>
      </c>
      <c r="J10" s="52">
        <v>66.900000000000006</v>
      </c>
      <c r="K10" s="53">
        <v>8.8000000000000007</v>
      </c>
      <c r="L10" s="53">
        <f t="shared" si="0"/>
        <v>4.8400000000000007</v>
      </c>
      <c r="M10" s="37"/>
      <c r="N10" s="47"/>
      <c r="O10" s="48"/>
    </row>
    <row r="11" spans="1:15" x14ac:dyDescent="0.25">
      <c r="A11" s="61">
        <v>9</v>
      </c>
      <c r="B11" s="61" t="s">
        <v>19</v>
      </c>
      <c r="C11" s="50">
        <v>1</v>
      </c>
      <c r="D11" s="62">
        <v>59.4</v>
      </c>
      <c r="E11" s="50">
        <v>4</v>
      </c>
      <c r="F11" s="62">
        <v>42.7</v>
      </c>
      <c r="G11" s="50" t="s">
        <v>3</v>
      </c>
      <c r="H11" s="62" t="s">
        <v>3</v>
      </c>
      <c r="I11" s="50">
        <v>5</v>
      </c>
      <c r="J11" s="62">
        <v>46</v>
      </c>
      <c r="K11" s="53">
        <v>8.8000000000000007</v>
      </c>
      <c r="L11" s="53">
        <f t="shared" si="0"/>
        <v>4.8400000000000007</v>
      </c>
      <c r="M11" s="37"/>
      <c r="N11" s="49"/>
      <c r="O11" s="50"/>
    </row>
    <row r="12" spans="1:15" x14ac:dyDescent="0.25">
      <c r="A12" s="51">
        <v>10</v>
      </c>
      <c r="B12" s="51" t="s">
        <v>20</v>
      </c>
      <c r="C12" s="48">
        <v>7</v>
      </c>
      <c r="D12" s="52" t="s">
        <v>3</v>
      </c>
      <c r="E12" s="48">
        <v>2</v>
      </c>
      <c r="F12" s="52">
        <v>70.3</v>
      </c>
      <c r="G12" s="48" t="s">
        <v>3</v>
      </c>
      <c r="H12" s="52" t="s">
        <v>3</v>
      </c>
      <c r="I12" s="48">
        <v>9</v>
      </c>
      <c r="J12" s="52">
        <v>70.3</v>
      </c>
      <c r="K12" s="53">
        <v>8.4</v>
      </c>
      <c r="L12" s="53">
        <f t="shared" si="0"/>
        <v>4.620000000000001</v>
      </c>
      <c r="M12" s="37"/>
      <c r="N12" s="47"/>
      <c r="O12" s="48"/>
    </row>
    <row r="13" spans="1:15" x14ac:dyDescent="0.25">
      <c r="A13" s="39" t="s">
        <v>3</v>
      </c>
      <c r="B13" s="40" t="s">
        <v>21</v>
      </c>
      <c r="C13" s="41">
        <v>109</v>
      </c>
      <c r="D13" s="42">
        <v>140.6</v>
      </c>
      <c r="E13" s="41">
        <v>85</v>
      </c>
      <c r="F13" s="42">
        <v>63.8</v>
      </c>
      <c r="G13" s="41">
        <v>21</v>
      </c>
      <c r="H13" s="42">
        <v>55.1</v>
      </c>
      <c r="I13" s="41">
        <v>215</v>
      </c>
      <c r="J13" s="42">
        <v>99</v>
      </c>
      <c r="K13" s="43">
        <v>259.3</v>
      </c>
      <c r="L13" s="43">
        <f>+SUM(L3:L12)</f>
        <v>142.72500000000002</v>
      </c>
      <c r="M13" s="40" t="s">
        <v>3</v>
      </c>
      <c r="N13" s="44" t="s">
        <v>3</v>
      </c>
      <c r="O13" s="41" t="s">
        <v>3</v>
      </c>
    </row>
  </sheetData>
  <autoFilter ref="A2:M12" xr:uid="{00000000-0009-0000-0000-000000000000}"/>
  <mergeCells count="11">
    <mergeCell ref="I1:J1"/>
    <mergeCell ref="K1:K2"/>
    <mergeCell ref="M1:M2"/>
    <mergeCell ref="O1:O2"/>
    <mergeCell ref="N1:N2"/>
    <mergeCell ref="L1:L2"/>
    <mergeCell ref="A1:A2"/>
    <mergeCell ref="B1:B2"/>
    <mergeCell ref="C1:D1"/>
    <mergeCell ref="E1:F1"/>
    <mergeCell ref="G1:H1"/>
  </mergeCells>
  <pageMargins left="0.7" right="0.7" top="0.75" bottom="0.75" header="0.3" footer="0.3"/>
  <ignoredErrors>
    <ignoredError sqref="M1:M2 M13 A3:K13 A1:K2"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3"/>
  <sheetViews>
    <sheetView showGridLines="0" workbookViewId="0">
      <selection activeCell="L12" sqref="L12"/>
    </sheetView>
  </sheetViews>
  <sheetFormatPr baseColWidth="10" defaultRowHeight="15" x14ac:dyDescent="0.25"/>
  <cols>
    <col min="1" max="1" width="4.85546875" style="28" customWidth="1"/>
    <col min="2" max="2" width="44.85546875" style="28" customWidth="1"/>
    <col min="3" max="3" width="9.85546875" style="28" customWidth="1"/>
    <col min="4" max="4" width="11.85546875" style="28" customWidth="1"/>
    <col min="5" max="5" width="9.85546875" style="28" customWidth="1"/>
    <col min="6" max="6" width="11.85546875" style="28" customWidth="1"/>
    <col min="7" max="7" width="9.85546875" style="28" customWidth="1"/>
    <col min="8" max="8" width="11.85546875" style="28" customWidth="1"/>
    <col min="9" max="9" width="10.85546875" style="28" customWidth="1"/>
    <col min="10" max="10" width="13.85546875" style="28" customWidth="1"/>
    <col min="11" max="12" width="20.85546875" style="28" customWidth="1"/>
    <col min="13" max="13" width="46.85546875" style="28" customWidth="1"/>
    <col min="14" max="14" width="18.5703125" style="28" bestFit="1" customWidth="1"/>
    <col min="15" max="15" width="19" style="28" bestFit="1" customWidth="1"/>
    <col min="16" max="16384" width="11.42578125" style="28"/>
  </cols>
  <sheetData>
    <row r="1" spans="1:15" ht="20.100000000000001" customHeight="1" x14ac:dyDescent="0.25">
      <c r="A1" s="18" t="s">
        <v>0</v>
      </c>
      <c r="B1" s="18" t="s">
        <v>1</v>
      </c>
      <c r="C1" s="19" t="s">
        <v>2</v>
      </c>
      <c r="D1" s="19" t="s">
        <v>3</v>
      </c>
      <c r="E1" s="17" t="s">
        <v>4</v>
      </c>
      <c r="F1" s="17" t="s">
        <v>3</v>
      </c>
      <c r="G1" s="20" t="s">
        <v>5</v>
      </c>
      <c r="H1" s="20" t="s">
        <v>3</v>
      </c>
      <c r="I1" s="18" t="s">
        <v>6</v>
      </c>
      <c r="J1" s="18" t="s">
        <v>3</v>
      </c>
      <c r="K1" s="18" t="s">
        <v>7</v>
      </c>
      <c r="L1" s="68" t="s">
        <v>288</v>
      </c>
      <c r="M1" s="21" t="s">
        <v>8</v>
      </c>
      <c r="N1" s="22" t="s">
        <v>161</v>
      </c>
      <c r="O1" s="23" t="s">
        <v>162</v>
      </c>
    </row>
    <row r="2" spans="1:15" ht="30" customHeight="1" x14ac:dyDescent="0.25">
      <c r="A2" s="18" t="s">
        <v>3</v>
      </c>
      <c r="B2" s="18" t="s">
        <v>3</v>
      </c>
      <c r="C2" s="3" t="s">
        <v>9</v>
      </c>
      <c r="D2" s="3" t="s">
        <v>10</v>
      </c>
      <c r="E2" s="1" t="s">
        <v>9</v>
      </c>
      <c r="F2" s="1" t="s">
        <v>10</v>
      </c>
      <c r="G2" s="4" t="s">
        <v>9</v>
      </c>
      <c r="H2" s="4" t="s">
        <v>10</v>
      </c>
      <c r="I2" s="2" t="s">
        <v>9</v>
      </c>
      <c r="J2" s="2" t="s">
        <v>10</v>
      </c>
      <c r="K2" s="18" t="s">
        <v>3</v>
      </c>
      <c r="L2" s="69"/>
      <c r="M2" s="21" t="s">
        <v>3</v>
      </c>
      <c r="N2" s="24"/>
      <c r="O2" s="25"/>
    </row>
    <row r="3" spans="1:15" ht="36" x14ac:dyDescent="0.25">
      <c r="A3" s="29">
        <v>1</v>
      </c>
      <c r="B3" s="29" t="s">
        <v>22</v>
      </c>
      <c r="C3" s="30">
        <v>2</v>
      </c>
      <c r="D3" s="31">
        <v>114.6</v>
      </c>
      <c r="E3" s="30">
        <v>12</v>
      </c>
      <c r="F3" s="31">
        <v>75.099999999999994</v>
      </c>
      <c r="G3" s="30">
        <v>1</v>
      </c>
      <c r="H3" s="31" t="s">
        <v>3</v>
      </c>
      <c r="I3" s="30">
        <v>15</v>
      </c>
      <c r="J3" s="31">
        <v>80.7</v>
      </c>
      <c r="K3" s="32">
        <v>26.6</v>
      </c>
      <c r="L3" s="66">
        <f>+K3*0.5</f>
        <v>13.3</v>
      </c>
      <c r="M3" s="33" t="s">
        <v>171</v>
      </c>
      <c r="N3" s="45">
        <v>46296</v>
      </c>
      <c r="O3" s="30" t="s">
        <v>182</v>
      </c>
    </row>
    <row r="4" spans="1:15" ht="24" x14ac:dyDescent="0.25">
      <c r="A4" s="34">
        <v>2</v>
      </c>
      <c r="B4" s="34" t="s">
        <v>23</v>
      </c>
      <c r="C4" s="35">
        <v>1</v>
      </c>
      <c r="D4" s="36">
        <v>77.099999999999994</v>
      </c>
      <c r="E4" s="35">
        <v>7</v>
      </c>
      <c r="F4" s="36">
        <v>59</v>
      </c>
      <c r="G4" s="35" t="s">
        <v>3</v>
      </c>
      <c r="H4" s="36" t="s">
        <v>3</v>
      </c>
      <c r="I4" s="35">
        <v>8</v>
      </c>
      <c r="J4" s="36">
        <v>61.3</v>
      </c>
      <c r="K4" s="32">
        <v>14.9</v>
      </c>
      <c r="L4" s="66">
        <f t="shared" ref="L4:L12" si="0">+K4*0.5</f>
        <v>7.45</v>
      </c>
      <c r="M4" s="33" t="s">
        <v>173</v>
      </c>
      <c r="N4" s="46">
        <v>46327</v>
      </c>
      <c r="O4" s="30" t="s">
        <v>182</v>
      </c>
    </row>
    <row r="5" spans="1:15" ht="24" x14ac:dyDescent="0.25">
      <c r="A5" s="29">
        <v>3</v>
      </c>
      <c r="B5" s="29" t="s">
        <v>24</v>
      </c>
      <c r="C5" s="30">
        <v>4</v>
      </c>
      <c r="D5" s="31">
        <v>79.099999999999994</v>
      </c>
      <c r="E5" s="30">
        <v>5</v>
      </c>
      <c r="F5" s="31">
        <v>57.2</v>
      </c>
      <c r="G5" s="30" t="s">
        <v>3</v>
      </c>
      <c r="H5" s="31" t="s">
        <v>3</v>
      </c>
      <c r="I5" s="30">
        <v>9</v>
      </c>
      <c r="J5" s="31">
        <v>76.8</v>
      </c>
      <c r="K5" s="32">
        <v>12.7</v>
      </c>
      <c r="L5" s="66">
        <f t="shared" si="0"/>
        <v>6.35</v>
      </c>
      <c r="M5" s="33" t="s">
        <v>174</v>
      </c>
      <c r="N5" s="45">
        <v>46296</v>
      </c>
      <c r="O5" s="30" t="s">
        <v>182</v>
      </c>
    </row>
    <row r="6" spans="1:15" ht="24" x14ac:dyDescent="0.25">
      <c r="A6" s="34">
        <v>4</v>
      </c>
      <c r="B6" s="34" t="s">
        <v>25</v>
      </c>
      <c r="C6" s="35" t="s">
        <v>3</v>
      </c>
      <c r="D6" s="36" t="s">
        <v>3</v>
      </c>
      <c r="E6" s="35">
        <v>6</v>
      </c>
      <c r="F6" s="36">
        <v>74.2</v>
      </c>
      <c r="G6" s="35" t="s">
        <v>3</v>
      </c>
      <c r="H6" s="36" t="s">
        <v>3</v>
      </c>
      <c r="I6" s="35">
        <v>6</v>
      </c>
      <c r="J6" s="36">
        <v>74.2</v>
      </c>
      <c r="K6" s="32">
        <v>12.3</v>
      </c>
      <c r="L6" s="66">
        <f t="shared" si="0"/>
        <v>6.15</v>
      </c>
      <c r="M6" s="33" t="s">
        <v>175</v>
      </c>
      <c r="N6" s="46">
        <v>46327</v>
      </c>
      <c r="O6" s="30" t="s">
        <v>182</v>
      </c>
    </row>
    <row r="7" spans="1:15" ht="24" x14ac:dyDescent="0.25">
      <c r="A7" s="29">
        <v>5</v>
      </c>
      <c r="B7" s="29" t="s">
        <v>26</v>
      </c>
      <c r="C7" s="30" t="s">
        <v>3</v>
      </c>
      <c r="D7" s="31" t="s">
        <v>3</v>
      </c>
      <c r="E7" s="30">
        <v>6</v>
      </c>
      <c r="F7" s="31">
        <v>91.7</v>
      </c>
      <c r="G7" s="30" t="s">
        <v>3</v>
      </c>
      <c r="H7" s="31" t="s">
        <v>3</v>
      </c>
      <c r="I7" s="30">
        <v>6</v>
      </c>
      <c r="J7" s="31">
        <v>91.7</v>
      </c>
      <c r="K7" s="32">
        <v>12.3</v>
      </c>
      <c r="L7" s="66">
        <f t="shared" si="0"/>
        <v>6.15</v>
      </c>
      <c r="M7" s="33" t="s">
        <v>176</v>
      </c>
      <c r="N7" s="45">
        <v>46327</v>
      </c>
      <c r="O7" s="30" t="s">
        <v>182</v>
      </c>
    </row>
    <row r="8" spans="1:15" ht="84" x14ac:dyDescent="0.25">
      <c r="A8" s="34">
        <v>6</v>
      </c>
      <c r="B8" s="34" t="s">
        <v>27</v>
      </c>
      <c r="C8" s="35" t="s">
        <v>3</v>
      </c>
      <c r="D8" s="36" t="s">
        <v>3</v>
      </c>
      <c r="E8" s="35">
        <v>5</v>
      </c>
      <c r="F8" s="36">
        <v>67.900000000000006</v>
      </c>
      <c r="G8" s="35" t="s">
        <v>3</v>
      </c>
      <c r="H8" s="36" t="s">
        <v>3</v>
      </c>
      <c r="I8" s="35">
        <v>5</v>
      </c>
      <c r="J8" s="36">
        <v>67.900000000000006</v>
      </c>
      <c r="K8" s="32">
        <v>10.199999999999999</v>
      </c>
      <c r="L8" s="66">
        <f t="shared" si="0"/>
        <v>5.0999999999999996</v>
      </c>
      <c r="M8" s="33" t="s">
        <v>177</v>
      </c>
      <c r="N8" s="46">
        <v>46296</v>
      </c>
      <c r="O8" s="30" t="s">
        <v>182</v>
      </c>
    </row>
    <row r="9" spans="1:15" ht="24" x14ac:dyDescent="0.25">
      <c r="A9" s="29">
        <v>7</v>
      </c>
      <c r="B9" s="29" t="s">
        <v>28</v>
      </c>
      <c r="C9" s="30" t="s">
        <v>3</v>
      </c>
      <c r="D9" s="31" t="s">
        <v>3</v>
      </c>
      <c r="E9" s="30">
        <v>5</v>
      </c>
      <c r="F9" s="31">
        <v>56.7</v>
      </c>
      <c r="G9" s="30" t="s">
        <v>3</v>
      </c>
      <c r="H9" s="31" t="s">
        <v>3</v>
      </c>
      <c r="I9" s="30">
        <v>5</v>
      </c>
      <c r="J9" s="31">
        <v>56.7</v>
      </c>
      <c r="K9" s="32">
        <v>10.199999999999999</v>
      </c>
      <c r="L9" s="66">
        <f t="shared" si="0"/>
        <v>5.0999999999999996</v>
      </c>
      <c r="M9" s="33" t="s">
        <v>178</v>
      </c>
      <c r="N9" s="45">
        <v>46296</v>
      </c>
      <c r="O9" s="30" t="s">
        <v>182</v>
      </c>
    </row>
    <row r="10" spans="1:15" ht="24" x14ac:dyDescent="0.25">
      <c r="A10" s="34">
        <v>8</v>
      </c>
      <c r="B10" s="34" t="s">
        <v>29</v>
      </c>
      <c r="C10" s="35" t="s">
        <v>3</v>
      </c>
      <c r="D10" s="36" t="s">
        <v>3</v>
      </c>
      <c r="E10" s="35">
        <v>1</v>
      </c>
      <c r="F10" s="36">
        <v>66.7</v>
      </c>
      <c r="G10" s="35">
        <v>8</v>
      </c>
      <c r="H10" s="36" t="s">
        <v>3</v>
      </c>
      <c r="I10" s="35">
        <v>9</v>
      </c>
      <c r="J10" s="36">
        <v>66.7</v>
      </c>
      <c r="K10" s="32">
        <v>9.1999999999999993</v>
      </c>
      <c r="L10" s="66">
        <f t="shared" si="0"/>
        <v>4.5999999999999996</v>
      </c>
      <c r="M10" s="33" t="s">
        <v>179</v>
      </c>
      <c r="N10" s="45">
        <v>46327</v>
      </c>
      <c r="O10" s="30" t="s">
        <v>182</v>
      </c>
    </row>
    <row r="11" spans="1:15" x14ac:dyDescent="0.25">
      <c r="A11" s="29">
        <v>9</v>
      </c>
      <c r="B11" s="29" t="s">
        <v>30</v>
      </c>
      <c r="C11" s="30" t="s">
        <v>3</v>
      </c>
      <c r="D11" s="31" t="s">
        <v>3</v>
      </c>
      <c r="E11" s="30">
        <v>2</v>
      </c>
      <c r="F11" s="31">
        <v>56.3</v>
      </c>
      <c r="G11" s="30">
        <v>5</v>
      </c>
      <c r="H11" s="31">
        <v>76.400000000000006</v>
      </c>
      <c r="I11" s="30">
        <v>7</v>
      </c>
      <c r="J11" s="31">
        <v>63</v>
      </c>
      <c r="K11" s="32">
        <v>8.6</v>
      </c>
      <c r="L11" s="66">
        <f t="shared" si="0"/>
        <v>4.3</v>
      </c>
      <c r="M11" s="33" t="s">
        <v>180</v>
      </c>
      <c r="N11" s="45">
        <v>46327</v>
      </c>
      <c r="O11" s="30" t="s">
        <v>182</v>
      </c>
    </row>
    <row r="12" spans="1:15" x14ac:dyDescent="0.25">
      <c r="A12" s="51">
        <v>10</v>
      </c>
      <c r="B12" s="51" t="s">
        <v>31</v>
      </c>
      <c r="C12" s="48">
        <v>7</v>
      </c>
      <c r="D12" s="52">
        <v>441.7</v>
      </c>
      <c r="E12" s="48">
        <v>2</v>
      </c>
      <c r="F12" s="52" t="s">
        <v>3</v>
      </c>
      <c r="G12" s="48" t="s">
        <v>3</v>
      </c>
      <c r="H12" s="52" t="s">
        <v>3</v>
      </c>
      <c r="I12" s="48">
        <v>9</v>
      </c>
      <c r="J12" s="52">
        <v>441.7</v>
      </c>
      <c r="K12" s="53">
        <v>8.4</v>
      </c>
      <c r="L12" s="67">
        <f t="shared" si="0"/>
        <v>4.2</v>
      </c>
      <c r="M12" s="38"/>
      <c r="N12" s="47"/>
      <c r="O12" s="48"/>
    </row>
    <row r="13" spans="1:15" x14ac:dyDescent="0.25">
      <c r="A13" s="40" t="s">
        <v>3</v>
      </c>
      <c r="B13" s="40" t="s">
        <v>21</v>
      </c>
      <c r="C13" s="41">
        <v>14</v>
      </c>
      <c r="D13" s="42">
        <v>99.5</v>
      </c>
      <c r="E13" s="41">
        <v>51</v>
      </c>
      <c r="F13" s="42">
        <v>70.2</v>
      </c>
      <c r="G13" s="41">
        <v>14</v>
      </c>
      <c r="H13" s="42">
        <v>76.400000000000006</v>
      </c>
      <c r="I13" s="41">
        <v>79</v>
      </c>
      <c r="J13" s="42">
        <v>83.7</v>
      </c>
      <c r="K13" s="43">
        <v>125.4</v>
      </c>
      <c r="L13" s="43">
        <f>+SUM(L3:L12)</f>
        <v>62.7</v>
      </c>
      <c r="M13" s="40" t="s">
        <v>3</v>
      </c>
      <c r="N13" s="40" t="s">
        <v>3</v>
      </c>
      <c r="O13" s="40" t="s">
        <v>3</v>
      </c>
    </row>
  </sheetData>
  <autoFilter ref="A2:M12" xr:uid="{00000000-0009-0000-0000-000001000000}"/>
  <mergeCells count="11">
    <mergeCell ref="I1:J1"/>
    <mergeCell ref="K1:K2"/>
    <mergeCell ref="M1:M2"/>
    <mergeCell ref="N1:N2"/>
    <mergeCell ref="O1:O2"/>
    <mergeCell ref="L1:L2"/>
    <mergeCell ref="A1:A2"/>
    <mergeCell ref="B1:B2"/>
    <mergeCell ref="C1:D1"/>
    <mergeCell ref="E1:F1"/>
    <mergeCell ref="G1:H1"/>
  </mergeCells>
  <pageMargins left="0.7" right="0.7" top="0.75" bottom="0.75" header="0.3" footer="0.3"/>
  <ignoredErrors>
    <ignoredError sqref="M1:M2 M13 A3:K13 A1:K2"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3"/>
  <sheetViews>
    <sheetView showGridLines="0" workbookViewId="0">
      <selection activeCell="L1" sqref="L1:L5"/>
    </sheetView>
  </sheetViews>
  <sheetFormatPr baseColWidth="10" defaultRowHeight="15" x14ac:dyDescent="0.25"/>
  <cols>
    <col min="1" max="1" width="4.85546875" style="28" customWidth="1"/>
    <col min="2" max="2" width="44.85546875" style="28" customWidth="1"/>
    <col min="3" max="3" width="9.85546875" style="28" customWidth="1"/>
    <col min="4" max="4" width="11.85546875" style="28" customWidth="1"/>
    <col min="5" max="5" width="9.85546875" style="28" customWidth="1"/>
    <col min="6" max="6" width="11.85546875" style="28" customWidth="1"/>
    <col min="7" max="7" width="9.85546875" style="28" customWidth="1"/>
    <col min="8" max="8" width="11.85546875" style="28" customWidth="1"/>
    <col min="9" max="9" width="10.85546875" style="28" customWidth="1"/>
    <col min="10" max="10" width="13.85546875" style="28" customWidth="1"/>
    <col min="11" max="12" width="20.85546875" style="28" customWidth="1"/>
    <col min="13" max="13" width="46.85546875" style="28" customWidth="1"/>
    <col min="14" max="16384" width="11.42578125" style="28"/>
  </cols>
  <sheetData>
    <row r="1" spans="1:15" ht="20.100000000000001" customHeight="1" x14ac:dyDescent="0.25">
      <c r="A1" s="18" t="s">
        <v>0</v>
      </c>
      <c r="B1" s="18" t="s">
        <v>1</v>
      </c>
      <c r="C1" s="19" t="s">
        <v>2</v>
      </c>
      <c r="D1" s="19" t="s">
        <v>3</v>
      </c>
      <c r="E1" s="17" t="s">
        <v>4</v>
      </c>
      <c r="F1" s="17" t="s">
        <v>3</v>
      </c>
      <c r="G1" s="20" t="s">
        <v>5</v>
      </c>
      <c r="H1" s="20" t="s">
        <v>3</v>
      </c>
      <c r="I1" s="18" t="s">
        <v>6</v>
      </c>
      <c r="J1" s="18" t="s">
        <v>3</v>
      </c>
      <c r="K1" s="18" t="s">
        <v>7</v>
      </c>
      <c r="L1" s="68" t="s">
        <v>288</v>
      </c>
      <c r="M1" s="21" t="s">
        <v>8</v>
      </c>
      <c r="N1" s="22" t="s">
        <v>161</v>
      </c>
      <c r="O1" s="23" t="s">
        <v>162</v>
      </c>
    </row>
    <row r="2" spans="1:15" ht="30" customHeight="1" x14ac:dyDescent="0.25">
      <c r="A2" s="18" t="s">
        <v>3</v>
      </c>
      <c r="B2" s="18" t="s">
        <v>3</v>
      </c>
      <c r="C2" s="3" t="s">
        <v>9</v>
      </c>
      <c r="D2" s="3" t="s">
        <v>10</v>
      </c>
      <c r="E2" s="1" t="s">
        <v>9</v>
      </c>
      <c r="F2" s="1" t="s">
        <v>10</v>
      </c>
      <c r="G2" s="4" t="s">
        <v>9</v>
      </c>
      <c r="H2" s="4" t="s">
        <v>10</v>
      </c>
      <c r="I2" s="2" t="s">
        <v>9</v>
      </c>
      <c r="J2" s="2" t="s">
        <v>10</v>
      </c>
      <c r="K2" s="18" t="s">
        <v>3</v>
      </c>
      <c r="L2" s="69"/>
      <c r="M2" s="21" t="s">
        <v>3</v>
      </c>
      <c r="N2" s="24"/>
      <c r="O2" s="25"/>
    </row>
    <row r="3" spans="1:15" ht="24" x14ac:dyDescent="0.25">
      <c r="A3" s="29">
        <v>1</v>
      </c>
      <c r="B3" s="29" t="s">
        <v>32</v>
      </c>
      <c r="C3" s="30" t="s">
        <v>3</v>
      </c>
      <c r="D3" s="31" t="s">
        <v>3</v>
      </c>
      <c r="E3" s="30">
        <v>10</v>
      </c>
      <c r="F3" s="31">
        <v>54.3</v>
      </c>
      <c r="G3" s="30" t="s">
        <v>3</v>
      </c>
      <c r="H3" s="31" t="s">
        <v>3</v>
      </c>
      <c r="I3" s="30">
        <v>10</v>
      </c>
      <c r="J3" s="31">
        <v>54.3</v>
      </c>
      <c r="K3" s="32">
        <v>20.399999999999999</v>
      </c>
      <c r="L3" s="66">
        <f>+K3*0.5</f>
        <v>10.199999999999999</v>
      </c>
      <c r="M3" s="33" t="s">
        <v>181</v>
      </c>
      <c r="N3" s="45">
        <v>46296</v>
      </c>
      <c r="O3" s="30" t="s">
        <v>182</v>
      </c>
    </row>
    <row r="4" spans="1:15" ht="24" x14ac:dyDescent="0.25">
      <c r="A4" s="34">
        <v>2</v>
      </c>
      <c r="B4" s="34" t="s">
        <v>33</v>
      </c>
      <c r="C4" s="35" t="s">
        <v>3</v>
      </c>
      <c r="D4" s="36" t="s">
        <v>3</v>
      </c>
      <c r="E4" s="35">
        <v>6</v>
      </c>
      <c r="F4" s="36">
        <v>58.6</v>
      </c>
      <c r="G4" s="35" t="s">
        <v>3</v>
      </c>
      <c r="H4" s="36" t="s">
        <v>3</v>
      </c>
      <c r="I4" s="35">
        <v>6</v>
      </c>
      <c r="J4" s="36">
        <v>58.6</v>
      </c>
      <c r="K4" s="32">
        <v>12.3</v>
      </c>
      <c r="L4" s="66">
        <f t="shared" ref="L4:L12" si="0">+K4*0.5</f>
        <v>6.15</v>
      </c>
      <c r="M4" s="33" t="s">
        <v>183</v>
      </c>
      <c r="N4" s="45">
        <v>46296</v>
      </c>
      <c r="O4" s="30" t="s">
        <v>182</v>
      </c>
    </row>
    <row r="5" spans="1:15" ht="24" x14ac:dyDescent="0.25">
      <c r="A5" s="29">
        <v>3</v>
      </c>
      <c r="B5" s="29" t="s">
        <v>34</v>
      </c>
      <c r="C5" s="30" t="s">
        <v>3</v>
      </c>
      <c r="D5" s="31" t="s">
        <v>3</v>
      </c>
      <c r="E5" s="30">
        <v>4</v>
      </c>
      <c r="F5" s="31">
        <v>74.2</v>
      </c>
      <c r="G5" s="30" t="s">
        <v>3</v>
      </c>
      <c r="H5" s="31" t="s">
        <v>3</v>
      </c>
      <c r="I5" s="30">
        <v>4</v>
      </c>
      <c r="J5" s="31">
        <v>74.2</v>
      </c>
      <c r="K5" s="32">
        <v>8.1999999999999993</v>
      </c>
      <c r="L5" s="66">
        <f t="shared" si="0"/>
        <v>4.0999999999999996</v>
      </c>
      <c r="M5" s="33" t="s">
        <v>184</v>
      </c>
      <c r="N5" s="45">
        <v>46296</v>
      </c>
      <c r="O5" s="30" t="s">
        <v>182</v>
      </c>
    </row>
    <row r="6" spans="1:15" ht="24" x14ac:dyDescent="0.25">
      <c r="A6" s="34">
        <v>4</v>
      </c>
      <c r="B6" s="34" t="s">
        <v>35</v>
      </c>
      <c r="C6" s="35" t="s">
        <v>3</v>
      </c>
      <c r="D6" s="36" t="s">
        <v>3</v>
      </c>
      <c r="E6" s="35" t="s">
        <v>3</v>
      </c>
      <c r="F6" s="36" t="s">
        <v>3</v>
      </c>
      <c r="G6" s="35">
        <v>7</v>
      </c>
      <c r="H6" s="36">
        <v>69.5</v>
      </c>
      <c r="I6" s="35">
        <v>7</v>
      </c>
      <c r="J6" s="36">
        <v>69.5</v>
      </c>
      <c r="K6" s="32">
        <v>6.3</v>
      </c>
      <c r="L6" s="66">
        <f t="shared" si="0"/>
        <v>3.15</v>
      </c>
      <c r="M6" s="33" t="s">
        <v>185</v>
      </c>
      <c r="N6" s="45">
        <v>46296</v>
      </c>
      <c r="O6" s="30" t="s">
        <v>182</v>
      </c>
    </row>
    <row r="7" spans="1:15" x14ac:dyDescent="0.25">
      <c r="A7" s="29">
        <v>5</v>
      </c>
      <c r="B7" s="29" t="s">
        <v>36</v>
      </c>
      <c r="C7" s="30" t="s">
        <v>3</v>
      </c>
      <c r="D7" s="31" t="s">
        <v>3</v>
      </c>
      <c r="E7" s="30">
        <v>3</v>
      </c>
      <c r="F7" s="31">
        <v>84.9</v>
      </c>
      <c r="G7" s="30" t="s">
        <v>3</v>
      </c>
      <c r="H7" s="31" t="s">
        <v>3</v>
      </c>
      <c r="I7" s="30">
        <v>3</v>
      </c>
      <c r="J7" s="31">
        <v>84.9</v>
      </c>
      <c r="K7" s="32">
        <v>6.1</v>
      </c>
      <c r="L7" s="66">
        <f t="shared" si="0"/>
        <v>3.05</v>
      </c>
      <c r="M7" s="33" t="s">
        <v>186</v>
      </c>
      <c r="N7" s="45">
        <v>46296</v>
      </c>
      <c r="O7" s="30" t="s">
        <v>182</v>
      </c>
    </row>
    <row r="8" spans="1:15" ht="24" x14ac:dyDescent="0.25">
      <c r="A8" s="34">
        <v>6</v>
      </c>
      <c r="B8" s="34" t="s">
        <v>37</v>
      </c>
      <c r="C8" s="35">
        <v>3</v>
      </c>
      <c r="D8" s="36">
        <v>85.4</v>
      </c>
      <c r="E8" s="35">
        <v>2</v>
      </c>
      <c r="F8" s="36">
        <v>84</v>
      </c>
      <c r="G8" s="35" t="s">
        <v>3</v>
      </c>
      <c r="H8" s="36" t="s">
        <v>3</v>
      </c>
      <c r="I8" s="35">
        <v>5</v>
      </c>
      <c r="J8" s="36">
        <v>78.099999999999994</v>
      </c>
      <c r="K8" s="32">
        <v>5.9</v>
      </c>
      <c r="L8" s="66">
        <f t="shared" si="0"/>
        <v>2.95</v>
      </c>
      <c r="M8" s="33" t="s">
        <v>187</v>
      </c>
      <c r="N8" s="45">
        <v>46296</v>
      </c>
      <c r="O8" s="30" t="s">
        <v>182</v>
      </c>
    </row>
    <row r="9" spans="1:15" x14ac:dyDescent="0.25">
      <c r="A9" s="29">
        <v>7</v>
      </c>
      <c r="B9" s="29" t="s">
        <v>38</v>
      </c>
      <c r="C9" s="30">
        <v>8</v>
      </c>
      <c r="D9" s="31">
        <v>63.8</v>
      </c>
      <c r="E9" s="30" t="s">
        <v>3</v>
      </c>
      <c r="F9" s="31" t="s">
        <v>3</v>
      </c>
      <c r="G9" s="30" t="s">
        <v>3</v>
      </c>
      <c r="H9" s="31" t="s">
        <v>3</v>
      </c>
      <c r="I9" s="30">
        <v>8</v>
      </c>
      <c r="J9" s="31">
        <v>63.8</v>
      </c>
      <c r="K9" s="32">
        <v>4.9000000000000004</v>
      </c>
      <c r="L9" s="66">
        <f t="shared" si="0"/>
        <v>2.4500000000000002</v>
      </c>
      <c r="M9" s="33" t="s">
        <v>188</v>
      </c>
      <c r="N9" s="45">
        <v>46357</v>
      </c>
      <c r="O9" s="30" t="s">
        <v>182</v>
      </c>
    </row>
    <row r="10" spans="1:15" x14ac:dyDescent="0.25">
      <c r="A10" s="34">
        <v>8</v>
      </c>
      <c r="B10" s="34" t="s">
        <v>39</v>
      </c>
      <c r="C10" s="35">
        <v>1</v>
      </c>
      <c r="D10" s="36">
        <v>97.4</v>
      </c>
      <c r="E10" s="35">
        <v>2</v>
      </c>
      <c r="F10" s="36">
        <v>62.1</v>
      </c>
      <c r="G10" s="35" t="s">
        <v>3</v>
      </c>
      <c r="H10" s="36" t="s">
        <v>3</v>
      </c>
      <c r="I10" s="35">
        <v>3</v>
      </c>
      <c r="J10" s="36">
        <v>85.6</v>
      </c>
      <c r="K10" s="32">
        <v>4.7</v>
      </c>
      <c r="L10" s="66">
        <f t="shared" si="0"/>
        <v>2.35</v>
      </c>
      <c r="M10" s="33" t="s">
        <v>189</v>
      </c>
      <c r="N10" s="45">
        <v>46357</v>
      </c>
      <c r="O10" s="30" t="s">
        <v>182</v>
      </c>
    </row>
    <row r="11" spans="1:15" ht="24" x14ac:dyDescent="0.25">
      <c r="A11" s="29">
        <v>9</v>
      </c>
      <c r="B11" s="29" t="s">
        <v>40</v>
      </c>
      <c r="C11" s="30" t="s">
        <v>3</v>
      </c>
      <c r="D11" s="31" t="s">
        <v>3</v>
      </c>
      <c r="E11" s="30">
        <v>2</v>
      </c>
      <c r="F11" s="31">
        <v>71.900000000000006</v>
      </c>
      <c r="G11" s="30" t="s">
        <v>3</v>
      </c>
      <c r="H11" s="31" t="s">
        <v>3</v>
      </c>
      <c r="I11" s="30">
        <v>2</v>
      </c>
      <c r="J11" s="31">
        <v>71.900000000000006</v>
      </c>
      <c r="K11" s="32">
        <v>4.0999999999999996</v>
      </c>
      <c r="L11" s="66">
        <f t="shared" si="0"/>
        <v>2.0499999999999998</v>
      </c>
      <c r="M11" s="33" t="s">
        <v>190</v>
      </c>
      <c r="N11" s="45">
        <v>46357</v>
      </c>
      <c r="O11" s="30" t="s">
        <v>182</v>
      </c>
    </row>
    <row r="12" spans="1:15" x14ac:dyDescent="0.25">
      <c r="A12" s="34">
        <v>10</v>
      </c>
      <c r="B12" s="34" t="s">
        <v>41</v>
      </c>
      <c r="C12" s="35" t="s">
        <v>3</v>
      </c>
      <c r="D12" s="36">
        <v>82.3</v>
      </c>
      <c r="E12" s="35">
        <v>2</v>
      </c>
      <c r="F12" s="36" t="s">
        <v>3</v>
      </c>
      <c r="G12" s="35" t="s">
        <v>3</v>
      </c>
      <c r="H12" s="36" t="s">
        <v>3</v>
      </c>
      <c r="I12" s="35">
        <v>2</v>
      </c>
      <c r="J12" s="36">
        <v>82.3</v>
      </c>
      <c r="K12" s="32">
        <v>4.0999999999999996</v>
      </c>
      <c r="L12" s="66">
        <f t="shared" si="0"/>
        <v>2.0499999999999998</v>
      </c>
      <c r="M12" s="33" t="s">
        <v>191</v>
      </c>
      <c r="N12" s="45">
        <v>46357</v>
      </c>
      <c r="O12" s="30" t="s">
        <v>182</v>
      </c>
    </row>
    <row r="13" spans="1:15" x14ac:dyDescent="0.25">
      <c r="A13" s="40" t="s">
        <v>3</v>
      </c>
      <c r="B13" s="40" t="s">
        <v>21</v>
      </c>
      <c r="C13" s="41">
        <v>12</v>
      </c>
      <c r="D13" s="42">
        <v>76.3</v>
      </c>
      <c r="E13" s="41">
        <v>31</v>
      </c>
      <c r="F13" s="42">
        <v>65.5</v>
      </c>
      <c r="G13" s="41">
        <v>7</v>
      </c>
      <c r="H13" s="42">
        <v>69.5</v>
      </c>
      <c r="I13" s="41">
        <v>50</v>
      </c>
      <c r="J13" s="42">
        <v>69.2</v>
      </c>
      <c r="K13" s="43">
        <v>77</v>
      </c>
      <c r="L13" s="43">
        <f>+SUM(L3:L12)</f>
        <v>38.5</v>
      </c>
      <c r="M13" s="40" t="s">
        <v>3</v>
      </c>
      <c r="N13" s="40"/>
      <c r="O13" s="40"/>
    </row>
  </sheetData>
  <autoFilter ref="A2:M12" xr:uid="{00000000-0009-0000-0000-000002000000}"/>
  <mergeCells count="11">
    <mergeCell ref="I1:J1"/>
    <mergeCell ref="K1:K2"/>
    <mergeCell ref="M1:M2"/>
    <mergeCell ref="N1:N2"/>
    <mergeCell ref="O1:O2"/>
    <mergeCell ref="L1:L2"/>
    <mergeCell ref="A1:A2"/>
    <mergeCell ref="B1:B2"/>
    <mergeCell ref="C1:D1"/>
    <mergeCell ref="E1:F1"/>
    <mergeCell ref="G1:H1"/>
  </mergeCells>
  <pageMargins left="0.7" right="0.7" top="0.75" bottom="0.75" header="0.3" footer="0.3"/>
  <ignoredErrors>
    <ignoredError sqref="M1:M2 M13 A3:K13 A1:K2"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3"/>
  <sheetViews>
    <sheetView showGridLines="0" workbookViewId="0">
      <selection activeCell="J19" sqref="J19"/>
    </sheetView>
  </sheetViews>
  <sheetFormatPr baseColWidth="10" defaultRowHeight="15" x14ac:dyDescent="0.25"/>
  <cols>
    <col min="1" max="1" width="4.85546875" style="28" customWidth="1"/>
    <col min="2" max="2" width="44.85546875" style="28" customWidth="1"/>
    <col min="3" max="3" width="9.85546875" style="28" customWidth="1"/>
    <col min="4" max="4" width="11.85546875" style="28" customWidth="1"/>
    <col min="5" max="5" width="9.85546875" style="28" customWidth="1"/>
    <col min="6" max="6" width="11.85546875" style="28" customWidth="1"/>
    <col min="7" max="7" width="9.85546875" style="28" customWidth="1"/>
    <col min="8" max="8" width="11.85546875" style="28" customWidth="1"/>
    <col min="9" max="9" width="10.85546875" style="28" customWidth="1"/>
    <col min="10" max="10" width="13.85546875" style="28" customWidth="1"/>
    <col min="11" max="12" width="20.85546875" style="28" customWidth="1"/>
    <col min="13" max="13" width="46.85546875" style="28" customWidth="1"/>
    <col min="14" max="16384" width="11.42578125" style="28"/>
  </cols>
  <sheetData>
    <row r="1" spans="1:15" ht="20.100000000000001" customHeight="1" x14ac:dyDescent="0.25">
      <c r="A1" s="18" t="s">
        <v>0</v>
      </c>
      <c r="B1" s="18" t="s">
        <v>1</v>
      </c>
      <c r="C1" s="19" t="s">
        <v>2</v>
      </c>
      <c r="D1" s="19" t="s">
        <v>3</v>
      </c>
      <c r="E1" s="17" t="s">
        <v>4</v>
      </c>
      <c r="F1" s="17" t="s">
        <v>3</v>
      </c>
      <c r="G1" s="20" t="s">
        <v>5</v>
      </c>
      <c r="H1" s="20" t="s">
        <v>3</v>
      </c>
      <c r="I1" s="18" t="s">
        <v>6</v>
      </c>
      <c r="J1" s="18" t="s">
        <v>3</v>
      </c>
      <c r="K1" s="18" t="s">
        <v>7</v>
      </c>
      <c r="L1" s="68" t="s">
        <v>288</v>
      </c>
      <c r="M1" s="21" t="s">
        <v>8</v>
      </c>
      <c r="N1" s="22" t="s">
        <v>161</v>
      </c>
      <c r="O1" s="23" t="s">
        <v>162</v>
      </c>
    </row>
    <row r="2" spans="1:15" ht="30" customHeight="1" x14ac:dyDescent="0.25">
      <c r="A2" s="18" t="s">
        <v>3</v>
      </c>
      <c r="B2" s="18" t="s">
        <v>3</v>
      </c>
      <c r="C2" s="3" t="s">
        <v>9</v>
      </c>
      <c r="D2" s="3" t="s">
        <v>10</v>
      </c>
      <c r="E2" s="1" t="s">
        <v>9</v>
      </c>
      <c r="F2" s="1" t="s">
        <v>10</v>
      </c>
      <c r="G2" s="4" t="s">
        <v>9</v>
      </c>
      <c r="H2" s="4" t="s">
        <v>10</v>
      </c>
      <c r="I2" s="2" t="s">
        <v>9</v>
      </c>
      <c r="J2" s="2" t="s">
        <v>10</v>
      </c>
      <c r="K2" s="18" t="s">
        <v>3</v>
      </c>
      <c r="L2" s="69"/>
      <c r="M2" s="21" t="s">
        <v>3</v>
      </c>
      <c r="N2" s="24"/>
      <c r="O2" s="25"/>
    </row>
    <row r="3" spans="1:15" ht="36" x14ac:dyDescent="0.25">
      <c r="A3" s="29">
        <v>1</v>
      </c>
      <c r="B3" s="29" t="s">
        <v>42</v>
      </c>
      <c r="C3" s="30">
        <v>13</v>
      </c>
      <c r="D3" s="31">
        <v>80.599999999999994</v>
      </c>
      <c r="E3" s="30">
        <v>10</v>
      </c>
      <c r="F3" s="31">
        <v>59.7</v>
      </c>
      <c r="G3" s="30" t="s">
        <v>3</v>
      </c>
      <c r="H3" s="31" t="s">
        <v>3</v>
      </c>
      <c r="I3" s="30">
        <v>23</v>
      </c>
      <c r="J3" s="31">
        <v>75.599999999999994</v>
      </c>
      <c r="K3" s="32">
        <v>28.4</v>
      </c>
      <c r="L3" s="66">
        <f>+K3*0.5</f>
        <v>14.2</v>
      </c>
      <c r="M3" s="33" t="s">
        <v>192</v>
      </c>
      <c r="N3" s="45">
        <v>46296</v>
      </c>
      <c r="O3" s="30" t="s">
        <v>172</v>
      </c>
    </row>
    <row r="4" spans="1:15" ht="24" x14ac:dyDescent="0.25">
      <c r="A4" s="34">
        <v>2</v>
      </c>
      <c r="B4" s="34" t="s">
        <v>43</v>
      </c>
      <c r="C4" s="35">
        <v>11</v>
      </c>
      <c r="D4" s="36">
        <v>55.6</v>
      </c>
      <c r="E4" s="35">
        <v>10</v>
      </c>
      <c r="F4" s="36">
        <v>29.5</v>
      </c>
      <c r="G4" s="35" t="s">
        <v>3</v>
      </c>
      <c r="H4" s="36" t="s">
        <v>3</v>
      </c>
      <c r="I4" s="35">
        <v>21</v>
      </c>
      <c r="J4" s="36">
        <v>42.5</v>
      </c>
      <c r="K4" s="32">
        <v>27.2</v>
      </c>
      <c r="L4" s="66">
        <f t="shared" ref="L4:L12" si="0">+K4*0.5</f>
        <v>13.6</v>
      </c>
      <c r="M4" s="33" t="s">
        <v>193</v>
      </c>
      <c r="N4" s="45">
        <v>46296</v>
      </c>
      <c r="O4" s="30" t="s">
        <v>172</v>
      </c>
    </row>
    <row r="5" spans="1:15" ht="24" x14ac:dyDescent="0.25">
      <c r="A5" s="29">
        <v>3</v>
      </c>
      <c r="B5" s="29" t="s">
        <v>44</v>
      </c>
      <c r="C5" s="30" t="s">
        <v>3</v>
      </c>
      <c r="D5" s="31" t="s">
        <v>3</v>
      </c>
      <c r="E5" s="30">
        <v>10</v>
      </c>
      <c r="F5" s="31">
        <v>127.8</v>
      </c>
      <c r="G5" s="30">
        <v>1</v>
      </c>
      <c r="H5" s="31" t="s">
        <v>3</v>
      </c>
      <c r="I5" s="30">
        <v>11</v>
      </c>
      <c r="J5" s="31">
        <v>127.8</v>
      </c>
      <c r="K5" s="32">
        <v>21.3</v>
      </c>
      <c r="L5" s="66">
        <f t="shared" si="0"/>
        <v>10.65</v>
      </c>
      <c r="M5" s="33" t="s">
        <v>194</v>
      </c>
      <c r="N5" s="45">
        <v>46296</v>
      </c>
      <c r="O5" s="30" t="s">
        <v>172</v>
      </c>
    </row>
    <row r="6" spans="1:15" x14ac:dyDescent="0.25">
      <c r="A6" s="34">
        <v>4</v>
      </c>
      <c r="B6" s="34" t="s">
        <v>45</v>
      </c>
      <c r="C6" s="35" t="s">
        <v>3</v>
      </c>
      <c r="D6" s="36" t="s">
        <v>3</v>
      </c>
      <c r="E6" s="35">
        <v>5</v>
      </c>
      <c r="F6" s="36">
        <v>86.3</v>
      </c>
      <c r="G6" s="35" t="s">
        <v>3</v>
      </c>
      <c r="H6" s="36" t="s">
        <v>3</v>
      </c>
      <c r="I6" s="35">
        <v>5</v>
      </c>
      <c r="J6" s="36">
        <v>80.2</v>
      </c>
      <c r="K6" s="32">
        <v>10.199999999999999</v>
      </c>
      <c r="L6" s="66">
        <f t="shared" si="0"/>
        <v>5.0999999999999996</v>
      </c>
      <c r="M6" s="33" t="s">
        <v>195</v>
      </c>
      <c r="N6" s="45">
        <v>46296</v>
      </c>
      <c r="O6" s="30" t="s">
        <v>172</v>
      </c>
    </row>
    <row r="7" spans="1:15" x14ac:dyDescent="0.25">
      <c r="A7" s="29">
        <v>5</v>
      </c>
      <c r="B7" s="29" t="s">
        <v>46</v>
      </c>
      <c r="C7" s="30" t="s">
        <v>3</v>
      </c>
      <c r="D7" s="31" t="s">
        <v>3</v>
      </c>
      <c r="E7" s="30">
        <v>4</v>
      </c>
      <c r="F7" s="31">
        <v>56.5</v>
      </c>
      <c r="G7" s="30" t="s">
        <v>3</v>
      </c>
      <c r="H7" s="31" t="s">
        <v>3</v>
      </c>
      <c r="I7" s="30">
        <v>4</v>
      </c>
      <c r="J7" s="31">
        <v>56.5</v>
      </c>
      <c r="K7" s="32">
        <v>8.1999999999999993</v>
      </c>
      <c r="L7" s="66">
        <f t="shared" si="0"/>
        <v>4.0999999999999996</v>
      </c>
      <c r="M7" s="33" t="s">
        <v>196</v>
      </c>
      <c r="N7" s="45">
        <v>46296</v>
      </c>
      <c r="O7" s="30" t="s">
        <v>172</v>
      </c>
    </row>
    <row r="8" spans="1:15" x14ac:dyDescent="0.25">
      <c r="A8" s="34">
        <v>6</v>
      </c>
      <c r="B8" s="34" t="s">
        <v>47</v>
      </c>
      <c r="C8" s="35">
        <v>3</v>
      </c>
      <c r="D8" s="36">
        <v>55</v>
      </c>
      <c r="E8" s="35">
        <v>3</v>
      </c>
      <c r="F8" s="36">
        <v>62.8</v>
      </c>
      <c r="G8" s="35" t="s">
        <v>3</v>
      </c>
      <c r="H8" s="36" t="s">
        <v>3</v>
      </c>
      <c r="I8" s="35">
        <v>6</v>
      </c>
      <c r="J8" s="36">
        <v>58.9</v>
      </c>
      <c r="K8" s="32">
        <v>8</v>
      </c>
      <c r="L8" s="66">
        <f t="shared" si="0"/>
        <v>4</v>
      </c>
      <c r="M8" s="33" t="s">
        <v>197</v>
      </c>
      <c r="N8" s="45">
        <v>46296</v>
      </c>
      <c r="O8" s="30" t="s">
        <v>172</v>
      </c>
    </row>
    <row r="9" spans="1:15" x14ac:dyDescent="0.25">
      <c r="A9" s="29">
        <v>7</v>
      </c>
      <c r="B9" s="29" t="s">
        <v>48</v>
      </c>
      <c r="C9" s="30" t="s">
        <v>3</v>
      </c>
      <c r="D9" s="31" t="s">
        <v>3</v>
      </c>
      <c r="E9" s="30">
        <v>3</v>
      </c>
      <c r="F9" s="31">
        <v>56.8</v>
      </c>
      <c r="G9" s="30" t="s">
        <v>3</v>
      </c>
      <c r="H9" s="31" t="s">
        <v>3</v>
      </c>
      <c r="I9" s="30">
        <v>3</v>
      </c>
      <c r="J9" s="31">
        <v>56.8</v>
      </c>
      <c r="K9" s="32">
        <v>6.1</v>
      </c>
      <c r="L9" s="66">
        <f t="shared" si="0"/>
        <v>3.05</v>
      </c>
      <c r="M9" s="33" t="s">
        <v>198</v>
      </c>
      <c r="N9" s="45">
        <v>46296</v>
      </c>
      <c r="O9" s="30" t="s">
        <v>172</v>
      </c>
    </row>
    <row r="10" spans="1:15" x14ac:dyDescent="0.25">
      <c r="A10" s="34">
        <v>8</v>
      </c>
      <c r="B10" s="34" t="s">
        <v>49</v>
      </c>
      <c r="C10" s="35" t="s">
        <v>3</v>
      </c>
      <c r="D10" s="36" t="s">
        <v>3</v>
      </c>
      <c r="E10" s="35">
        <v>3</v>
      </c>
      <c r="F10" s="36">
        <v>26.5</v>
      </c>
      <c r="G10" s="35" t="s">
        <v>3</v>
      </c>
      <c r="H10" s="36" t="s">
        <v>3</v>
      </c>
      <c r="I10" s="35">
        <v>3</v>
      </c>
      <c r="J10" s="36">
        <v>26.5</v>
      </c>
      <c r="K10" s="32">
        <v>6.1</v>
      </c>
      <c r="L10" s="66">
        <f t="shared" si="0"/>
        <v>3.05</v>
      </c>
      <c r="M10" s="33" t="s">
        <v>199</v>
      </c>
      <c r="N10" s="45">
        <v>46296</v>
      </c>
      <c r="O10" s="30" t="s">
        <v>172</v>
      </c>
    </row>
    <row r="11" spans="1:15" x14ac:dyDescent="0.25">
      <c r="A11" s="29">
        <v>9</v>
      </c>
      <c r="B11" s="29" t="s">
        <v>50</v>
      </c>
      <c r="C11" s="30" t="s">
        <v>3</v>
      </c>
      <c r="D11" s="31" t="s">
        <v>3</v>
      </c>
      <c r="E11" s="30">
        <v>2</v>
      </c>
      <c r="F11" s="31">
        <v>69.400000000000006</v>
      </c>
      <c r="G11" s="30" t="s">
        <v>3</v>
      </c>
      <c r="H11" s="31" t="s">
        <v>3</v>
      </c>
      <c r="I11" s="30">
        <v>2</v>
      </c>
      <c r="J11" s="31">
        <v>69.400000000000006</v>
      </c>
      <c r="K11" s="32">
        <v>4.0999999999999996</v>
      </c>
      <c r="L11" s="66">
        <f t="shared" si="0"/>
        <v>2.0499999999999998</v>
      </c>
      <c r="M11" s="33" t="s">
        <v>200</v>
      </c>
      <c r="N11" s="45">
        <v>46296</v>
      </c>
      <c r="O11" s="30" t="s">
        <v>172</v>
      </c>
    </row>
    <row r="12" spans="1:15" x14ac:dyDescent="0.25">
      <c r="A12" s="51">
        <v>10</v>
      </c>
      <c r="B12" s="51" t="s">
        <v>51</v>
      </c>
      <c r="C12" s="48" t="s">
        <v>3</v>
      </c>
      <c r="D12" s="52" t="s">
        <v>3</v>
      </c>
      <c r="E12" s="48">
        <v>2</v>
      </c>
      <c r="F12" s="52">
        <v>20.6</v>
      </c>
      <c r="G12" s="48" t="s">
        <v>3</v>
      </c>
      <c r="H12" s="52" t="s">
        <v>3</v>
      </c>
      <c r="I12" s="48">
        <v>2</v>
      </c>
      <c r="J12" s="52">
        <v>20.6</v>
      </c>
      <c r="K12" s="53">
        <v>4.0999999999999996</v>
      </c>
      <c r="L12" s="67">
        <f t="shared" si="0"/>
        <v>2.0499999999999998</v>
      </c>
      <c r="M12" s="37"/>
      <c r="N12" s="49"/>
      <c r="O12" s="50"/>
    </row>
    <row r="13" spans="1:15" x14ac:dyDescent="0.25">
      <c r="A13" s="40" t="s">
        <v>3</v>
      </c>
      <c r="B13" s="40" t="s">
        <v>21</v>
      </c>
      <c r="C13" s="41">
        <v>27</v>
      </c>
      <c r="D13" s="42">
        <v>68.099999999999994</v>
      </c>
      <c r="E13" s="41">
        <v>52</v>
      </c>
      <c r="F13" s="42">
        <v>65.2</v>
      </c>
      <c r="G13" s="41">
        <v>1</v>
      </c>
      <c r="H13" s="42" t="s">
        <v>3</v>
      </c>
      <c r="I13" s="41">
        <v>80</v>
      </c>
      <c r="J13" s="42">
        <v>70.400000000000006</v>
      </c>
      <c r="K13" s="43">
        <v>123.7</v>
      </c>
      <c r="L13" s="43">
        <f>+SUM(L3:L12)</f>
        <v>61.849999999999987</v>
      </c>
      <c r="M13" s="40" t="s">
        <v>3</v>
      </c>
      <c r="N13" s="40"/>
      <c r="O13" s="40"/>
    </row>
  </sheetData>
  <autoFilter ref="A2:M12" xr:uid="{00000000-0009-0000-0000-000003000000}"/>
  <mergeCells count="11">
    <mergeCell ref="L1:L2"/>
    <mergeCell ref="I1:J1"/>
    <mergeCell ref="K1:K2"/>
    <mergeCell ref="M1:M2"/>
    <mergeCell ref="N1:N2"/>
    <mergeCell ref="O1:O2"/>
    <mergeCell ref="A1:A2"/>
    <mergeCell ref="B1:B2"/>
    <mergeCell ref="C1:D1"/>
    <mergeCell ref="E1:F1"/>
    <mergeCell ref="G1:H1"/>
  </mergeCells>
  <pageMargins left="0.7" right="0.7" top="0.75" bottom="0.75" header="0.3" footer="0.3"/>
  <ignoredErrors>
    <ignoredError sqref="M1:M2 M13 A3:K13 A1:K2"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3"/>
  <sheetViews>
    <sheetView showGridLines="0" workbookViewId="0">
      <selection activeCell="L13" sqref="L13"/>
    </sheetView>
  </sheetViews>
  <sheetFormatPr baseColWidth="10" defaultRowHeight="15" x14ac:dyDescent="0.25"/>
  <cols>
    <col min="1" max="1" width="4.85546875" customWidth="1"/>
    <col min="2" max="2" width="44.85546875" customWidth="1"/>
    <col min="3" max="3" width="9.85546875" customWidth="1"/>
    <col min="4" max="4" width="11.85546875" customWidth="1"/>
    <col min="5" max="5" width="9.85546875" customWidth="1"/>
    <col min="6" max="6" width="11.85546875" customWidth="1"/>
    <col min="7" max="7" width="9.85546875" customWidth="1"/>
    <col min="8" max="8" width="11.85546875" customWidth="1"/>
    <col min="9" max="9" width="10.85546875" customWidth="1"/>
    <col min="10" max="10" width="13.85546875" customWidth="1"/>
    <col min="11" max="12" width="20.85546875" customWidth="1"/>
    <col min="13" max="13" width="46.85546875" customWidth="1"/>
  </cols>
  <sheetData>
    <row r="1" spans="1:15" ht="20.100000000000001" customHeight="1" x14ac:dyDescent="0.25">
      <c r="A1" s="18" t="s">
        <v>0</v>
      </c>
      <c r="B1" s="18" t="s">
        <v>1</v>
      </c>
      <c r="C1" s="19" t="s">
        <v>2</v>
      </c>
      <c r="D1" s="19" t="s">
        <v>3</v>
      </c>
      <c r="E1" s="17" t="s">
        <v>4</v>
      </c>
      <c r="F1" s="17" t="s">
        <v>3</v>
      </c>
      <c r="G1" s="20" t="s">
        <v>5</v>
      </c>
      <c r="H1" s="20" t="s">
        <v>3</v>
      </c>
      <c r="I1" s="18" t="s">
        <v>6</v>
      </c>
      <c r="J1" s="18" t="s">
        <v>3</v>
      </c>
      <c r="K1" s="18" t="s">
        <v>7</v>
      </c>
      <c r="L1" s="68" t="s">
        <v>288</v>
      </c>
      <c r="M1" s="21" t="s">
        <v>8</v>
      </c>
      <c r="N1" s="22" t="s">
        <v>161</v>
      </c>
      <c r="O1" s="23" t="s">
        <v>162</v>
      </c>
    </row>
    <row r="2" spans="1:15" ht="30" customHeight="1" x14ac:dyDescent="0.25">
      <c r="A2" s="18" t="s">
        <v>3</v>
      </c>
      <c r="B2" s="18" t="s">
        <v>3</v>
      </c>
      <c r="C2" s="3" t="s">
        <v>9</v>
      </c>
      <c r="D2" s="3" t="s">
        <v>10</v>
      </c>
      <c r="E2" s="1" t="s">
        <v>9</v>
      </c>
      <c r="F2" s="1" t="s">
        <v>10</v>
      </c>
      <c r="G2" s="4" t="s">
        <v>9</v>
      </c>
      <c r="H2" s="4" t="s">
        <v>10</v>
      </c>
      <c r="I2" s="2" t="s">
        <v>9</v>
      </c>
      <c r="J2" s="2" t="s">
        <v>10</v>
      </c>
      <c r="K2" s="18" t="s">
        <v>3</v>
      </c>
      <c r="L2" s="69"/>
      <c r="M2" s="21" t="s">
        <v>3</v>
      </c>
      <c r="N2" s="24"/>
      <c r="O2" s="25"/>
    </row>
    <row r="3" spans="1:15" x14ac:dyDescent="0.25">
      <c r="A3" s="5">
        <v>1</v>
      </c>
      <c r="B3" s="5" t="s">
        <v>52</v>
      </c>
      <c r="C3" s="6">
        <v>1</v>
      </c>
      <c r="D3" s="7">
        <v>90.6</v>
      </c>
      <c r="E3" s="6">
        <v>6</v>
      </c>
      <c r="F3" s="7">
        <v>61.9</v>
      </c>
      <c r="G3" s="6" t="s">
        <v>3</v>
      </c>
      <c r="H3" s="7" t="s">
        <v>3</v>
      </c>
      <c r="I3" s="6">
        <v>7</v>
      </c>
      <c r="J3" s="7">
        <v>66.7</v>
      </c>
      <c r="K3" s="8">
        <v>12.9</v>
      </c>
      <c r="L3" s="66">
        <f>+K3*0.5</f>
        <v>6.45</v>
      </c>
      <c r="M3" s="9" t="s">
        <v>201</v>
      </c>
      <c r="N3" s="45">
        <v>46327</v>
      </c>
      <c r="O3" s="30" t="s">
        <v>172</v>
      </c>
    </row>
    <row r="4" spans="1:15" x14ac:dyDescent="0.25">
      <c r="A4" s="10">
        <v>2</v>
      </c>
      <c r="B4" s="10" t="s">
        <v>53</v>
      </c>
      <c r="C4" s="11">
        <v>14</v>
      </c>
      <c r="D4" s="12">
        <v>63.5</v>
      </c>
      <c r="E4" s="11" t="s">
        <v>3</v>
      </c>
      <c r="F4" s="12" t="s">
        <v>3</v>
      </c>
      <c r="G4" s="11">
        <v>2</v>
      </c>
      <c r="H4" s="12">
        <v>20.8</v>
      </c>
      <c r="I4" s="11">
        <v>16</v>
      </c>
      <c r="J4" s="12">
        <v>58.2</v>
      </c>
      <c r="K4" s="8">
        <v>10.4</v>
      </c>
      <c r="L4" s="66">
        <f t="shared" ref="L4:L12" si="0">+K4*0.5</f>
        <v>5.2</v>
      </c>
      <c r="M4" s="9" t="s">
        <v>202</v>
      </c>
      <c r="N4" s="45">
        <v>46327</v>
      </c>
      <c r="O4" s="30" t="s">
        <v>172</v>
      </c>
    </row>
    <row r="5" spans="1:15" x14ac:dyDescent="0.25">
      <c r="A5" s="5">
        <v>3</v>
      </c>
      <c r="B5" s="5" t="s">
        <v>54</v>
      </c>
      <c r="C5" s="6" t="s">
        <v>3</v>
      </c>
      <c r="D5" s="7" t="s">
        <v>3</v>
      </c>
      <c r="E5" s="6">
        <v>4</v>
      </c>
      <c r="F5" s="7">
        <v>89.4</v>
      </c>
      <c r="G5" s="6" t="s">
        <v>3</v>
      </c>
      <c r="H5" s="7" t="s">
        <v>3</v>
      </c>
      <c r="I5" s="6">
        <v>4</v>
      </c>
      <c r="J5" s="7">
        <v>89.4</v>
      </c>
      <c r="K5" s="8">
        <v>8.1999999999999993</v>
      </c>
      <c r="L5" s="66">
        <f t="shared" si="0"/>
        <v>4.0999999999999996</v>
      </c>
      <c r="M5" s="9" t="s">
        <v>203</v>
      </c>
      <c r="N5" s="45">
        <v>46327</v>
      </c>
      <c r="O5" s="30" t="s">
        <v>172</v>
      </c>
    </row>
    <row r="6" spans="1:15" x14ac:dyDescent="0.25">
      <c r="A6" s="10">
        <v>4</v>
      </c>
      <c r="B6" s="10" t="s">
        <v>55</v>
      </c>
      <c r="C6" s="11" t="s">
        <v>3</v>
      </c>
      <c r="D6" s="12" t="s">
        <v>3</v>
      </c>
      <c r="E6" s="11">
        <v>4</v>
      </c>
      <c r="F6" s="12">
        <v>66.7</v>
      </c>
      <c r="G6" s="11" t="s">
        <v>3</v>
      </c>
      <c r="H6" s="12" t="s">
        <v>3</v>
      </c>
      <c r="I6" s="11">
        <v>4</v>
      </c>
      <c r="J6" s="12">
        <v>66.7</v>
      </c>
      <c r="K6" s="8">
        <v>8.1999999999999993</v>
      </c>
      <c r="L6" s="66">
        <f t="shared" si="0"/>
        <v>4.0999999999999996</v>
      </c>
      <c r="M6" s="9" t="s">
        <v>204</v>
      </c>
      <c r="N6" s="45">
        <v>46327</v>
      </c>
      <c r="O6" s="30" t="s">
        <v>172</v>
      </c>
    </row>
    <row r="7" spans="1:15" x14ac:dyDescent="0.25">
      <c r="A7" s="5">
        <v>5</v>
      </c>
      <c r="B7" s="5" t="s">
        <v>56</v>
      </c>
      <c r="C7" s="6">
        <v>1</v>
      </c>
      <c r="D7" s="7" t="s">
        <v>3</v>
      </c>
      <c r="E7" s="6">
        <v>2</v>
      </c>
      <c r="F7" s="7">
        <v>100.8</v>
      </c>
      <c r="G7" s="6" t="s">
        <v>3</v>
      </c>
      <c r="H7" s="7" t="s">
        <v>3</v>
      </c>
      <c r="I7" s="6">
        <v>3</v>
      </c>
      <c r="J7" s="7">
        <v>100.8</v>
      </c>
      <c r="K7" s="8">
        <v>4.7</v>
      </c>
      <c r="L7" s="66">
        <f t="shared" si="0"/>
        <v>2.35</v>
      </c>
      <c r="M7" s="9" t="s">
        <v>205</v>
      </c>
      <c r="N7" s="45">
        <v>46327</v>
      </c>
      <c r="O7" s="30" t="s">
        <v>172</v>
      </c>
    </row>
    <row r="8" spans="1:15" x14ac:dyDescent="0.25">
      <c r="A8" s="10">
        <v>6</v>
      </c>
      <c r="B8" s="10" t="s">
        <v>57</v>
      </c>
      <c r="C8" s="11">
        <v>1</v>
      </c>
      <c r="D8" s="12">
        <v>84.4</v>
      </c>
      <c r="E8" s="11">
        <v>2</v>
      </c>
      <c r="F8" s="12">
        <v>113.8</v>
      </c>
      <c r="G8" s="11" t="s">
        <v>3</v>
      </c>
      <c r="H8" s="12" t="s">
        <v>3</v>
      </c>
      <c r="I8" s="11">
        <v>3</v>
      </c>
      <c r="J8" s="12">
        <v>104</v>
      </c>
      <c r="K8" s="8">
        <v>4.7</v>
      </c>
      <c r="L8" s="66">
        <f t="shared" si="0"/>
        <v>2.35</v>
      </c>
      <c r="M8" s="9" t="s">
        <v>206</v>
      </c>
      <c r="N8" s="45">
        <v>46327</v>
      </c>
      <c r="O8" s="30" t="s">
        <v>172</v>
      </c>
    </row>
    <row r="9" spans="1:15" x14ac:dyDescent="0.25">
      <c r="A9" s="5">
        <v>7</v>
      </c>
      <c r="B9" s="5" t="s">
        <v>58</v>
      </c>
      <c r="C9" s="6" t="s">
        <v>3</v>
      </c>
      <c r="D9" s="7">
        <v>66.7</v>
      </c>
      <c r="E9" s="6">
        <v>2</v>
      </c>
      <c r="F9" s="7">
        <v>58.9</v>
      </c>
      <c r="G9" s="6" t="s">
        <v>3</v>
      </c>
      <c r="H9" s="7" t="s">
        <v>3</v>
      </c>
      <c r="I9" s="6">
        <v>2</v>
      </c>
      <c r="J9" s="7">
        <v>61.5</v>
      </c>
      <c r="K9" s="8">
        <v>4.0999999999999996</v>
      </c>
      <c r="L9" s="66">
        <f t="shared" si="0"/>
        <v>2.0499999999999998</v>
      </c>
      <c r="M9" s="9" t="s">
        <v>207</v>
      </c>
      <c r="N9" s="45">
        <v>46327</v>
      </c>
      <c r="O9" s="30" t="s">
        <v>172</v>
      </c>
    </row>
    <row r="10" spans="1:15" x14ac:dyDescent="0.25">
      <c r="A10" s="10">
        <v>8</v>
      </c>
      <c r="B10" s="10" t="s">
        <v>59</v>
      </c>
      <c r="C10" s="11" t="s">
        <v>3</v>
      </c>
      <c r="D10" s="12">
        <v>85.4</v>
      </c>
      <c r="E10" s="11">
        <v>2</v>
      </c>
      <c r="F10" s="12">
        <v>66.2</v>
      </c>
      <c r="G10" s="11" t="s">
        <v>3</v>
      </c>
      <c r="H10" s="12" t="s">
        <v>3</v>
      </c>
      <c r="I10" s="11">
        <v>2</v>
      </c>
      <c r="J10" s="12">
        <v>73.900000000000006</v>
      </c>
      <c r="K10" s="8">
        <v>4.0999999999999996</v>
      </c>
      <c r="L10" s="66">
        <f t="shared" si="0"/>
        <v>2.0499999999999998</v>
      </c>
      <c r="M10" s="9" t="s">
        <v>208</v>
      </c>
      <c r="N10" s="45">
        <v>46327</v>
      </c>
      <c r="O10" s="30" t="s">
        <v>172</v>
      </c>
    </row>
    <row r="11" spans="1:15" x14ac:dyDescent="0.25">
      <c r="A11" s="5">
        <v>9</v>
      </c>
      <c r="B11" s="5" t="s">
        <v>60</v>
      </c>
      <c r="C11" s="6" t="s">
        <v>3</v>
      </c>
      <c r="D11" s="7" t="s">
        <v>3</v>
      </c>
      <c r="E11" s="6">
        <v>2</v>
      </c>
      <c r="F11" s="7">
        <v>33.1</v>
      </c>
      <c r="G11" s="6" t="s">
        <v>3</v>
      </c>
      <c r="H11" s="7" t="s">
        <v>3</v>
      </c>
      <c r="I11" s="6">
        <v>2</v>
      </c>
      <c r="J11" s="7">
        <v>33.1</v>
      </c>
      <c r="K11" s="8">
        <v>4.0999999999999996</v>
      </c>
      <c r="L11" s="66">
        <f t="shared" si="0"/>
        <v>2.0499999999999998</v>
      </c>
      <c r="M11" s="9" t="s">
        <v>209</v>
      </c>
      <c r="N11" s="45">
        <v>46327</v>
      </c>
      <c r="O11" s="30" t="s">
        <v>172</v>
      </c>
    </row>
    <row r="12" spans="1:15" x14ac:dyDescent="0.25">
      <c r="A12" s="10">
        <v>10</v>
      </c>
      <c r="B12" s="10" t="s">
        <v>61</v>
      </c>
      <c r="C12" s="11">
        <v>6</v>
      </c>
      <c r="D12" s="12">
        <v>155.6</v>
      </c>
      <c r="E12" s="11" t="s">
        <v>3</v>
      </c>
      <c r="F12" s="12" t="s">
        <v>3</v>
      </c>
      <c r="G12" s="11" t="s">
        <v>3</v>
      </c>
      <c r="H12" s="12" t="s">
        <v>3</v>
      </c>
      <c r="I12" s="11">
        <v>6</v>
      </c>
      <c r="J12" s="12">
        <v>155.6</v>
      </c>
      <c r="K12" s="8">
        <v>3.7</v>
      </c>
      <c r="L12" s="66">
        <f t="shared" si="0"/>
        <v>1.85</v>
      </c>
      <c r="M12" s="9" t="s">
        <v>210</v>
      </c>
      <c r="N12" s="45">
        <v>46327</v>
      </c>
      <c r="O12" s="30" t="s">
        <v>172</v>
      </c>
    </row>
    <row r="13" spans="1:15" x14ac:dyDescent="0.25">
      <c r="A13" s="13" t="s">
        <v>3</v>
      </c>
      <c r="B13" s="13" t="s">
        <v>21</v>
      </c>
      <c r="C13" s="14">
        <v>23</v>
      </c>
      <c r="D13" s="15">
        <v>72.900000000000006</v>
      </c>
      <c r="E13" s="14">
        <v>24</v>
      </c>
      <c r="F13" s="15">
        <v>71.400000000000006</v>
      </c>
      <c r="G13" s="14">
        <v>2</v>
      </c>
      <c r="H13" s="15">
        <v>20.8</v>
      </c>
      <c r="I13" s="14">
        <v>49</v>
      </c>
      <c r="J13" s="15">
        <v>69.8</v>
      </c>
      <c r="K13" s="16">
        <v>64.900000000000006</v>
      </c>
      <c r="L13" s="16">
        <f>+SUM(L3:L12)</f>
        <v>32.550000000000004</v>
      </c>
      <c r="M13" s="13" t="s">
        <v>3</v>
      </c>
      <c r="N13" s="40"/>
      <c r="O13" s="40"/>
    </row>
  </sheetData>
  <autoFilter ref="A2:M12" xr:uid="{00000000-0009-0000-0000-000004000000}"/>
  <mergeCells count="11">
    <mergeCell ref="I1:J1"/>
    <mergeCell ref="K1:K2"/>
    <mergeCell ref="M1:M2"/>
    <mergeCell ref="N1:N2"/>
    <mergeCell ref="O1:O2"/>
    <mergeCell ref="L1:L2"/>
    <mergeCell ref="A1:A2"/>
    <mergeCell ref="B1:B2"/>
    <mergeCell ref="C1:D1"/>
    <mergeCell ref="E1:F1"/>
    <mergeCell ref="G1:H1"/>
  </mergeCells>
  <pageMargins left="0.7" right="0.7" top="0.75" bottom="0.75" header="0.3" footer="0.3"/>
  <ignoredErrors>
    <ignoredError sqref="M1:M2 M13 A3:K13 A1:K2"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3"/>
  <sheetViews>
    <sheetView showGridLines="0" workbookViewId="0">
      <selection activeCell="L11" sqref="L11:L12"/>
    </sheetView>
  </sheetViews>
  <sheetFormatPr baseColWidth="10" defaultRowHeight="15" x14ac:dyDescent="0.25"/>
  <cols>
    <col min="1" max="1" width="4.85546875" customWidth="1"/>
    <col min="2" max="2" width="44.85546875" customWidth="1"/>
    <col min="3" max="3" width="9.85546875" customWidth="1"/>
    <col min="4" max="4" width="11.85546875" customWidth="1"/>
    <col min="5" max="5" width="9.85546875" customWidth="1"/>
    <col min="6" max="6" width="11.85546875" customWidth="1"/>
    <col min="7" max="7" width="9.85546875" customWidth="1"/>
    <col min="8" max="8" width="11.85546875" customWidth="1"/>
    <col min="9" max="9" width="10.85546875" customWidth="1"/>
    <col min="10" max="10" width="13.85546875" customWidth="1"/>
    <col min="11" max="12" width="20.85546875" customWidth="1"/>
    <col min="13" max="13" width="46.85546875" customWidth="1"/>
  </cols>
  <sheetData>
    <row r="1" spans="1:15" ht="20.100000000000001" customHeight="1" x14ac:dyDescent="0.25">
      <c r="A1" s="18" t="s">
        <v>0</v>
      </c>
      <c r="B1" s="18" t="s">
        <v>1</v>
      </c>
      <c r="C1" s="19" t="s">
        <v>2</v>
      </c>
      <c r="D1" s="19" t="s">
        <v>3</v>
      </c>
      <c r="E1" s="17" t="s">
        <v>4</v>
      </c>
      <c r="F1" s="17" t="s">
        <v>3</v>
      </c>
      <c r="G1" s="20" t="s">
        <v>5</v>
      </c>
      <c r="H1" s="20" t="s">
        <v>3</v>
      </c>
      <c r="I1" s="18" t="s">
        <v>6</v>
      </c>
      <c r="J1" s="18" t="s">
        <v>3</v>
      </c>
      <c r="K1" s="18" t="s">
        <v>7</v>
      </c>
      <c r="L1" s="68" t="s">
        <v>288</v>
      </c>
      <c r="M1" s="21" t="s">
        <v>8</v>
      </c>
      <c r="N1" s="22" t="s">
        <v>161</v>
      </c>
      <c r="O1" s="23" t="s">
        <v>162</v>
      </c>
    </row>
    <row r="2" spans="1:15" ht="30" customHeight="1" x14ac:dyDescent="0.25">
      <c r="A2" s="18" t="s">
        <v>3</v>
      </c>
      <c r="B2" s="18" t="s">
        <v>3</v>
      </c>
      <c r="C2" s="3" t="s">
        <v>9</v>
      </c>
      <c r="D2" s="3" t="s">
        <v>10</v>
      </c>
      <c r="E2" s="1" t="s">
        <v>9</v>
      </c>
      <c r="F2" s="1" t="s">
        <v>10</v>
      </c>
      <c r="G2" s="4" t="s">
        <v>9</v>
      </c>
      <c r="H2" s="4" t="s">
        <v>10</v>
      </c>
      <c r="I2" s="2" t="s">
        <v>9</v>
      </c>
      <c r="J2" s="2" t="s">
        <v>10</v>
      </c>
      <c r="K2" s="18" t="s">
        <v>3</v>
      </c>
      <c r="L2" s="69"/>
      <c r="M2" s="21" t="s">
        <v>3</v>
      </c>
      <c r="N2" s="24"/>
      <c r="O2" s="25"/>
    </row>
    <row r="3" spans="1:15" x14ac:dyDescent="0.25">
      <c r="A3" s="5">
        <v>1</v>
      </c>
      <c r="B3" s="5" t="s">
        <v>62</v>
      </c>
      <c r="C3" s="6" t="s">
        <v>3</v>
      </c>
      <c r="D3" s="7" t="s">
        <v>3</v>
      </c>
      <c r="E3" s="6">
        <v>4</v>
      </c>
      <c r="F3" s="7">
        <v>27.8</v>
      </c>
      <c r="G3" s="6" t="s">
        <v>3</v>
      </c>
      <c r="H3" s="7" t="s">
        <v>3</v>
      </c>
      <c r="I3" s="6">
        <v>4</v>
      </c>
      <c r="J3" s="7">
        <v>27.8</v>
      </c>
      <c r="K3" s="8">
        <v>8.1999999999999993</v>
      </c>
      <c r="L3" s="66">
        <f>+K3*0.5</f>
        <v>4.0999999999999996</v>
      </c>
      <c r="M3" s="9" t="s">
        <v>211</v>
      </c>
      <c r="N3" s="45">
        <v>46327</v>
      </c>
      <c r="O3" s="30" t="s">
        <v>182</v>
      </c>
    </row>
    <row r="4" spans="1:15" x14ac:dyDescent="0.25">
      <c r="A4" s="10">
        <v>2</v>
      </c>
      <c r="B4" s="10" t="s">
        <v>63</v>
      </c>
      <c r="C4" s="11">
        <v>6</v>
      </c>
      <c r="D4" s="12">
        <v>126.4</v>
      </c>
      <c r="E4" s="11">
        <v>2</v>
      </c>
      <c r="F4" s="12">
        <v>51.9</v>
      </c>
      <c r="G4" s="11" t="s">
        <v>3</v>
      </c>
      <c r="H4" s="12" t="s">
        <v>3</v>
      </c>
      <c r="I4" s="11">
        <v>8</v>
      </c>
      <c r="J4" s="12">
        <v>111.6</v>
      </c>
      <c r="K4" s="8">
        <v>7.8</v>
      </c>
      <c r="L4" s="66">
        <f t="shared" ref="L4:L12" si="0">+K4*0.5</f>
        <v>3.9</v>
      </c>
      <c r="M4" s="9" t="s">
        <v>212</v>
      </c>
      <c r="N4" s="45">
        <v>46327</v>
      </c>
      <c r="O4" s="30" t="s">
        <v>182</v>
      </c>
    </row>
    <row r="5" spans="1:15" x14ac:dyDescent="0.25">
      <c r="A5" s="5">
        <v>3</v>
      </c>
      <c r="B5" s="5" t="s">
        <v>64</v>
      </c>
      <c r="C5" s="6" t="s">
        <v>3</v>
      </c>
      <c r="D5" s="7" t="s">
        <v>3</v>
      </c>
      <c r="E5" s="6">
        <v>3</v>
      </c>
      <c r="F5" s="7">
        <v>82.9</v>
      </c>
      <c r="G5" s="6">
        <v>1</v>
      </c>
      <c r="H5" s="7" t="s">
        <v>3</v>
      </c>
      <c r="I5" s="6">
        <v>4</v>
      </c>
      <c r="J5" s="7">
        <v>82.9</v>
      </c>
      <c r="K5" s="8">
        <v>7</v>
      </c>
      <c r="L5" s="66">
        <f t="shared" si="0"/>
        <v>3.5</v>
      </c>
      <c r="M5" s="9" t="s">
        <v>213</v>
      </c>
      <c r="N5" s="45">
        <v>46327</v>
      </c>
      <c r="O5" s="30" t="s">
        <v>182</v>
      </c>
    </row>
    <row r="6" spans="1:15" x14ac:dyDescent="0.25">
      <c r="A6" s="10">
        <v>4</v>
      </c>
      <c r="B6" s="10" t="s">
        <v>65</v>
      </c>
      <c r="C6" s="11" t="s">
        <v>3</v>
      </c>
      <c r="D6" s="12" t="s">
        <v>3</v>
      </c>
      <c r="E6" s="11">
        <v>3</v>
      </c>
      <c r="F6" s="12">
        <v>11.9</v>
      </c>
      <c r="G6" s="11" t="s">
        <v>3</v>
      </c>
      <c r="H6" s="12" t="s">
        <v>3</v>
      </c>
      <c r="I6" s="11">
        <v>3</v>
      </c>
      <c r="J6" s="12">
        <v>11.9</v>
      </c>
      <c r="K6" s="8">
        <v>6.1</v>
      </c>
      <c r="L6" s="66">
        <f t="shared" si="0"/>
        <v>3.05</v>
      </c>
      <c r="M6" s="9" t="s">
        <v>214</v>
      </c>
      <c r="N6" s="45">
        <v>46327</v>
      </c>
      <c r="O6" s="30" t="s">
        <v>182</v>
      </c>
    </row>
    <row r="7" spans="1:15" x14ac:dyDescent="0.25">
      <c r="A7" s="5">
        <v>5</v>
      </c>
      <c r="B7" s="5" t="s">
        <v>66</v>
      </c>
      <c r="C7" s="6">
        <v>1</v>
      </c>
      <c r="D7" s="7" t="s">
        <v>3</v>
      </c>
      <c r="E7" s="6">
        <v>2</v>
      </c>
      <c r="F7" s="7">
        <v>61.9</v>
      </c>
      <c r="G7" s="6" t="s">
        <v>3</v>
      </c>
      <c r="H7" s="7" t="s">
        <v>3</v>
      </c>
      <c r="I7" s="6">
        <v>3</v>
      </c>
      <c r="J7" s="7">
        <v>61.9</v>
      </c>
      <c r="K7" s="8">
        <v>4.7</v>
      </c>
      <c r="L7" s="66">
        <f t="shared" si="0"/>
        <v>2.35</v>
      </c>
      <c r="M7" s="9" t="s">
        <v>215</v>
      </c>
      <c r="N7" s="45">
        <v>46302</v>
      </c>
      <c r="O7" s="30" t="s">
        <v>182</v>
      </c>
    </row>
    <row r="8" spans="1:15" x14ac:dyDescent="0.25">
      <c r="A8" s="10">
        <v>6</v>
      </c>
      <c r="B8" s="10" t="s">
        <v>67</v>
      </c>
      <c r="C8" s="11" t="s">
        <v>3</v>
      </c>
      <c r="D8" s="12" t="s">
        <v>3</v>
      </c>
      <c r="E8" s="11">
        <v>2</v>
      </c>
      <c r="F8" s="12">
        <v>77.599999999999994</v>
      </c>
      <c r="G8" s="11" t="s">
        <v>3</v>
      </c>
      <c r="H8" s="12" t="s">
        <v>3</v>
      </c>
      <c r="I8" s="11">
        <v>2</v>
      </c>
      <c r="J8" s="12">
        <v>77.599999999999994</v>
      </c>
      <c r="K8" s="8">
        <v>4.0999999999999996</v>
      </c>
      <c r="L8" s="66">
        <f t="shared" si="0"/>
        <v>2.0499999999999998</v>
      </c>
      <c r="M8" s="9" t="s">
        <v>216</v>
      </c>
      <c r="N8" s="45">
        <v>46302</v>
      </c>
      <c r="O8" s="30" t="s">
        <v>182</v>
      </c>
    </row>
    <row r="9" spans="1:15" x14ac:dyDescent="0.25">
      <c r="A9" s="5">
        <v>7</v>
      </c>
      <c r="B9" s="5" t="s">
        <v>68</v>
      </c>
      <c r="C9" s="6" t="s">
        <v>3</v>
      </c>
      <c r="D9" s="7" t="s">
        <v>3</v>
      </c>
      <c r="E9" s="6">
        <v>2</v>
      </c>
      <c r="F9" s="7">
        <v>99.7</v>
      </c>
      <c r="G9" s="6" t="s">
        <v>3</v>
      </c>
      <c r="H9" s="7" t="s">
        <v>3</v>
      </c>
      <c r="I9" s="6">
        <v>2</v>
      </c>
      <c r="J9" s="7">
        <v>99.7</v>
      </c>
      <c r="K9" s="8">
        <v>4.0999999999999996</v>
      </c>
      <c r="L9" s="66">
        <f t="shared" si="0"/>
        <v>2.0499999999999998</v>
      </c>
      <c r="M9" s="9" t="s">
        <v>217</v>
      </c>
      <c r="N9" s="45">
        <v>46327</v>
      </c>
      <c r="O9" s="30" t="s">
        <v>182</v>
      </c>
    </row>
    <row r="10" spans="1:15" x14ac:dyDescent="0.25">
      <c r="A10" s="10">
        <v>8</v>
      </c>
      <c r="B10" s="10" t="s">
        <v>69</v>
      </c>
      <c r="C10" s="11" t="s">
        <v>3</v>
      </c>
      <c r="D10" s="12">
        <v>103.1</v>
      </c>
      <c r="E10" s="11">
        <v>1</v>
      </c>
      <c r="F10" s="12">
        <v>82.8</v>
      </c>
      <c r="G10" s="11" t="s">
        <v>3</v>
      </c>
      <c r="H10" s="12" t="s">
        <v>3</v>
      </c>
      <c r="I10" s="11">
        <v>1</v>
      </c>
      <c r="J10" s="12">
        <v>93</v>
      </c>
      <c r="K10" s="8">
        <v>2</v>
      </c>
      <c r="L10" s="66">
        <f t="shared" si="0"/>
        <v>1</v>
      </c>
      <c r="M10" s="9" t="s">
        <v>209</v>
      </c>
      <c r="N10" s="45">
        <v>46327</v>
      </c>
      <c r="O10" s="30" t="s">
        <v>182</v>
      </c>
    </row>
    <row r="11" spans="1:15" x14ac:dyDescent="0.25">
      <c r="A11" s="54">
        <v>9</v>
      </c>
      <c r="B11" s="54" t="s">
        <v>70</v>
      </c>
      <c r="C11" s="55" t="s">
        <v>3</v>
      </c>
      <c r="D11" s="56" t="s">
        <v>3</v>
      </c>
      <c r="E11" s="55">
        <v>1</v>
      </c>
      <c r="F11" s="56">
        <v>67.2</v>
      </c>
      <c r="G11" s="55" t="s">
        <v>3</v>
      </c>
      <c r="H11" s="56" t="s">
        <v>3</v>
      </c>
      <c r="I11" s="55">
        <v>1</v>
      </c>
      <c r="J11" s="56">
        <v>67.2</v>
      </c>
      <c r="K11" s="57">
        <v>2</v>
      </c>
      <c r="L11" s="67">
        <f t="shared" si="0"/>
        <v>1</v>
      </c>
      <c r="M11" s="26"/>
      <c r="N11" s="49"/>
      <c r="O11" s="50"/>
    </row>
    <row r="12" spans="1:15" x14ac:dyDescent="0.25">
      <c r="A12" s="58">
        <v>10</v>
      </c>
      <c r="B12" s="58" t="s">
        <v>71</v>
      </c>
      <c r="C12" s="59" t="s">
        <v>3</v>
      </c>
      <c r="D12" s="60" t="s">
        <v>3</v>
      </c>
      <c r="E12" s="59">
        <v>1</v>
      </c>
      <c r="F12" s="60">
        <v>117.5</v>
      </c>
      <c r="G12" s="59" t="s">
        <v>3</v>
      </c>
      <c r="H12" s="60" t="s">
        <v>3</v>
      </c>
      <c r="I12" s="59">
        <v>1</v>
      </c>
      <c r="J12" s="60">
        <v>117.5</v>
      </c>
      <c r="K12" s="57">
        <v>2</v>
      </c>
      <c r="L12" s="67">
        <f t="shared" si="0"/>
        <v>1</v>
      </c>
      <c r="M12" s="26"/>
      <c r="N12" s="49"/>
      <c r="O12" s="50"/>
    </row>
    <row r="13" spans="1:15" x14ac:dyDescent="0.25">
      <c r="A13" s="13" t="s">
        <v>3</v>
      </c>
      <c r="B13" s="13" t="s">
        <v>21</v>
      </c>
      <c r="C13" s="14">
        <v>7</v>
      </c>
      <c r="D13" s="15">
        <v>123.8</v>
      </c>
      <c r="E13" s="14">
        <v>21</v>
      </c>
      <c r="F13" s="15">
        <v>61.1</v>
      </c>
      <c r="G13" s="14">
        <v>1</v>
      </c>
      <c r="H13" s="15" t="s">
        <v>3</v>
      </c>
      <c r="I13" s="14">
        <v>29</v>
      </c>
      <c r="J13" s="15">
        <v>80.3</v>
      </c>
      <c r="K13" s="16">
        <v>48.1</v>
      </c>
      <c r="L13" s="16">
        <f>+SUM(L3:L12)</f>
        <v>24.000000000000004</v>
      </c>
      <c r="M13" s="13" t="s">
        <v>3</v>
      </c>
      <c r="N13" s="40"/>
      <c r="O13" s="40"/>
    </row>
  </sheetData>
  <autoFilter ref="A2:M12" xr:uid="{00000000-0009-0000-0000-000005000000}"/>
  <mergeCells count="11">
    <mergeCell ref="I1:J1"/>
    <mergeCell ref="K1:K2"/>
    <mergeCell ref="M1:M2"/>
    <mergeCell ref="N1:N2"/>
    <mergeCell ref="O1:O2"/>
    <mergeCell ref="L1:L2"/>
    <mergeCell ref="A1:A2"/>
    <mergeCell ref="B1:B2"/>
    <mergeCell ref="C1:D1"/>
    <mergeCell ref="E1:F1"/>
    <mergeCell ref="G1:H1"/>
  </mergeCells>
  <pageMargins left="0.7" right="0.7" top="0.75" bottom="0.75" header="0.3" footer="0.3"/>
  <ignoredErrors>
    <ignoredError sqref="M1:M2 M13 A3:K13 A1:K2"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13"/>
  <sheetViews>
    <sheetView showGridLines="0" workbookViewId="0">
      <selection activeCell="L13" sqref="L13"/>
    </sheetView>
  </sheetViews>
  <sheetFormatPr baseColWidth="10" defaultRowHeight="15" x14ac:dyDescent="0.25"/>
  <cols>
    <col min="1" max="1" width="4.85546875" style="28" customWidth="1"/>
    <col min="2" max="2" width="44.85546875" style="28" customWidth="1"/>
    <col min="3" max="3" width="9.85546875" style="28" customWidth="1"/>
    <col min="4" max="4" width="11.85546875" style="28" customWidth="1"/>
    <col min="5" max="5" width="9.85546875" style="28" customWidth="1"/>
    <col min="6" max="6" width="11.85546875" style="28" customWidth="1"/>
    <col min="7" max="7" width="9.85546875" style="28" customWidth="1"/>
    <col min="8" max="8" width="11.85546875" style="28" customWidth="1"/>
    <col min="9" max="9" width="10.85546875" style="28" customWidth="1"/>
    <col min="10" max="10" width="13.85546875" style="28" customWidth="1"/>
    <col min="11" max="12" width="20.85546875" style="28" customWidth="1"/>
    <col min="13" max="13" width="46.85546875" style="28" customWidth="1"/>
    <col min="14" max="16384" width="11.42578125" style="28"/>
  </cols>
  <sheetData>
    <row r="1" spans="1:15" ht="20.100000000000001" customHeight="1" x14ac:dyDescent="0.25">
      <c r="A1" s="18" t="s">
        <v>0</v>
      </c>
      <c r="B1" s="18" t="s">
        <v>1</v>
      </c>
      <c r="C1" s="19" t="s">
        <v>2</v>
      </c>
      <c r="D1" s="19" t="s">
        <v>3</v>
      </c>
      <c r="E1" s="17" t="s">
        <v>4</v>
      </c>
      <c r="F1" s="17" t="s">
        <v>3</v>
      </c>
      <c r="G1" s="20" t="s">
        <v>5</v>
      </c>
      <c r="H1" s="20" t="s">
        <v>3</v>
      </c>
      <c r="I1" s="18" t="s">
        <v>6</v>
      </c>
      <c r="J1" s="18" t="s">
        <v>3</v>
      </c>
      <c r="K1" s="18" t="s">
        <v>7</v>
      </c>
      <c r="L1" s="68" t="s">
        <v>288</v>
      </c>
      <c r="M1" s="21" t="s">
        <v>8</v>
      </c>
      <c r="N1" s="22" t="s">
        <v>161</v>
      </c>
      <c r="O1" s="23" t="s">
        <v>162</v>
      </c>
    </row>
    <row r="2" spans="1:15" ht="30" customHeight="1" x14ac:dyDescent="0.25">
      <c r="A2" s="18" t="s">
        <v>3</v>
      </c>
      <c r="B2" s="18" t="s">
        <v>3</v>
      </c>
      <c r="C2" s="3" t="s">
        <v>9</v>
      </c>
      <c r="D2" s="3" t="s">
        <v>10</v>
      </c>
      <c r="E2" s="1" t="s">
        <v>9</v>
      </c>
      <c r="F2" s="1" t="s">
        <v>10</v>
      </c>
      <c r="G2" s="4" t="s">
        <v>9</v>
      </c>
      <c r="H2" s="4" t="s">
        <v>10</v>
      </c>
      <c r="I2" s="2" t="s">
        <v>9</v>
      </c>
      <c r="J2" s="2" t="s">
        <v>10</v>
      </c>
      <c r="K2" s="18" t="s">
        <v>3</v>
      </c>
      <c r="L2" s="69"/>
      <c r="M2" s="21" t="s">
        <v>3</v>
      </c>
      <c r="N2" s="24"/>
      <c r="O2" s="25"/>
    </row>
    <row r="3" spans="1:15" ht="24" x14ac:dyDescent="0.25">
      <c r="A3" s="29">
        <v>1</v>
      </c>
      <c r="B3" s="29" t="s">
        <v>72</v>
      </c>
      <c r="C3" s="30">
        <v>1</v>
      </c>
      <c r="D3" s="31">
        <v>147.9</v>
      </c>
      <c r="E3" s="30">
        <v>6</v>
      </c>
      <c r="F3" s="31">
        <v>122.8</v>
      </c>
      <c r="G3" s="30" t="s">
        <v>3</v>
      </c>
      <c r="H3" s="31" t="s">
        <v>3</v>
      </c>
      <c r="I3" s="30">
        <v>7</v>
      </c>
      <c r="J3" s="31">
        <v>126.4</v>
      </c>
      <c r="K3" s="32">
        <v>12.9</v>
      </c>
      <c r="L3" s="66">
        <f>+K3*0.5</f>
        <v>6.45</v>
      </c>
      <c r="M3" s="33" t="s">
        <v>226</v>
      </c>
      <c r="N3" s="45">
        <v>46392</v>
      </c>
      <c r="O3" s="30" t="s">
        <v>164</v>
      </c>
    </row>
    <row r="4" spans="1:15" x14ac:dyDescent="0.25">
      <c r="A4" s="34">
        <v>2</v>
      </c>
      <c r="B4" s="34" t="s">
        <v>73</v>
      </c>
      <c r="C4" s="35" t="s">
        <v>3</v>
      </c>
      <c r="D4" s="36" t="s">
        <v>3</v>
      </c>
      <c r="E4" s="35">
        <v>3</v>
      </c>
      <c r="F4" s="36">
        <v>73.900000000000006</v>
      </c>
      <c r="G4" s="35" t="s">
        <v>3</v>
      </c>
      <c r="H4" s="36" t="s">
        <v>3</v>
      </c>
      <c r="I4" s="35">
        <v>3</v>
      </c>
      <c r="J4" s="36">
        <v>73.900000000000006</v>
      </c>
      <c r="K4" s="32">
        <v>6.1</v>
      </c>
      <c r="L4" s="66">
        <f t="shared" ref="L4:L12" si="0">+K4*0.5</f>
        <v>3.05</v>
      </c>
      <c r="M4" s="33" t="s">
        <v>224</v>
      </c>
      <c r="N4" s="45">
        <v>46392</v>
      </c>
      <c r="O4" s="30" t="s">
        <v>164</v>
      </c>
    </row>
    <row r="5" spans="1:15" x14ac:dyDescent="0.25">
      <c r="A5" s="29">
        <v>3</v>
      </c>
      <c r="B5" s="29" t="s">
        <v>74</v>
      </c>
      <c r="C5" s="30">
        <v>1</v>
      </c>
      <c r="D5" s="31">
        <v>112</v>
      </c>
      <c r="E5" s="30">
        <v>1</v>
      </c>
      <c r="F5" s="31" t="s">
        <v>3</v>
      </c>
      <c r="G5" s="30">
        <v>3</v>
      </c>
      <c r="H5" s="31" t="s">
        <v>3</v>
      </c>
      <c r="I5" s="30">
        <v>5</v>
      </c>
      <c r="J5" s="31">
        <v>103.8</v>
      </c>
      <c r="K5" s="32">
        <v>5.4</v>
      </c>
      <c r="L5" s="66">
        <f t="shared" si="0"/>
        <v>2.7</v>
      </c>
      <c r="M5" s="33" t="s">
        <v>227</v>
      </c>
      <c r="N5" s="45">
        <v>46393</v>
      </c>
      <c r="O5" s="30" t="s">
        <v>164</v>
      </c>
    </row>
    <row r="6" spans="1:15" x14ac:dyDescent="0.25">
      <c r="A6" s="34">
        <v>4</v>
      </c>
      <c r="B6" s="34" t="s">
        <v>75</v>
      </c>
      <c r="C6" s="35" t="s">
        <v>3</v>
      </c>
      <c r="D6" s="36" t="s">
        <v>3</v>
      </c>
      <c r="E6" s="35" t="s">
        <v>3</v>
      </c>
      <c r="F6" s="36" t="s">
        <v>3</v>
      </c>
      <c r="G6" s="35">
        <v>5</v>
      </c>
      <c r="H6" s="36">
        <v>33.799999999999997</v>
      </c>
      <c r="I6" s="35">
        <v>5</v>
      </c>
      <c r="J6" s="36">
        <v>33.799999999999997</v>
      </c>
      <c r="K6" s="32">
        <v>4.5</v>
      </c>
      <c r="L6" s="66">
        <f t="shared" si="0"/>
        <v>2.25</v>
      </c>
      <c r="M6" s="33" t="s">
        <v>228</v>
      </c>
      <c r="N6" s="45">
        <v>46394</v>
      </c>
      <c r="O6" s="30" t="s">
        <v>164</v>
      </c>
    </row>
    <row r="7" spans="1:15" x14ac:dyDescent="0.25">
      <c r="A7" s="29">
        <v>5</v>
      </c>
      <c r="B7" s="29" t="s">
        <v>76</v>
      </c>
      <c r="C7" s="30" t="s">
        <v>3</v>
      </c>
      <c r="D7" s="31">
        <v>100</v>
      </c>
      <c r="E7" s="30">
        <v>2</v>
      </c>
      <c r="F7" s="31">
        <v>75.8</v>
      </c>
      <c r="G7" s="30" t="s">
        <v>3</v>
      </c>
      <c r="H7" s="31" t="s">
        <v>3</v>
      </c>
      <c r="I7" s="30">
        <v>2</v>
      </c>
      <c r="J7" s="31">
        <v>87.9</v>
      </c>
      <c r="K7" s="32">
        <v>4.0999999999999996</v>
      </c>
      <c r="L7" s="66">
        <f t="shared" si="0"/>
        <v>2.0499999999999998</v>
      </c>
      <c r="M7" s="33" t="s">
        <v>229</v>
      </c>
      <c r="N7" s="45">
        <v>46393</v>
      </c>
      <c r="O7" s="30" t="s">
        <v>164</v>
      </c>
    </row>
    <row r="8" spans="1:15" x14ac:dyDescent="0.25">
      <c r="A8" s="34">
        <v>6</v>
      </c>
      <c r="B8" s="34" t="s">
        <v>77</v>
      </c>
      <c r="C8" s="35" t="s">
        <v>3</v>
      </c>
      <c r="D8" s="36" t="s">
        <v>3</v>
      </c>
      <c r="E8" s="35">
        <v>2</v>
      </c>
      <c r="F8" s="36">
        <v>52.2</v>
      </c>
      <c r="G8" s="35" t="s">
        <v>3</v>
      </c>
      <c r="H8" s="36" t="s">
        <v>3</v>
      </c>
      <c r="I8" s="35">
        <v>2</v>
      </c>
      <c r="J8" s="36">
        <v>52.2</v>
      </c>
      <c r="K8" s="32">
        <v>4.0999999999999996</v>
      </c>
      <c r="L8" s="66">
        <f t="shared" si="0"/>
        <v>2.0499999999999998</v>
      </c>
      <c r="M8" s="33" t="s">
        <v>224</v>
      </c>
      <c r="N8" s="45">
        <v>46394</v>
      </c>
      <c r="O8" s="30" t="s">
        <v>164</v>
      </c>
    </row>
    <row r="9" spans="1:15" x14ac:dyDescent="0.25">
      <c r="A9" s="29">
        <v>7</v>
      </c>
      <c r="B9" s="29" t="s">
        <v>78</v>
      </c>
      <c r="C9" s="30">
        <v>1</v>
      </c>
      <c r="D9" s="31">
        <v>206.7</v>
      </c>
      <c r="E9" s="30">
        <v>1</v>
      </c>
      <c r="F9" s="31">
        <v>91</v>
      </c>
      <c r="G9" s="30" t="s">
        <v>3</v>
      </c>
      <c r="H9" s="31" t="s">
        <v>3</v>
      </c>
      <c r="I9" s="30">
        <v>2</v>
      </c>
      <c r="J9" s="31">
        <v>148.80000000000001</v>
      </c>
      <c r="K9" s="32">
        <v>2.7</v>
      </c>
      <c r="L9" s="66">
        <f t="shared" si="0"/>
        <v>1.35</v>
      </c>
      <c r="M9" s="33" t="s">
        <v>221</v>
      </c>
      <c r="N9" s="45">
        <v>46395</v>
      </c>
      <c r="O9" s="30" t="s">
        <v>164</v>
      </c>
    </row>
    <row r="10" spans="1:15" x14ac:dyDescent="0.25">
      <c r="A10" s="34">
        <v>8</v>
      </c>
      <c r="B10" s="34" t="s">
        <v>79</v>
      </c>
      <c r="C10" s="35" t="s">
        <v>3</v>
      </c>
      <c r="D10" s="36" t="s">
        <v>3</v>
      </c>
      <c r="E10" s="35">
        <v>1</v>
      </c>
      <c r="F10" s="36">
        <v>65.599999999999994</v>
      </c>
      <c r="G10" s="35" t="s">
        <v>3</v>
      </c>
      <c r="H10" s="36" t="s">
        <v>3</v>
      </c>
      <c r="I10" s="35">
        <v>1</v>
      </c>
      <c r="J10" s="36">
        <v>65.599999999999994</v>
      </c>
      <c r="K10" s="32">
        <v>2</v>
      </c>
      <c r="L10" s="66">
        <f t="shared" si="0"/>
        <v>1</v>
      </c>
      <c r="M10" s="33" t="s">
        <v>230</v>
      </c>
      <c r="N10" s="45">
        <v>46395</v>
      </c>
      <c r="O10" s="30" t="s">
        <v>164</v>
      </c>
    </row>
    <row r="11" spans="1:15" x14ac:dyDescent="0.25">
      <c r="A11" s="29">
        <v>9</v>
      </c>
      <c r="B11" s="29" t="s">
        <v>80</v>
      </c>
      <c r="C11" s="30" t="s">
        <v>3</v>
      </c>
      <c r="D11" s="31">
        <v>104.2</v>
      </c>
      <c r="E11" s="30">
        <v>1</v>
      </c>
      <c r="F11" s="31">
        <v>79.2</v>
      </c>
      <c r="G11" s="30" t="s">
        <v>3</v>
      </c>
      <c r="H11" s="31" t="s">
        <v>3</v>
      </c>
      <c r="I11" s="30">
        <v>1</v>
      </c>
      <c r="J11" s="31">
        <v>95.8</v>
      </c>
      <c r="K11" s="32">
        <v>2</v>
      </c>
      <c r="L11" s="66">
        <f t="shared" si="0"/>
        <v>1</v>
      </c>
      <c r="M11" s="33" t="s">
        <v>224</v>
      </c>
      <c r="N11" s="45">
        <v>46398</v>
      </c>
      <c r="O11" s="30" t="s">
        <v>164</v>
      </c>
    </row>
    <row r="12" spans="1:15" x14ac:dyDescent="0.25">
      <c r="A12" s="34">
        <v>10</v>
      </c>
      <c r="B12" s="34" t="s">
        <v>81</v>
      </c>
      <c r="C12" s="35" t="s">
        <v>3</v>
      </c>
      <c r="D12" s="36">
        <v>104.2</v>
      </c>
      <c r="E12" s="35">
        <v>1</v>
      </c>
      <c r="F12" s="36">
        <v>68.099999999999994</v>
      </c>
      <c r="G12" s="35" t="s">
        <v>3</v>
      </c>
      <c r="H12" s="36" t="s">
        <v>3</v>
      </c>
      <c r="I12" s="35">
        <v>1</v>
      </c>
      <c r="J12" s="36">
        <v>86.1</v>
      </c>
      <c r="K12" s="32">
        <v>2</v>
      </c>
      <c r="L12" s="66">
        <f t="shared" si="0"/>
        <v>1</v>
      </c>
      <c r="M12" s="33" t="s">
        <v>221</v>
      </c>
      <c r="N12" s="45">
        <v>46398</v>
      </c>
      <c r="O12" s="30" t="s">
        <v>164</v>
      </c>
    </row>
    <row r="13" spans="1:15" x14ac:dyDescent="0.25">
      <c r="A13" s="40" t="s">
        <v>3</v>
      </c>
      <c r="B13" s="40" t="s">
        <v>21</v>
      </c>
      <c r="C13" s="41">
        <v>3</v>
      </c>
      <c r="D13" s="42">
        <v>121.5</v>
      </c>
      <c r="E13" s="41">
        <v>18</v>
      </c>
      <c r="F13" s="42">
        <v>90.2</v>
      </c>
      <c r="G13" s="41">
        <v>8</v>
      </c>
      <c r="H13" s="42">
        <v>33.799999999999997</v>
      </c>
      <c r="I13" s="41">
        <v>29</v>
      </c>
      <c r="J13" s="42">
        <v>94.3</v>
      </c>
      <c r="K13" s="43">
        <v>45.8</v>
      </c>
      <c r="L13" s="43">
        <f>+SUM(L3:L12)</f>
        <v>22.900000000000002</v>
      </c>
      <c r="M13" s="40" t="s">
        <v>3</v>
      </c>
      <c r="N13" s="40"/>
      <c r="O13" s="40"/>
    </row>
  </sheetData>
  <autoFilter ref="A2:M12" xr:uid="{00000000-0009-0000-0000-000006000000}"/>
  <mergeCells count="11">
    <mergeCell ref="I1:J1"/>
    <mergeCell ref="K1:K2"/>
    <mergeCell ref="M1:M2"/>
    <mergeCell ref="N1:N2"/>
    <mergeCell ref="O1:O2"/>
    <mergeCell ref="L1:L2"/>
    <mergeCell ref="A1:A2"/>
    <mergeCell ref="B1:B2"/>
    <mergeCell ref="C1:D1"/>
    <mergeCell ref="E1:F1"/>
    <mergeCell ref="G1:H1"/>
  </mergeCells>
  <pageMargins left="0.7" right="0.7" top="0.75" bottom="0.75" header="0.3" footer="0.3"/>
  <ignoredErrors>
    <ignoredError sqref="M1:M2 M13 A3:K13 A1:K2"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3"/>
  <sheetViews>
    <sheetView showGridLines="0" workbookViewId="0">
      <selection activeCell="L11" sqref="L1:L11"/>
    </sheetView>
  </sheetViews>
  <sheetFormatPr baseColWidth="10" defaultRowHeight="15" x14ac:dyDescent="0.25"/>
  <cols>
    <col min="1" max="1" width="4.85546875" customWidth="1"/>
    <col min="2" max="2" width="44.85546875" customWidth="1"/>
    <col min="3" max="3" width="9.85546875" customWidth="1"/>
    <col min="4" max="4" width="11.85546875" customWidth="1"/>
    <col min="5" max="5" width="9.85546875" customWidth="1"/>
    <col min="6" max="6" width="11.85546875" customWidth="1"/>
    <col min="7" max="7" width="9.85546875" customWidth="1"/>
    <col min="8" max="8" width="11.85546875" customWidth="1"/>
    <col min="9" max="9" width="10.85546875" customWidth="1"/>
    <col min="10" max="10" width="13.85546875" customWidth="1"/>
    <col min="11" max="12" width="20.85546875" customWidth="1"/>
    <col min="13" max="13" width="46.85546875" customWidth="1"/>
  </cols>
  <sheetData>
    <row r="1" spans="1:15" ht="20.100000000000001" customHeight="1" x14ac:dyDescent="0.25">
      <c r="A1" s="18" t="s">
        <v>0</v>
      </c>
      <c r="B1" s="18" t="s">
        <v>1</v>
      </c>
      <c r="C1" s="19" t="s">
        <v>2</v>
      </c>
      <c r="D1" s="19" t="s">
        <v>3</v>
      </c>
      <c r="E1" s="17" t="s">
        <v>4</v>
      </c>
      <c r="F1" s="17" t="s">
        <v>3</v>
      </c>
      <c r="G1" s="20" t="s">
        <v>5</v>
      </c>
      <c r="H1" s="20" t="s">
        <v>3</v>
      </c>
      <c r="I1" s="18" t="s">
        <v>6</v>
      </c>
      <c r="J1" s="18" t="s">
        <v>3</v>
      </c>
      <c r="K1" s="18" t="s">
        <v>7</v>
      </c>
      <c r="L1" s="68" t="s">
        <v>288</v>
      </c>
      <c r="M1" s="21" t="s">
        <v>8</v>
      </c>
      <c r="N1" s="22" t="s">
        <v>161</v>
      </c>
      <c r="O1" s="23" t="s">
        <v>162</v>
      </c>
    </row>
    <row r="2" spans="1:15" ht="30" customHeight="1" x14ac:dyDescent="0.25">
      <c r="A2" s="18" t="s">
        <v>3</v>
      </c>
      <c r="B2" s="18" t="s">
        <v>3</v>
      </c>
      <c r="C2" s="3" t="s">
        <v>9</v>
      </c>
      <c r="D2" s="3" t="s">
        <v>10</v>
      </c>
      <c r="E2" s="1" t="s">
        <v>9</v>
      </c>
      <c r="F2" s="1" t="s">
        <v>10</v>
      </c>
      <c r="G2" s="4" t="s">
        <v>9</v>
      </c>
      <c r="H2" s="4" t="s">
        <v>10</v>
      </c>
      <c r="I2" s="2" t="s">
        <v>9</v>
      </c>
      <c r="J2" s="2" t="s">
        <v>10</v>
      </c>
      <c r="K2" s="18" t="s">
        <v>3</v>
      </c>
      <c r="L2" s="69"/>
      <c r="M2" s="21" t="s">
        <v>3</v>
      </c>
      <c r="N2" s="24"/>
      <c r="O2" s="25"/>
    </row>
    <row r="3" spans="1:15" x14ac:dyDescent="0.25">
      <c r="A3" s="5">
        <v>1</v>
      </c>
      <c r="B3" s="5" t="s">
        <v>82</v>
      </c>
      <c r="C3" s="6">
        <v>20</v>
      </c>
      <c r="D3" s="7">
        <v>160.1</v>
      </c>
      <c r="E3" s="6" t="s">
        <v>3</v>
      </c>
      <c r="F3" s="7" t="s">
        <v>3</v>
      </c>
      <c r="G3" s="6" t="s">
        <v>3</v>
      </c>
      <c r="H3" s="7" t="s">
        <v>3</v>
      </c>
      <c r="I3" s="6">
        <v>20</v>
      </c>
      <c r="J3" s="7">
        <v>160.1</v>
      </c>
      <c r="K3" s="8">
        <v>12.3</v>
      </c>
      <c r="L3" s="66">
        <f>+K3*0.5</f>
        <v>6.15</v>
      </c>
      <c r="M3" s="27" t="s">
        <v>218</v>
      </c>
      <c r="N3" s="45">
        <v>46328</v>
      </c>
      <c r="O3" s="30" t="s">
        <v>172</v>
      </c>
    </row>
    <row r="4" spans="1:15" x14ac:dyDescent="0.25">
      <c r="A4" s="10">
        <v>2</v>
      </c>
      <c r="B4" s="10" t="s">
        <v>83</v>
      </c>
      <c r="C4" s="11" t="s">
        <v>3</v>
      </c>
      <c r="D4" s="12" t="s">
        <v>3</v>
      </c>
      <c r="E4" s="11">
        <v>3</v>
      </c>
      <c r="F4" s="12">
        <v>64.3</v>
      </c>
      <c r="G4" s="11" t="s">
        <v>3</v>
      </c>
      <c r="H4" s="12" t="s">
        <v>3</v>
      </c>
      <c r="I4" s="11">
        <v>3</v>
      </c>
      <c r="J4" s="12">
        <v>64.3</v>
      </c>
      <c r="K4" s="8">
        <v>6.1</v>
      </c>
      <c r="L4" s="66">
        <f t="shared" ref="L4:L12" si="0">+K4*0.5</f>
        <v>3.05</v>
      </c>
      <c r="M4" s="27" t="s">
        <v>219</v>
      </c>
      <c r="N4" s="45">
        <v>46328</v>
      </c>
      <c r="O4" s="30" t="s">
        <v>172</v>
      </c>
    </row>
    <row r="5" spans="1:15" x14ac:dyDescent="0.25">
      <c r="A5" s="5">
        <v>3</v>
      </c>
      <c r="B5" s="5" t="s">
        <v>84</v>
      </c>
      <c r="C5" s="6">
        <v>1</v>
      </c>
      <c r="D5" s="7">
        <v>31.3</v>
      </c>
      <c r="E5" s="6">
        <v>1</v>
      </c>
      <c r="F5" s="7">
        <v>45</v>
      </c>
      <c r="G5" s="6">
        <v>3</v>
      </c>
      <c r="H5" s="7" t="s">
        <v>3</v>
      </c>
      <c r="I5" s="6">
        <v>5</v>
      </c>
      <c r="J5" s="7">
        <v>38.1</v>
      </c>
      <c r="K5" s="8">
        <v>5.4</v>
      </c>
      <c r="L5" s="66">
        <f t="shared" si="0"/>
        <v>2.7</v>
      </c>
      <c r="M5" s="27" t="s">
        <v>220</v>
      </c>
      <c r="N5" s="45">
        <v>46329</v>
      </c>
      <c r="O5" s="30" t="s">
        <v>172</v>
      </c>
    </row>
    <row r="6" spans="1:15" x14ac:dyDescent="0.25">
      <c r="A6" s="10">
        <v>4</v>
      </c>
      <c r="B6" s="10" t="s">
        <v>85</v>
      </c>
      <c r="C6" s="11">
        <v>4</v>
      </c>
      <c r="D6" s="12">
        <v>75.5</v>
      </c>
      <c r="E6" s="11">
        <v>1</v>
      </c>
      <c r="F6" s="12" t="s">
        <v>3</v>
      </c>
      <c r="G6" s="11" t="s">
        <v>3</v>
      </c>
      <c r="H6" s="12" t="s">
        <v>3</v>
      </c>
      <c r="I6" s="11">
        <v>5</v>
      </c>
      <c r="J6" s="12">
        <v>75.5</v>
      </c>
      <c r="K6" s="8">
        <v>4.5</v>
      </c>
      <c r="L6" s="66">
        <f t="shared" si="0"/>
        <v>2.25</v>
      </c>
      <c r="M6" s="27" t="s">
        <v>221</v>
      </c>
      <c r="N6" s="45">
        <v>46329</v>
      </c>
      <c r="O6" s="30" t="s">
        <v>172</v>
      </c>
    </row>
    <row r="7" spans="1:15" x14ac:dyDescent="0.25">
      <c r="A7" s="5">
        <v>5</v>
      </c>
      <c r="B7" s="5" t="s">
        <v>86</v>
      </c>
      <c r="C7" s="6" t="s">
        <v>3</v>
      </c>
      <c r="D7" s="7" t="s">
        <v>3</v>
      </c>
      <c r="E7" s="6">
        <v>2</v>
      </c>
      <c r="F7" s="7">
        <v>80.7</v>
      </c>
      <c r="G7" s="6" t="s">
        <v>3</v>
      </c>
      <c r="H7" s="7" t="s">
        <v>3</v>
      </c>
      <c r="I7" s="6">
        <v>2</v>
      </c>
      <c r="J7" s="7">
        <v>80.7</v>
      </c>
      <c r="K7" s="8">
        <v>4.0999999999999996</v>
      </c>
      <c r="L7" s="66">
        <f t="shared" si="0"/>
        <v>2.0499999999999998</v>
      </c>
      <c r="M7" s="27" t="s">
        <v>200</v>
      </c>
      <c r="N7" s="45">
        <v>46330</v>
      </c>
      <c r="O7" s="30" t="s">
        <v>172</v>
      </c>
    </row>
    <row r="8" spans="1:15" x14ac:dyDescent="0.25">
      <c r="A8" s="10">
        <v>6</v>
      </c>
      <c r="B8" s="10" t="s">
        <v>87</v>
      </c>
      <c r="C8" s="11" t="s">
        <v>3</v>
      </c>
      <c r="D8" s="12" t="s">
        <v>3</v>
      </c>
      <c r="E8" s="11">
        <v>2</v>
      </c>
      <c r="F8" s="12">
        <v>62.5</v>
      </c>
      <c r="G8" s="11" t="s">
        <v>3</v>
      </c>
      <c r="H8" s="12" t="s">
        <v>3</v>
      </c>
      <c r="I8" s="11">
        <v>2</v>
      </c>
      <c r="J8" s="12">
        <v>62.5</v>
      </c>
      <c r="K8" s="8">
        <v>4.0999999999999996</v>
      </c>
      <c r="L8" s="66">
        <f t="shared" si="0"/>
        <v>2.0499999999999998</v>
      </c>
      <c r="M8" s="27" t="s">
        <v>222</v>
      </c>
      <c r="N8" s="45">
        <v>46330</v>
      </c>
      <c r="O8" s="30" t="s">
        <v>172</v>
      </c>
    </row>
    <row r="9" spans="1:15" x14ac:dyDescent="0.25">
      <c r="A9" s="5">
        <v>7</v>
      </c>
      <c r="B9" s="5" t="s">
        <v>88</v>
      </c>
      <c r="C9" s="6">
        <v>2</v>
      </c>
      <c r="D9" s="7">
        <v>64.599999999999994</v>
      </c>
      <c r="E9" s="6">
        <v>1</v>
      </c>
      <c r="F9" s="7">
        <v>88.5</v>
      </c>
      <c r="G9" s="6" t="s">
        <v>3</v>
      </c>
      <c r="H9" s="7" t="s">
        <v>3</v>
      </c>
      <c r="I9" s="6">
        <v>3</v>
      </c>
      <c r="J9" s="7">
        <v>72.599999999999994</v>
      </c>
      <c r="K9" s="8">
        <v>3.3</v>
      </c>
      <c r="L9" s="66">
        <f t="shared" si="0"/>
        <v>1.65</v>
      </c>
      <c r="M9" s="27" t="s">
        <v>223</v>
      </c>
      <c r="N9" s="45">
        <v>46331</v>
      </c>
      <c r="O9" s="30" t="s">
        <v>172</v>
      </c>
    </row>
    <row r="10" spans="1:15" x14ac:dyDescent="0.25">
      <c r="A10" s="10">
        <v>8</v>
      </c>
      <c r="B10" s="10" t="s">
        <v>89</v>
      </c>
      <c r="C10" s="11">
        <v>1</v>
      </c>
      <c r="D10" s="12">
        <v>63.3</v>
      </c>
      <c r="E10" s="11">
        <v>1</v>
      </c>
      <c r="F10" s="12">
        <v>95</v>
      </c>
      <c r="G10" s="11" t="s">
        <v>3</v>
      </c>
      <c r="H10" s="12" t="s">
        <v>3</v>
      </c>
      <c r="I10" s="11">
        <v>2</v>
      </c>
      <c r="J10" s="12">
        <v>79.2</v>
      </c>
      <c r="K10" s="8">
        <v>2.7</v>
      </c>
      <c r="L10" s="66">
        <f t="shared" si="0"/>
        <v>1.35</v>
      </c>
      <c r="M10" s="27" t="s">
        <v>224</v>
      </c>
      <c r="N10" s="45">
        <v>46331</v>
      </c>
      <c r="O10" s="30" t="s">
        <v>172</v>
      </c>
    </row>
    <row r="11" spans="1:15" x14ac:dyDescent="0.25">
      <c r="A11" s="5">
        <v>9</v>
      </c>
      <c r="B11" s="5" t="s">
        <v>90</v>
      </c>
      <c r="C11" s="6">
        <v>4</v>
      </c>
      <c r="D11" s="7">
        <v>154.9</v>
      </c>
      <c r="E11" s="6" t="s">
        <v>3</v>
      </c>
      <c r="F11" s="7" t="s">
        <v>3</v>
      </c>
      <c r="G11" s="6" t="s">
        <v>3</v>
      </c>
      <c r="H11" s="7" t="s">
        <v>3</v>
      </c>
      <c r="I11" s="6">
        <v>4</v>
      </c>
      <c r="J11" s="7">
        <v>154.9</v>
      </c>
      <c r="K11" s="8">
        <v>2.5</v>
      </c>
      <c r="L11" s="66">
        <f t="shared" si="0"/>
        <v>1.25</v>
      </c>
      <c r="M11" s="27" t="s">
        <v>225</v>
      </c>
      <c r="N11" s="45">
        <v>46332</v>
      </c>
      <c r="O11" s="30" t="s">
        <v>172</v>
      </c>
    </row>
    <row r="12" spans="1:15" x14ac:dyDescent="0.25">
      <c r="A12" s="10">
        <v>10</v>
      </c>
      <c r="B12" s="10" t="s">
        <v>91</v>
      </c>
      <c r="C12" s="11" t="s">
        <v>3</v>
      </c>
      <c r="D12" s="12" t="s">
        <v>3</v>
      </c>
      <c r="E12" s="11">
        <v>1</v>
      </c>
      <c r="F12" s="12">
        <v>123.3</v>
      </c>
      <c r="G12" s="11" t="s">
        <v>3</v>
      </c>
      <c r="H12" s="12" t="s">
        <v>3</v>
      </c>
      <c r="I12" s="11">
        <v>1</v>
      </c>
      <c r="J12" s="12">
        <v>123.3</v>
      </c>
      <c r="K12" s="8">
        <v>2</v>
      </c>
      <c r="L12" s="66">
        <f t="shared" si="0"/>
        <v>1</v>
      </c>
      <c r="M12" s="27" t="s">
        <v>209</v>
      </c>
      <c r="N12" s="45">
        <v>46332</v>
      </c>
      <c r="O12" s="30" t="s">
        <v>172</v>
      </c>
    </row>
    <row r="13" spans="1:15" x14ac:dyDescent="0.25">
      <c r="A13" s="13" t="s">
        <v>3</v>
      </c>
      <c r="B13" s="13" t="s">
        <v>21</v>
      </c>
      <c r="C13" s="14">
        <v>32</v>
      </c>
      <c r="D13" s="15">
        <v>140.6</v>
      </c>
      <c r="E13" s="14">
        <v>12</v>
      </c>
      <c r="F13" s="15">
        <v>74.599999999999994</v>
      </c>
      <c r="G13" s="14">
        <v>3</v>
      </c>
      <c r="H13" s="15" t="s">
        <v>3</v>
      </c>
      <c r="I13" s="14">
        <v>47</v>
      </c>
      <c r="J13" s="15">
        <v>125.3</v>
      </c>
      <c r="K13" s="16">
        <v>46.8</v>
      </c>
      <c r="L13" s="43">
        <f>+SUM(L3:L12)</f>
        <v>23.5</v>
      </c>
      <c r="M13" s="13" t="s">
        <v>3</v>
      </c>
      <c r="N13" s="40"/>
      <c r="O13" s="40"/>
    </row>
  </sheetData>
  <autoFilter ref="A2:M12" xr:uid="{00000000-0009-0000-0000-000007000000}"/>
  <mergeCells count="11">
    <mergeCell ref="I1:J1"/>
    <mergeCell ref="K1:K2"/>
    <mergeCell ref="M1:M2"/>
    <mergeCell ref="N1:N2"/>
    <mergeCell ref="O1:O2"/>
    <mergeCell ref="L1:L2"/>
    <mergeCell ref="A1:A2"/>
    <mergeCell ref="B1:B2"/>
    <mergeCell ref="C1:D1"/>
    <mergeCell ref="E1:F1"/>
    <mergeCell ref="G1:H1"/>
  </mergeCells>
  <pageMargins left="0.7" right="0.7" top="0.75" bottom="0.75" header="0.3" footer="0.3"/>
  <ignoredErrors>
    <ignoredError sqref="M1:M2 M13 A3:K13 A1:K2"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13"/>
  <sheetViews>
    <sheetView showGridLines="0" workbookViewId="0">
      <selection activeCell="L13" sqref="L13"/>
    </sheetView>
  </sheetViews>
  <sheetFormatPr baseColWidth="10" defaultRowHeight="15" x14ac:dyDescent="0.25"/>
  <cols>
    <col min="1" max="1" width="4.85546875" style="28" customWidth="1"/>
    <col min="2" max="2" width="44.85546875" style="28" customWidth="1"/>
    <col min="3" max="3" width="9.85546875" style="28" customWidth="1"/>
    <col min="4" max="4" width="11.85546875" style="28" customWidth="1"/>
    <col min="5" max="5" width="9.85546875" style="28" customWidth="1"/>
    <col min="6" max="6" width="11.85546875" style="28" customWidth="1"/>
    <col min="7" max="7" width="9.85546875" style="28" customWidth="1"/>
    <col min="8" max="8" width="11.85546875" style="28" customWidth="1"/>
    <col min="9" max="9" width="10.85546875" style="28" customWidth="1"/>
    <col min="10" max="10" width="13.85546875" style="28" customWidth="1"/>
    <col min="11" max="12" width="20.85546875" style="28" customWidth="1"/>
    <col min="13" max="13" width="46.85546875" style="28" customWidth="1"/>
    <col min="14" max="16384" width="11.42578125" style="28"/>
  </cols>
  <sheetData>
    <row r="1" spans="1:15" ht="20.100000000000001" customHeight="1" x14ac:dyDescent="0.25">
      <c r="A1" s="18" t="s">
        <v>0</v>
      </c>
      <c r="B1" s="18" t="s">
        <v>1</v>
      </c>
      <c r="C1" s="19" t="s">
        <v>2</v>
      </c>
      <c r="D1" s="19" t="s">
        <v>3</v>
      </c>
      <c r="E1" s="17" t="s">
        <v>4</v>
      </c>
      <c r="F1" s="17" t="s">
        <v>3</v>
      </c>
      <c r="G1" s="20" t="s">
        <v>5</v>
      </c>
      <c r="H1" s="20" t="s">
        <v>3</v>
      </c>
      <c r="I1" s="18" t="s">
        <v>6</v>
      </c>
      <c r="J1" s="18" t="s">
        <v>3</v>
      </c>
      <c r="K1" s="18" t="s">
        <v>7</v>
      </c>
      <c r="L1" s="68" t="s">
        <v>288</v>
      </c>
      <c r="M1" s="21" t="s">
        <v>8</v>
      </c>
      <c r="N1" s="22" t="s">
        <v>161</v>
      </c>
      <c r="O1" s="23" t="s">
        <v>162</v>
      </c>
    </row>
    <row r="2" spans="1:15" ht="30" customHeight="1" x14ac:dyDescent="0.25">
      <c r="A2" s="18" t="s">
        <v>3</v>
      </c>
      <c r="B2" s="18" t="s">
        <v>3</v>
      </c>
      <c r="C2" s="3" t="s">
        <v>9</v>
      </c>
      <c r="D2" s="3" t="s">
        <v>10</v>
      </c>
      <c r="E2" s="1" t="s">
        <v>9</v>
      </c>
      <c r="F2" s="1" t="s">
        <v>10</v>
      </c>
      <c r="G2" s="4" t="s">
        <v>9</v>
      </c>
      <c r="H2" s="4" t="s">
        <v>10</v>
      </c>
      <c r="I2" s="2" t="s">
        <v>9</v>
      </c>
      <c r="J2" s="2" t="s">
        <v>10</v>
      </c>
      <c r="K2" s="18" t="s">
        <v>3</v>
      </c>
      <c r="L2" s="69"/>
      <c r="M2" s="21" t="s">
        <v>3</v>
      </c>
      <c r="N2" s="24"/>
      <c r="O2" s="25"/>
    </row>
    <row r="3" spans="1:15" ht="24" x14ac:dyDescent="0.25">
      <c r="A3" s="29">
        <v>1</v>
      </c>
      <c r="B3" s="29" t="s">
        <v>92</v>
      </c>
      <c r="C3" s="30">
        <v>2</v>
      </c>
      <c r="D3" s="31" t="s">
        <v>3</v>
      </c>
      <c r="E3" s="30">
        <v>5</v>
      </c>
      <c r="F3" s="31">
        <v>113.7</v>
      </c>
      <c r="G3" s="30">
        <v>11</v>
      </c>
      <c r="H3" s="31">
        <v>56.9</v>
      </c>
      <c r="I3" s="30">
        <v>18</v>
      </c>
      <c r="J3" s="31">
        <v>104.2</v>
      </c>
      <c r="K3" s="32">
        <v>21.3</v>
      </c>
      <c r="L3" s="66">
        <f>+K3*0.5</f>
        <v>10.65</v>
      </c>
      <c r="M3" s="33" t="s">
        <v>231</v>
      </c>
      <c r="N3" s="45">
        <v>46400</v>
      </c>
      <c r="O3" s="30" t="s">
        <v>164</v>
      </c>
    </row>
    <row r="4" spans="1:15" x14ac:dyDescent="0.25">
      <c r="A4" s="34">
        <v>2</v>
      </c>
      <c r="B4" s="34" t="s">
        <v>93</v>
      </c>
      <c r="C4" s="35">
        <v>2</v>
      </c>
      <c r="D4" s="36">
        <v>172.4</v>
      </c>
      <c r="E4" s="35">
        <v>3</v>
      </c>
      <c r="F4" s="36">
        <v>83.6</v>
      </c>
      <c r="G4" s="35">
        <v>2</v>
      </c>
      <c r="H4" s="36" t="s">
        <v>3</v>
      </c>
      <c r="I4" s="35">
        <v>7</v>
      </c>
      <c r="J4" s="36">
        <v>93.6</v>
      </c>
      <c r="K4" s="32">
        <v>9.1999999999999993</v>
      </c>
      <c r="L4" s="66">
        <f t="shared" ref="L4:L12" si="0">+K4*0.5</f>
        <v>4.5999999999999996</v>
      </c>
      <c r="M4" s="33" t="s">
        <v>232</v>
      </c>
      <c r="N4" s="45">
        <v>46400</v>
      </c>
      <c r="O4" s="30" t="s">
        <v>164</v>
      </c>
    </row>
    <row r="5" spans="1:15" x14ac:dyDescent="0.25">
      <c r="A5" s="29">
        <v>3</v>
      </c>
      <c r="B5" s="29" t="s">
        <v>94</v>
      </c>
      <c r="C5" s="30">
        <v>7</v>
      </c>
      <c r="D5" s="31">
        <v>169.8</v>
      </c>
      <c r="E5" s="30" t="s">
        <v>3</v>
      </c>
      <c r="F5" s="31" t="s">
        <v>3</v>
      </c>
      <c r="G5" s="30" t="s">
        <v>3</v>
      </c>
      <c r="H5" s="31" t="s">
        <v>3</v>
      </c>
      <c r="I5" s="30">
        <v>7</v>
      </c>
      <c r="J5" s="31">
        <v>169.8</v>
      </c>
      <c r="K5" s="32">
        <v>4.3</v>
      </c>
      <c r="L5" s="66">
        <f t="shared" si="0"/>
        <v>2.15</v>
      </c>
      <c r="M5" s="33" t="s">
        <v>233</v>
      </c>
      <c r="N5" s="45">
        <v>46401</v>
      </c>
      <c r="O5" s="30" t="s">
        <v>164</v>
      </c>
    </row>
    <row r="6" spans="1:15" x14ac:dyDescent="0.25">
      <c r="A6" s="34">
        <v>4</v>
      </c>
      <c r="B6" s="34" t="s">
        <v>95</v>
      </c>
      <c r="C6" s="35" t="s">
        <v>3</v>
      </c>
      <c r="D6" s="36" t="s">
        <v>3</v>
      </c>
      <c r="E6" s="35">
        <v>1</v>
      </c>
      <c r="F6" s="36">
        <v>36.700000000000003</v>
      </c>
      <c r="G6" s="35" t="s">
        <v>3</v>
      </c>
      <c r="H6" s="36" t="s">
        <v>3</v>
      </c>
      <c r="I6" s="35">
        <v>1</v>
      </c>
      <c r="J6" s="36">
        <v>36.700000000000003</v>
      </c>
      <c r="K6" s="32">
        <v>2</v>
      </c>
      <c r="L6" s="66">
        <f t="shared" si="0"/>
        <v>1</v>
      </c>
      <c r="M6" s="33" t="s">
        <v>210</v>
      </c>
      <c r="N6" s="45">
        <v>46401</v>
      </c>
      <c r="O6" s="30" t="s">
        <v>164</v>
      </c>
    </row>
    <row r="7" spans="1:15" x14ac:dyDescent="0.25">
      <c r="A7" s="29">
        <v>5</v>
      </c>
      <c r="B7" s="29" t="s">
        <v>96</v>
      </c>
      <c r="C7" s="30" t="s">
        <v>3</v>
      </c>
      <c r="D7" s="31" t="s">
        <v>3</v>
      </c>
      <c r="E7" s="30">
        <v>1</v>
      </c>
      <c r="F7" s="31">
        <v>88.3</v>
      </c>
      <c r="G7" s="30" t="s">
        <v>3</v>
      </c>
      <c r="H7" s="31" t="s">
        <v>3</v>
      </c>
      <c r="I7" s="30">
        <v>1</v>
      </c>
      <c r="J7" s="31">
        <v>88.3</v>
      </c>
      <c r="K7" s="32">
        <v>2</v>
      </c>
      <c r="L7" s="66">
        <f t="shared" si="0"/>
        <v>1</v>
      </c>
      <c r="M7" s="33" t="s">
        <v>234</v>
      </c>
      <c r="N7" s="45">
        <v>46405</v>
      </c>
      <c r="O7" s="30" t="s">
        <v>164</v>
      </c>
    </row>
    <row r="8" spans="1:15" x14ac:dyDescent="0.25">
      <c r="A8" s="34">
        <v>6</v>
      </c>
      <c r="B8" s="34" t="s">
        <v>97</v>
      </c>
      <c r="C8" s="35" t="s">
        <v>3</v>
      </c>
      <c r="D8" s="36" t="s">
        <v>3</v>
      </c>
      <c r="E8" s="35">
        <v>1</v>
      </c>
      <c r="F8" s="36">
        <v>81.7</v>
      </c>
      <c r="G8" s="35" t="s">
        <v>3</v>
      </c>
      <c r="H8" s="36" t="s">
        <v>3</v>
      </c>
      <c r="I8" s="35">
        <v>1</v>
      </c>
      <c r="J8" s="36">
        <v>81.7</v>
      </c>
      <c r="K8" s="32">
        <v>2</v>
      </c>
      <c r="L8" s="66">
        <f t="shared" si="0"/>
        <v>1</v>
      </c>
      <c r="M8" s="33" t="s">
        <v>235</v>
      </c>
      <c r="N8" s="45">
        <v>46402</v>
      </c>
      <c r="O8" s="30" t="s">
        <v>164</v>
      </c>
    </row>
    <row r="9" spans="1:15" x14ac:dyDescent="0.25">
      <c r="A9" s="29">
        <v>7</v>
      </c>
      <c r="B9" s="29" t="s">
        <v>98</v>
      </c>
      <c r="C9" s="30" t="s">
        <v>3</v>
      </c>
      <c r="D9" s="31" t="s">
        <v>3</v>
      </c>
      <c r="E9" s="30">
        <v>1</v>
      </c>
      <c r="F9" s="31">
        <v>62.8</v>
      </c>
      <c r="G9" s="30" t="s">
        <v>3</v>
      </c>
      <c r="H9" s="31" t="s">
        <v>3</v>
      </c>
      <c r="I9" s="30">
        <v>1</v>
      </c>
      <c r="J9" s="31">
        <v>62.8</v>
      </c>
      <c r="K9" s="32">
        <v>2</v>
      </c>
      <c r="L9" s="66">
        <f t="shared" si="0"/>
        <v>1</v>
      </c>
      <c r="M9" s="33" t="s">
        <v>236</v>
      </c>
      <c r="N9" s="45">
        <v>46402</v>
      </c>
      <c r="O9" s="30" t="s">
        <v>164</v>
      </c>
    </row>
    <row r="10" spans="1:15" x14ac:dyDescent="0.25">
      <c r="A10" s="34">
        <v>8</v>
      </c>
      <c r="B10" s="34" t="s">
        <v>99</v>
      </c>
      <c r="C10" s="35" t="s">
        <v>3</v>
      </c>
      <c r="D10" s="36" t="s">
        <v>3</v>
      </c>
      <c r="E10" s="35">
        <v>1</v>
      </c>
      <c r="F10" s="36">
        <v>73.3</v>
      </c>
      <c r="G10" s="35" t="s">
        <v>3</v>
      </c>
      <c r="H10" s="36" t="s">
        <v>3</v>
      </c>
      <c r="I10" s="35">
        <v>1</v>
      </c>
      <c r="J10" s="36">
        <v>73.3</v>
      </c>
      <c r="K10" s="32">
        <v>2</v>
      </c>
      <c r="L10" s="66">
        <f t="shared" si="0"/>
        <v>1</v>
      </c>
      <c r="M10" s="33" t="s">
        <v>237</v>
      </c>
      <c r="N10" s="45">
        <v>46405</v>
      </c>
      <c r="O10" s="30" t="s">
        <v>164</v>
      </c>
    </row>
    <row r="11" spans="1:15" x14ac:dyDescent="0.25">
      <c r="A11" s="29">
        <v>9</v>
      </c>
      <c r="B11" s="29" t="s">
        <v>100</v>
      </c>
      <c r="C11" s="30">
        <v>1</v>
      </c>
      <c r="D11" s="31">
        <v>78.599999999999994</v>
      </c>
      <c r="E11" s="30" t="s">
        <v>3</v>
      </c>
      <c r="F11" s="31" t="s">
        <v>3</v>
      </c>
      <c r="G11" s="30" t="s">
        <v>3</v>
      </c>
      <c r="H11" s="31" t="s">
        <v>3</v>
      </c>
      <c r="I11" s="30">
        <v>1</v>
      </c>
      <c r="J11" s="31">
        <v>78.7</v>
      </c>
      <c r="K11" s="32">
        <v>0.6</v>
      </c>
      <c r="L11" s="66">
        <f t="shared" si="0"/>
        <v>0.3</v>
      </c>
      <c r="M11" s="33" t="s">
        <v>238</v>
      </c>
      <c r="N11" s="45">
        <v>46406</v>
      </c>
      <c r="O11" s="30" t="s">
        <v>164</v>
      </c>
    </row>
    <row r="12" spans="1:15" x14ac:dyDescent="0.25">
      <c r="A12" s="34">
        <v>10</v>
      </c>
      <c r="B12" s="34" t="s">
        <v>101</v>
      </c>
      <c r="C12" s="35">
        <v>1</v>
      </c>
      <c r="D12" s="36">
        <v>63.5</v>
      </c>
      <c r="E12" s="35" t="s">
        <v>3</v>
      </c>
      <c r="F12" s="36" t="s">
        <v>3</v>
      </c>
      <c r="G12" s="35" t="s">
        <v>3</v>
      </c>
      <c r="H12" s="36" t="s">
        <v>3</v>
      </c>
      <c r="I12" s="35">
        <v>1</v>
      </c>
      <c r="J12" s="36">
        <v>63.5</v>
      </c>
      <c r="K12" s="32">
        <v>0.6</v>
      </c>
      <c r="L12" s="66">
        <f t="shared" si="0"/>
        <v>0.3</v>
      </c>
      <c r="M12" s="33" t="s">
        <v>239</v>
      </c>
      <c r="N12" s="45">
        <v>46406</v>
      </c>
      <c r="O12" s="30" t="s">
        <v>164</v>
      </c>
    </row>
    <row r="13" spans="1:15" x14ac:dyDescent="0.25">
      <c r="A13" s="40" t="s">
        <v>3</v>
      </c>
      <c r="B13" s="40" t="s">
        <v>21</v>
      </c>
      <c r="C13" s="41">
        <v>13</v>
      </c>
      <c r="D13" s="42">
        <v>141.69999999999999</v>
      </c>
      <c r="E13" s="41">
        <v>13</v>
      </c>
      <c r="F13" s="42">
        <v>89.9</v>
      </c>
      <c r="G13" s="41">
        <v>13</v>
      </c>
      <c r="H13" s="42">
        <v>56.9</v>
      </c>
      <c r="I13" s="41">
        <v>39</v>
      </c>
      <c r="J13" s="42">
        <v>98.5</v>
      </c>
      <c r="K13" s="43">
        <v>46.2</v>
      </c>
      <c r="L13" s="43">
        <f>+SUM(L3:L12)</f>
        <v>23</v>
      </c>
      <c r="M13" s="40" t="s">
        <v>3</v>
      </c>
      <c r="N13" s="40"/>
      <c r="O13" s="40"/>
    </row>
  </sheetData>
  <autoFilter ref="A2:M12" xr:uid="{00000000-0009-0000-0000-000008000000}"/>
  <mergeCells count="11">
    <mergeCell ref="I1:J1"/>
    <mergeCell ref="K1:K2"/>
    <mergeCell ref="M1:M2"/>
    <mergeCell ref="N1:N2"/>
    <mergeCell ref="O1:O2"/>
    <mergeCell ref="L1:L2"/>
    <mergeCell ref="A1:A2"/>
    <mergeCell ref="B1:B2"/>
    <mergeCell ref="C1:D1"/>
    <mergeCell ref="E1:F1"/>
    <mergeCell ref="G1:H1"/>
  </mergeCells>
  <pageMargins left="0.7" right="0.7" top="0.75" bottom="0.75" header="0.3" footer="0.3"/>
  <ignoredErrors>
    <ignoredError sqref="M1:M2 M13 A3:K13 A1:K2"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13"/>
  <sheetViews>
    <sheetView showGridLines="0" workbookViewId="0">
      <selection activeCell="J11" sqref="J11"/>
    </sheetView>
  </sheetViews>
  <sheetFormatPr baseColWidth="10" defaultRowHeight="15" x14ac:dyDescent="0.25"/>
  <cols>
    <col min="1" max="1" width="4.85546875" style="28" customWidth="1"/>
    <col min="2" max="2" width="44.85546875" style="28" customWidth="1"/>
    <col min="3" max="3" width="9.85546875" style="28" customWidth="1"/>
    <col min="4" max="4" width="11.85546875" style="28" customWidth="1"/>
    <col min="5" max="5" width="9.85546875" style="28" customWidth="1"/>
    <col min="6" max="6" width="11.85546875" style="28" customWidth="1"/>
    <col min="7" max="7" width="10.85546875" style="28" customWidth="1"/>
    <col min="8" max="8" width="13.85546875" style="28" customWidth="1"/>
    <col min="9" max="10" width="20.85546875" style="28" customWidth="1"/>
    <col min="11" max="11" width="46.85546875" style="28" customWidth="1"/>
    <col min="12" max="16384" width="11.42578125" style="28"/>
  </cols>
  <sheetData>
    <row r="1" spans="1:13" ht="20.100000000000001" customHeight="1" x14ac:dyDescent="0.25">
      <c r="A1" s="18" t="s">
        <v>0</v>
      </c>
      <c r="B1" s="18" t="s">
        <v>1</v>
      </c>
      <c r="C1" s="19" t="s">
        <v>2</v>
      </c>
      <c r="D1" s="19" t="s">
        <v>3</v>
      </c>
      <c r="E1" s="17" t="s">
        <v>4</v>
      </c>
      <c r="F1" s="17" t="s">
        <v>3</v>
      </c>
      <c r="G1" s="18" t="s">
        <v>6</v>
      </c>
      <c r="H1" s="18" t="s">
        <v>3</v>
      </c>
      <c r="I1" s="18" t="s">
        <v>7</v>
      </c>
      <c r="J1" s="68" t="s">
        <v>288</v>
      </c>
      <c r="K1" s="21" t="s">
        <v>8</v>
      </c>
      <c r="L1" s="22" t="s">
        <v>161</v>
      </c>
      <c r="M1" s="23" t="s">
        <v>162</v>
      </c>
    </row>
    <row r="2" spans="1:13" ht="30" customHeight="1" x14ac:dyDescent="0.25">
      <c r="A2" s="18" t="s">
        <v>3</v>
      </c>
      <c r="B2" s="18" t="s">
        <v>3</v>
      </c>
      <c r="C2" s="3" t="s">
        <v>9</v>
      </c>
      <c r="D2" s="3" t="s">
        <v>10</v>
      </c>
      <c r="E2" s="1" t="s">
        <v>9</v>
      </c>
      <c r="F2" s="1" t="s">
        <v>10</v>
      </c>
      <c r="G2" s="2" t="s">
        <v>9</v>
      </c>
      <c r="H2" s="2" t="s">
        <v>10</v>
      </c>
      <c r="I2" s="18" t="s">
        <v>3</v>
      </c>
      <c r="J2" s="69"/>
      <c r="K2" s="21" t="s">
        <v>3</v>
      </c>
      <c r="L2" s="24"/>
      <c r="M2" s="25"/>
    </row>
    <row r="3" spans="1:13" ht="36" x14ac:dyDescent="0.25">
      <c r="A3" s="29">
        <v>1</v>
      </c>
      <c r="B3" s="29" t="s">
        <v>102</v>
      </c>
      <c r="C3" s="30" t="s">
        <v>3</v>
      </c>
      <c r="D3" s="31" t="s">
        <v>3</v>
      </c>
      <c r="E3" s="30">
        <v>4</v>
      </c>
      <c r="F3" s="31">
        <v>35.299999999999997</v>
      </c>
      <c r="G3" s="30">
        <v>4</v>
      </c>
      <c r="H3" s="31">
        <v>35.299999999999997</v>
      </c>
      <c r="I3" s="32">
        <v>8.1999999999999993</v>
      </c>
      <c r="J3" s="66">
        <f>+I3*0.5</f>
        <v>4.0999999999999996</v>
      </c>
      <c r="K3" s="33" t="s">
        <v>240</v>
      </c>
      <c r="L3" s="64">
        <v>46357</v>
      </c>
      <c r="M3" s="64" t="s">
        <v>172</v>
      </c>
    </row>
    <row r="4" spans="1:13" ht="24" x14ac:dyDescent="0.25">
      <c r="A4" s="34">
        <v>2</v>
      </c>
      <c r="B4" s="34" t="s">
        <v>103</v>
      </c>
      <c r="C4" s="35">
        <v>4</v>
      </c>
      <c r="D4" s="36">
        <v>42.7</v>
      </c>
      <c r="E4" s="35">
        <v>1</v>
      </c>
      <c r="F4" s="36">
        <v>110</v>
      </c>
      <c r="G4" s="35">
        <v>5</v>
      </c>
      <c r="H4" s="36">
        <v>56.2</v>
      </c>
      <c r="I4" s="32">
        <v>4.5</v>
      </c>
      <c r="J4" s="66">
        <f t="shared" ref="J4:J12" si="0">+I4*0.5</f>
        <v>2.25</v>
      </c>
      <c r="K4" s="33" t="s">
        <v>241</v>
      </c>
      <c r="L4" s="64">
        <v>46357</v>
      </c>
      <c r="M4" s="64" t="s">
        <v>172</v>
      </c>
    </row>
    <row r="5" spans="1:13" ht="24" x14ac:dyDescent="0.25">
      <c r="A5" s="29">
        <v>3</v>
      </c>
      <c r="B5" s="29" t="s">
        <v>104</v>
      </c>
      <c r="C5" s="30" t="s">
        <v>3</v>
      </c>
      <c r="D5" s="31" t="s">
        <v>3</v>
      </c>
      <c r="E5" s="30">
        <v>2</v>
      </c>
      <c r="F5" s="31">
        <v>37.200000000000003</v>
      </c>
      <c r="G5" s="30">
        <v>2</v>
      </c>
      <c r="H5" s="31">
        <v>37.200000000000003</v>
      </c>
      <c r="I5" s="32">
        <v>4.0999999999999996</v>
      </c>
      <c r="J5" s="66">
        <f t="shared" si="0"/>
        <v>2.0499999999999998</v>
      </c>
      <c r="K5" s="33" t="s">
        <v>242</v>
      </c>
      <c r="L5" s="64">
        <v>46357</v>
      </c>
      <c r="M5" s="64" t="s">
        <v>172</v>
      </c>
    </row>
    <row r="6" spans="1:13" ht="24" x14ac:dyDescent="0.25">
      <c r="A6" s="34">
        <v>4</v>
      </c>
      <c r="B6" s="34" t="s">
        <v>105</v>
      </c>
      <c r="C6" s="35" t="s">
        <v>3</v>
      </c>
      <c r="D6" s="36" t="s">
        <v>3</v>
      </c>
      <c r="E6" s="35">
        <v>2</v>
      </c>
      <c r="F6" s="36">
        <v>38.299999999999997</v>
      </c>
      <c r="G6" s="35">
        <v>2</v>
      </c>
      <c r="H6" s="36">
        <v>38.299999999999997</v>
      </c>
      <c r="I6" s="32">
        <v>4.0999999999999996</v>
      </c>
      <c r="J6" s="66">
        <f t="shared" si="0"/>
        <v>2.0499999999999998</v>
      </c>
      <c r="K6" s="33" t="s">
        <v>243</v>
      </c>
      <c r="L6" s="64">
        <v>46357</v>
      </c>
      <c r="M6" s="64" t="s">
        <v>172</v>
      </c>
    </row>
    <row r="7" spans="1:13" x14ac:dyDescent="0.25">
      <c r="A7" s="29">
        <v>5</v>
      </c>
      <c r="B7" s="29" t="s">
        <v>106</v>
      </c>
      <c r="C7" s="30">
        <v>2</v>
      </c>
      <c r="D7" s="31">
        <v>71.900000000000006</v>
      </c>
      <c r="E7" s="30">
        <v>1</v>
      </c>
      <c r="F7" s="31">
        <v>38.299999999999997</v>
      </c>
      <c r="G7" s="30">
        <v>3</v>
      </c>
      <c r="H7" s="31">
        <v>60.7</v>
      </c>
      <c r="I7" s="32">
        <v>3.3</v>
      </c>
      <c r="J7" s="66">
        <f t="shared" si="0"/>
        <v>1.65</v>
      </c>
      <c r="K7" s="33" t="s">
        <v>244</v>
      </c>
      <c r="L7" s="64">
        <v>46357</v>
      </c>
      <c r="M7" s="64" t="s">
        <v>172</v>
      </c>
    </row>
    <row r="8" spans="1:13" ht="24" x14ac:dyDescent="0.25">
      <c r="A8" s="34">
        <v>6</v>
      </c>
      <c r="B8" s="34" t="s">
        <v>107</v>
      </c>
      <c r="C8" s="35">
        <v>5</v>
      </c>
      <c r="D8" s="36">
        <v>42.7</v>
      </c>
      <c r="E8" s="35" t="s">
        <v>3</v>
      </c>
      <c r="F8" s="36" t="s">
        <v>3</v>
      </c>
      <c r="G8" s="35">
        <v>5</v>
      </c>
      <c r="H8" s="36">
        <v>42.7</v>
      </c>
      <c r="I8" s="32">
        <v>3.1</v>
      </c>
      <c r="J8" s="66">
        <f t="shared" si="0"/>
        <v>1.55</v>
      </c>
      <c r="K8" s="33" t="s">
        <v>245</v>
      </c>
      <c r="L8" s="64">
        <v>46357</v>
      </c>
      <c r="M8" s="64" t="s">
        <v>172</v>
      </c>
    </row>
    <row r="9" spans="1:13" ht="24" x14ac:dyDescent="0.25">
      <c r="A9" s="29">
        <v>7</v>
      </c>
      <c r="B9" s="29" t="s">
        <v>108</v>
      </c>
      <c r="C9" s="30" t="s">
        <v>3</v>
      </c>
      <c r="D9" s="31" t="s">
        <v>3</v>
      </c>
      <c r="E9" s="30">
        <v>1</v>
      </c>
      <c r="F9" s="31">
        <v>40</v>
      </c>
      <c r="G9" s="30">
        <v>1</v>
      </c>
      <c r="H9" s="31">
        <v>75.7</v>
      </c>
      <c r="I9" s="32">
        <v>2</v>
      </c>
      <c r="J9" s="66">
        <f t="shared" si="0"/>
        <v>1</v>
      </c>
      <c r="K9" s="33" t="s">
        <v>246</v>
      </c>
      <c r="L9" s="64">
        <v>46357</v>
      </c>
      <c r="M9" s="64" t="s">
        <v>172</v>
      </c>
    </row>
    <row r="10" spans="1:13" ht="24" x14ac:dyDescent="0.25">
      <c r="A10" s="34">
        <v>8</v>
      </c>
      <c r="B10" s="34" t="s">
        <v>109</v>
      </c>
      <c r="C10" s="35" t="s">
        <v>3</v>
      </c>
      <c r="D10" s="36" t="s">
        <v>3</v>
      </c>
      <c r="E10" s="35">
        <v>1</v>
      </c>
      <c r="F10" s="36">
        <v>38.299999999999997</v>
      </c>
      <c r="G10" s="35">
        <v>1</v>
      </c>
      <c r="H10" s="36">
        <v>38.299999999999997</v>
      </c>
      <c r="I10" s="32">
        <v>2</v>
      </c>
      <c r="J10" s="66">
        <f t="shared" si="0"/>
        <v>1</v>
      </c>
      <c r="K10" s="33" t="s">
        <v>247</v>
      </c>
      <c r="L10" s="64">
        <v>46357</v>
      </c>
      <c r="M10" s="64" t="s">
        <v>172</v>
      </c>
    </row>
    <row r="11" spans="1:13" x14ac:dyDescent="0.25">
      <c r="A11" s="61">
        <v>9</v>
      </c>
      <c r="B11" s="61" t="s">
        <v>110</v>
      </c>
      <c r="C11" s="50" t="s">
        <v>3</v>
      </c>
      <c r="D11" s="62" t="s">
        <v>3</v>
      </c>
      <c r="E11" s="50">
        <v>1</v>
      </c>
      <c r="F11" s="62">
        <v>38.299999999999997</v>
      </c>
      <c r="G11" s="50">
        <v>1</v>
      </c>
      <c r="H11" s="62">
        <v>38.299999999999997</v>
      </c>
      <c r="I11" s="53">
        <v>2</v>
      </c>
      <c r="J11" s="67">
        <f t="shared" si="0"/>
        <v>1</v>
      </c>
      <c r="K11" s="37"/>
      <c r="L11" s="65"/>
      <c r="M11" s="65"/>
    </row>
    <row r="12" spans="1:13" x14ac:dyDescent="0.25">
      <c r="A12" s="34">
        <v>10</v>
      </c>
      <c r="B12" s="34" t="s">
        <v>111</v>
      </c>
      <c r="C12" s="35" t="s">
        <v>3</v>
      </c>
      <c r="D12" s="36" t="s">
        <v>3</v>
      </c>
      <c r="E12" s="35">
        <v>1</v>
      </c>
      <c r="F12" s="36">
        <v>37.200000000000003</v>
      </c>
      <c r="G12" s="35">
        <v>1</v>
      </c>
      <c r="H12" s="36">
        <v>37.200000000000003</v>
      </c>
      <c r="I12" s="32">
        <v>2</v>
      </c>
      <c r="J12" s="66">
        <f t="shared" si="0"/>
        <v>1</v>
      </c>
      <c r="K12" s="33" t="s">
        <v>248</v>
      </c>
      <c r="L12" s="64">
        <v>46357</v>
      </c>
      <c r="M12" s="64" t="s">
        <v>172</v>
      </c>
    </row>
    <row r="13" spans="1:13" x14ac:dyDescent="0.25">
      <c r="A13" s="40" t="s">
        <v>3</v>
      </c>
      <c r="B13" s="40" t="s">
        <v>21</v>
      </c>
      <c r="C13" s="41">
        <v>11</v>
      </c>
      <c r="D13" s="42">
        <v>48.5</v>
      </c>
      <c r="E13" s="41">
        <v>14</v>
      </c>
      <c r="F13" s="42">
        <v>44</v>
      </c>
      <c r="G13" s="41">
        <v>25</v>
      </c>
      <c r="H13" s="42">
        <v>49.1</v>
      </c>
      <c r="I13" s="43">
        <v>35.299999999999997</v>
      </c>
      <c r="J13" s="43">
        <f>+SUM(J3:J12)</f>
        <v>17.649999999999999</v>
      </c>
      <c r="K13" s="40" t="s">
        <v>3</v>
      </c>
      <c r="L13" s="40"/>
      <c r="M13" s="40"/>
    </row>
  </sheetData>
  <autoFilter ref="A2:K12" xr:uid="{00000000-0009-0000-0000-000009000000}"/>
  <mergeCells count="10">
    <mergeCell ref="I1:I2"/>
    <mergeCell ref="K1:K2"/>
    <mergeCell ref="L1:L2"/>
    <mergeCell ref="M1:M2"/>
    <mergeCell ref="J1:J2"/>
    <mergeCell ref="A1:A2"/>
    <mergeCell ref="B1:B2"/>
    <mergeCell ref="C1:D1"/>
    <mergeCell ref="E1:F1"/>
    <mergeCell ref="G1:H1"/>
  </mergeCells>
  <pageMargins left="0.7" right="0.7" top="0.75" bottom="0.75" header="0.3" footer="0.3"/>
  <ignoredErrors>
    <ignoredError sqref="K1:K2 K13 A3:I13 A1:I2"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3"/>
  <sheetViews>
    <sheetView showGridLines="0" workbookViewId="0">
      <selection activeCell="J3" sqref="J3"/>
    </sheetView>
  </sheetViews>
  <sheetFormatPr baseColWidth="10" defaultRowHeight="15" x14ac:dyDescent="0.25"/>
  <cols>
    <col min="1" max="1" width="4.85546875" style="28" customWidth="1"/>
    <col min="2" max="2" width="44.85546875" style="28" customWidth="1"/>
    <col min="3" max="3" width="9.85546875" style="28" customWidth="1"/>
    <col min="4" max="4" width="11.85546875" style="28" customWidth="1"/>
    <col min="5" max="5" width="9.85546875" style="28" customWidth="1"/>
    <col min="6" max="6" width="11.85546875" style="28" customWidth="1"/>
    <col min="7" max="7" width="10.85546875" style="28" customWidth="1"/>
    <col min="8" max="8" width="13.85546875" style="28" customWidth="1"/>
    <col min="9" max="10" width="20.85546875" style="28" customWidth="1"/>
    <col min="11" max="11" width="46.85546875" style="28" customWidth="1"/>
    <col min="12" max="16384" width="11.42578125" style="28"/>
  </cols>
  <sheetData>
    <row r="1" spans="1:13" ht="20.100000000000001" customHeight="1" x14ac:dyDescent="0.25">
      <c r="A1" s="18" t="s">
        <v>0</v>
      </c>
      <c r="B1" s="18" t="s">
        <v>1</v>
      </c>
      <c r="C1" s="19" t="s">
        <v>2</v>
      </c>
      <c r="D1" s="19" t="s">
        <v>3</v>
      </c>
      <c r="E1" s="17" t="s">
        <v>4</v>
      </c>
      <c r="F1" s="17" t="s">
        <v>3</v>
      </c>
      <c r="G1" s="18" t="s">
        <v>6</v>
      </c>
      <c r="H1" s="18" t="s">
        <v>3</v>
      </c>
      <c r="I1" s="18" t="s">
        <v>7</v>
      </c>
      <c r="J1" s="68" t="s">
        <v>288</v>
      </c>
      <c r="K1" s="21" t="s">
        <v>8</v>
      </c>
      <c r="L1" s="22" t="s">
        <v>161</v>
      </c>
      <c r="M1" s="23" t="s">
        <v>162</v>
      </c>
    </row>
    <row r="2" spans="1:13" ht="30" customHeight="1" x14ac:dyDescent="0.25">
      <c r="A2" s="18" t="s">
        <v>3</v>
      </c>
      <c r="B2" s="18" t="s">
        <v>3</v>
      </c>
      <c r="C2" s="3" t="s">
        <v>9</v>
      </c>
      <c r="D2" s="3" t="s">
        <v>10</v>
      </c>
      <c r="E2" s="1" t="s">
        <v>9</v>
      </c>
      <c r="F2" s="1" t="s">
        <v>10</v>
      </c>
      <c r="G2" s="2" t="s">
        <v>9</v>
      </c>
      <c r="H2" s="2" t="s">
        <v>10</v>
      </c>
      <c r="I2" s="18" t="s">
        <v>3</v>
      </c>
      <c r="J2" s="69"/>
      <c r="K2" s="21" t="s">
        <v>3</v>
      </c>
      <c r="L2" s="24"/>
      <c r="M2" s="25"/>
    </row>
    <row r="3" spans="1:13" x14ac:dyDescent="0.25">
      <c r="A3" s="29">
        <v>1</v>
      </c>
      <c r="B3" s="29" t="s">
        <v>112</v>
      </c>
      <c r="C3" s="30">
        <v>8</v>
      </c>
      <c r="D3" s="31">
        <v>163.5</v>
      </c>
      <c r="E3" s="30">
        <v>1</v>
      </c>
      <c r="F3" s="31">
        <v>40.799999999999997</v>
      </c>
      <c r="G3" s="30">
        <v>9</v>
      </c>
      <c r="H3" s="31">
        <v>139</v>
      </c>
      <c r="I3" s="32">
        <v>6.9</v>
      </c>
      <c r="J3" s="66">
        <f>+I3*0.5</f>
        <v>3.45</v>
      </c>
      <c r="K3" s="33" t="s">
        <v>249</v>
      </c>
      <c r="L3" s="64">
        <v>46357</v>
      </c>
      <c r="M3" s="63" t="s">
        <v>172</v>
      </c>
    </row>
    <row r="4" spans="1:13" x14ac:dyDescent="0.25">
      <c r="A4" s="34">
        <v>2</v>
      </c>
      <c r="B4" s="34" t="s">
        <v>113</v>
      </c>
      <c r="C4" s="35">
        <v>1</v>
      </c>
      <c r="D4" s="36">
        <v>92.7</v>
      </c>
      <c r="E4" s="35">
        <v>3</v>
      </c>
      <c r="F4" s="36">
        <v>45.8</v>
      </c>
      <c r="G4" s="35">
        <v>4</v>
      </c>
      <c r="H4" s="36">
        <v>57.6</v>
      </c>
      <c r="I4" s="32">
        <v>6.7</v>
      </c>
      <c r="J4" s="66">
        <f t="shared" ref="J4:J12" si="0">+I4*0.5</f>
        <v>3.35</v>
      </c>
      <c r="K4" s="33" t="s">
        <v>250</v>
      </c>
      <c r="L4" s="64">
        <v>46357</v>
      </c>
      <c r="M4" s="63" t="s">
        <v>172</v>
      </c>
    </row>
    <row r="5" spans="1:13" x14ac:dyDescent="0.25">
      <c r="A5" s="29">
        <v>3</v>
      </c>
      <c r="B5" s="29" t="s">
        <v>114</v>
      </c>
      <c r="C5" s="30" t="s">
        <v>3</v>
      </c>
      <c r="D5" s="31" t="s">
        <v>3</v>
      </c>
      <c r="E5" s="30">
        <v>3</v>
      </c>
      <c r="F5" s="31">
        <v>69.3</v>
      </c>
      <c r="G5" s="30">
        <v>3</v>
      </c>
      <c r="H5" s="31">
        <v>69.3</v>
      </c>
      <c r="I5" s="32">
        <v>6.1</v>
      </c>
      <c r="J5" s="66">
        <f t="shared" si="0"/>
        <v>3.05</v>
      </c>
      <c r="K5" s="33" t="s">
        <v>251</v>
      </c>
      <c r="L5" s="64">
        <v>46357</v>
      </c>
      <c r="M5" s="63" t="s">
        <v>172</v>
      </c>
    </row>
    <row r="6" spans="1:13" ht="24" x14ac:dyDescent="0.25">
      <c r="A6" s="34">
        <v>4</v>
      </c>
      <c r="B6" s="34" t="s">
        <v>115</v>
      </c>
      <c r="C6" s="35">
        <v>3</v>
      </c>
      <c r="D6" s="36">
        <v>77.099999999999994</v>
      </c>
      <c r="E6" s="35">
        <v>2</v>
      </c>
      <c r="F6" s="36">
        <v>77.5</v>
      </c>
      <c r="G6" s="35">
        <v>5</v>
      </c>
      <c r="H6" s="36">
        <v>77.2</v>
      </c>
      <c r="I6" s="32">
        <v>5.9</v>
      </c>
      <c r="J6" s="66">
        <f t="shared" si="0"/>
        <v>2.95</v>
      </c>
      <c r="K6" s="33" t="s">
        <v>252</v>
      </c>
      <c r="L6" s="64">
        <v>46357</v>
      </c>
      <c r="M6" s="63" t="s">
        <v>172</v>
      </c>
    </row>
    <row r="7" spans="1:13" x14ac:dyDescent="0.25">
      <c r="A7" s="29">
        <v>5</v>
      </c>
      <c r="B7" s="29" t="s">
        <v>116</v>
      </c>
      <c r="C7" s="30" t="s">
        <v>3</v>
      </c>
      <c r="D7" s="31" t="s">
        <v>3</v>
      </c>
      <c r="E7" s="30">
        <v>2</v>
      </c>
      <c r="F7" s="31">
        <v>100.5</v>
      </c>
      <c r="G7" s="30">
        <v>2</v>
      </c>
      <c r="H7" s="31">
        <v>100.5</v>
      </c>
      <c r="I7" s="32">
        <v>4.0999999999999996</v>
      </c>
      <c r="J7" s="66">
        <f t="shared" si="0"/>
        <v>2.0499999999999998</v>
      </c>
      <c r="K7" s="33" t="s">
        <v>253</v>
      </c>
      <c r="L7" s="64">
        <v>46357</v>
      </c>
      <c r="M7" s="63" t="s">
        <v>172</v>
      </c>
    </row>
    <row r="8" spans="1:13" ht="24" x14ac:dyDescent="0.25">
      <c r="A8" s="34">
        <v>6</v>
      </c>
      <c r="B8" s="34" t="s">
        <v>117</v>
      </c>
      <c r="C8" s="35" t="s">
        <v>3</v>
      </c>
      <c r="D8" s="36" t="s">
        <v>3</v>
      </c>
      <c r="E8" s="35">
        <v>1</v>
      </c>
      <c r="F8" s="36">
        <v>114.4</v>
      </c>
      <c r="G8" s="35">
        <v>1</v>
      </c>
      <c r="H8" s="36">
        <v>114.4</v>
      </c>
      <c r="I8" s="32">
        <v>2</v>
      </c>
      <c r="J8" s="66">
        <f t="shared" si="0"/>
        <v>1</v>
      </c>
      <c r="K8" s="33" t="s">
        <v>254</v>
      </c>
      <c r="L8" s="64">
        <v>46357</v>
      </c>
      <c r="M8" s="63" t="s">
        <v>172</v>
      </c>
    </row>
    <row r="9" spans="1:13" x14ac:dyDescent="0.25">
      <c r="A9" s="29">
        <v>7</v>
      </c>
      <c r="B9" s="29" t="s">
        <v>118</v>
      </c>
      <c r="C9" s="30" t="s">
        <v>3</v>
      </c>
      <c r="D9" s="31" t="s">
        <v>3</v>
      </c>
      <c r="E9" s="30">
        <v>1</v>
      </c>
      <c r="F9" s="31">
        <v>102.5</v>
      </c>
      <c r="G9" s="30">
        <v>1</v>
      </c>
      <c r="H9" s="31">
        <v>102.5</v>
      </c>
      <c r="I9" s="32">
        <v>2</v>
      </c>
      <c r="J9" s="66">
        <f t="shared" si="0"/>
        <v>1</v>
      </c>
      <c r="K9" s="33" t="s">
        <v>244</v>
      </c>
      <c r="L9" s="64">
        <v>46357</v>
      </c>
      <c r="M9" s="63" t="s">
        <v>172</v>
      </c>
    </row>
    <row r="10" spans="1:13" ht="24" x14ac:dyDescent="0.25">
      <c r="A10" s="34">
        <v>8</v>
      </c>
      <c r="B10" s="34" t="s">
        <v>119</v>
      </c>
      <c r="C10" s="35" t="s">
        <v>3</v>
      </c>
      <c r="D10" s="36" t="s">
        <v>3</v>
      </c>
      <c r="E10" s="35">
        <v>1</v>
      </c>
      <c r="F10" s="36">
        <v>40.299999999999997</v>
      </c>
      <c r="G10" s="35">
        <v>1</v>
      </c>
      <c r="H10" s="36">
        <v>40.299999999999997</v>
      </c>
      <c r="I10" s="32">
        <v>2</v>
      </c>
      <c r="J10" s="66">
        <f t="shared" si="0"/>
        <v>1</v>
      </c>
      <c r="K10" s="33" t="s">
        <v>255</v>
      </c>
      <c r="L10" s="64">
        <v>46357</v>
      </c>
      <c r="M10" s="63" t="s">
        <v>172</v>
      </c>
    </row>
    <row r="11" spans="1:13" x14ac:dyDescent="0.25">
      <c r="A11" s="29">
        <v>9</v>
      </c>
      <c r="B11" s="29" t="s">
        <v>120</v>
      </c>
      <c r="C11" s="30" t="s">
        <v>3</v>
      </c>
      <c r="D11" s="31" t="s">
        <v>3</v>
      </c>
      <c r="E11" s="30">
        <v>1</v>
      </c>
      <c r="F11" s="31">
        <v>68.3</v>
      </c>
      <c r="G11" s="30">
        <v>1</v>
      </c>
      <c r="H11" s="31">
        <v>68.3</v>
      </c>
      <c r="I11" s="32">
        <v>2</v>
      </c>
      <c r="J11" s="66">
        <f t="shared" si="0"/>
        <v>1</v>
      </c>
      <c r="K11" s="33" t="s">
        <v>256</v>
      </c>
      <c r="L11" s="64">
        <v>46357</v>
      </c>
      <c r="M11" s="63" t="s">
        <v>172</v>
      </c>
    </row>
    <row r="12" spans="1:13" ht="24" x14ac:dyDescent="0.25">
      <c r="A12" s="34">
        <v>10</v>
      </c>
      <c r="B12" s="34" t="s">
        <v>121</v>
      </c>
      <c r="C12" s="35" t="s">
        <v>3</v>
      </c>
      <c r="D12" s="36" t="s">
        <v>3</v>
      </c>
      <c r="E12" s="35">
        <v>1</v>
      </c>
      <c r="F12" s="36">
        <v>43.3</v>
      </c>
      <c r="G12" s="35">
        <v>1</v>
      </c>
      <c r="H12" s="36">
        <v>43.3</v>
      </c>
      <c r="I12" s="32">
        <v>2</v>
      </c>
      <c r="J12" s="66">
        <f t="shared" si="0"/>
        <v>1</v>
      </c>
      <c r="K12" s="33" t="s">
        <v>179</v>
      </c>
      <c r="L12" s="64">
        <v>46357</v>
      </c>
      <c r="M12" s="63" t="s">
        <v>172</v>
      </c>
    </row>
    <row r="13" spans="1:13" x14ac:dyDescent="0.25">
      <c r="A13" s="40" t="s">
        <v>3</v>
      </c>
      <c r="B13" s="40" t="s">
        <v>21</v>
      </c>
      <c r="C13" s="41">
        <v>12</v>
      </c>
      <c r="D13" s="42">
        <v>117.2</v>
      </c>
      <c r="E13" s="41">
        <v>16</v>
      </c>
      <c r="F13" s="42">
        <v>71.7</v>
      </c>
      <c r="G13" s="41">
        <v>28</v>
      </c>
      <c r="H13" s="42">
        <v>88.1</v>
      </c>
      <c r="I13" s="43">
        <v>40</v>
      </c>
      <c r="J13" s="43">
        <f>+SUM(J3:J12)</f>
        <v>19.850000000000001</v>
      </c>
      <c r="K13" s="40" t="s">
        <v>3</v>
      </c>
      <c r="L13" s="40"/>
      <c r="M13" s="40"/>
    </row>
  </sheetData>
  <autoFilter ref="A2:K12" xr:uid="{00000000-0009-0000-0000-00000A000000}"/>
  <mergeCells count="10">
    <mergeCell ref="I1:I2"/>
    <mergeCell ref="K1:K2"/>
    <mergeCell ref="L1:L2"/>
    <mergeCell ref="M1:M2"/>
    <mergeCell ref="J1:J2"/>
    <mergeCell ref="A1:A2"/>
    <mergeCell ref="B1:B2"/>
    <mergeCell ref="C1:D1"/>
    <mergeCell ref="E1:F1"/>
    <mergeCell ref="G1:H1"/>
  </mergeCells>
  <pageMargins left="0.7" right="0.7" top="0.75" bottom="0.75" header="0.3" footer="0.3"/>
  <ignoredErrors>
    <ignoredError sqref="K1:K2 K13 A3:I13 A1:I2"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13"/>
  <sheetViews>
    <sheetView showGridLines="0" workbookViewId="0">
      <selection activeCell="J12" sqref="J12"/>
    </sheetView>
  </sheetViews>
  <sheetFormatPr baseColWidth="10" defaultRowHeight="15" x14ac:dyDescent="0.25"/>
  <cols>
    <col min="1" max="1" width="4.85546875" style="28" customWidth="1"/>
    <col min="2" max="2" width="44.85546875" style="28" customWidth="1"/>
    <col min="3" max="3" width="9.85546875" style="28" customWidth="1"/>
    <col min="4" max="4" width="11.85546875" style="28" customWidth="1"/>
    <col min="5" max="5" width="9.85546875" style="28" customWidth="1"/>
    <col min="6" max="6" width="11.85546875" style="28" customWidth="1"/>
    <col min="7" max="7" width="10.85546875" style="28" customWidth="1"/>
    <col min="8" max="8" width="13.85546875" style="28" customWidth="1"/>
    <col min="9" max="10" width="20.85546875" style="28" customWidth="1"/>
    <col min="11" max="11" width="46.85546875" style="28" customWidth="1"/>
    <col min="12" max="16384" width="11.42578125" style="28"/>
  </cols>
  <sheetData>
    <row r="1" spans="1:13" ht="20.100000000000001" customHeight="1" x14ac:dyDescent="0.25">
      <c r="A1" s="18" t="s">
        <v>0</v>
      </c>
      <c r="B1" s="18" t="s">
        <v>1</v>
      </c>
      <c r="C1" s="19" t="s">
        <v>2</v>
      </c>
      <c r="D1" s="19" t="s">
        <v>3</v>
      </c>
      <c r="E1" s="17" t="s">
        <v>4</v>
      </c>
      <c r="F1" s="17" t="s">
        <v>3</v>
      </c>
      <c r="G1" s="18" t="s">
        <v>6</v>
      </c>
      <c r="H1" s="18" t="s">
        <v>3</v>
      </c>
      <c r="I1" s="18" t="s">
        <v>7</v>
      </c>
      <c r="J1" s="68" t="s">
        <v>288</v>
      </c>
      <c r="K1" s="21" t="s">
        <v>8</v>
      </c>
      <c r="L1" s="22" t="s">
        <v>161</v>
      </c>
      <c r="M1" s="23" t="s">
        <v>162</v>
      </c>
    </row>
    <row r="2" spans="1:13" ht="30" customHeight="1" x14ac:dyDescent="0.25">
      <c r="A2" s="18" t="s">
        <v>3</v>
      </c>
      <c r="B2" s="18" t="s">
        <v>3</v>
      </c>
      <c r="C2" s="3" t="s">
        <v>9</v>
      </c>
      <c r="D2" s="3" t="s">
        <v>10</v>
      </c>
      <c r="E2" s="1" t="s">
        <v>9</v>
      </c>
      <c r="F2" s="1" t="s">
        <v>10</v>
      </c>
      <c r="G2" s="2" t="s">
        <v>9</v>
      </c>
      <c r="H2" s="2" t="s">
        <v>10</v>
      </c>
      <c r="I2" s="18" t="s">
        <v>3</v>
      </c>
      <c r="J2" s="69"/>
      <c r="K2" s="21" t="s">
        <v>3</v>
      </c>
      <c r="L2" s="24"/>
      <c r="M2" s="25"/>
    </row>
    <row r="3" spans="1:13" ht="24" x14ac:dyDescent="0.25">
      <c r="A3" s="29">
        <v>1</v>
      </c>
      <c r="B3" s="29" t="s">
        <v>122</v>
      </c>
      <c r="C3" s="30">
        <v>3</v>
      </c>
      <c r="D3" s="31" t="s">
        <v>3</v>
      </c>
      <c r="E3" s="30">
        <v>9</v>
      </c>
      <c r="F3" s="31">
        <v>45.8</v>
      </c>
      <c r="G3" s="30">
        <v>12</v>
      </c>
      <c r="H3" s="31">
        <v>45.8</v>
      </c>
      <c r="I3" s="32">
        <v>20.2</v>
      </c>
      <c r="J3" s="66">
        <f>+I3*0.5</f>
        <v>10.1</v>
      </c>
      <c r="K3" s="33" t="s">
        <v>257</v>
      </c>
      <c r="L3" s="63" t="s">
        <v>258</v>
      </c>
      <c r="M3" s="63" t="s">
        <v>164</v>
      </c>
    </row>
    <row r="4" spans="1:13" ht="24" x14ac:dyDescent="0.25">
      <c r="A4" s="34">
        <v>2</v>
      </c>
      <c r="B4" s="34" t="s">
        <v>123</v>
      </c>
      <c r="C4" s="35" t="s">
        <v>3</v>
      </c>
      <c r="D4" s="36">
        <v>85.4</v>
      </c>
      <c r="E4" s="35">
        <v>3</v>
      </c>
      <c r="F4" s="36">
        <v>48.2</v>
      </c>
      <c r="G4" s="35">
        <v>3</v>
      </c>
      <c r="H4" s="36">
        <v>57.5</v>
      </c>
      <c r="I4" s="32">
        <v>6.1</v>
      </c>
      <c r="J4" s="66">
        <f t="shared" ref="J4:J12" si="0">+I4*0.5</f>
        <v>3.05</v>
      </c>
      <c r="K4" s="33" t="s">
        <v>259</v>
      </c>
      <c r="L4" s="63" t="s">
        <v>258</v>
      </c>
      <c r="M4" s="63" t="s">
        <v>164</v>
      </c>
    </row>
    <row r="5" spans="1:13" ht="24" x14ac:dyDescent="0.25">
      <c r="A5" s="29">
        <v>3</v>
      </c>
      <c r="B5" s="29" t="s">
        <v>124</v>
      </c>
      <c r="C5" s="30">
        <v>4</v>
      </c>
      <c r="D5" s="31">
        <v>168.3</v>
      </c>
      <c r="E5" s="30" t="s">
        <v>3</v>
      </c>
      <c r="F5" s="31" t="s">
        <v>3</v>
      </c>
      <c r="G5" s="30">
        <v>4</v>
      </c>
      <c r="H5" s="31">
        <v>168.3</v>
      </c>
      <c r="I5" s="32">
        <v>2.5</v>
      </c>
      <c r="J5" s="66">
        <f t="shared" si="0"/>
        <v>1.25</v>
      </c>
      <c r="K5" s="33" t="s">
        <v>260</v>
      </c>
      <c r="L5" s="63" t="s">
        <v>258</v>
      </c>
      <c r="M5" s="63" t="s">
        <v>164</v>
      </c>
    </row>
    <row r="6" spans="1:13" x14ac:dyDescent="0.25">
      <c r="A6" s="34">
        <v>4</v>
      </c>
      <c r="B6" s="34" t="s">
        <v>125</v>
      </c>
      <c r="C6" s="35" t="s">
        <v>3</v>
      </c>
      <c r="D6" s="36" t="s">
        <v>3</v>
      </c>
      <c r="E6" s="35">
        <v>1</v>
      </c>
      <c r="F6" s="36">
        <v>67.2</v>
      </c>
      <c r="G6" s="35">
        <v>1</v>
      </c>
      <c r="H6" s="36">
        <v>67.2</v>
      </c>
      <c r="I6" s="32">
        <v>2</v>
      </c>
      <c r="J6" s="66">
        <f t="shared" si="0"/>
        <v>1</v>
      </c>
      <c r="K6" s="33" t="s">
        <v>248</v>
      </c>
      <c r="L6" s="63" t="s">
        <v>258</v>
      </c>
      <c r="M6" s="63" t="s">
        <v>164</v>
      </c>
    </row>
    <row r="7" spans="1:13" ht="24" x14ac:dyDescent="0.25">
      <c r="A7" s="29">
        <v>5</v>
      </c>
      <c r="B7" s="29" t="s">
        <v>126</v>
      </c>
      <c r="C7" s="30" t="s">
        <v>3</v>
      </c>
      <c r="D7" s="31" t="s">
        <v>3</v>
      </c>
      <c r="E7" s="30">
        <v>1</v>
      </c>
      <c r="F7" s="31">
        <v>84</v>
      </c>
      <c r="G7" s="30">
        <v>1</v>
      </c>
      <c r="H7" s="31">
        <v>84</v>
      </c>
      <c r="I7" s="32">
        <v>2</v>
      </c>
      <c r="J7" s="66">
        <f t="shared" si="0"/>
        <v>1</v>
      </c>
      <c r="K7" s="33" t="s">
        <v>261</v>
      </c>
      <c r="L7" s="63" t="s">
        <v>258</v>
      </c>
      <c r="M7" s="63" t="s">
        <v>164</v>
      </c>
    </row>
    <row r="8" spans="1:13" x14ac:dyDescent="0.25">
      <c r="A8" s="34">
        <v>6</v>
      </c>
      <c r="B8" s="34" t="s">
        <v>127</v>
      </c>
      <c r="C8" s="35" t="s">
        <v>3</v>
      </c>
      <c r="D8" s="36" t="s">
        <v>3</v>
      </c>
      <c r="E8" s="35">
        <v>1</v>
      </c>
      <c r="F8" s="36">
        <v>79.2</v>
      </c>
      <c r="G8" s="35">
        <v>1</v>
      </c>
      <c r="H8" s="36">
        <v>79.2</v>
      </c>
      <c r="I8" s="32">
        <v>2</v>
      </c>
      <c r="J8" s="66">
        <f t="shared" si="0"/>
        <v>1</v>
      </c>
      <c r="K8" s="33" t="s">
        <v>180</v>
      </c>
      <c r="L8" s="63" t="s">
        <v>258</v>
      </c>
      <c r="M8" s="63" t="s">
        <v>164</v>
      </c>
    </row>
    <row r="9" spans="1:13" x14ac:dyDescent="0.25">
      <c r="A9" s="29">
        <v>7</v>
      </c>
      <c r="B9" s="29" t="s">
        <v>128</v>
      </c>
      <c r="C9" s="30">
        <v>1</v>
      </c>
      <c r="D9" s="31">
        <v>93.8</v>
      </c>
      <c r="E9" s="30" t="s">
        <v>3</v>
      </c>
      <c r="F9" s="31" t="s">
        <v>3</v>
      </c>
      <c r="G9" s="30">
        <v>1</v>
      </c>
      <c r="H9" s="31">
        <v>93.8</v>
      </c>
      <c r="I9" s="32">
        <v>0.6</v>
      </c>
      <c r="J9" s="66">
        <f t="shared" si="0"/>
        <v>0.3</v>
      </c>
      <c r="K9" s="33" t="s">
        <v>262</v>
      </c>
      <c r="L9" s="63" t="s">
        <v>258</v>
      </c>
      <c r="M9" s="63" t="s">
        <v>164</v>
      </c>
    </row>
    <row r="10" spans="1:13" x14ac:dyDescent="0.25">
      <c r="A10" s="34">
        <v>8</v>
      </c>
      <c r="B10" s="34" t="s">
        <v>129</v>
      </c>
      <c r="C10" s="35">
        <v>1</v>
      </c>
      <c r="D10" s="36">
        <v>134.1</v>
      </c>
      <c r="E10" s="35" t="s">
        <v>3</v>
      </c>
      <c r="F10" s="36" t="s">
        <v>3</v>
      </c>
      <c r="G10" s="35">
        <v>1</v>
      </c>
      <c r="H10" s="36">
        <v>134.1</v>
      </c>
      <c r="I10" s="32">
        <v>0.6</v>
      </c>
      <c r="J10" s="66">
        <f t="shared" si="0"/>
        <v>0.3</v>
      </c>
      <c r="K10" s="33" t="s">
        <v>221</v>
      </c>
      <c r="L10" s="63" t="s">
        <v>258</v>
      </c>
      <c r="M10" s="63" t="s">
        <v>164</v>
      </c>
    </row>
    <row r="11" spans="1:13" x14ac:dyDescent="0.25">
      <c r="A11" s="29">
        <v>9</v>
      </c>
      <c r="B11" s="29" t="s">
        <v>130</v>
      </c>
      <c r="C11" s="30">
        <v>1</v>
      </c>
      <c r="D11" s="31">
        <v>90.6</v>
      </c>
      <c r="E11" s="30" t="s">
        <v>3</v>
      </c>
      <c r="F11" s="31" t="s">
        <v>3</v>
      </c>
      <c r="G11" s="30">
        <v>1</v>
      </c>
      <c r="H11" s="31">
        <v>90.6</v>
      </c>
      <c r="I11" s="32">
        <v>0.6</v>
      </c>
      <c r="J11" s="66">
        <f t="shared" si="0"/>
        <v>0.3</v>
      </c>
      <c r="K11" s="33" t="s">
        <v>263</v>
      </c>
      <c r="L11" s="63" t="s">
        <v>258</v>
      </c>
      <c r="M11" s="63" t="s">
        <v>164</v>
      </c>
    </row>
    <row r="12" spans="1:13" x14ac:dyDescent="0.25">
      <c r="A12" s="51">
        <v>10</v>
      </c>
      <c r="B12" s="51" t="s">
        <v>131</v>
      </c>
      <c r="C12" s="48">
        <v>1</v>
      </c>
      <c r="D12" s="52">
        <v>175</v>
      </c>
      <c r="E12" s="48" t="s">
        <v>3</v>
      </c>
      <c r="F12" s="52" t="s">
        <v>3</v>
      </c>
      <c r="G12" s="48">
        <v>1</v>
      </c>
      <c r="H12" s="52">
        <v>175</v>
      </c>
      <c r="I12" s="53">
        <v>0.6</v>
      </c>
      <c r="J12" s="67">
        <f t="shared" si="0"/>
        <v>0.3</v>
      </c>
      <c r="K12" s="37"/>
      <c r="L12" s="38"/>
      <c r="M12" s="38"/>
    </row>
    <row r="13" spans="1:13" x14ac:dyDescent="0.25">
      <c r="A13" s="40" t="s">
        <v>3</v>
      </c>
      <c r="B13" s="40" t="s">
        <v>21</v>
      </c>
      <c r="C13" s="41">
        <v>11</v>
      </c>
      <c r="D13" s="42">
        <v>131.19999999999999</v>
      </c>
      <c r="E13" s="41">
        <v>15</v>
      </c>
      <c r="F13" s="42">
        <v>54.2</v>
      </c>
      <c r="G13" s="41">
        <v>26</v>
      </c>
      <c r="H13" s="42">
        <v>89.2</v>
      </c>
      <c r="I13" s="43">
        <v>37.4</v>
      </c>
      <c r="J13" s="43">
        <f>+SUM(J3:J12)</f>
        <v>18.600000000000001</v>
      </c>
      <c r="K13" s="40" t="s">
        <v>3</v>
      </c>
      <c r="L13" s="40"/>
      <c r="M13" s="40"/>
    </row>
  </sheetData>
  <autoFilter ref="A2:K12" xr:uid="{00000000-0009-0000-0000-00000B000000}"/>
  <mergeCells count="10">
    <mergeCell ref="I1:I2"/>
    <mergeCell ref="K1:K2"/>
    <mergeCell ref="L1:L2"/>
    <mergeCell ref="M1:M2"/>
    <mergeCell ref="J1:J2"/>
    <mergeCell ref="A1:A2"/>
    <mergeCell ref="B1:B2"/>
    <mergeCell ref="C1:D1"/>
    <mergeCell ref="E1:F1"/>
    <mergeCell ref="G1:H1"/>
  </mergeCells>
  <pageMargins left="0.7" right="0.7" top="0.75" bottom="0.75" header="0.3" footer="0.3"/>
  <ignoredErrors>
    <ignoredError sqref="K1:K2 K13 A3:I13 A1:I2"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2"/>
  <sheetViews>
    <sheetView showGridLines="0" workbookViewId="0">
      <selection activeCell="J12" sqref="J12"/>
    </sheetView>
  </sheetViews>
  <sheetFormatPr baseColWidth="10" defaultRowHeight="15" x14ac:dyDescent="0.25"/>
  <cols>
    <col min="1" max="1" width="4.85546875" style="28" customWidth="1"/>
    <col min="2" max="2" width="44.85546875" style="28" customWidth="1"/>
    <col min="3" max="3" width="9.85546875" style="28" customWidth="1"/>
    <col min="4" max="4" width="11.85546875" style="28" customWidth="1"/>
    <col min="5" max="5" width="9.85546875" style="28" customWidth="1"/>
    <col min="6" max="6" width="11.85546875" style="28" customWidth="1"/>
    <col min="7" max="7" width="10.85546875" style="28" customWidth="1"/>
    <col min="8" max="8" width="13.85546875" style="28" customWidth="1"/>
    <col min="9" max="10" width="20.85546875" style="28" customWidth="1"/>
    <col min="11" max="11" width="46.85546875" style="28" customWidth="1"/>
    <col min="12" max="16384" width="11.42578125" style="28"/>
  </cols>
  <sheetData>
    <row r="1" spans="1:13" ht="20.100000000000001" customHeight="1" x14ac:dyDescent="0.25">
      <c r="A1" s="18" t="s">
        <v>0</v>
      </c>
      <c r="B1" s="18" t="s">
        <v>1</v>
      </c>
      <c r="C1" s="19" t="s">
        <v>2</v>
      </c>
      <c r="D1" s="19" t="s">
        <v>3</v>
      </c>
      <c r="E1" s="17" t="s">
        <v>4</v>
      </c>
      <c r="F1" s="17" t="s">
        <v>3</v>
      </c>
      <c r="G1" s="18" t="s">
        <v>6</v>
      </c>
      <c r="H1" s="18" t="s">
        <v>3</v>
      </c>
      <c r="I1" s="18" t="s">
        <v>7</v>
      </c>
      <c r="J1" s="68" t="s">
        <v>288</v>
      </c>
      <c r="K1" s="21" t="s">
        <v>8</v>
      </c>
      <c r="L1" s="22" t="s">
        <v>161</v>
      </c>
      <c r="M1" s="23" t="s">
        <v>162</v>
      </c>
    </row>
    <row r="2" spans="1:13" ht="30" customHeight="1" x14ac:dyDescent="0.25">
      <c r="A2" s="18" t="s">
        <v>3</v>
      </c>
      <c r="B2" s="18" t="s">
        <v>3</v>
      </c>
      <c r="C2" s="3" t="s">
        <v>9</v>
      </c>
      <c r="D2" s="3" t="s">
        <v>10</v>
      </c>
      <c r="E2" s="1" t="s">
        <v>9</v>
      </c>
      <c r="F2" s="1" t="s">
        <v>10</v>
      </c>
      <c r="G2" s="2" t="s">
        <v>9</v>
      </c>
      <c r="H2" s="2" t="s">
        <v>10</v>
      </c>
      <c r="I2" s="18" t="s">
        <v>3</v>
      </c>
      <c r="J2" s="69"/>
      <c r="K2" s="21" t="s">
        <v>3</v>
      </c>
      <c r="L2" s="24"/>
      <c r="M2" s="25"/>
    </row>
    <row r="3" spans="1:13" ht="24" x14ac:dyDescent="0.25">
      <c r="A3" s="29">
        <v>1</v>
      </c>
      <c r="B3" s="29" t="s">
        <v>132</v>
      </c>
      <c r="C3" s="30">
        <v>1</v>
      </c>
      <c r="D3" s="31">
        <v>96.9</v>
      </c>
      <c r="E3" s="30">
        <v>3</v>
      </c>
      <c r="F3" s="31">
        <v>94.8</v>
      </c>
      <c r="G3" s="30">
        <v>4</v>
      </c>
      <c r="H3" s="31">
        <v>95.7</v>
      </c>
      <c r="I3" s="32">
        <v>6.7</v>
      </c>
      <c r="J3" s="66">
        <f>+I3*0.5</f>
        <v>3.35</v>
      </c>
      <c r="K3" s="33" t="s">
        <v>264</v>
      </c>
      <c r="L3" s="63" t="s">
        <v>258</v>
      </c>
      <c r="M3" s="63" t="s">
        <v>172</v>
      </c>
    </row>
    <row r="4" spans="1:13" ht="24" x14ac:dyDescent="0.25">
      <c r="A4" s="34">
        <v>2</v>
      </c>
      <c r="B4" s="34" t="s">
        <v>133</v>
      </c>
      <c r="C4" s="35">
        <v>1</v>
      </c>
      <c r="D4" s="36">
        <v>231.7</v>
      </c>
      <c r="E4" s="35">
        <v>2</v>
      </c>
      <c r="F4" s="36">
        <v>58.3</v>
      </c>
      <c r="G4" s="35">
        <v>3</v>
      </c>
      <c r="H4" s="36">
        <v>116.1</v>
      </c>
      <c r="I4" s="32">
        <v>4.7</v>
      </c>
      <c r="J4" s="66">
        <f t="shared" ref="J4:J11" si="0">+I4*0.5</f>
        <v>2.35</v>
      </c>
      <c r="K4" s="33" t="s">
        <v>265</v>
      </c>
      <c r="L4" s="63" t="s">
        <v>258</v>
      </c>
      <c r="M4" s="63" t="s">
        <v>172</v>
      </c>
    </row>
    <row r="5" spans="1:13" x14ac:dyDescent="0.25">
      <c r="A5" s="29">
        <v>3</v>
      </c>
      <c r="B5" s="29" t="s">
        <v>134</v>
      </c>
      <c r="C5" s="30" t="s">
        <v>3</v>
      </c>
      <c r="D5" s="31" t="s">
        <v>3</v>
      </c>
      <c r="E5" s="30">
        <v>2</v>
      </c>
      <c r="F5" s="31">
        <v>26.7</v>
      </c>
      <c r="G5" s="30">
        <v>2</v>
      </c>
      <c r="H5" s="31">
        <v>26.7</v>
      </c>
      <c r="I5" s="32">
        <v>4.0999999999999996</v>
      </c>
      <c r="J5" s="66">
        <f t="shared" si="0"/>
        <v>2.0499999999999998</v>
      </c>
      <c r="K5" s="33" t="s">
        <v>266</v>
      </c>
      <c r="L5" s="63" t="s">
        <v>258</v>
      </c>
      <c r="M5" s="63" t="s">
        <v>172</v>
      </c>
    </row>
    <row r="6" spans="1:13" ht="24" x14ac:dyDescent="0.25">
      <c r="A6" s="34">
        <v>4</v>
      </c>
      <c r="B6" s="34" t="s">
        <v>135</v>
      </c>
      <c r="C6" s="35" t="s">
        <v>3</v>
      </c>
      <c r="D6" s="36">
        <v>115.6</v>
      </c>
      <c r="E6" s="35">
        <v>1</v>
      </c>
      <c r="F6" s="36">
        <v>72.900000000000006</v>
      </c>
      <c r="G6" s="35">
        <v>1</v>
      </c>
      <c r="H6" s="36">
        <v>107.9</v>
      </c>
      <c r="I6" s="32">
        <v>2</v>
      </c>
      <c r="J6" s="66">
        <f t="shared" si="0"/>
        <v>1</v>
      </c>
      <c r="K6" s="33" t="s">
        <v>267</v>
      </c>
      <c r="L6" s="63" t="s">
        <v>258</v>
      </c>
      <c r="M6" s="63" t="s">
        <v>172</v>
      </c>
    </row>
    <row r="7" spans="1:13" ht="24" x14ac:dyDescent="0.25">
      <c r="A7" s="29">
        <v>5</v>
      </c>
      <c r="B7" s="29" t="s">
        <v>136</v>
      </c>
      <c r="C7" s="30" t="s">
        <v>3</v>
      </c>
      <c r="D7" s="31" t="s">
        <v>3</v>
      </c>
      <c r="E7" s="30">
        <v>1</v>
      </c>
      <c r="F7" s="31">
        <v>128.30000000000001</v>
      </c>
      <c r="G7" s="30">
        <v>1</v>
      </c>
      <c r="H7" s="31">
        <v>128.30000000000001</v>
      </c>
      <c r="I7" s="32">
        <v>2</v>
      </c>
      <c r="J7" s="66">
        <f t="shared" si="0"/>
        <v>1</v>
      </c>
      <c r="K7" s="33" t="s">
        <v>268</v>
      </c>
      <c r="L7" s="63" t="s">
        <v>258</v>
      </c>
      <c r="M7" s="63" t="s">
        <v>172</v>
      </c>
    </row>
    <row r="8" spans="1:13" x14ac:dyDescent="0.25">
      <c r="A8" s="34">
        <v>6</v>
      </c>
      <c r="B8" s="34" t="s">
        <v>137</v>
      </c>
      <c r="C8" s="35" t="s">
        <v>3</v>
      </c>
      <c r="D8" s="36" t="s">
        <v>3</v>
      </c>
      <c r="E8" s="35">
        <v>1</v>
      </c>
      <c r="F8" s="36">
        <v>78.3</v>
      </c>
      <c r="G8" s="35">
        <v>1</v>
      </c>
      <c r="H8" s="36">
        <v>78.3</v>
      </c>
      <c r="I8" s="32">
        <v>2</v>
      </c>
      <c r="J8" s="66">
        <f t="shared" si="0"/>
        <v>1</v>
      </c>
      <c r="K8" s="33" t="s">
        <v>269</v>
      </c>
      <c r="L8" s="63" t="s">
        <v>258</v>
      </c>
      <c r="M8" s="63" t="s">
        <v>172</v>
      </c>
    </row>
    <row r="9" spans="1:13" x14ac:dyDescent="0.25">
      <c r="A9" s="29">
        <v>7</v>
      </c>
      <c r="B9" s="29" t="s">
        <v>138</v>
      </c>
      <c r="C9" s="30" t="s">
        <v>3</v>
      </c>
      <c r="D9" s="31" t="s">
        <v>3</v>
      </c>
      <c r="E9" s="30">
        <v>1</v>
      </c>
      <c r="F9" s="31">
        <v>104.2</v>
      </c>
      <c r="G9" s="30">
        <v>1</v>
      </c>
      <c r="H9" s="31">
        <v>104.2</v>
      </c>
      <c r="I9" s="32">
        <v>2</v>
      </c>
      <c r="J9" s="66">
        <f t="shared" si="0"/>
        <v>1</v>
      </c>
      <c r="K9" s="33" t="s">
        <v>270</v>
      </c>
      <c r="L9" s="63" t="s">
        <v>258</v>
      </c>
      <c r="M9" s="63" t="s">
        <v>172</v>
      </c>
    </row>
    <row r="10" spans="1:13" ht="24" x14ac:dyDescent="0.25">
      <c r="A10" s="34">
        <v>8</v>
      </c>
      <c r="B10" s="34" t="s">
        <v>139</v>
      </c>
      <c r="C10" s="35" t="s">
        <v>3</v>
      </c>
      <c r="D10" s="36" t="s">
        <v>3</v>
      </c>
      <c r="E10" s="35">
        <v>1</v>
      </c>
      <c r="F10" s="36">
        <v>37.799999999999997</v>
      </c>
      <c r="G10" s="35">
        <v>1</v>
      </c>
      <c r="H10" s="36">
        <v>37.799999999999997</v>
      </c>
      <c r="I10" s="32">
        <v>2</v>
      </c>
      <c r="J10" s="66">
        <f t="shared" si="0"/>
        <v>1</v>
      </c>
      <c r="K10" s="33" t="s">
        <v>271</v>
      </c>
      <c r="L10" s="63" t="s">
        <v>258</v>
      </c>
      <c r="M10" s="63" t="s">
        <v>172</v>
      </c>
    </row>
    <row r="11" spans="1:13" x14ac:dyDescent="0.25">
      <c r="A11" s="29">
        <v>9</v>
      </c>
      <c r="B11" s="29" t="s">
        <v>140</v>
      </c>
      <c r="C11" s="30">
        <v>1</v>
      </c>
      <c r="D11" s="31">
        <v>161.5</v>
      </c>
      <c r="E11" s="30" t="s">
        <v>3</v>
      </c>
      <c r="F11" s="31" t="s">
        <v>3</v>
      </c>
      <c r="G11" s="30">
        <v>1</v>
      </c>
      <c r="H11" s="31">
        <v>161.5</v>
      </c>
      <c r="I11" s="32">
        <v>0.6</v>
      </c>
      <c r="J11" s="66">
        <f t="shared" si="0"/>
        <v>0.3</v>
      </c>
      <c r="K11" s="33" t="s">
        <v>272</v>
      </c>
      <c r="L11" s="63" t="s">
        <v>258</v>
      </c>
      <c r="M11" s="63" t="s">
        <v>172</v>
      </c>
    </row>
    <row r="12" spans="1:13" x14ac:dyDescent="0.25">
      <c r="A12" s="40" t="s">
        <v>3</v>
      </c>
      <c r="B12" s="40" t="s">
        <v>141</v>
      </c>
      <c r="C12" s="41">
        <v>3</v>
      </c>
      <c r="D12" s="42">
        <v>123.2</v>
      </c>
      <c r="E12" s="41">
        <v>12</v>
      </c>
      <c r="F12" s="42">
        <v>78.2</v>
      </c>
      <c r="G12" s="41">
        <v>15</v>
      </c>
      <c r="H12" s="42">
        <v>101.5</v>
      </c>
      <c r="I12" s="43">
        <v>26.4</v>
      </c>
      <c r="J12" s="43">
        <f>+SUM(J3:J11)</f>
        <v>13.05</v>
      </c>
      <c r="K12" s="40" t="s">
        <v>3</v>
      </c>
      <c r="L12" s="40"/>
      <c r="M12" s="40"/>
    </row>
  </sheetData>
  <autoFilter ref="A2:K11" xr:uid="{00000000-0009-0000-0000-00000C000000}"/>
  <mergeCells count="10">
    <mergeCell ref="I1:I2"/>
    <mergeCell ref="K1:K2"/>
    <mergeCell ref="L1:L2"/>
    <mergeCell ref="M1:M2"/>
    <mergeCell ref="J1:J2"/>
    <mergeCell ref="A1:A2"/>
    <mergeCell ref="B1:B2"/>
    <mergeCell ref="C1:D1"/>
    <mergeCell ref="E1:F1"/>
    <mergeCell ref="G1:H1"/>
  </mergeCells>
  <pageMargins left="0.7" right="0.7" top="0.75" bottom="0.75" header="0.3" footer="0.3"/>
  <ignoredErrors>
    <ignoredError sqref="K1:K2 K12 A3:I12 A1:I2"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9"/>
  <sheetViews>
    <sheetView showGridLines="0" workbookViewId="0">
      <selection activeCell="J9" sqref="J9"/>
    </sheetView>
  </sheetViews>
  <sheetFormatPr baseColWidth="10" defaultRowHeight="15" x14ac:dyDescent="0.25"/>
  <cols>
    <col min="1" max="1" width="4.85546875" customWidth="1"/>
    <col min="2" max="2" width="44.85546875" customWidth="1"/>
    <col min="3" max="3" width="9.85546875" customWidth="1"/>
    <col min="4" max="4" width="11.85546875" customWidth="1"/>
    <col min="5" max="5" width="9.85546875" customWidth="1"/>
    <col min="6" max="6" width="11.85546875" customWidth="1"/>
    <col min="7" max="7" width="10.85546875" customWidth="1"/>
    <col min="8" max="8" width="13.85546875" customWidth="1"/>
    <col min="9" max="10" width="20.85546875" customWidth="1"/>
    <col min="11" max="11" width="46.85546875" customWidth="1"/>
  </cols>
  <sheetData>
    <row r="1" spans="1:13" ht="20.100000000000001" customHeight="1" x14ac:dyDescent="0.25">
      <c r="A1" s="18" t="s">
        <v>0</v>
      </c>
      <c r="B1" s="18" t="s">
        <v>1</v>
      </c>
      <c r="C1" s="19" t="s">
        <v>2</v>
      </c>
      <c r="D1" s="19" t="s">
        <v>3</v>
      </c>
      <c r="E1" s="17" t="s">
        <v>4</v>
      </c>
      <c r="F1" s="17" t="s">
        <v>3</v>
      </c>
      <c r="G1" s="18" t="s">
        <v>6</v>
      </c>
      <c r="H1" s="18" t="s">
        <v>3</v>
      </c>
      <c r="I1" s="18" t="s">
        <v>7</v>
      </c>
      <c r="J1" s="68" t="s">
        <v>288</v>
      </c>
      <c r="K1" s="21" t="s">
        <v>8</v>
      </c>
      <c r="L1" s="22" t="s">
        <v>161</v>
      </c>
      <c r="M1" s="23" t="s">
        <v>162</v>
      </c>
    </row>
    <row r="2" spans="1:13" ht="30" customHeight="1" x14ac:dyDescent="0.25">
      <c r="A2" s="18" t="s">
        <v>3</v>
      </c>
      <c r="B2" s="18" t="s">
        <v>3</v>
      </c>
      <c r="C2" s="3" t="s">
        <v>9</v>
      </c>
      <c r="D2" s="3" t="s">
        <v>10</v>
      </c>
      <c r="E2" s="1" t="s">
        <v>9</v>
      </c>
      <c r="F2" s="1" t="s">
        <v>10</v>
      </c>
      <c r="G2" s="2" t="s">
        <v>9</v>
      </c>
      <c r="H2" s="2" t="s">
        <v>10</v>
      </c>
      <c r="I2" s="18" t="s">
        <v>3</v>
      </c>
      <c r="J2" s="69"/>
      <c r="K2" s="21" t="s">
        <v>3</v>
      </c>
      <c r="L2" s="24"/>
      <c r="M2" s="25"/>
    </row>
    <row r="3" spans="1:13" x14ac:dyDescent="0.25">
      <c r="A3" s="5">
        <v>1</v>
      </c>
      <c r="B3" s="5" t="s">
        <v>142</v>
      </c>
      <c r="C3" s="6" t="s">
        <v>3</v>
      </c>
      <c r="D3" s="7" t="s">
        <v>3</v>
      </c>
      <c r="E3" s="6">
        <v>4</v>
      </c>
      <c r="F3" s="7">
        <v>84.9</v>
      </c>
      <c r="G3" s="6">
        <v>4</v>
      </c>
      <c r="H3" s="7">
        <v>84.9</v>
      </c>
      <c r="I3" s="8">
        <v>8.1999999999999993</v>
      </c>
      <c r="J3" s="66">
        <f>+I3*0.5</f>
        <v>4.0999999999999996</v>
      </c>
      <c r="K3" s="9" t="s">
        <v>273</v>
      </c>
      <c r="L3" s="9" t="s">
        <v>258</v>
      </c>
      <c r="M3" s="9" t="s">
        <v>164</v>
      </c>
    </row>
    <row r="4" spans="1:13" x14ac:dyDescent="0.25">
      <c r="A4" s="10">
        <v>2</v>
      </c>
      <c r="B4" s="10" t="s">
        <v>143</v>
      </c>
      <c r="C4" s="11" t="s">
        <v>3</v>
      </c>
      <c r="D4" s="12" t="s">
        <v>3</v>
      </c>
      <c r="E4" s="11">
        <v>2</v>
      </c>
      <c r="F4" s="12">
        <v>73.3</v>
      </c>
      <c r="G4" s="11">
        <v>2</v>
      </c>
      <c r="H4" s="12">
        <v>73.3</v>
      </c>
      <c r="I4" s="8">
        <v>4.0999999999999996</v>
      </c>
      <c r="J4" s="66">
        <f t="shared" ref="J4:J8" si="0">+I4*0.5</f>
        <v>2.0499999999999998</v>
      </c>
      <c r="K4" s="9" t="s">
        <v>274</v>
      </c>
      <c r="L4" s="9" t="s">
        <v>258</v>
      </c>
      <c r="M4" s="9" t="s">
        <v>164</v>
      </c>
    </row>
    <row r="5" spans="1:13" x14ac:dyDescent="0.25">
      <c r="A5" s="5">
        <v>3</v>
      </c>
      <c r="B5" s="5" t="s">
        <v>144</v>
      </c>
      <c r="C5" s="6" t="s">
        <v>3</v>
      </c>
      <c r="D5" s="7" t="s">
        <v>3</v>
      </c>
      <c r="E5" s="6">
        <v>1</v>
      </c>
      <c r="F5" s="7">
        <v>78.3</v>
      </c>
      <c r="G5" s="6">
        <v>1</v>
      </c>
      <c r="H5" s="7">
        <v>78.3</v>
      </c>
      <c r="I5" s="8">
        <v>2</v>
      </c>
      <c r="J5" s="66">
        <f t="shared" si="0"/>
        <v>1</v>
      </c>
      <c r="K5" s="9" t="s">
        <v>248</v>
      </c>
      <c r="L5" s="9" t="s">
        <v>258</v>
      </c>
      <c r="M5" s="9" t="s">
        <v>164</v>
      </c>
    </row>
    <row r="6" spans="1:13" x14ac:dyDescent="0.25">
      <c r="A6" s="10">
        <v>4</v>
      </c>
      <c r="B6" s="10" t="s">
        <v>145</v>
      </c>
      <c r="C6" s="11">
        <v>1</v>
      </c>
      <c r="D6" s="12">
        <v>83.3</v>
      </c>
      <c r="E6" s="11" t="s">
        <v>3</v>
      </c>
      <c r="F6" s="12" t="s">
        <v>3</v>
      </c>
      <c r="G6" s="11">
        <v>1</v>
      </c>
      <c r="H6" s="12">
        <v>83.3</v>
      </c>
      <c r="I6" s="8">
        <v>0.6</v>
      </c>
      <c r="J6" s="66">
        <f t="shared" si="0"/>
        <v>0.3</v>
      </c>
      <c r="K6" s="9" t="s">
        <v>275</v>
      </c>
      <c r="L6" s="9" t="s">
        <v>258</v>
      </c>
      <c r="M6" s="9" t="s">
        <v>164</v>
      </c>
    </row>
    <row r="7" spans="1:13" x14ac:dyDescent="0.25">
      <c r="A7" s="5">
        <v>5</v>
      </c>
      <c r="B7" s="5" t="s">
        <v>146</v>
      </c>
      <c r="C7" s="6">
        <v>1</v>
      </c>
      <c r="D7" s="7">
        <v>57.3</v>
      </c>
      <c r="E7" s="6" t="s">
        <v>3</v>
      </c>
      <c r="F7" s="7" t="s">
        <v>3</v>
      </c>
      <c r="G7" s="6">
        <v>1</v>
      </c>
      <c r="H7" s="7">
        <v>57.3</v>
      </c>
      <c r="I7" s="8">
        <v>0.6</v>
      </c>
      <c r="J7" s="66">
        <f t="shared" si="0"/>
        <v>0.3</v>
      </c>
      <c r="K7" s="9" t="s">
        <v>276</v>
      </c>
      <c r="L7" s="9" t="s">
        <v>258</v>
      </c>
      <c r="M7" s="9" t="s">
        <v>164</v>
      </c>
    </row>
    <row r="8" spans="1:13" x14ac:dyDescent="0.25">
      <c r="A8" s="10">
        <v>6</v>
      </c>
      <c r="B8" s="10" t="s">
        <v>147</v>
      </c>
      <c r="C8" s="11">
        <v>1</v>
      </c>
      <c r="D8" s="12">
        <v>71.900000000000006</v>
      </c>
      <c r="E8" s="11" t="s">
        <v>3</v>
      </c>
      <c r="F8" s="12" t="s">
        <v>3</v>
      </c>
      <c r="G8" s="11">
        <v>1</v>
      </c>
      <c r="H8" s="12">
        <v>71.900000000000006</v>
      </c>
      <c r="I8" s="8">
        <v>0.6</v>
      </c>
      <c r="J8" s="66">
        <f t="shared" si="0"/>
        <v>0.3</v>
      </c>
      <c r="K8" s="9" t="s">
        <v>277</v>
      </c>
      <c r="L8" s="9" t="s">
        <v>258</v>
      </c>
      <c r="M8" s="9" t="s">
        <v>164</v>
      </c>
    </row>
    <row r="9" spans="1:13" x14ac:dyDescent="0.25">
      <c r="A9" s="13" t="s">
        <v>3</v>
      </c>
      <c r="B9" s="13" t="s">
        <v>148</v>
      </c>
      <c r="C9" s="14">
        <v>3</v>
      </c>
      <c r="D9" s="15">
        <v>70.8</v>
      </c>
      <c r="E9" s="14">
        <v>7</v>
      </c>
      <c r="F9" s="15">
        <v>80.599999999999994</v>
      </c>
      <c r="G9" s="14">
        <v>10</v>
      </c>
      <c r="H9" s="15">
        <v>77.7</v>
      </c>
      <c r="I9" s="16">
        <v>16.100000000000001</v>
      </c>
      <c r="J9" s="16">
        <f>+SUM(J3:J8)</f>
        <v>8.0499999999999989</v>
      </c>
      <c r="K9" s="13" t="s">
        <v>3</v>
      </c>
      <c r="L9" s="40"/>
      <c r="M9" s="40"/>
    </row>
  </sheetData>
  <autoFilter ref="A2:K8" xr:uid="{00000000-0009-0000-0000-00000D000000}"/>
  <mergeCells count="10">
    <mergeCell ref="I1:I2"/>
    <mergeCell ref="K1:K2"/>
    <mergeCell ref="L1:L2"/>
    <mergeCell ref="M1:M2"/>
    <mergeCell ref="J1:J2"/>
    <mergeCell ref="A1:A2"/>
    <mergeCell ref="B1:B2"/>
    <mergeCell ref="C1:D1"/>
    <mergeCell ref="E1:F1"/>
    <mergeCell ref="G1:H1"/>
  </mergeCells>
  <pageMargins left="0.7" right="0.7" top="0.75" bottom="0.75" header="0.3" footer="0.3"/>
  <ignoredErrors>
    <ignoredError sqref="K1:K2 K9 A3:I9 A1:I2"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9"/>
  <sheetViews>
    <sheetView showGridLines="0" workbookViewId="0">
      <selection activeCell="L5" sqref="L5"/>
    </sheetView>
  </sheetViews>
  <sheetFormatPr baseColWidth="10" defaultRowHeight="15" x14ac:dyDescent="0.25"/>
  <cols>
    <col min="1" max="1" width="4.85546875" customWidth="1"/>
    <col min="2" max="2" width="44.85546875" customWidth="1"/>
    <col min="3" max="3" width="9.85546875" customWidth="1"/>
    <col min="4" max="4" width="11.85546875" customWidth="1"/>
    <col min="5" max="5" width="9.85546875" customWidth="1"/>
    <col min="6" max="6" width="11.85546875" customWidth="1"/>
    <col min="7" max="7" width="9.85546875" customWidth="1"/>
    <col min="8" max="8" width="11.85546875" customWidth="1"/>
    <col min="9" max="9" width="10.85546875" customWidth="1"/>
    <col min="10" max="10" width="13.85546875" customWidth="1"/>
    <col min="11" max="12" width="20.85546875" customWidth="1"/>
    <col min="13" max="13" width="46.85546875" customWidth="1"/>
  </cols>
  <sheetData>
    <row r="1" spans="1:15" ht="20.100000000000001" customHeight="1" x14ac:dyDescent="0.25">
      <c r="A1" s="18" t="s">
        <v>0</v>
      </c>
      <c r="B1" s="18" t="s">
        <v>1</v>
      </c>
      <c r="C1" s="19" t="s">
        <v>2</v>
      </c>
      <c r="D1" s="19" t="s">
        <v>3</v>
      </c>
      <c r="E1" s="17" t="s">
        <v>4</v>
      </c>
      <c r="F1" s="17" t="s">
        <v>3</v>
      </c>
      <c r="G1" s="20" t="s">
        <v>5</v>
      </c>
      <c r="H1" s="20" t="s">
        <v>3</v>
      </c>
      <c r="I1" s="18" t="s">
        <v>6</v>
      </c>
      <c r="J1" s="18" t="s">
        <v>3</v>
      </c>
      <c r="K1" s="18" t="s">
        <v>7</v>
      </c>
      <c r="L1" s="68" t="s">
        <v>288</v>
      </c>
      <c r="M1" s="21" t="s">
        <v>8</v>
      </c>
      <c r="N1" s="22" t="s">
        <v>161</v>
      </c>
      <c r="O1" s="23" t="s">
        <v>162</v>
      </c>
    </row>
    <row r="2" spans="1:15" ht="30" customHeight="1" x14ac:dyDescent="0.25">
      <c r="A2" s="18" t="s">
        <v>3</v>
      </c>
      <c r="B2" s="18" t="s">
        <v>3</v>
      </c>
      <c r="C2" s="3" t="s">
        <v>9</v>
      </c>
      <c r="D2" s="3" t="s">
        <v>10</v>
      </c>
      <c r="E2" s="1" t="s">
        <v>9</v>
      </c>
      <c r="F2" s="1" t="s">
        <v>10</v>
      </c>
      <c r="G2" s="4" t="s">
        <v>9</v>
      </c>
      <c r="H2" s="4" t="s">
        <v>10</v>
      </c>
      <c r="I2" s="2" t="s">
        <v>9</v>
      </c>
      <c r="J2" s="2" t="s">
        <v>10</v>
      </c>
      <c r="K2" s="18" t="s">
        <v>3</v>
      </c>
      <c r="L2" s="69"/>
      <c r="M2" s="21" t="s">
        <v>3</v>
      </c>
      <c r="N2" s="24"/>
      <c r="O2" s="25"/>
    </row>
    <row r="3" spans="1:15" x14ac:dyDescent="0.25">
      <c r="A3" s="5">
        <v>1</v>
      </c>
      <c r="B3" s="5" t="s">
        <v>149</v>
      </c>
      <c r="C3" s="6" t="s">
        <v>3</v>
      </c>
      <c r="D3" s="7" t="s">
        <v>3</v>
      </c>
      <c r="E3" s="6">
        <v>2</v>
      </c>
      <c r="F3" s="7">
        <v>59.7</v>
      </c>
      <c r="G3" s="6" t="s">
        <v>3</v>
      </c>
      <c r="H3" s="7" t="s">
        <v>3</v>
      </c>
      <c r="I3" s="6">
        <v>2</v>
      </c>
      <c r="J3" s="7">
        <v>59.7</v>
      </c>
      <c r="K3" s="8">
        <v>4.0999999999999996</v>
      </c>
      <c r="L3" s="66">
        <f>+K3*0.5</f>
        <v>2.0499999999999998</v>
      </c>
      <c r="M3" s="9" t="s">
        <v>278</v>
      </c>
      <c r="N3" s="9" t="s">
        <v>258</v>
      </c>
      <c r="O3" s="9" t="s">
        <v>172</v>
      </c>
    </row>
    <row r="4" spans="1:15" x14ac:dyDescent="0.25">
      <c r="A4" s="10">
        <v>2</v>
      </c>
      <c r="B4" s="10" t="s">
        <v>150</v>
      </c>
      <c r="C4" s="11">
        <v>3</v>
      </c>
      <c r="D4" s="12">
        <v>175</v>
      </c>
      <c r="E4" s="11">
        <v>1</v>
      </c>
      <c r="F4" s="12">
        <v>68.3</v>
      </c>
      <c r="G4" s="11" t="s">
        <v>3</v>
      </c>
      <c r="H4" s="12" t="s">
        <v>3</v>
      </c>
      <c r="I4" s="11">
        <v>4</v>
      </c>
      <c r="J4" s="12">
        <v>121.7</v>
      </c>
      <c r="K4" s="8">
        <v>3.9</v>
      </c>
      <c r="L4" s="66">
        <f t="shared" ref="L4:L8" si="0">+K4*0.5</f>
        <v>1.95</v>
      </c>
      <c r="M4" s="9" t="s">
        <v>279</v>
      </c>
      <c r="N4" s="9" t="s">
        <v>258</v>
      </c>
      <c r="O4" s="9" t="s">
        <v>172</v>
      </c>
    </row>
    <row r="5" spans="1:15" x14ac:dyDescent="0.25">
      <c r="A5" s="54">
        <v>3</v>
      </c>
      <c r="B5" s="54" t="s">
        <v>151</v>
      </c>
      <c r="C5" s="55" t="s">
        <v>3</v>
      </c>
      <c r="D5" s="56" t="s">
        <v>3</v>
      </c>
      <c r="E5" s="55">
        <v>1</v>
      </c>
      <c r="F5" s="56">
        <v>48.3</v>
      </c>
      <c r="G5" s="55">
        <v>1</v>
      </c>
      <c r="H5" s="56" t="s">
        <v>3</v>
      </c>
      <c r="I5" s="55">
        <v>2</v>
      </c>
      <c r="J5" s="56">
        <v>48.3</v>
      </c>
      <c r="K5" s="57">
        <v>2.9</v>
      </c>
      <c r="L5" s="67">
        <f t="shared" si="0"/>
        <v>1.45</v>
      </c>
      <c r="M5" s="26"/>
      <c r="N5" s="26"/>
      <c r="O5" s="26"/>
    </row>
    <row r="6" spans="1:15" x14ac:dyDescent="0.25">
      <c r="A6" s="10">
        <v>4</v>
      </c>
      <c r="B6" s="10" t="s">
        <v>152</v>
      </c>
      <c r="C6" s="11" t="s">
        <v>3</v>
      </c>
      <c r="D6" s="12" t="s">
        <v>3</v>
      </c>
      <c r="E6" s="11">
        <v>1</v>
      </c>
      <c r="F6" s="12" t="s">
        <v>3</v>
      </c>
      <c r="G6" s="11" t="s">
        <v>3</v>
      </c>
      <c r="H6" s="12" t="s">
        <v>3</v>
      </c>
      <c r="I6" s="11">
        <v>1</v>
      </c>
      <c r="J6" s="12">
        <v>68.400000000000006</v>
      </c>
      <c r="K6" s="8">
        <v>2</v>
      </c>
      <c r="L6" s="66">
        <f t="shared" si="0"/>
        <v>1</v>
      </c>
      <c r="M6" s="9" t="s">
        <v>280</v>
      </c>
      <c r="N6" s="9" t="s">
        <v>258</v>
      </c>
      <c r="O6" s="9" t="s">
        <v>172</v>
      </c>
    </row>
    <row r="7" spans="1:15" x14ac:dyDescent="0.25">
      <c r="A7" s="5">
        <v>5</v>
      </c>
      <c r="B7" s="5" t="s">
        <v>153</v>
      </c>
      <c r="C7" s="6">
        <v>1</v>
      </c>
      <c r="D7" s="7">
        <v>171.7</v>
      </c>
      <c r="E7" s="6" t="s">
        <v>3</v>
      </c>
      <c r="F7" s="7" t="s">
        <v>3</v>
      </c>
      <c r="G7" s="6" t="s">
        <v>3</v>
      </c>
      <c r="H7" s="7" t="s">
        <v>3</v>
      </c>
      <c r="I7" s="6">
        <v>1</v>
      </c>
      <c r="J7" s="7">
        <v>171.7</v>
      </c>
      <c r="K7" s="8">
        <v>0.6</v>
      </c>
      <c r="L7" s="66">
        <f t="shared" si="0"/>
        <v>0.3</v>
      </c>
      <c r="M7" s="9" t="s">
        <v>281</v>
      </c>
      <c r="N7" s="9" t="s">
        <v>258</v>
      </c>
      <c r="O7" s="9" t="s">
        <v>172</v>
      </c>
    </row>
    <row r="8" spans="1:15" x14ac:dyDescent="0.25">
      <c r="A8" s="10">
        <v>6</v>
      </c>
      <c r="B8" s="10" t="s">
        <v>154</v>
      </c>
      <c r="C8" s="11">
        <v>1</v>
      </c>
      <c r="D8" s="12">
        <v>76</v>
      </c>
      <c r="E8" s="11" t="s">
        <v>3</v>
      </c>
      <c r="F8" s="12" t="s">
        <v>3</v>
      </c>
      <c r="G8" s="11" t="s">
        <v>3</v>
      </c>
      <c r="H8" s="12" t="s">
        <v>3</v>
      </c>
      <c r="I8" s="11">
        <v>1</v>
      </c>
      <c r="J8" s="12">
        <v>76</v>
      </c>
      <c r="K8" s="8">
        <v>0.6</v>
      </c>
      <c r="L8" s="66">
        <f t="shared" si="0"/>
        <v>0.3</v>
      </c>
      <c r="M8" s="9" t="s">
        <v>282</v>
      </c>
      <c r="N8" s="9" t="s">
        <v>258</v>
      </c>
      <c r="O8" s="9" t="s">
        <v>172</v>
      </c>
    </row>
    <row r="9" spans="1:15" x14ac:dyDescent="0.25">
      <c r="A9" s="13" t="s">
        <v>3</v>
      </c>
      <c r="B9" s="13" t="s">
        <v>148</v>
      </c>
      <c r="C9" s="14">
        <v>5</v>
      </c>
      <c r="D9" s="15">
        <v>124.7</v>
      </c>
      <c r="E9" s="14">
        <v>5</v>
      </c>
      <c r="F9" s="15">
        <v>59</v>
      </c>
      <c r="G9" s="14">
        <v>1</v>
      </c>
      <c r="H9" s="15" t="s">
        <v>3</v>
      </c>
      <c r="I9" s="14">
        <v>11</v>
      </c>
      <c r="J9" s="15">
        <v>81.8</v>
      </c>
      <c r="K9" s="16">
        <v>14.2</v>
      </c>
      <c r="L9" s="16">
        <f>+SUM(L3:L8)</f>
        <v>7.05</v>
      </c>
      <c r="M9" s="13" t="s">
        <v>3</v>
      </c>
      <c r="N9" s="40"/>
      <c r="O9" s="40"/>
    </row>
  </sheetData>
  <autoFilter ref="A2:M8" xr:uid="{00000000-0009-0000-0000-00000E000000}"/>
  <mergeCells count="11">
    <mergeCell ref="I1:J1"/>
    <mergeCell ref="K1:K2"/>
    <mergeCell ref="M1:M2"/>
    <mergeCell ref="N1:N2"/>
    <mergeCell ref="O1:O2"/>
    <mergeCell ref="L1:L2"/>
    <mergeCell ref="A1:A2"/>
    <mergeCell ref="B1:B2"/>
    <mergeCell ref="C1:D1"/>
    <mergeCell ref="E1:F1"/>
    <mergeCell ref="G1:H1"/>
  </mergeCells>
  <pageMargins left="0.7" right="0.7" top="0.75" bottom="0.75" header="0.3" footer="0.3"/>
  <ignoredErrors>
    <ignoredError sqref="M1:M2 M9 A3:K9 A1:K2"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9"/>
  <sheetViews>
    <sheetView showGridLines="0" workbookViewId="0">
      <selection activeCell="J10" sqref="J10"/>
    </sheetView>
  </sheetViews>
  <sheetFormatPr baseColWidth="10" defaultRowHeight="15" x14ac:dyDescent="0.25"/>
  <cols>
    <col min="1" max="1" width="4.85546875" customWidth="1"/>
    <col min="2" max="2" width="44.85546875" customWidth="1"/>
    <col min="3" max="3" width="9.85546875" customWidth="1"/>
    <col min="4" max="4" width="11.85546875" customWidth="1"/>
    <col min="5" max="5" width="9.85546875" customWidth="1"/>
    <col min="6" max="6" width="11.85546875" customWidth="1"/>
    <col min="7" max="7" width="10.85546875" customWidth="1"/>
    <col min="8" max="8" width="13.85546875" customWidth="1"/>
    <col min="9" max="10" width="20.85546875" customWidth="1"/>
    <col min="11" max="11" width="46.85546875" customWidth="1"/>
  </cols>
  <sheetData>
    <row r="1" spans="1:13" ht="20.100000000000001" customHeight="1" x14ac:dyDescent="0.25">
      <c r="A1" s="18" t="s">
        <v>0</v>
      </c>
      <c r="B1" s="18" t="s">
        <v>1</v>
      </c>
      <c r="C1" s="19" t="s">
        <v>2</v>
      </c>
      <c r="D1" s="19" t="s">
        <v>3</v>
      </c>
      <c r="E1" s="17" t="s">
        <v>4</v>
      </c>
      <c r="F1" s="17" t="s">
        <v>3</v>
      </c>
      <c r="G1" s="18" t="s">
        <v>6</v>
      </c>
      <c r="H1" s="18" t="s">
        <v>3</v>
      </c>
      <c r="I1" s="18" t="s">
        <v>7</v>
      </c>
      <c r="J1" s="68" t="s">
        <v>288</v>
      </c>
      <c r="K1" s="21" t="s">
        <v>8</v>
      </c>
      <c r="L1" s="22" t="s">
        <v>161</v>
      </c>
      <c r="M1" s="23" t="s">
        <v>162</v>
      </c>
    </row>
    <row r="2" spans="1:13" ht="30" customHeight="1" x14ac:dyDescent="0.25">
      <c r="A2" s="18" t="s">
        <v>3</v>
      </c>
      <c r="B2" s="18" t="s">
        <v>3</v>
      </c>
      <c r="C2" s="3" t="s">
        <v>9</v>
      </c>
      <c r="D2" s="3" t="s">
        <v>10</v>
      </c>
      <c r="E2" s="1" t="s">
        <v>9</v>
      </c>
      <c r="F2" s="1" t="s">
        <v>10</v>
      </c>
      <c r="G2" s="2" t="s">
        <v>9</v>
      </c>
      <c r="H2" s="2" t="s">
        <v>10</v>
      </c>
      <c r="I2" s="18" t="s">
        <v>3</v>
      </c>
      <c r="J2" s="69"/>
      <c r="K2" s="21" t="s">
        <v>3</v>
      </c>
      <c r="L2" s="24"/>
      <c r="M2" s="25"/>
    </row>
    <row r="3" spans="1:13" x14ac:dyDescent="0.25">
      <c r="A3" s="5">
        <v>1</v>
      </c>
      <c r="B3" s="5" t="s">
        <v>155</v>
      </c>
      <c r="C3" s="6" t="s">
        <v>3</v>
      </c>
      <c r="D3" s="7" t="s">
        <v>3</v>
      </c>
      <c r="E3" s="6">
        <v>1</v>
      </c>
      <c r="F3" s="7">
        <v>65.599999999999994</v>
      </c>
      <c r="G3" s="6">
        <v>1</v>
      </c>
      <c r="H3" s="7">
        <v>65.599999999999994</v>
      </c>
      <c r="I3" s="8">
        <v>2</v>
      </c>
      <c r="J3" s="66">
        <f>+I3*0.5</f>
        <v>1</v>
      </c>
      <c r="K3" s="9" t="s">
        <v>283</v>
      </c>
      <c r="L3" s="9" t="s">
        <v>258</v>
      </c>
      <c r="M3" s="9" t="s">
        <v>164</v>
      </c>
    </row>
    <row r="4" spans="1:13" x14ac:dyDescent="0.25">
      <c r="A4" s="10">
        <v>2</v>
      </c>
      <c r="B4" s="10" t="s">
        <v>156</v>
      </c>
      <c r="C4" s="11" t="s">
        <v>3</v>
      </c>
      <c r="D4" s="12" t="s">
        <v>3</v>
      </c>
      <c r="E4" s="11">
        <v>1</v>
      </c>
      <c r="F4" s="12">
        <v>104.2</v>
      </c>
      <c r="G4" s="11">
        <v>1</v>
      </c>
      <c r="H4" s="12">
        <v>104.2</v>
      </c>
      <c r="I4" s="8">
        <v>2</v>
      </c>
      <c r="J4" s="66">
        <f t="shared" ref="J4:J8" si="0">+I4*0.5</f>
        <v>1</v>
      </c>
      <c r="K4" s="9" t="s">
        <v>284</v>
      </c>
      <c r="L4" s="9" t="s">
        <v>258</v>
      </c>
      <c r="M4" s="9" t="s">
        <v>164</v>
      </c>
    </row>
    <row r="5" spans="1:13" x14ac:dyDescent="0.25">
      <c r="A5" s="5">
        <v>3</v>
      </c>
      <c r="B5" s="5" t="s">
        <v>157</v>
      </c>
      <c r="C5" s="6" t="s">
        <v>3</v>
      </c>
      <c r="D5" s="7" t="s">
        <v>3</v>
      </c>
      <c r="E5" s="6">
        <v>1</v>
      </c>
      <c r="F5" s="7">
        <v>76.099999999999994</v>
      </c>
      <c r="G5" s="6">
        <v>1</v>
      </c>
      <c r="H5" s="7">
        <v>76.099999999999994</v>
      </c>
      <c r="I5" s="8">
        <v>2</v>
      </c>
      <c r="J5" s="66">
        <f t="shared" si="0"/>
        <v>1</v>
      </c>
      <c r="K5" s="9" t="s">
        <v>285</v>
      </c>
      <c r="L5" s="9" t="s">
        <v>258</v>
      </c>
      <c r="M5" s="9" t="s">
        <v>164</v>
      </c>
    </row>
    <row r="6" spans="1:13" x14ac:dyDescent="0.25">
      <c r="A6" s="10">
        <v>4</v>
      </c>
      <c r="B6" s="10" t="s">
        <v>158</v>
      </c>
      <c r="C6" s="11" t="s">
        <v>3</v>
      </c>
      <c r="D6" s="12" t="s">
        <v>3</v>
      </c>
      <c r="E6" s="11">
        <v>1</v>
      </c>
      <c r="F6" s="12">
        <v>70</v>
      </c>
      <c r="G6" s="11">
        <v>1</v>
      </c>
      <c r="H6" s="12">
        <v>70</v>
      </c>
      <c r="I6" s="8">
        <v>2</v>
      </c>
      <c r="J6" s="66">
        <f t="shared" si="0"/>
        <v>1</v>
      </c>
      <c r="K6" s="9" t="s">
        <v>286</v>
      </c>
      <c r="L6" s="9" t="s">
        <v>258</v>
      </c>
      <c r="M6" s="9" t="s">
        <v>164</v>
      </c>
    </row>
    <row r="7" spans="1:13" x14ac:dyDescent="0.25">
      <c r="A7" s="5">
        <v>5</v>
      </c>
      <c r="B7" s="5" t="s">
        <v>159</v>
      </c>
      <c r="C7" s="6">
        <v>2</v>
      </c>
      <c r="D7" s="7">
        <v>65.8</v>
      </c>
      <c r="E7" s="6" t="s">
        <v>3</v>
      </c>
      <c r="F7" s="7" t="s">
        <v>3</v>
      </c>
      <c r="G7" s="6">
        <v>2</v>
      </c>
      <c r="H7" s="7">
        <v>65.8</v>
      </c>
      <c r="I7" s="8">
        <v>1.2</v>
      </c>
      <c r="J7" s="66">
        <f t="shared" si="0"/>
        <v>0.6</v>
      </c>
      <c r="K7" s="9" t="s">
        <v>287</v>
      </c>
      <c r="L7" s="9" t="s">
        <v>258</v>
      </c>
      <c r="M7" s="9" t="s">
        <v>164</v>
      </c>
    </row>
    <row r="8" spans="1:13" x14ac:dyDescent="0.25">
      <c r="A8" s="10">
        <v>6</v>
      </c>
      <c r="B8" s="10" t="s">
        <v>160</v>
      </c>
      <c r="C8" s="11">
        <v>1</v>
      </c>
      <c r="D8" s="12">
        <v>231.7</v>
      </c>
      <c r="E8" s="11" t="s">
        <v>3</v>
      </c>
      <c r="F8" s="12" t="s">
        <v>3</v>
      </c>
      <c r="G8" s="11">
        <v>1</v>
      </c>
      <c r="H8" s="12">
        <v>231.7</v>
      </c>
      <c r="I8" s="8">
        <v>0.6</v>
      </c>
      <c r="J8" s="66">
        <f t="shared" si="0"/>
        <v>0.3</v>
      </c>
      <c r="K8" s="9" t="s">
        <v>221</v>
      </c>
      <c r="L8" s="9" t="s">
        <v>258</v>
      </c>
      <c r="M8" s="9" t="s">
        <v>164</v>
      </c>
    </row>
    <row r="9" spans="1:13" x14ac:dyDescent="0.25">
      <c r="A9" s="13" t="s">
        <v>3</v>
      </c>
      <c r="B9" s="13" t="s">
        <v>148</v>
      </c>
      <c r="C9" s="14">
        <v>3</v>
      </c>
      <c r="D9" s="15">
        <v>121.1</v>
      </c>
      <c r="E9" s="14">
        <v>4</v>
      </c>
      <c r="F9" s="15">
        <v>76.3</v>
      </c>
      <c r="G9" s="14">
        <v>7</v>
      </c>
      <c r="H9" s="15">
        <v>93.1</v>
      </c>
      <c r="I9" s="16">
        <v>10</v>
      </c>
      <c r="J9" s="16">
        <f>+SUM(J3:J8)</f>
        <v>4.8999999999999995</v>
      </c>
      <c r="K9" s="13" t="s">
        <v>3</v>
      </c>
      <c r="L9" s="40"/>
      <c r="M9" s="40"/>
    </row>
  </sheetData>
  <autoFilter ref="A2:K8" xr:uid="{00000000-0009-0000-0000-00000F000000}"/>
  <mergeCells count="10">
    <mergeCell ref="I1:I2"/>
    <mergeCell ref="K1:K2"/>
    <mergeCell ref="L1:L2"/>
    <mergeCell ref="M1:M2"/>
    <mergeCell ref="J1:J2"/>
    <mergeCell ref="A1:A2"/>
    <mergeCell ref="B1:B2"/>
    <mergeCell ref="C1:D1"/>
    <mergeCell ref="E1:F1"/>
    <mergeCell ref="G1:H1"/>
  </mergeCells>
  <pageMargins left="0.7" right="0.7" top="0.75" bottom="0.75" header="0.3" footer="0.3"/>
  <ignoredErrors>
    <ignoredError sqref="K1:K2 K9 A3:I9 A1:I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18</vt:i4>
      </vt:variant>
      <vt:variant>
        <vt:lpstr>Rangos con nombre</vt:lpstr>
      </vt:variant>
      <vt:variant>
        <vt:i4>15</vt:i4>
      </vt:variant>
    </vt:vector>
  </HeadingPairs>
  <TitlesOfParts>
    <vt:vector size="33" baseType="lpstr">
      <vt:lpstr>Consolidado</vt:lpstr>
      <vt:lpstr>Carta Gantt</vt:lpstr>
      <vt:lpstr>Metropolitana</vt:lpstr>
      <vt:lpstr>Bío Bío</vt:lpstr>
      <vt:lpstr>Valparaíso</vt:lpstr>
      <vt:lpstr>Araucanía</vt:lpstr>
      <vt:lpstr>Maule</vt:lpstr>
      <vt:lpstr>Los Lagos</vt:lpstr>
      <vt:lpstr>Coquimbo</vt:lpstr>
      <vt:lpstr>O'Higgins</vt:lpstr>
      <vt:lpstr>Antofagasta</vt:lpstr>
      <vt:lpstr>Ñuble</vt:lpstr>
      <vt:lpstr>Magallanes</vt:lpstr>
      <vt:lpstr>Tarapacá</vt:lpstr>
      <vt:lpstr>Los Ríos</vt:lpstr>
      <vt:lpstr>Arica y Parinacota</vt:lpstr>
      <vt:lpstr>Aysén</vt:lpstr>
      <vt:lpstr>Atacama</vt:lpstr>
      <vt:lpstr>Antofagasta!_FilterDatabase</vt:lpstr>
      <vt:lpstr>Araucanía!_FilterDatabase</vt:lpstr>
      <vt:lpstr>'Arica y Parinacota'!_FilterDatabase</vt:lpstr>
      <vt:lpstr>Atacama!_FilterDatabase</vt:lpstr>
      <vt:lpstr>Aysén!_FilterDatabase</vt:lpstr>
      <vt:lpstr>'Bío Bío'!_FilterDatabase</vt:lpstr>
      <vt:lpstr>Coquimbo!_FilterDatabase</vt:lpstr>
      <vt:lpstr>'Los Lagos'!_FilterDatabase</vt:lpstr>
      <vt:lpstr>'Los Ríos'!_FilterDatabase</vt:lpstr>
      <vt:lpstr>Magallanes!_FilterDatabase</vt:lpstr>
      <vt:lpstr>Maule!_FilterDatabase</vt:lpstr>
      <vt:lpstr>Metropolitana!_FilterDatabase</vt:lpstr>
      <vt:lpstr>Ñuble!_FilterDatabase</vt:lpstr>
      <vt:lpstr>Tarapacá!_FilterDatabase</vt:lpstr>
      <vt:lpstr>Valparaíso!_FilterDatabase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Cristóbal Muñoz A.</cp:lastModifiedBy>
  <dcterms:created xsi:type="dcterms:W3CDTF">2026-09-23T22:40:18Z</dcterms:created>
  <dcterms:modified xsi:type="dcterms:W3CDTF">2026-09-24T13:23:06Z</dcterms:modified>
</cp:coreProperties>
</file>