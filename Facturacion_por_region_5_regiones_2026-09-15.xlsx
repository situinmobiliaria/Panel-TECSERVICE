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muñoz\Downloads\"/>
    </mc:Choice>
  </mc:AlternateContent>
  <xr:revisionPtr revIDLastSave="0" documentId="13_ncr:1_{AD3361B8-4C58-44FF-9618-B5E92CB8BB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cturación por región SIN REA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2" i="2" l="1"/>
  <c r="O41" i="2"/>
  <c r="O34" i="2"/>
  <c r="O33" i="2"/>
  <c r="O32" i="2"/>
  <c r="O29" i="2"/>
  <c r="O26" i="2"/>
  <c r="O25" i="2"/>
  <c r="O24" i="2"/>
  <c r="O23" i="2"/>
  <c r="O21" i="2"/>
  <c r="O16" i="2"/>
  <c r="O17" i="2"/>
  <c r="O13" i="2"/>
  <c r="N42" i="2"/>
  <c r="N40" i="2"/>
  <c r="N34" i="2"/>
  <c r="N32" i="2"/>
  <c r="N26" i="2"/>
  <c r="N24" i="2"/>
  <c r="N18" i="2"/>
  <c r="N16" i="2"/>
  <c r="N10" i="2"/>
  <c r="N8" i="2"/>
  <c r="O8" i="2" s="1"/>
  <c r="L40" i="2"/>
  <c r="L34" i="2"/>
  <c r="L32" i="2"/>
  <c r="L26" i="2"/>
  <c r="L24" i="2"/>
  <c r="L18" i="2"/>
  <c r="L44" i="2" s="1"/>
  <c r="L16" i="2"/>
  <c r="L8" i="2"/>
  <c r="M33" i="2"/>
  <c r="M29" i="2"/>
  <c r="M23" i="2"/>
  <c r="M25" i="2"/>
  <c r="M21" i="2"/>
  <c r="M17" i="2"/>
  <c r="M13" i="2"/>
  <c r="K40" i="2"/>
  <c r="J40" i="2"/>
  <c r="I40" i="2"/>
  <c r="H40" i="2"/>
  <c r="G40" i="2"/>
  <c r="F40" i="2"/>
  <c r="E40" i="2"/>
  <c r="D40" i="2"/>
  <c r="C40" i="2"/>
  <c r="B40" i="2"/>
  <c r="K32" i="2"/>
  <c r="J32" i="2"/>
  <c r="I32" i="2"/>
  <c r="H32" i="2"/>
  <c r="G32" i="2"/>
  <c r="F32" i="2"/>
  <c r="E32" i="2"/>
  <c r="D32" i="2"/>
  <c r="C32" i="2"/>
  <c r="B32" i="2"/>
  <c r="K24" i="2"/>
  <c r="J24" i="2"/>
  <c r="I24" i="2"/>
  <c r="H24" i="2"/>
  <c r="G24" i="2"/>
  <c r="F24" i="2"/>
  <c r="E24" i="2"/>
  <c r="D24" i="2"/>
  <c r="C24" i="2"/>
  <c r="B24" i="2"/>
  <c r="K16" i="2"/>
  <c r="J16" i="2"/>
  <c r="I16" i="2"/>
  <c r="H16" i="2"/>
  <c r="G16" i="2"/>
  <c r="F16" i="2"/>
  <c r="E16" i="2"/>
  <c r="D16" i="2"/>
  <c r="C16" i="2"/>
  <c r="B16" i="2"/>
  <c r="K8" i="2"/>
  <c r="J8" i="2"/>
  <c r="I8" i="2"/>
  <c r="H8" i="2"/>
  <c r="G8" i="2"/>
  <c r="G10" i="2" s="1"/>
  <c r="F8" i="2"/>
  <c r="F10" i="2" s="1"/>
  <c r="E8" i="2"/>
  <c r="E10" i="2" s="1"/>
  <c r="D8" i="2"/>
  <c r="D10" i="2" s="1"/>
  <c r="C8" i="2"/>
  <c r="C10" i="2" s="1"/>
  <c r="B8" i="2"/>
  <c r="B10" i="2" s="1"/>
  <c r="K42" i="2"/>
  <c r="K44" i="2" s="1"/>
  <c r="J42" i="2"/>
  <c r="J44" i="2" s="1"/>
  <c r="I42" i="2"/>
  <c r="I44" i="2" s="1"/>
  <c r="H42" i="2"/>
  <c r="H44" i="2" s="1"/>
  <c r="G42" i="2"/>
  <c r="G44" i="2" s="1"/>
  <c r="F42" i="2"/>
  <c r="F44" i="2" s="1"/>
  <c r="E42" i="2"/>
  <c r="E44" i="2" s="1"/>
  <c r="D42" i="2"/>
  <c r="D44" i="2" s="1"/>
  <c r="C42" i="2"/>
  <c r="C44" i="2" s="1"/>
  <c r="B42" i="2"/>
  <c r="B44" i="2" s="1"/>
  <c r="K34" i="2"/>
  <c r="J34" i="2"/>
  <c r="I34" i="2"/>
  <c r="H34" i="2"/>
  <c r="G34" i="2"/>
  <c r="F34" i="2"/>
  <c r="E34" i="2"/>
  <c r="D34" i="2"/>
  <c r="C34" i="2"/>
  <c r="B34" i="2"/>
  <c r="K26" i="2"/>
  <c r="M26" i="2" s="1"/>
  <c r="J26" i="2"/>
  <c r="I26" i="2"/>
  <c r="H26" i="2"/>
  <c r="G26" i="2"/>
  <c r="F26" i="2"/>
  <c r="E26" i="2"/>
  <c r="D26" i="2"/>
  <c r="C26" i="2"/>
  <c r="B26" i="2"/>
  <c r="K18" i="2"/>
  <c r="J18" i="2"/>
  <c r="I18" i="2"/>
  <c r="H18" i="2"/>
  <c r="G18" i="2"/>
  <c r="F18" i="2"/>
  <c r="E18" i="2"/>
  <c r="D18" i="2"/>
  <c r="C18" i="2"/>
  <c r="B18" i="2"/>
  <c r="O9" i="2"/>
  <c r="O5" i="2"/>
  <c r="M9" i="2"/>
  <c r="M5" i="2"/>
  <c r="K10" i="2"/>
  <c r="J10" i="2"/>
  <c r="I10" i="2"/>
  <c r="H10" i="2"/>
  <c r="O18" i="2" l="1"/>
  <c r="N44" i="2"/>
  <c r="O44" i="2" s="1"/>
  <c r="M34" i="2"/>
  <c r="M32" i="2"/>
  <c r="M24" i="2"/>
  <c r="M18" i="2"/>
  <c r="M16" i="2"/>
  <c r="M8" i="2"/>
  <c r="L10" i="2"/>
  <c r="M44" i="2" s="1"/>
  <c r="M10" i="2"/>
  <c r="O10" i="2"/>
</calcChain>
</file>

<file path=xl/sharedStrings.xml><?xml version="1.0" encoding="utf-8"?>
<sst xmlns="http://schemas.openxmlformats.org/spreadsheetml/2006/main" count="167" uniqueCount="30">
  <si>
    <t>Facturación por Región (MM$) · Los Lagos, Araucanía, Bío Bío, Maule, Ñuble</t>
  </si>
  <si>
    <t>Concepto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</si>
  <si>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</si>
  <si>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</si>
  <si>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</si>
  <si>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</si>
  <si>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</si>
  <si>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</si>
  <si>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</si>
  <si>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</si>
  <si>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</si>
  <si>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Total 2026</t>
  </si>
  <si>
    <t>Acum. 2025</t>
  </si>
  <si>
    <t>Var. vs 2025</t>
  </si>
  <si>
    <t>Acum. 2024</t>
  </si>
  <si>
    <t>Var. vs 2024</t>
  </si>
  <si>
    <t>Los Lagos</t>
  </si>
  <si>
    <t/>
  </si>
  <si>
    <t xml:space="preserve">   Esterilización</t>
  </si>
  <si>
    <t xml:space="preserve">   Endoscopía</t>
  </si>
  <si>
    <t>s/d</t>
  </si>
  <si>
    <t xml:space="preserve">   Dental</t>
  </si>
  <si>
    <t>Total Contratos</t>
  </si>
  <si>
    <t>Otros Ingresos</t>
  </si>
  <si>
    <t>TOTAL FACTURACIÓN</t>
  </si>
  <si>
    <t>Araucanía</t>
  </si>
  <si>
    <t>Bío Bío</t>
  </si>
  <si>
    <t>Maule</t>
  </si>
  <si>
    <t>Ñuble</t>
  </si>
  <si>
    <t>5 regiones ·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</si>
</sst>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\+0.0%;\-0.0%"/>
  </numFmts>
  <fonts count="28" x14ac:knownFonts="1">
    <font>
      <sz val="11"/>
      <name val="Calibri"/>
    </font>
    <font>
      <b/>
      <sz val="12"/>
      <color rgb="FF002D73"/>
      <name val="Calibri"/>
      <family val="2"/>
    </font>
    <font>
      <b/>
      <sz val="9"/>
      <color rgb="FFFFFFFF"/>
      <name val="Calibri"/>
      <family val="2"/>
    </font>
    <font>
      <b/>
      <sz val="9"/>
      <color rgb="FFFFFFFF"/>
      <name val="Calibri"/>
      <family val="2"/>
    </font>
    <font>
      <b/>
      <sz val="10"/>
      <color rgb="FF1A1A1A"/>
      <name val="Calibri"/>
      <family val="2"/>
    </font>
    <font>
      <sz val="9"/>
      <name val="Calibri"/>
      <family val="2"/>
    </font>
    <font>
      <sz val="9"/>
      <name val="Calibri"/>
      <family val="2"/>
    </font>
    <font>
      <b/>
      <sz val="9"/>
      <color rgb="FFC00000"/>
      <name val="Calibri"/>
      <family val="2"/>
    </font>
    <font>
      <b/>
      <sz val="9"/>
      <color rgb="FF00832F"/>
      <name val="Calibri"/>
      <family val="2"/>
    </font>
    <font>
      <sz val="9"/>
      <name val="Calibri"/>
      <family val="2"/>
    </font>
    <font>
      <b/>
      <sz val="9"/>
      <color rgb="FF1A5FA8"/>
      <name val="Calibri"/>
      <family val="2"/>
    </font>
    <font>
      <b/>
      <sz val="9"/>
      <color rgb="FF1A5FA8"/>
      <name val="Calibri"/>
      <family val="2"/>
    </font>
    <font>
      <b/>
      <sz val="9"/>
      <color rgb="FFC00000"/>
      <name val="Calibri"/>
      <family val="2"/>
    </font>
    <font>
      <b/>
      <sz val="9"/>
      <color rgb="FF00832F"/>
      <name val="Calibri"/>
      <family val="2"/>
    </font>
    <font>
      <sz val="9"/>
      <color rgb="FF666666"/>
      <name val="Calibri"/>
      <family val="2"/>
    </font>
    <font>
      <sz val="9"/>
      <color rgb="FF666666"/>
      <name val="Calibri"/>
      <family val="2"/>
    </font>
    <font>
      <b/>
      <sz val="9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FFFFFF"/>
      <name val="Calibri"/>
      <family val="2"/>
    </font>
    <font>
      <b/>
      <sz val="9"/>
      <color rgb="FF1A5FA8"/>
      <name val="Calibri"/>
      <family val="2"/>
    </font>
    <font>
      <sz val="9"/>
      <color rgb="FF666666"/>
      <name val="Calibri"/>
      <family val="2"/>
    </font>
    <font>
      <b/>
      <sz val="9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FFFFFF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002D73"/>
      </patternFill>
    </fill>
    <fill>
      <patternFill patternType="solid">
        <fgColor rgb="FF1A3A6B"/>
      </patternFill>
    </fill>
    <fill>
      <patternFill patternType="solid">
        <fgColor rgb="FFFFC000"/>
      </patternFill>
    </fill>
    <fill>
      <patternFill patternType="solid">
        <fgColor rgb="FFE6F4FA"/>
      </patternFill>
    </fill>
    <fill>
      <patternFill patternType="solid">
        <fgColor rgb="FFE6F4FA"/>
      </patternFill>
    </fill>
    <fill>
      <patternFill patternType="solid">
        <fgColor rgb="FFE6F4FA"/>
      </patternFill>
    </fill>
    <fill>
      <patternFill patternType="solid">
        <fgColor rgb="FFE6F4FA"/>
      </patternFill>
    </fill>
    <fill>
      <patternFill patternType="solid">
        <fgColor rgb="FF1F3F75"/>
      </patternFill>
    </fill>
    <fill>
      <patternFill patternType="solid">
        <fgColor rgb="FF1F3F75"/>
      </patternFill>
    </fill>
    <fill>
      <patternFill patternType="solid">
        <fgColor rgb="FF1F3F75"/>
      </patternFill>
    </fill>
    <fill>
      <patternFill patternType="solid">
        <fgColor rgb="FFE87722"/>
      </patternFill>
    </fill>
    <fill>
      <patternFill patternType="solid">
        <fgColor rgb="FF7A1FAA"/>
      </patternFill>
    </fill>
    <fill>
      <patternFill patternType="solid">
        <fgColor rgb="FF5A7DA8"/>
      </patternFill>
    </fill>
    <fill>
      <patternFill patternType="solid">
        <fgColor rgb="FF3C9D4E"/>
      </patternFill>
    </fill>
    <fill>
      <patternFill patternType="solid">
        <fgColor rgb="FFE6F4FA"/>
      </patternFill>
    </fill>
    <fill>
      <patternFill patternType="solid">
        <fgColor rgb="FF0E2D55"/>
      </patternFill>
    </fill>
    <fill>
      <patternFill patternType="solid">
        <fgColor rgb="FF0E2D55"/>
      </patternFill>
    </fill>
    <fill>
      <patternFill patternType="solid">
        <fgColor rgb="FF0E2D55"/>
      </patternFill>
    </fill>
  </fills>
  <borders count="27">
    <border>
      <left/>
      <right/>
      <top/>
      <bottom/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/>
    </xf>
    <xf numFmtId="164" fontId="6" fillId="0" borderId="5" xfId="0" applyNumberFormat="1" applyFont="1" applyBorder="1" applyAlignment="1">
      <alignment horizontal="right" vertical="center"/>
    </xf>
    <xf numFmtId="165" fontId="7" fillId="0" borderId="6" xfId="0" applyNumberFormat="1" applyFont="1" applyBorder="1" applyAlignment="1">
      <alignment horizontal="right" vertical="center"/>
    </xf>
    <xf numFmtId="165" fontId="8" fillId="0" borderId="7" xfId="0" applyNumberFormat="1" applyFont="1" applyBorder="1" applyAlignment="1">
      <alignment horizontal="right" vertical="center"/>
    </xf>
    <xf numFmtId="0" fontId="9" fillId="0" borderId="8" xfId="0" applyFont="1" applyBorder="1" applyAlignment="1">
      <alignment horizontal="right" vertical="center"/>
    </xf>
    <xf numFmtId="0" fontId="10" fillId="5" borderId="9" xfId="0" applyFont="1" applyFill="1" applyBorder="1" applyAlignment="1">
      <alignment horizontal="left" vertical="center"/>
    </xf>
    <xf numFmtId="164" fontId="11" fillId="6" borderId="10" xfId="0" applyNumberFormat="1" applyFont="1" applyFill="1" applyBorder="1" applyAlignment="1">
      <alignment horizontal="right" vertical="center"/>
    </xf>
    <xf numFmtId="165" fontId="12" fillId="7" borderId="11" xfId="0" applyNumberFormat="1" applyFont="1" applyFill="1" applyBorder="1" applyAlignment="1">
      <alignment horizontal="right" vertical="center"/>
    </xf>
    <xf numFmtId="165" fontId="13" fillId="8" borderId="12" xfId="0" applyNumberFormat="1" applyFont="1" applyFill="1" applyBorder="1" applyAlignment="1">
      <alignment horizontal="right" vertical="center"/>
    </xf>
    <xf numFmtId="0" fontId="14" fillId="0" borderId="13" xfId="0" applyFont="1" applyBorder="1" applyAlignment="1">
      <alignment horizontal="left" vertical="center"/>
    </xf>
    <xf numFmtId="164" fontId="15" fillId="0" borderId="14" xfId="0" applyNumberFormat="1" applyFont="1" applyBorder="1" applyAlignment="1">
      <alignment horizontal="right" vertical="center"/>
    </xf>
    <xf numFmtId="0" fontId="16" fillId="9" borderId="15" xfId="0" applyFont="1" applyFill="1" applyBorder="1" applyAlignment="1">
      <alignment horizontal="left" vertical="center"/>
    </xf>
    <xf numFmtId="164" fontId="17" fillId="10" borderId="16" xfId="0" applyNumberFormat="1" applyFont="1" applyFill="1" applyBorder="1" applyAlignment="1">
      <alignment horizontal="right" vertical="center"/>
    </xf>
    <xf numFmtId="165" fontId="18" fillId="11" borderId="17" xfId="0" applyNumberFormat="1" applyFont="1" applyFill="1" applyBorder="1" applyAlignment="1">
      <alignment horizontal="right" vertical="center"/>
    </xf>
    <xf numFmtId="0" fontId="23" fillId="16" borderId="22" xfId="0" applyFont="1" applyFill="1" applyBorder="1" applyAlignment="1">
      <alignment horizontal="right" vertical="center"/>
    </xf>
    <xf numFmtId="0" fontId="24" fillId="0" borderId="23" xfId="0" applyFont="1" applyBorder="1" applyAlignment="1">
      <alignment horizontal="right" vertical="center"/>
    </xf>
    <xf numFmtId="0" fontId="25" fillId="17" borderId="24" xfId="0" applyFont="1" applyFill="1" applyBorder="1" applyAlignment="1">
      <alignment horizontal="left" vertical="center"/>
    </xf>
    <xf numFmtId="164" fontId="26" fillId="18" borderId="25" xfId="0" applyNumberFormat="1" applyFont="1" applyFill="1" applyBorder="1" applyAlignment="1">
      <alignment horizontal="right" vertical="center"/>
    </xf>
    <xf numFmtId="165" fontId="27" fillId="19" borderId="26" xfId="0" applyNumberFormat="1" applyFont="1" applyFill="1" applyBorder="1" applyAlignment="1">
      <alignment horizontal="right" vertical="center"/>
    </xf>
    <xf numFmtId="0" fontId="1" fillId="0" borderId="0" xfId="0" applyFont="1"/>
    <xf numFmtId="0" fontId="0" fillId="0" borderId="0" xfId="0"/>
    <xf numFmtId="0" fontId="4" fillId="4" borderId="3" xfId="0" applyFont="1" applyFill="1" applyBorder="1"/>
    <xf numFmtId="0" fontId="19" fillId="12" borderId="18" xfId="0" applyFont="1" applyFill="1" applyBorder="1"/>
    <xf numFmtId="0" fontId="20" fillId="13" borderId="19" xfId="0" applyFont="1" applyFill="1" applyBorder="1"/>
    <xf numFmtId="0" fontId="21" fillId="14" borderId="20" xfId="0" applyFont="1" applyFill="1" applyBorder="1"/>
    <xf numFmtId="0" fontId="22" fillId="15" borderId="2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E65A-0BF2-45BE-A426-50205E305A60}">
  <dimension ref="A1:O45"/>
  <sheetViews>
    <sheetView tabSelected="1" topLeftCell="A24" workbookViewId="0">
      <selection activeCell="L45" sqref="L45"/>
    </sheetView>
  </sheetViews>
  <sheetFormatPr baseColWidth="10" defaultRowHeight="15" x14ac:dyDescent="0.25"/>
  <cols>
    <col min="1" max="1" width="26.85546875" customWidth="1"/>
    <col min="2" max="10" width="8.85546875" customWidth="1"/>
    <col min="11" max="11" width="8.42578125" bestFit="1" customWidth="1"/>
    <col min="12" max="12" width="9.28515625" bestFit="1" customWidth="1"/>
    <col min="13" max="13" width="9.7109375" bestFit="1" customWidth="1"/>
    <col min="14" max="15" width="10.85546875" customWidth="1"/>
  </cols>
  <sheetData>
    <row r="1" spans="1:15" ht="20.100000000000001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6" customHeight="1" x14ac:dyDescent="0.25"/>
    <row r="3" spans="1:15" ht="27.9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 spans="1:15" x14ac:dyDescent="0.25">
      <c r="A4" s="24" t="s">
        <v>16</v>
      </c>
      <c r="B4" s="24" t="s">
        <v>17</v>
      </c>
      <c r="C4" s="24" t="s">
        <v>17</v>
      </c>
      <c r="D4" s="24" t="s">
        <v>17</v>
      </c>
      <c r="E4" s="24" t="s">
        <v>17</v>
      </c>
      <c r="F4" s="24" t="s">
        <v>17</v>
      </c>
      <c r="G4" s="24" t="s">
        <v>17</v>
      </c>
      <c r="H4" s="24" t="s">
        <v>17</v>
      </c>
      <c r="I4" s="24" t="s">
        <v>17</v>
      </c>
      <c r="J4" s="24" t="s">
        <v>17</v>
      </c>
      <c r="K4" s="24" t="s">
        <v>17</v>
      </c>
      <c r="L4" s="24" t="s">
        <v>17</v>
      </c>
      <c r="M4" s="24" t="s">
        <v>17</v>
      </c>
      <c r="N4" s="24" t="s">
        <v>17</v>
      </c>
      <c r="O4" s="24" t="s">
        <v>17</v>
      </c>
    </row>
    <row r="5" spans="1:15" x14ac:dyDescent="0.25">
      <c r="A5" s="3" t="s">
        <v>18</v>
      </c>
      <c r="B5" s="4">
        <v>0</v>
      </c>
      <c r="C5" s="4">
        <v>7.625</v>
      </c>
      <c r="D5" s="4">
        <v>7.9480000000000004</v>
      </c>
      <c r="E5" s="4">
        <v>1.75</v>
      </c>
      <c r="F5" s="4">
        <v>13.278</v>
      </c>
      <c r="G5" s="4">
        <v>7.9480000000000004</v>
      </c>
      <c r="H5" s="4">
        <v>1.75</v>
      </c>
      <c r="I5" s="4">
        <v>7.625</v>
      </c>
      <c r="J5" s="4">
        <v>0</v>
      </c>
      <c r="K5" s="4">
        <v>47.923999999999999</v>
      </c>
      <c r="L5" s="4">
        <v>52.442999999999998</v>
      </c>
      <c r="M5" s="5">
        <f>+K5/L5-1</f>
        <v>-8.6169746200636888E-2</v>
      </c>
      <c r="N5" s="4">
        <v>28.597999999999999</v>
      </c>
      <c r="O5" s="6">
        <f>+K5/N5-1</f>
        <v>0.67578152318343943</v>
      </c>
    </row>
    <row r="6" spans="1:15" x14ac:dyDescent="0.25">
      <c r="A6" s="3" t="s">
        <v>19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7" t="s">
        <v>17</v>
      </c>
      <c r="M6" s="7" t="s">
        <v>20</v>
      </c>
      <c r="N6" s="7" t="s">
        <v>17</v>
      </c>
      <c r="O6" s="7" t="s">
        <v>20</v>
      </c>
    </row>
    <row r="7" spans="1:15" x14ac:dyDescent="0.25">
      <c r="A7" s="3" t="s">
        <v>21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7" t="s">
        <v>17</v>
      </c>
      <c r="M7" s="7" t="s">
        <v>20</v>
      </c>
      <c r="N7" s="7" t="s">
        <v>17</v>
      </c>
      <c r="O7" s="7" t="s">
        <v>20</v>
      </c>
    </row>
    <row r="8" spans="1:15" x14ac:dyDescent="0.25">
      <c r="A8" s="8" t="s">
        <v>22</v>
      </c>
      <c r="B8" s="9">
        <f>+SUM(B5:B7)</f>
        <v>0</v>
      </c>
      <c r="C8" s="9">
        <f t="shared" ref="C8:N8" si="0">+SUM(C5:C7)</f>
        <v>7.625</v>
      </c>
      <c r="D8" s="9">
        <f t="shared" si="0"/>
        <v>7.9480000000000004</v>
      </c>
      <c r="E8" s="9">
        <f t="shared" si="0"/>
        <v>1.75</v>
      </c>
      <c r="F8" s="9">
        <f t="shared" si="0"/>
        <v>13.278</v>
      </c>
      <c r="G8" s="9">
        <f t="shared" si="0"/>
        <v>7.9480000000000004</v>
      </c>
      <c r="H8" s="9">
        <f t="shared" si="0"/>
        <v>1.75</v>
      </c>
      <c r="I8" s="9">
        <f t="shared" si="0"/>
        <v>7.625</v>
      </c>
      <c r="J8" s="9">
        <f t="shared" si="0"/>
        <v>0</v>
      </c>
      <c r="K8" s="9">
        <f t="shared" si="0"/>
        <v>47.923999999999999</v>
      </c>
      <c r="L8" s="9">
        <f t="shared" si="0"/>
        <v>52.442999999999998</v>
      </c>
      <c r="M8" s="10">
        <f>+K8/L8-1</f>
        <v>-8.6169746200636888E-2</v>
      </c>
      <c r="N8" s="9">
        <f t="shared" si="0"/>
        <v>28.597999999999999</v>
      </c>
      <c r="O8" s="11">
        <f>+K8/N8-1</f>
        <v>0.67578152318343943</v>
      </c>
    </row>
    <row r="9" spans="1:15" x14ac:dyDescent="0.25">
      <c r="A9" s="12" t="s">
        <v>23</v>
      </c>
      <c r="B9" s="13">
        <v>11.403</v>
      </c>
      <c r="C9" s="13">
        <v>8.3109999999999999</v>
      </c>
      <c r="D9" s="13">
        <v>9.3520000000000003</v>
      </c>
      <c r="E9" s="13">
        <v>11.756</v>
      </c>
      <c r="F9" s="13">
        <v>-2.6949999999999998</v>
      </c>
      <c r="G9" s="13">
        <v>8.5459999999999994</v>
      </c>
      <c r="H9" s="13">
        <v>7.37</v>
      </c>
      <c r="I9" s="13">
        <v>28.53</v>
      </c>
      <c r="J9" s="13">
        <v>5.3049999999999997</v>
      </c>
      <c r="K9" s="13">
        <v>87.878</v>
      </c>
      <c r="L9" s="13">
        <v>12.422000000000001</v>
      </c>
      <c r="M9" s="6">
        <f>+K9/L9-1</f>
        <v>6.0743841571405568</v>
      </c>
      <c r="N9" s="13">
        <v>87.525999999999996</v>
      </c>
      <c r="O9" s="6">
        <f>+K9/N9-1</f>
        <v>4.0216621346800263E-3</v>
      </c>
    </row>
    <row r="10" spans="1:15" x14ac:dyDescent="0.25">
      <c r="A10" s="14" t="s">
        <v>24</v>
      </c>
      <c r="B10" s="15">
        <f>+B9+B8</f>
        <v>11.403</v>
      </c>
      <c r="C10" s="15">
        <f>+C9+C8</f>
        <v>15.936</v>
      </c>
      <c r="D10" s="15">
        <f>+D9+D8</f>
        <v>17.3</v>
      </c>
      <c r="E10" s="15">
        <f>+E9+E8</f>
        <v>13.506</v>
      </c>
      <c r="F10" s="15">
        <f>+F9+F8</f>
        <v>10.583</v>
      </c>
      <c r="G10" s="15">
        <f>+G9+G8</f>
        <v>16.494</v>
      </c>
      <c r="H10" s="15">
        <f>+H9+H8</f>
        <v>9.120000000000001</v>
      </c>
      <c r="I10" s="15">
        <f>+I9+I8</f>
        <v>36.155000000000001</v>
      </c>
      <c r="J10" s="15">
        <f>+J9+J8</f>
        <v>5.3049999999999997</v>
      </c>
      <c r="K10" s="15">
        <f>+K9+K8</f>
        <v>135.80199999999999</v>
      </c>
      <c r="L10" s="15">
        <f>+L9+L8</f>
        <v>64.864999999999995</v>
      </c>
      <c r="M10" s="16">
        <f>+K10/L10-1</f>
        <v>1.0936098049795731</v>
      </c>
      <c r="N10" s="15">
        <f>+N9+N8</f>
        <v>116.124</v>
      </c>
      <c r="O10" s="16">
        <f>+K10/N10-1</f>
        <v>0.16945678757190596</v>
      </c>
    </row>
    <row r="12" spans="1:15" x14ac:dyDescent="0.25">
      <c r="A12" s="25" t="s">
        <v>25</v>
      </c>
      <c r="B12" s="25" t="s">
        <v>17</v>
      </c>
      <c r="C12" s="25" t="s">
        <v>17</v>
      </c>
      <c r="D12" s="25" t="s">
        <v>17</v>
      </c>
      <c r="E12" s="25" t="s">
        <v>17</v>
      </c>
      <c r="F12" s="25" t="s">
        <v>17</v>
      </c>
      <c r="G12" s="25" t="s">
        <v>17</v>
      </c>
      <c r="H12" s="25" t="s">
        <v>17</v>
      </c>
      <c r="I12" s="25" t="s">
        <v>17</v>
      </c>
      <c r="J12" s="25" t="s">
        <v>17</v>
      </c>
      <c r="K12" s="25" t="s">
        <v>17</v>
      </c>
      <c r="L12" s="25" t="s">
        <v>17</v>
      </c>
      <c r="M12" s="25" t="s">
        <v>17</v>
      </c>
      <c r="N12" s="25" t="s">
        <v>17</v>
      </c>
      <c r="O12" s="25" t="s">
        <v>17</v>
      </c>
    </row>
    <row r="13" spans="1:15" x14ac:dyDescent="0.25">
      <c r="A13" s="3" t="s">
        <v>18</v>
      </c>
      <c r="B13" s="4">
        <v>7.9909999999999997</v>
      </c>
      <c r="C13" s="4">
        <v>1.085</v>
      </c>
      <c r="D13" s="4">
        <v>2.3140000000000001</v>
      </c>
      <c r="E13" s="4">
        <v>1.085</v>
      </c>
      <c r="F13" s="4">
        <v>20.169</v>
      </c>
      <c r="G13" s="4">
        <v>2.3140000000000001</v>
      </c>
      <c r="H13" s="4">
        <v>1.085</v>
      </c>
      <c r="I13" s="4">
        <v>5.532</v>
      </c>
      <c r="J13" s="4">
        <v>0</v>
      </c>
      <c r="K13" s="4">
        <v>41.575000000000003</v>
      </c>
      <c r="L13" s="4">
        <v>55.988</v>
      </c>
      <c r="M13" s="5">
        <f>+K13/L13-1</f>
        <v>-0.25743016360648707</v>
      </c>
      <c r="N13" s="4">
        <v>45.923000000000002</v>
      </c>
      <c r="O13" s="5">
        <f>+K13/N13-1</f>
        <v>-9.4680225595017764E-2</v>
      </c>
    </row>
    <row r="14" spans="1:15" x14ac:dyDescent="0.25">
      <c r="A14" s="3" t="s">
        <v>19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7" t="s">
        <v>17</v>
      </c>
      <c r="M14" s="7" t="s">
        <v>20</v>
      </c>
      <c r="N14" s="7" t="s">
        <v>17</v>
      </c>
      <c r="O14" s="7" t="s">
        <v>20</v>
      </c>
    </row>
    <row r="15" spans="1:15" x14ac:dyDescent="0.25">
      <c r="A15" s="3" t="s">
        <v>21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7" t="s">
        <v>17</v>
      </c>
      <c r="M15" s="7" t="s">
        <v>20</v>
      </c>
      <c r="N15" s="7" t="s">
        <v>17</v>
      </c>
      <c r="O15" s="7" t="s">
        <v>20</v>
      </c>
    </row>
    <row r="16" spans="1:15" x14ac:dyDescent="0.25">
      <c r="A16" s="8" t="s">
        <v>22</v>
      </c>
      <c r="B16" s="9">
        <f>+SUM(B13:B15)</f>
        <v>7.9909999999999997</v>
      </c>
      <c r="C16" s="9">
        <f t="shared" ref="C16" si="1">+SUM(C13:C15)</f>
        <v>1.085</v>
      </c>
      <c r="D16" s="9">
        <f t="shared" ref="D16" si="2">+SUM(D13:D15)</f>
        <v>2.3140000000000001</v>
      </c>
      <c r="E16" s="9">
        <f t="shared" ref="E16" si="3">+SUM(E13:E15)</f>
        <v>1.085</v>
      </c>
      <c r="F16" s="9">
        <f t="shared" ref="F16" si="4">+SUM(F13:F15)</f>
        <v>20.169</v>
      </c>
      <c r="G16" s="9">
        <f t="shared" ref="G16" si="5">+SUM(G13:G15)</f>
        <v>2.3140000000000001</v>
      </c>
      <c r="H16" s="9">
        <f t="shared" ref="H16" si="6">+SUM(H13:H15)</f>
        <v>1.085</v>
      </c>
      <c r="I16" s="9">
        <f t="shared" ref="I16" si="7">+SUM(I13:I15)</f>
        <v>5.532</v>
      </c>
      <c r="J16" s="9">
        <f t="shared" ref="J16" si="8">+SUM(J13:J15)</f>
        <v>0</v>
      </c>
      <c r="K16" s="9">
        <f t="shared" ref="K16:N16" si="9">+SUM(K13:K15)</f>
        <v>41.575000000000003</v>
      </c>
      <c r="L16" s="9">
        <f t="shared" si="9"/>
        <v>55.988</v>
      </c>
      <c r="M16" s="10">
        <f>+K16/L16-1</f>
        <v>-0.25743016360648707</v>
      </c>
      <c r="N16" s="9">
        <f t="shared" si="9"/>
        <v>45.923000000000002</v>
      </c>
      <c r="O16" s="10">
        <f>+K16/N16-1</f>
        <v>-9.4680225595017764E-2</v>
      </c>
    </row>
    <row r="17" spans="1:15" x14ac:dyDescent="0.25">
      <c r="A17" s="12" t="s">
        <v>23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6" t="e">
        <f>+K17/L17-1</f>
        <v>#DIV/0!</v>
      </c>
      <c r="N17" s="13"/>
      <c r="O17" s="5" t="e">
        <f>+K17/N17-1</f>
        <v>#DIV/0!</v>
      </c>
    </row>
    <row r="18" spans="1:15" x14ac:dyDescent="0.25">
      <c r="A18" s="14" t="s">
        <v>24</v>
      </c>
      <c r="B18" s="15">
        <f>+B17+B16</f>
        <v>7.9909999999999997</v>
      </c>
      <c r="C18" s="15">
        <f>+C17+C16</f>
        <v>1.085</v>
      </c>
      <c r="D18" s="15">
        <f>+D17+D16</f>
        <v>2.3140000000000001</v>
      </c>
      <c r="E18" s="15">
        <f>+E17+E16</f>
        <v>1.085</v>
      </c>
      <c r="F18" s="15">
        <f>+F17+F16</f>
        <v>20.169</v>
      </c>
      <c r="G18" s="15">
        <f>+G17+G16</f>
        <v>2.3140000000000001</v>
      </c>
      <c r="H18" s="15">
        <f>+H17+H16</f>
        <v>1.085</v>
      </c>
      <c r="I18" s="15">
        <f>+I17+I16</f>
        <v>5.532</v>
      </c>
      <c r="J18" s="15">
        <f>+J17+J16</f>
        <v>0</v>
      </c>
      <c r="K18" s="15">
        <f>+K17+K16</f>
        <v>41.575000000000003</v>
      </c>
      <c r="L18" s="15">
        <f>+L17+L16</f>
        <v>55.988</v>
      </c>
      <c r="M18" s="16">
        <f>+K18/L18-1</f>
        <v>-0.25743016360648707</v>
      </c>
      <c r="N18" s="15">
        <f>+N17+N16</f>
        <v>45.923000000000002</v>
      </c>
      <c r="O18" s="16">
        <f>+K18/N18-1</f>
        <v>-9.4680225595017764E-2</v>
      </c>
    </row>
    <row r="20" spans="1:15" x14ac:dyDescent="0.25">
      <c r="A20" s="26" t="s">
        <v>26</v>
      </c>
      <c r="B20" s="26" t="s">
        <v>17</v>
      </c>
      <c r="C20" s="26" t="s">
        <v>17</v>
      </c>
      <c r="D20" s="26" t="s">
        <v>17</v>
      </c>
      <c r="E20" s="26" t="s">
        <v>17</v>
      </c>
      <c r="F20" s="26" t="s">
        <v>17</v>
      </c>
      <c r="G20" s="26" t="s">
        <v>17</v>
      </c>
      <c r="H20" s="26" t="s">
        <v>17</v>
      </c>
      <c r="I20" s="26" t="s">
        <v>17</v>
      </c>
      <c r="J20" s="26" t="s">
        <v>17</v>
      </c>
      <c r="K20" s="26" t="s">
        <v>17</v>
      </c>
      <c r="L20" s="26" t="s">
        <v>17</v>
      </c>
      <c r="M20" s="26" t="s">
        <v>17</v>
      </c>
      <c r="N20" s="26" t="s">
        <v>17</v>
      </c>
      <c r="O20" s="26" t="s">
        <v>17</v>
      </c>
    </row>
    <row r="21" spans="1:15" x14ac:dyDescent="0.25">
      <c r="A21" s="3" t="s">
        <v>18</v>
      </c>
      <c r="B21" s="4">
        <v>1.5960000000000001</v>
      </c>
      <c r="C21" s="4">
        <v>3.1429999999999998</v>
      </c>
      <c r="D21" s="4">
        <v>2.6909999999999998</v>
      </c>
      <c r="E21" s="4">
        <v>2.6059999999999999</v>
      </c>
      <c r="F21" s="4">
        <v>9.59</v>
      </c>
      <c r="G21" s="4">
        <v>1.01</v>
      </c>
      <c r="H21" s="4">
        <v>4.2869999999999999</v>
      </c>
      <c r="I21" s="4">
        <v>4.1529999999999996</v>
      </c>
      <c r="J21" s="4">
        <v>0</v>
      </c>
      <c r="K21" s="4">
        <v>29.076000000000001</v>
      </c>
      <c r="L21" s="4">
        <v>26.901</v>
      </c>
      <c r="M21" s="5">
        <f>+K21/L21-1</f>
        <v>8.085201293632216E-2</v>
      </c>
      <c r="N21" s="4">
        <v>11.407999999999999</v>
      </c>
      <c r="O21" s="6">
        <f>+K21/N21-1</f>
        <v>1.5487377279102388</v>
      </c>
    </row>
    <row r="22" spans="1:15" x14ac:dyDescent="0.25">
      <c r="A22" s="3" t="s">
        <v>19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7" t="s">
        <v>17</v>
      </c>
      <c r="M22" s="7" t="s">
        <v>20</v>
      </c>
      <c r="N22" s="7" t="s">
        <v>17</v>
      </c>
      <c r="O22" s="7" t="s">
        <v>20</v>
      </c>
    </row>
    <row r="23" spans="1:15" x14ac:dyDescent="0.25">
      <c r="A23" s="3" t="s">
        <v>21</v>
      </c>
      <c r="B23" s="4">
        <v>0</v>
      </c>
      <c r="C23" s="4">
        <v>0</v>
      </c>
      <c r="D23" s="4">
        <v>0</v>
      </c>
      <c r="E23" s="4">
        <v>1.4330000000000001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1.4330000000000001</v>
      </c>
      <c r="L23" s="4">
        <v>2.8660000000000001</v>
      </c>
      <c r="M23" s="5">
        <f>+K23/L23-1</f>
        <v>-0.5</v>
      </c>
      <c r="N23" s="4">
        <v>1.4330000000000001</v>
      </c>
      <c r="O23" s="6">
        <f>+K23/N23-1</f>
        <v>0</v>
      </c>
    </row>
    <row r="24" spans="1:15" x14ac:dyDescent="0.25">
      <c r="A24" s="8" t="s">
        <v>22</v>
      </c>
      <c r="B24" s="9">
        <f>+SUM(B21:B23)</f>
        <v>1.5960000000000001</v>
      </c>
      <c r="C24" s="9">
        <f t="shared" ref="C24" si="10">+SUM(C21:C23)</f>
        <v>3.1429999999999998</v>
      </c>
      <c r="D24" s="9">
        <f t="shared" ref="D24" si="11">+SUM(D21:D23)</f>
        <v>2.6909999999999998</v>
      </c>
      <c r="E24" s="9">
        <f t="shared" ref="E24" si="12">+SUM(E21:E23)</f>
        <v>4.0389999999999997</v>
      </c>
      <c r="F24" s="9">
        <f t="shared" ref="F24" si="13">+SUM(F21:F23)</f>
        <v>9.59</v>
      </c>
      <c r="G24" s="9">
        <f t="shared" ref="G24" si="14">+SUM(G21:G23)</f>
        <v>1.01</v>
      </c>
      <c r="H24" s="9">
        <f t="shared" ref="H24" si="15">+SUM(H21:H23)</f>
        <v>4.2869999999999999</v>
      </c>
      <c r="I24" s="9">
        <f t="shared" ref="I24" si="16">+SUM(I21:I23)</f>
        <v>4.1529999999999996</v>
      </c>
      <c r="J24" s="9">
        <f t="shared" ref="J24" si="17">+SUM(J21:J23)</f>
        <v>0</v>
      </c>
      <c r="K24" s="9">
        <f t="shared" ref="K24:N24" si="18">+SUM(K21:K23)</f>
        <v>30.509</v>
      </c>
      <c r="L24" s="9">
        <f t="shared" si="18"/>
        <v>29.766999999999999</v>
      </c>
      <c r="M24" s="10">
        <f>+K24/L24-1</f>
        <v>2.4926932509154565E-2</v>
      </c>
      <c r="N24" s="9">
        <f t="shared" si="18"/>
        <v>12.840999999999999</v>
      </c>
      <c r="O24" s="11">
        <f>+K24/N24-1</f>
        <v>1.3759053033252862</v>
      </c>
    </row>
    <row r="25" spans="1:15" x14ac:dyDescent="0.25">
      <c r="A25" s="12" t="s">
        <v>23</v>
      </c>
      <c r="B25" s="13">
        <v>-0.435</v>
      </c>
      <c r="C25" s="13">
        <v>4.95</v>
      </c>
      <c r="D25" s="13">
        <v>13.606999999999999</v>
      </c>
      <c r="E25" s="13">
        <v>5.8</v>
      </c>
      <c r="F25" s="13">
        <v>-6.3620000000000001</v>
      </c>
      <c r="G25" s="13">
        <v>16.265999999999998</v>
      </c>
      <c r="H25" s="13">
        <v>11.224</v>
      </c>
      <c r="I25" s="13">
        <v>2.2069999999999999</v>
      </c>
      <c r="J25" s="13">
        <v>0.85</v>
      </c>
      <c r="K25" s="13">
        <v>48.106999999999999</v>
      </c>
      <c r="L25" s="13">
        <v>52.521000000000001</v>
      </c>
      <c r="M25" s="6">
        <f>+K25/L25-1</f>
        <v>-8.4042573446811764E-2</v>
      </c>
      <c r="N25" s="13">
        <v>146.52500000000001</v>
      </c>
      <c r="O25" s="5">
        <f>+K25/N25-1</f>
        <v>-0.67168060058010581</v>
      </c>
    </row>
    <row r="26" spans="1:15" x14ac:dyDescent="0.25">
      <c r="A26" s="14" t="s">
        <v>24</v>
      </c>
      <c r="B26" s="15">
        <f>+B25+B24</f>
        <v>1.161</v>
      </c>
      <c r="C26" s="15">
        <f>+C25+C24</f>
        <v>8.093</v>
      </c>
      <c r="D26" s="15">
        <f>+D25+D24</f>
        <v>16.297999999999998</v>
      </c>
      <c r="E26" s="15">
        <f>+E25+E24</f>
        <v>9.8389999999999986</v>
      </c>
      <c r="F26" s="15">
        <f>+F25+F24</f>
        <v>3.2279999999999998</v>
      </c>
      <c r="G26" s="15">
        <f>+G25+G24</f>
        <v>17.276</v>
      </c>
      <c r="H26" s="15">
        <f>+H25+H24</f>
        <v>15.510999999999999</v>
      </c>
      <c r="I26" s="15">
        <f>+I25+I24</f>
        <v>6.3599999999999994</v>
      </c>
      <c r="J26" s="15">
        <f>+J25+J24</f>
        <v>0.85</v>
      </c>
      <c r="K26" s="15">
        <f>+K25+K24</f>
        <v>78.616</v>
      </c>
      <c r="L26" s="15">
        <f>+L25+L24</f>
        <v>82.287999999999997</v>
      </c>
      <c r="M26" s="16">
        <f>+K26/L26-1</f>
        <v>-4.4623760451098504E-2</v>
      </c>
      <c r="N26" s="15">
        <f>+N25+N24</f>
        <v>159.36600000000001</v>
      </c>
      <c r="O26" s="16">
        <f>+K26/N26-1</f>
        <v>-0.506695280047187</v>
      </c>
    </row>
    <row r="28" spans="1:15" x14ac:dyDescent="0.25">
      <c r="A28" s="27" t="s">
        <v>27</v>
      </c>
      <c r="B28" s="27" t="s">
        <v>17</v>
      </c>
      <c r="C28" s="27" t="s">
        <v>17</v>
      </c>
      <c r="D28" s="27" t="s">
        <v>17</v>
      </c>
      <c r="E28" s="27" t="s">
        <v>17</v>
      </c>
      <c r="F28" s="27" t="s">
        <v>17</v>
      </c>
      <c r="G28" s="27" t="s">
        <v>17</v>
      </c>
      <c r="H28" s="27" t="s">
        <v>17</v>
      </c>
      <c r="I28" s="27" t="s">
        <v>17</v>
      </c>
      <c r="J28" s="27" t="s">
        <v>17</v>
      </c>
      <c r="K28" s="27" t="s">
        <v>17</v>
      </c>
      <c r="L28" s="27" t="s">
        <v>17</v>
      </c>
      <c r="M28" s="27" t="s">
        <v>17</v>
      </c>
      <c r="N28" s="27" t="s">
        <v>17</v>
      </c>
      <c r="O28" s="27" t="s">
        <v>17</v>
      </c>
    </row>
    <row r="29" spans="1:15" x14ac:dyDescent="0.25">
      <c r="A29" s="3" t="s">
        <v>18</v>
      </c>
      <c r="B29" s="4">
        <v>0.47399999999999998</v>
      </c>
      <c r="C29" s="4">
        <v>0</v>
      </c>
      <c r="D29" s="4">
        <v>0</v>
      </c>
      <c r="E29" s="4">
        <v>0</v>
      </c>
      <c r="F29" s="4">
        <v>5.5540000000000003</v>
      </c>
      <c r="G29" s="4">
        <v>1.369</v>
      </c>
      <c r="H29" s="4">
        <v>0</v>
      </c>
      <c r="I29" s="4">
        <v>2.73</v>
      </c>
      <c r="J29" s="4">
        <v>0</v>
      </c>
      <c r="K29" s="4">
        <v>10.127000000000001</v>
      </c>
      <c r="L29" s="4">
        <v>5.6829999999999998</v>
      </c>
      <c r="M29" s="5">
        <f>+K29/L29-1</f>
        <v>0.78198134787964113</v>
      </c>
      <c r="N29" s="4">
        <v>5.6829999999999998</v>
      </c>
      <c r="O29" s="6">
        <f>+K29/N29-1</f>
        <v>0.78198134787964113</v>
      </c>
    </row>
    <row r="30" spans="1:15" x14ac:dyDescent="0.25">
      <c r="A30" s="3" t="s">
        <v>19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7" t="s">
        <v>17</v>
      </c>
      <c r="M30" s="7" t="s">
        <v>20</v>
      </c>
      <c r="N30" s="7" t="s">
        <v>17</v>
      </c>
      <c r="O30" s="7" t="s">
        <v>20</v>
      </c>
    </row>
    <row r="31" spans="1:15" x14ac:dyDescent="0.25">
      <c r="A31" s="3" t="s">
        <v>21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7" t="s">
        <v>17</v>
      </c>
      <c r="M31" s="7" t="s">
        <v>20</v>
      </c>
      <c r="N31" s="7" t="s">
        <v>17</v>
      </c>
      <c r="O31" s="7" t="s">
        <v>20</v>
      </c>
    </row>
    <row r="32" spans="1:15" x14ac:dyDescent="0.25">
      <c r="A32" s="8" t="s">
        <v>22</v>
      </c>
      <c r="B32" s="9">
        <f>+SUM(B29:B31)</f>
        <v>0.47399999999999998</v>
      </c>
      <c r="C32" s="9">
        <f t="shared" ref="C32" si="19">+SUM(C29:C31)</f>
        <v>0</v>
      </c>
      <c r="D32" s="9">
        <f t="shared" ref="D32" si="20">+SUM(D29:D31)</f>
        <v>0</v>
      </c>
      <c r="E32" s="9">
        <f t="shared" ref="E32" si="21">+SUM(E29:E31)</f>
        <v>0</v>
      </c>
      <c r="F32" s="9">
        <f t="shared" ref="F32" si="22">+SUM(F29:F31)</f>
        <v>5.5540000000000003</v>
      </c>
      <c r="G32" s="9">
        <f t="shared" ref="G32" si="23">+SUM(G29:G31)</f>
        <v>1.369</v>
      </c>
      <c r="H32" s="9">
        <f t="shared" ref="H32" si="24">+SUM(H29:H31)</f>
        <v>0</v>
      </c>
      <c r="I32" s="9">
        <f t="shared" ref="I32" si="25">+SUM(I29:I31)</f>
        <v>2.73</v>
      </c>
      <c r="J32" s="9">
        <f t="shared" ref="J32" si="26">+SUM(J29:J31)</f>
        <v>0</v>
      </c>
      <c r="K32" s="9">
        <f t="shared" ref="K32:N32" si="27">+SUM(K29:K31)</f>
        <v>10.127000000000001</v>
      </c>
      <c r="L32" s="9">
        <f t="shared" si="27"/>
        <v>5.6829999999999998</v>
      </c>
      <c r="M32" s="10">
        <f>+K32/L32-1</f>
        <v>0.78198134787964113</v>
      </c>
      <c r="N32" s="9">
        <f t="shared" si="27"/>
        <v>5.6829999999999998</v>
      </c>
      <c r="O32" s="11">
        <f>+K32/N32-1</f>
        <v>0.78198134787964113</v>
      </c>
    </row>
    <row r="33" spans="1:15" x14ac:dyDescent="0.25">
      <c r="A33" s="12" t="s">
        <v>23</v>
      </c>
      <c r="B33" s="13">
        <v>3.113</v>
      </c>
      <c r="C33" s="13">
        <v>2.052</v>
      </c>
      <c r="D33" s="13">
        <v>0</v>
      </c>
      <c r="E33" s="13">
        <v>0</v>
      </c>
      <c r="F33" s="13">
        <v>-5.5540000000000003</v>
      </c>
      <c r="G33" s="13">
        <v>3.496</v>
      </c>
      <c r="H33" s="13">
        <v>0</v>
      </c>
      <c r="I33" s="13">
        <v>-2.73</v>
      </c>
      <c r="J33" s="13">
        <v>0</v>
      </c>
      <c r="K33" s="13">
        <v>0.377</v>
      </c>
      <c r="L33" s="13">
        <v>1.625</v>
      </c>
      <c r="M33" s="6">
        <f>+K33/L33-1</f>
        <v>-0.76800000000000002</v>
      </c>
      <c r="N33" s="13">
        <v>1.931</v>
      </c>
      <c r="O33" s="5">
        <f>+K33/N33-1</f>
        <v>-0.80476437079233554</v>
      </c>
    </row>
    <row r="34" spans="1:15" x14ac:dyDescent="0.25">
      <c r="A34" s="14" t="s">
        <v>24</v>
      </c>
      <c r="B34" s="15">
        <f>+B33+B32</f>
        <v>3.5869999999999997</v>
      </c>
      <c r="C34" s="15">
        <f>+C33+C32</f>
        <v>2.052</v>
      </c>
      <c r="D34" s="15">
        <f>+D33+D32</f>
        <v>0</v>
      </c>
      <c r="E34" s="15">
        <f>+E33+E32</f>
        <v>0</v>
      </c>
      <c r="F34" s="15">
        <f>+F33+F32</f>
        <v>0</v>
      </c>
      <c r="G34" s="15">
        <f>+G33+G32</f>
        <v>4.8650000000000002</v>
      </c>
      <c r="H34" s="15">
        <f>+H33+H32</f>
        <v>0</v>
      </c>
      <c r="I34" s="15">
        <f>+I33+I32</f>
        <v>0</v>
      </c>
      <c r="J34" s="15">
        <f>+J33+J32</f>
        <v>0</v>
      </c>
      <c r="K34" s="15">
        <f>+K33+K32</f>
        <v>10.504000000000001</v>
      </c>
      <c r="L34" s="15">
        <f>+L33+L32</f>
        <v>7.3079999999999998</v>
      </c>
      <c r="M34" s="16">
        <f>+K34/L34-1</f>
        <v>0.43732895457033405</v>
      </c>
      <c r="N34" s="15">
        <f>+N33+N32</f>
        <v>7.6139999999999999</v>
      </c>
      <c r="O34" s="16">
        <f>+K34/N34-1</f>
        <v>0.37956396112424495</v>
      </c>
    </row>
    <row r="36" spans="1:15" x14ac:dyDescent="0.25">
      <c r="A36" s="28" t="s">
        <v>28</v>
      </c>
      <c r="B36" s="28" t="s">
        <v>17</v>
      </c>
      <c r="C36" s="28" t="s">
        <v>17</v>
      </c>
      <c r="D36" s="28" t="s">
        <v>17</v>
      </c>
      <c r="E36" s="28" t="s">
        <v>17</v>
      </c>
      <c r="F36" s="28" t="s">
        <v>17</v>
      </c>
      <c r="G36" s="28" t="s">
        <v>17</v>
      </c>
      <c r="H36" s="28" t="s">
        <v>17</v>
      </c>
      <c r="I36" s="28" t="s">
        <v>17</v>
      </c>
      <c r="J36" s="28" t="s">
        <v>17</v>
      </c>
      <c r="K36" s="28" t="s">
        <v>17</v>
      </c>
      <c r="L36" s="28" t="s">
        <v>17</v>
      </c>
      <c r="M36" s="28" t="s">
        <v>17</v>
      </c>
      <c r="N36" s="28" t="s">
        <v>17</v>
      </c>
      <c r="O36" s="28" t="s">
        <v>17</v>
      </c>
    </row>
    <row r="37" spans="1:15" x14ac:dyDescent="0.25">
      <c r="A37" s="3" t="s">
        <v>18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1.8</v>
      </c>
      <c r="H37" s="4">
        <v>0</v>
      </c>
      <c r="I37" s="4">
        <v>0</v>
      </c>
      <c r="J37" s="4">
        <v>0</v>
      </c>
      <c r="K37" s="4">
        <v>1.8</v>
      </c>
      <c r="L37" s="7" t="s">
        <v>17</v>
      </c>
      <c r="M37" s="7" t="s">
        <v>20</v>
      </c>
      <c r="N37" s="7" t="s">
        <v>17</v>
      </c>
      <c r="O37" s="7" t="s">
        <v>20</v>
      </c>
    </row>
    <row r="38" spans="1:15" x14ac:dyDescent="0.25">
      <c r="A38" s="3" t="s">
        <v>19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7" t="s">
        <v>17</v>
      </c>
      <c r="M38" s="7" t="s">
        <v>20</v>
      </c>
      <c r="N38" s="7" t="s">
        <v>17</v>
      </c>
      <c r="O38" s="7" t="s">
        <v>20</v>
      </c>
    </row>
    <row r="39" spans="1:15" x14ac:dyDescent="0.25">
      <c r="A39" s="3" t="s">
        <v>21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7" t="s">
        <v>17</v>
      </c>
      <c r="M39" s="7" t="s">
        <v>20</v>
      </c>
      <c r="N39" s="7" t="s">
        <v>17</v>
      </c>
      <c r="O39" s="7" t="s">
        <v>20</v>
      </c>
    </row>
    <row r="40" spans="1:15" x14ac:dyDescent="0.25">
      <c r="A40" s="8" t="s">
        <v>22</v>
      </c>
      <c r="B40" s="9">
        <f>+SUM(B37:B39)</f>
        <v>0</v>
      </c>
      <c r="C40" s="9">
        <f t="shared" ref="C40" si="28">+SUM(C37:C39)</f>
        <v>0</v>
      </c>
      <c r="D40" s="9">
        <f t="shared" ref="D40" si="29">+SUM(D37:D39)</f>
        <v>0</v>
      </c>
      <c r="E40" s="9">
        <f t="shared" ref="E40" si="30">+SUM(E37:E39)</f>
        <v>0</v>
      </c>
      <c r="F40" s="9">
        <f t="shared" ref="F40" si="31">+SUM(F37:F39)</f>
        <v>0</v>
      </c>
      <c r="G40" s="9">
        <f t="shared" ref="G40" si="32">+SUM(G37:G39)</f>
        <v>1.8</v>
      </c>
      <c r="H40" s="9">
        <f t="shared" ref="H40" si="33">+SUM(H37:H39)</f>
        <v>0</v>
      </c>
      <c r="I40" s="9">
        <f t="shared" ref="I40" si="34">+SUM(I37:I39)</f>
        <v>0</v>
      </c>
      <c r="J40" s="9">
        <f t="shared" ref="J40" si="35">+SUM(J37:J39)</f>
        <v>0</v>
      </c>
      <c r="K40" s="9">
        <f t="shared" ref="K40:N40" si="36">+SUM(K37:K39)</f>
        <v>1.8</v>
      </c>
      <c r="L40" s="9">
        <f t="shared" si="36"/>
        <v>0</v>
      </c>
      <c r="M40" s="10" t="s">
        <v>20</v>
      </c>
      <c r="N40" s="9">
        <f t="shared" si="36"/>
        <v>0</v>
      </c>
      <c r="O40" s="17" t="s">
        <v>20</v>
      </c>
    </row>
    <row r="41" spans="1:15" x14ac:dyDescent="0.25">
      <c r="A41" s="12" t="s">
        <v>23</v>
      </c>
      <c r="B41" s="13">
        <v>-1.1000000000000001</v>
      </c>
      <c r="C41" s="13">
        <v>0.16300000000000001</v>
      </c>
      <c r="D41" s="13">
        <v>0</v>
      </c>
      <c r="E41" s="13">
        <v>0</v>
      </c>
      <c r="F41" s="13">
        <v>0</v>
      </c>
      <c r="G41" s="13">
        <v>0.17499999999999999</v>
      </c>
      <c r="H41" s="13">
        <v>1.036</v>
      </c>
      <c r="I41" s="13">
        <v>1.321</v>
      </c>
      <c r="J41" s="13">
        <v>0</v>
      </c>
      <c r="K41" s="13">
        <v>1.595</v>
      </c>
      <c r="L41" s="18" t="s">
        <v>17</v>
      </c>
      <c r="M41" s="6" t="s">
        <v>20</v>
      </c>
      <c r="N41" s="13">
        <v>1.8</v>
      </c>
      <c r="O41" s="5">
        <f>+K41/N41-1</f>
        <v>-0.11388888888888893</v>
      </c>
    </row>
    <row r="42" spans="1:15" x14ac:dyDescent="0.25">
      <c r="A42" s="14" t="s">
        <v>24</v>
      </c>
      <c r="B42" s="15">
        <f>+B41+B40</f>
        <v>-1.1000000000000001</v>
      </c>
      <c r="C42" s="15">
        <f>+C41+C40</f>
        <v>0.16300000000000001</v>
      </c>
      <c r="D42" s="15">
        <f>+D41+D40</f>
        <v>0</v>
      </c>
      <c r="E42" s="15">
        <f>+E41+E40</f>
        <v>0</v>
      </c>
      <c r="F42" s="15">
        <f>+F41+F40</f>
        <v>0</v>
      </c>
      <c r="G42" s="15">
        <f>+G41+G40</f>
        <v>1.9750000000000001</v>
      </c>
      <c r="H42" s="15">
        <f>+H41+H40</f>
        <v>1.036</v>
      </c>
      <c r="I42" s="15">
        <f>+I41+I40</f>
        <v>1.321</v>
      </c>
      <c r="J42" s="15">
        <f>+J41+J40</f>
        <v>0</v>
      </c>
      <c r="K42" s="15">
        <f>+K41+K40</f>
        <v>3.395</v>
      </c>
      <c r="L42" s="15">
        <v>0</v>
      </c>
      <c r="M42" s="16" t="s">
        <v>20</v>
      </c>
      <c r="N42" s="15">
        <f>+N41+N40</f>
        <v>1.8</v>
      </c>
      <c r="O42" s="16">
        <f>+K42/N42-1</f>
        <v>0.88611111111111107</v>
      </c>
    </row>
    <row r="44" spans="1:15" x14ac:dyDescent="0.25">
      <c r="A44" s="19" t="s">
        <v>29</v>
      </c>
      <c r="B44" s="20">
        <f>+B42+B34+B26+B18+B10</f>
        <v>23.042000000000002</v>
      </c>
      <c r="C44" s="20">
        <f t="shared" ref="C44:L44" si="37">+C42+C34+C26+C18+C10</f>
        <v>27.329000000000001</v>
      </c>
      <c r="D44" s="20">
        <f t="shared" si="37"/>
        <v>35.911999999999999</v>
      </c>
      <c r="E44" s="20">
        <f t="shared" si="37"/>
        <v>24.43</v>
      </c>
      <c r="F44" s="20">
        <f t="shared" si="37"/>
        <v>33.979999999999997</v>
      </c>
      <c r="G44" s="20">
        <f t="shared" si="37"/>
        <v>42.923999999999999</v>
      </c>
      <c r="H44" s="20">
        <f t="shared" si="37"/>
        <v>26.752000000000002</v>
      </c>
      <c r="I44" s="20">
        <f t="shared" si="37"/>
        <v>49.368000000000002</v>
      </c>
      <c r="J44" s="20">
        <f t="shared" si="37"/>
        <v>6.1549999999999994</v>
      </c>
      <c r="K44" s="20">
        <f t="shared" si="37"/>
        <v>269.892</v>
      </c>
      <c r="L44" s="20">
        <f t="shared" si="37"/>
        <v>210.44900000000001</v>
      </c>
      <c r="M44" s="21">
        <f>+K44/L44-1</f>
        <v>0.28245798269414424</v>
      </c>
      <c r="N44" s="20">
        <f>+N34+N26+N18+N10+N42</f>
        <v>330.82700000000006</v>
      </c>
      <c r="O44" s="21">
        <f>+K44/N44-1</f>
        <v>-0.18418992403884826</v>
      </c>
    </row>
    <row r="45" spans="1:15" x14ac:dyDescent="0.25">
      <c r="B45" s="29"/>
    </row>
  </sheetData>
  <mergeCells count="6">
    <mergeCell ref="A1:O1"/>
    <mergeCell ref="A4:O4"/>
    <mergeCell ref="A12:O12"/>
    <mergeCell ref="A20:O20"/>
    <mergeCell ref="A28:O28"/>
    <mergeCell ref="A36:O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Facturación por región SIN 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Cristóbal Muñoz A.</cp:lastModifiedBy>
  <dcterms:modified xsi:type="dcterms:W3CDTF">2026-09-15T14:50:56Z</dcterms:modified>
</cp:coreProperties>
</file>